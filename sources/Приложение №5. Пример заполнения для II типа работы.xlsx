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ЭтаКнига"/>
  <mc:AlternateContent xmlns:mc="http://schemas.openxmlformats.org/markup-compatibility/2006">
    <mc:Choice Requires="x15">
      <x15ac:absPath xmlns:x15ac="http://schemas.microsoft.com/office/spreadsheetml/2010/11/ac" url="R:\Методики\01. Методики БП ФЦК\6. Стандартизированная работа\МУ СР в 3.0 (редакция 2022)\"/>
    </mc:Choice>
  </mc:AlternateContent>
  <xr:revisionPtr revIDLastSave="0" documentId="13_ncr:1_{E6D4D5E0-29D9-4823-B5AE-7369A2FE970B}" xr6:coauthVersionLast="47" xr6:coauthVersionMax="47" xr10:uidLastSave="{00000000-0000-0000-0000-000000000000}"/>
  <bookViews>
    <workbookView xWindow="-28860" yWindow="-60" windowWidth="28920" windowHeight="15720" activeTab="3" xr2:uid="{A4EA1B10-97D7-417D-8FBA-7B5CD9981639}"/>
  </bookViews>
  <sheets>
    <sheet name="Время такта" sheetId="1" r:id="rId1"/>
    <sheet name="Лист наблюдений" sheetId="3" r:id="rId2"/>
    <sheet name="Карта СР " sheetId="4" r:id="rId3"/>
    <sheet name="Ручная работа" sheetId="24" r:id="rId4"/>
    <sheet name="Периодическая работа" sheetId="7" r:id="rId5"/>
    <sheet name="Производственная способность" sheetId="10" r:id="rId6"/>
    <sheet name="Объедененная таблица " sheetId="17" r:id="rId7"/>
    <sheet name="Диаграмма" sheetId="9" r:id="rId8"/>
    <sheet name="t ср.вз." sheetId="18" r:id="rId9"/>
    <sheet name="Отчет об улучшении" sheetId="19" r:id="rId10"/>
    <sheet name="Общий список улучшений" sheetId="20" r:id="rId11"/>
    <sheet name="СОП" sheetId="21" r:id="rId12"/>
  </sheets>
  <externalReferences>
    <externalReference r:id="rId13"/>
  </externalReferences>
  <definedNames>
    <definedName name="Время_такта" localSheetId="1">'[1]Время такта'!$T$13</definedName>
    <definedName name="Время_такта">'Время такта'!$T$8</definedName>
    <definedName name="_xlnm.Print_Area" localSheetId="7">Диаграмма!$A$1:$AP$100</definedName>
    <definedName name="_xlnm.Print_Area" localSheetId="2">'Карта СР '!$A$1:$AU$35</definedName>
    <definedName name="_xlnm.Print_Area" localSheetId="1">'Лист наблюдений'!$A$1:$AW$54</definedName>
    <definedName name="_xlnm.Print_Area" localSheetId="9">'Отчет об улучшении'!#REF!</definedName>
    <definedName name="_xlnm.Print_Area" localSheetId="4">'Периодическая работа'!$A$1:$AX$19</definedName>
    <definedName name="_xlnm.Print_Area" localSheetId="5">'Производственная способность'!$A$1:$L$14</definedName>
    <definedName name="_xlnm.Print_Area" localSheetId="3">'Ручная работа'!$A$1:$U$14</definedName>
    <definedName name="_xlnm.Print_Area" localSheetId="11">СОП!$A$1:$J$18</definedName>
    <definedName name="ФРВ" localSheetId="1">'[1]Время такта'!$T$6</definedName>
    <definedName name="ФРВ">'Время такта'!$T$6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8" i="24" l="1"/>
  <c r="P39" i="24"/>
  <c r="P40" i="24"/>
  <c r="P41" i="24"/>
  <c r="P42" i="24"/>
  <c r="P37" i="24"/>
  <c r="P22" i="24"/>
  <c r="P23" i="24"/>
  <c r="P24" i="24"/>
  <c r="P25" i="24"/>
  <c r="P26" i="24"/>
  <c r="P27" i="24"/>
  <c r="P28" i="24"/>
  <c r="P29" i="24"/>
  <c r="P30" i="24"/>
  <c r="P21" i="24"/>
  <c r="F45" i="24"/>
  <c r="E43" i="24"/>
  <c r="F43" i="24"/>
  <c r="G43" i="24"/>
  <c r="H43" i="24"/>
  <c r="I43" i="24"/>
  <c r="J43" i="24"/>
  <c r="K43" i="24"/>
  <c r="L43" i="24"/>
  <c r="M43" i="24"/>
  <c r="D43" i="24"/>
  <c r="F44" i="24" s="1"/>
  <c r="F32" i="24"/>
  <c r="E30" i="24"/>
  <c r="F30" i="24"/>
  <c r="G30" i="24"/>
  <c r="H30" i="24"/>
  <c r="I30" i="24"/>
  <c r="J30" i="24"/>
  <c r="K30" i="24"/>
  <c r="L30" i="24"/>
  <c r="M30" i="24"/>
  <c r="F31" i="24"/>
  <c r="N30" i="24"/>
  <c r="D30" i="24"/>
  <c r="E14" i="24"/>
  <c r="F14" i="24"/>
  <c r="F15" i="24" s="1"/>
  <c r="G14" i="24"/>
  <c r="H14" i="24"/>
  <c r="I14" i="24"/>
  <c r="J14" i="24"/>
  <c r="K14" i="24"/>
  <c r="L14" i="24"/>
  <c r="M14" i="24"/>
  <c r="D14" i="24"/>
  <c r="O42" i="24"/>
  <c r="O41" i="24"/>
  <c r="O40" i="24"/>
  <c r="O39" i="24"/>
  <c r="O38" i="24"/>
  <c r="O37" i="24"/>
  <c r="N42" i="24"/>
  <c r="N41" i="24"/>
  <c r="N40" i="24"/>
  <c r="N39" i="24"/>
  <c r="N38" i="24"/>
  <c r="N37" i="24"/>
  <c r="Q38" i="24"/>
  <c r="R38" i="24" s="1"/>
  <c r="O29" i="24"/>
  <c r="N29" i="24"/>
  <c r="N28" i="24"/>
  <c r="O28" i="24" s="1"/>
  <c r="N27" i="24"/>
  <c r="Q27" i="24" s="1"/>
  <c r="R27" i="24" s="1"/>
  <c r="N26" i="24"/>
  <c r="O26" i="24" s="1"/>
  <c r="N25" i="24"/>
  <c r="Q25" i="24" s="1"/>
  <c r="R25" i="24" s="1"/>
  <c r="N24" i="24"/>
  <c r="O24" i="24" s="1"/>
  <c r="N23" i="24"/>
  <c r="O23" i="24" s="1"/>
  <c r="N22" i="24"/>
  <c r="O22" i="24" s="1"/>
  <c r="N21" i="24"/>
  <c r="O21" i="24" s="1"/>
  <c r="U2" i="24"/>
  <c r="U18" i="24" s="1"/>
  <c r="U34" i="24" s="1"/>
  <c r="P13" i="24"/>
  <c r="N13" i="24"/>
  <c r="Q13" i="24" s="1"/>
  <c r="R13" i="24" s="1"/>
  <c r="N12" i="24"/>
  <c r="O12" i="24" s="1"/>
  <c r="P11" i="24"/>
  <c r="N11" i="24"/>
  <c r="Q11" i="24" s="1"/>
  <c r="R11" i="24" s="1"/>
  <c r="N10" i="24"/>
  <c r="O10" i="24" s="1"/>
  <c r="P9" i="24"/>
  <c r="N9" i="24"/>
  <c r="Q9" i="24" s="1"/>
  <c r="R9" i="24" s="1"/>
  <c r="N8" i="24"/>
  <c r="Q7" i="24"/>
  <c r="R7" i="24" s="1"/>
  <c r="P7" i="24"/>
  <c r="N7" i="24"/>
  <c r="O7" i="24" s="1"/>
  <c r="P6" i="24"/>
  <c r="N6" i="24"/>
  <c r="Q6" i="24" s="1"/>
  <c r="R6" i="24" s="1"/>
  <c r="N5" i="24"/>
  <c r="O11" i="24" l="1"/>
  <c r="O25" i="24"/>
  <c r="O27" i="24"/>
  <c r="Q42" i="24"/>
  <c r="R42" i="24" s="1"/>
  <c r="N43" i="24"/>
  <c r="Q40" i="24"/>
  <c r="Q29" i="24"/>
  <c r="R29" i="24" s="1"/>
  <c r="P31" i="24"/>
  <c r="Q23" i="24"/>
  <c r="R23" i="24" s="1"/>
  <c r="Q22" i="24"/>
  <c r="R22" i="24" s="1"/>
  <c r="O9" i="24"/>
  <c r="O6" i="24"/>
  <c r="N14" i="24"/>
  <c r="O8" i="24"/>
  <c r="O5" i="24"/>
  <c r="O13" i="24"/>
  <c r="AN6" i="9"/>
  <c r="AG6" i="9"/>
  <c r="C12" i="18"/>
  <c r="D79" i="9"/>
  <c r="D74" i="9" s="1"/>
  <c r="D69" i="9" s="1"/>
  <c r="D64" i="9" s="1"/>
  <c r="D59" i="9" s="1"/>
  <c r="D54" i="9" s="1"/>
  <c r="D49" i="9" s="1"/>
  <c r="D44" i="9" s="1"/>
  <c r="D39" i="9" s="1"/>
  <c r="D34" i="9" s="1"/>
  <c r="D29" i="9" s="1"/>
  <c r="D24" i="9" s="1"/>
  <c r="D19" i="9" s="1"/>
  <c r="BQ54" i="17"/>
  <c r="BW54" i="17"/>
  <c r="BK54" i="17"/>
  <c r="BE54" i="17"/>
  <c r="CF9" i="17"/>
  <c r="CP9" i="17" s="1"/>
  <c r="CZ9" i="17" s="1"/>
  <c r="DJ9" i="17" s="1"/>
  <c r="DT9" i="17" s="1"/>
  <c r="ED9" i="17" s="1"/>
  <c r="EN9" i="17" s="1"/>
  <c r="EX9" i="17" s="1"/>
  <c r="FH9" i="17" s="1"/>
  <c r="FR9" i="17" s="1"/>
  <c r="GB9" i="17" s="1"/>
  <c r="GL9" i="17" s="1"/>
  <c r="CK8" i="17"/>
  <c r="CU8" i="17" s="1"/>
  <c r="DE8" i="17" s="1"/>
  <c r="DO8" i="17" s="1"/>
  <c r="DY8" i="17" s="1"/>
  <c r="EI8" i="17" s="1"/>
  <c r="ES8" i="17" s="1"/>
  <c r="FC8" i="17" s="1"/>
  <c r="FM8" i="17" s="1"/>
  <c r="FW8" i="17" s="1"/>
  <c r="GG8" i="17" s="1"/>
  <c r="R40" i="24" l="1"/>
  <c r="P44" i="24"/>
  <c r="F16" i="24"/>
  <c r="P15" i="24" s="1"/>
  <c r="Q28" i="24" l="1"/>
  <c r="R28" i="24" s="1"/>
  <c r="Q26" i="24"/>
  <c r="R26" i="24" s="1"/>
  <c r="P8" i="24"/>
  <c r="Q8" i="24" s="1"/>
  <c r="R8" i="24" s="1"/>
  <c r="Q37" i="24"/>
  <c r="Q39" i="24"/>
  <c r="R39" i="24" s="1"/>
  <c r="Q24" i="24"/>
  <c r="R24" i="24" s="1"/>
  <c r="Q41" i="24"/>
  <c r="R41" i="24" s="1"/>
  <c r="P5" i="24"/>
  <c r="P10" i="24"/>
  <c r="Q10" i="24" s="1"/>
  <c r="R10" i="24" s="1"/>
  <c r="P12" i="24"/>
  <c r="Q12" i="24" s="1"/>
  <c r="R12" i="24" s="1"/>
  <c r="Q5" i="24" l="1"/>
  <c r="Q14" i="24" s="1"/>
  <c r="P14" i="24"/>
  <c r="Q21" i="24"/>
  <c r="R21" i="24" s="1"/>
  <c r="R30" i="24" s="1"/>
  <c r="R37" i="24"/>
  <c r="Q43" i="24"/>
  <c r="R5" i="24" l="1"/>
  <c r="R14" i="24" s="1"/>
  <c r="Q30" i="24"/>
</calcChain>
</file>

<file path=xl/sharedStrings.xml><?xml version="1.0" encoding="utf-8"?>
<sst xmlns="http://schemas.openxmlformats.org/spreadsheetml/2006/main" count="571" uniqueCount="308">
  <si>
    <t>Лист вычисления времени такта.</t>
  </si>
  <si>
    <t>Продукт(ы):</t>
  </si>
  <si>
    <t>Дата:</t>
  </si>
  <si>
    <t>Линия/РМ:</t>
  </si>
  <si>
    <t>Подготовил:</t>
  </si>
  <si>
    <t>A</t>
  </si>
  <si>
    <t>Сколько секунд в  смене(ах), сек?</t>
  </si>
  <si>
    <t>B</t>
  </si>
  <si>
    <t>Сколько секунд в смену(ах) уходит на перерывы, сек?</t>
  </si>
  <si>
    <t>C</t>
  </si>
  <si>
    <t>Сколько рабочих секунд в смене (А-В), сек?</t>
  </si>
  <si>
    <t>D</t>
  </si>
  <si>
    <t>Укажите общее количество изделий всех типов, которое нужно произвести за смену(D), шт.?</t>
  </si>
  <si>
    <t>E</t>
  </si>
  <si>
    <t>Какое время такта (C/D), сек?</t>
  </si>
  <si>
    <t>ПОДГОТОВИТЕЛЬНЫЙ ЛИСТ НАБЛЮДЕНИЯ</t>
  </si>
  <si>
    <t xml:space="preserve">От: </t>
  </si>
  <si>
    <t xml:space="preserve">До: </t>
  </si>
  <si>
    <t xml:space="preserve">Время такта: </t>
  </si>
  <si>
    <t xml:space="preserve">Подготовлено: </t>
  </si>
  <si>
    <t>№</t>
  </si>
  <si>
    <t>Общее время цикла</t>
  </si>
  <si>
    <t>Причина колебаний</t>
  </si>
  <si>
    <t>Список рабочих элементов и переходов</t>
  </si>
  <si>
    <t>Колебания</t>
  </si>
  <si>
    <t>Рабочее место:</t>
  </si>
  <si>
    <r>
      <t>Дата:</t>
    </r>
    <r>
      <rPr>
        <sz val="12"/>
        <rFont val="Times New Roman"/>
        <family val="1"/>
        <charset val="204"/>
      </rPr>
      <t xml:space="preserve"> </t>
    </r>
  </si>
  <si>
    <t>№ операции:</t>
  </si>
  <si>
    <t>Границы</t>
  </si>
  <si>
    <t>Операция:</t>
  </si>
  <si>
    <t>Колебания, сек</t>
  </si>
  <si>
    <t>Уровень колебаний, %</t>
  </si>
  <si>
    <t>Карта стандартизированной работы</t>
  </si>
  <si>
    <t>Переходы в цикле</t>
  </si>
  <si>
    <t>Переход в начало цикла</t>
  </si>
  <si>
    <t>Проверка качества</t>
  </si>
  <si>
    <t>Внимание вопросам безопасности</t>
  </si>
  <si>
    <t>Стандартный запас</t>
  </si>
  <si>
    <t>ЛИСТ НАБЛЮДЕНИЯ РУЧНОЙ РАБОТЫ</t>
  </si>
  <si>
    <t>Рабочий элемент</t>
  </si>
  <si>
    <t>Точка отсчета</t>
  </si>
  <si>
    <t>Комментарии</t>
  </si>
  <si>
    <t>Σ</t>
  </si>
  <si>
    <t>Лист периодических работ</t>
  </si>
  <si>
    <t>Время</t>
  </si>
  <si>
    <t>Частота повторения (количество циклов)</t>
  </si>
  <si>
    <r>
      <t xml:space="preserve">Объяснение условных знаков:                   </t>
    </r>
    <r>
      <rPr>
        <b/>
        <sz val="10"/>
        <color theme="3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-  наименьшее время цикла</t>
    </r>
  </si>
  <si>
    <t>Объединённая таблица стандартизированной работы</t>
  </si>
  <si>
    <t>Участок</t>
  </si>
  <si>
    <t>Ручная раб.</t>
  </si>
  <si>
    <t>Автом. раб.</t>
  </si>
  <si>
    <t>Изделие</t>
  </si>
  <si>
    <t>Время такта</t>
  </si>
  <si>
    <t>Дата</t>
  </si>
  <si>
    <t>Переход</t>
  </si>
  <si>
    <t>Ожидание</t>
  </si>
  <si>
    <t>Наименование выполняемых элементов</t>
  </si>
  <si>
    <t>Цена деления =</t>
  </si>
  <si>
    <t>Руч. раб.</t>
  </si>
  <si>
    <t>Авто. раб.</t>
  </si>
  <si>
    <t>Пере-ход</t>
  </si>
  <si>
    <t>Итого:</t>
  </si>
  <si>
    <t>Ожид.</t>
  </si>
  <si>
    <t>Диаграмма сбалансированной работы</t>
  </si>
  <si>
    <t>=</t>
  </si>
  <si>
    <t>кол-во
человек</t>
  </si>
  <si>
    <t>Периодическая работа</t>
  </si>
  <si>
    <t>Цикл. работа</t>
  </si>
  <si>
    <t>Лист производственной способности оборудования</t>
  </si>
  <si>
    <t>Необходимое кол-во. изделий в смену, шт</t>
  </si>
  <si>
    <t>ФРВ, сек</t>
  </si>
  <si>
    <t>Порядок операций</t>
  </si>
  <si>
    <t>Наименование операций</t>
  </si>
  <si>
    <t>Базовое время</t>
  </si>
  <si>
    <t>Замена инструмента</t>
  </si>
  <si>
    <t xml:space="preserve">Графическое отображение
Ручная работа 
Машинная работа  </t>
  </si>
  <si>
    <t>Время ручной работы, сек</t>
  </si>
  <si>
    <t>Время машинной работы, сек</t>
  </si>
  <si>
    <t>Общее время, сек</t>
  </si>
  <si>
    <t>Переодич. (кол-во. деталей)</t>
  </si>
  <si>
    <t>Время замены, сек</t>
  </si>
  <si>
    <t>А</t>
  </si>
  <si>
    <t>В</t>
  </si>
  <si>
    <t>Г</t>
  </si>
  <si>
    <t>Д</t>
  </si>
  <si>
    <t>Е</t>
  </si>
  <si>
    <t>Отчет о внедрении улучшения</t>
  </si>
  <si>
    <t>Участок:</t>
  </si>
  <si>
    <t>Подготовлено:</t>
  </si>
  <si>
    <t>Направленность:</t>
  </si>
  <si>
    <t>Виды потерь:</t>
  </si>
  <si>
    <t>До усовершенствования</t>
  </si>
  <si>
    <t>Эскиз (фото)</t>
  </si>
  <si>
    <t>После усовершенствования</t>
  </si>
  <si>
    <t xml:space="preserve"> </t>
  </si>
  <si>
    <t>Проблема</t>
  </si>
  <si>
    <t>Внедренное изменение</t>
  </si>
  <si>
    <t>Результат</t>
  </si>
  <si>
    <t>До</t>
  </si>
  <si>
    <t>ЦЕЛЬ</t>
  </si>
  <si>
    <t>ФАКТ</t>
  </si>
  <si>
    <t>СТАНДАРТ ОПЕРАЦИОННОЙ ПРОЦЕДУРЫ</t>
  </si>
  <si>
    <t>Цех</t>
  </si>
  <si>
    <t>УТВЕРЖДАЮ:</t>
  </si>
  <si>
    <t>Директор по производству</t>
  </si>
  <si>
    <t>№ документа</t>
  </si>
  <si>
    <t>_______________________</t>
  </si>
  <si>
    <t>Исполнители</t>
  </si>
  <si>
    <t>Разработал</t>
  </si>
  <si>
    <t>Согласовано</t>
  </si>
  <si>
    <t>Средства индивидуальной защиты</t>
  </si>
  <si>
    <t>I</t>
  </si>
  <si>
    <t>Должность</t>
  </si>
  <si>
    <t>Лист/ листов</t>
  </si>
  <si>
    <t>II</t>
  </si>
  <si>
    <t>ФИО</t>
  </si>
  <si>
    <t>III</t>
  </si>
  <si>
    <t>Подпись</t>
  </si>
  <si>
    <t>Время, сек.</t>
  </si>
  <si>
    <t>Составил:</t>
  </si>
  <si>
    <t>СПИСОК УЛУЧШЕНИЙ</t>
  </si>
  <si>
    <t>Отв./срок исполнения</t>
  </si>
  <si>
    <t>Цель</t>
  </si>
  <si>
    <t>После</t>
  </si>
  <si>
    <t>IV</t>
  </si>
  <si>
    <t>Причины выделения ключевых моментов</t>
  </si>
  <si>
    <t>Иллюстрация / Схема</t>
  </si>
  <si>
    <t>Основные этапы</t>
  </si>
  <si>
    <t xml:space="preserve">Дата: </t>
  </si>
  <si>
    <t>Объяснение условных знаков:</t>
  </si>
  <si>
    <t xml:space="preserve"> - наибольшее время цикла
 -  наименьшее время цикла
 -  ошибка</t>
  </si>
  <si>
    <t>"</t>
  </si>
  <si>
    <t>Романа В23</t>
  </si>
  <si>
    <t>Окраска</t>
  </si>
  <si>
    <t>Иванов И.И.</t>
  </si>
  <si>
    <t>11,5 ч.×60 мин.×60 сек.=41 400 сек.</t>
  </si>
  <si>
    <t>(2×15мин. +30 мин.)×60 сек.=3600 сек.</t>
  </si>
  <si>
    <t>41 400 сек. -3600 сек.= 37 800 сек.</t>
  </si>
  <si>
    <t>20×(4 стойки+1 фронтальная стенка+1 задняя стенка+12 дверные рамки+2 боковые стенки+4 рамки+16 кронштейнов)= 800 шт</t>
  </si>
  <si>
    <t>37 800 сек./800 шт=47 сек</t>
  </si>
  <si>
    <t>Навешивание деталей на подвесы линии окраски</t>
  </si>
  <si>
    <t>47 сек</t>
  </si>
  <si>
    <t>41 сек</t>
  </si>
  <si>
    <t>46 сек</t>
  </si>
  <si>
    <t>37 сек</t>
  </si>
  <si>
    <t>96 сек</t>
  </si>
  <si>
    <t>44 сек</t>
  </si>
  <si>
    <t>49 сек</t>
  </si>
  <si>
    <t>39 сек</t>
  </si>
  <si>
    <t>40 сек</t>
  </si>
  <si>
    <t>подбор крючка</t>
  </si>
  <si>
    <t>нет технологического отверстия для подвеса</t>
  </si>
  <si>
    <t>1. взять крючок
- переход к линии
- ожидание подъезда подвеса к рабочей зоне
2. навесить крючок на подвес
- переход к месту хранения рам
3. взять раму
- переход к линии
4. подвесить раму на крючок
-переход к месту хранения крючков</t>
  </si>
  <si>
    <t>49 сек-37 сек=12 сек</t>
  </si>
  <si>
    <t>1. взять 3 крючка
- переход к линии
- ожидание подъезда подвеса к рабочей зоне
2. навесить крючки на подвесы
- переход к месту хранения стенок
3. взять стенку
- переход к линии
4. подвесить стенку на крючки
-переход к месту хранения крючков</t>
  </si>
  <si>
    <t>56 сек</t>
  </si>
  <si>
    <t>50 сек</t>
  </si>
  <si>
    <t>52 сек</t>
  </si>
  <si>
    <t>65сек</t>
  </si>
  <si>
    <t>56 сек-47 сек=9 сек</t>
  </si>
  <si>
    <t>12 сек/37 сек=32%</t>
  </si>
  <si>
    <t>9сек/45 сек =20 %</t>
  </si>
  <si>
    <t>взять крючок и заднюю стенку</t>
  </si>
  <si>
    <t>навешивание стенки на крючки</t>
  </si>
  <si>
    <t>Навешивание фронтальной стенки на подвесы</t>
  </si>
  <si>
    <t>Навешивание рамы на подвесы</t>
  </si>
  <si>
    <t>Взять крючок</t>
  </si>
  <si>
    <t>Переход от стола к месту хранения крючков</t>
  </si>
  <si>
    <t>Навешивание задней стенки на подвесы</t>
  </si>
  <si>
    <t xml:space="preserve"> 1. взять крючок и стенку
- переход к линии
2. подвесить крючок
- ожидание линии
3. подвесить стенку 
- переход к месту хранения крючков</t>
  </si>
  <si>
    <t>34 сек</t>
  </si>
  <si>
    <t>32 сек</t>
  </si>
  <si>
    <t>31 сек</t>
  </si>
  <si>
    <t>29 сек</t>
  </si>
  <si>
    <t>42сек</t>
  </si>
  <si>
    <t>69 сек</t>
  </si>
  <si>
    <t>Очистка изделия от маркера</t>
  </si>
  <si>
    <t>42 сек-29 сек=13 сек</t>
  </si>
  <si>
    <t>13 сек/29 сек =45 %</t>
  </si>
  <si>
    <t>-</t>
  </si>
  <si>
    <t>синий</t>
  </si>
  <si>
    <t xml:space="preserve"> -  рама</t>
  </si>
  <si>
    <t>оранжевый</t>
  </si>
  <si>
    <t>задняя стенка</t>
  </si>
  <si>
    <t xml:space="preserve"> -60шт</t>
  </si>
  <si>
    <t>черный</t>
  </si>
  <si>
    <t xml:space="preserve"> -</t>
  </si>
  <si>
    <t>фронтальная стенка</t>
  </si>
  <si>
    <t xml:space="preserve"> -80шт</t>
  </si>
  <si>
    <t>500шт</t>
  </si>
  <si>
    <t xml:space="preserve"> -20шт</t>
  </si>
  <si>
    <t xml:space="preserve"> -10шт</t>
  </si>
  <si>
    <t xml:space="preserve"> -5шт</t>
  </si>
  <si>
    <t>1.</t>
  </si>
  <si>
    <t>взять крючки</t>
  </si>
  <si>
    <t>касание крючка</t>
  </si>
  <si>
    <t>переход к линии</t>
  </si>
  <si>
    <t>шаг</t>
  </si>
  <si>
    <t>ожидание подъезда подвеса к рабочей зоне</t>
  </si>
  <si>
    <t>остановка движения</t>
  </si>
  <si>
    <t>2.</t>
  </si>
  <si>
    <t>навесить крючки на подвес</t>
  </si>
  <si>
    <t>движение руки</t>
  </si>
  <si>
    <t>переход к месту хранения задней стенки</t>
  </si>
  <si>
    <t>3.</t>
  </si>
  <si>
    <t>касание рамы</t>
  </si>
  <si>
    <t>4.</t>
  </si>
  <si>
    <t>подвесить заднюю стенку на крючки</t>
  </si>
  <si>
    <t>переход к месту хранения крючков</t>
  </si>
  <si>
    <t>взять 3 крючка</t>
  </si>
  <si>
    <t>переход к месту хранения фронтальной стенки</t>
  </si>
  <si>
    <t>взять фронтальную стенку</t>
  </si>
  <si>
    <t>подвесить фронтальную стенку на крючки</t>
  </si>
  <si>
    <t>48 сек</t>
  </si>
  <si>
    <t>подвесить раму на крючки</t>
  </si>
  <si>
    <t>взять крючок и стенку</t>
  </si>
  <si>
    <t>взять раму</t>
  </si>
  <si>
    <t>ожидание линии</t>
  </si>
  <si>
    <t>Перемещение деталей в рабочую зону</t>
  </si>
  <si>
    <t>Стирание меток маркера</t>
  </si>
  <si>
    <t>7 сек</t>
  </si>
  <si>
    <t>42 сек</t>
  </si>
  <si>
    <t>12 сек</t>
  </si>
  <si>
    <t>26 сек</t>
  </si>
  <si>
    <t>15 сек</t>
  </si>
  <si>
    <t>35 сек</t>
  </si>
  <si>
    <t>7 сек/10 = 0,7 сек</t>
  </si>
  <si>
    <t>26 сек/ 5 = 5,1 сек</t>
  </si>
  <si>
    <t>5,8 сек</t>
  </si>
  <si>
    <t>навесить крючки на подвесы</t>
  </si>
  <si>
    <t>взять стенку</t>
  </si>
  <si>
    <t>подвесить стенку на крючки</t>
  </si>
  <si>
    <t xml:space="preserve">№ п/п.
Опер. </t>
  </si>
  <si>
    <t xml:space="preserve"> 1.1</t>
  </si>
  <si>
    <t xml:space="preserve"> 2.1</t>
  </si>
  <si>
    <t xml:space="preserve"> 3.1</t>
  </si>
  <si>
    <t xml:space="preserve"> 4.1</t>
  </si>
  <si>
    <t xml:space="preserve"> 1.2</t>
  </si>
  <si>
    <t xml:space="preserve"> 2.2</t>
  </si>
  <si>
    <t>помощь в переносе стенки</t>
  </si>
  <si>
    <t>придерживание стенки при подвесе</t>
  </si>
  <si>
    <t>стойки</t>
  </si>
  <si>
    <t>дверные рамки</t>
  </si>
  <si>
    <t>боковые стенки</t>
  </si>
  <si>
    <t>рамки</t>
  </si>
  <si>
    <t>кронштейны</t>
  </si>
  <si>
    <t>Кол-во</t>
  </si>
  <si>
    <t>t цикла</t>
  </si>
  <si>
    <t>t ц. ср. вз.</t>
  </si>
  <si>
    <t>Ср. вз . время цикла</t>
  </si>
  <si>
    <t>Большое скопление деталей в рабочей зоне оператора (220 шт)</t>
  </si>
  <si>
    <t xml:space="preserve">влечет за собой потери на лишние движения и наклоны </t>
  </si>
  <si>
    <t>операратора за деталями при напольном хранении</t>
  </si>
  <si>
    <t xml:space="preserve">Периодическое отвлечение оператора на пополнение запасов </t>
  </si>
  <si>
    <t>Изготовили специальную тару с удобным расположением для</t>
  </si>
  <si>
    <t>захвата оператором. Логист при транспортировке подает</t>
  </si>
  <si>
    <t>подает детали непосредственно в рабочую зону оператора</t>
  </si>
  <si>
    <t>Окраски</t>
  </si>
  <si>
    <t>Производительность</t>
  </si>
  <si>
    <t>Лишние движения, Избыточные запасы</t>
  </si>
  <si>
    <t>Сократили НЗП на рабочем месте до 70 шт.</t>
  </si>
  <si>
    <t xml:space="preserve">Устранили потери оператора на излишние перемещения и </t>
  </si>
  <si>
    <t>наклоны на деталями</t>
  </si>
  <si>
    <r>
      <rPr>
        <b/>
        <sz val="20"/>
        <color theme="1"/>
        <rFont val="Calibri"/>
        <family val="2"/>
        <charset val="204"/>
        <scheme val="minor"/>
      </rPr>
      <t>10</t>
    </r>
    <r>
      <rPr>
        <sz val="16"/>
        <color theme="1"/>
        <rFont val="Calibri"/>
        <family val="2"/>
        <charset val="204"/>
        <scheme val="minor"/>
      </rPr>
      <t xml:space="preserve"> сек</t>
    </r>
  </si>
  <si>
    <r>
      <rPr>
        <b/>
        <sz val="20"/>
        <color theme="1"/>
        <rFont val="Calibri"/>
        <family val="2"/>
        <charset val="204"/>
        <scheme val="minor"/>
      </rPr>
      <t>0</t>
    </r>
    <r>
      <rPr>
        <sz val="16"/>
        <color theme="1"/>
        <rFont val="Calibri"/>
        <family val="2"/>
        <charset val="204"/>
        <scheme val="minor"/>
      </rPr>
      <t xml:space="preserve"> сек</t>
    </r>
  </si>
  <si>
    <t>Завешивание деталей на окрасочную линию</t>
  </si>
  <si>
    <t>Внедренное Изменение</t>
  </si>
  <si>
    <t>Время, сек</t>
  </si>
  <si>
    <t xml:space="preserve">Большое скопление деталей в рабочей зоне оператора (220 шт) влечет за собой потери на лишние движения и наклоны оператора за деталями при напольном хранении. Периодическое отвлечение оператора на пополнение запасов </t>
  </si>
  <si>
    <t xml:space="preserve">Изготовили специальную тару с удобным расположением для захвата оператором. Логист при транспортировке подает подает детали непосредственно в рабочую зону оператора	</t>
  </si>
  <si>
    <t>Оператор затрачиает много времени на периодические работы по стиранию маркера с деталей поступающих с участка гибки</t>
  </si>
  <si>
    <t xml:space="preserve">На участке гибки маркировку деталей маркером не осуществлять.  </t>
  </si>
  <si>
    <t>Неравномерное завешивание деталей оператором приводит к неэффективному использованию площади на возможную окраску в покрасочной камере. Необходимо ввести  визуальные стандарты завеса серийных изделий и обучить по ним операторов.</t>
  </si>
  <si>
    <t>Разработали визуальные стандарты по типовым схемам завеса серийных деталей на подвесы и провели по ним обучение операторов.</t>
  </si>
  <si>
    <t>Навешивание деталей на подвесы</t>
  </si>
  <si>
    <t>Петров П.П.</t>
  </si>
  <si>
    <t>начальник участка</t>
  </si>
  <si>
    <t>Сидоров С.С.</t>
  </si>
  <si>
    <r>
      <t xml:space="preserve">Ключевые моменты
</t>
    </r>
    <r>
      <rPr>
        <b/>
        <sz val="9"/>
        <color theme="1"/>
        <rFont val="Times New Roman"/>
        <family val="1"/>
        <charset val="204"/>
      </rPr>
      <t>(БЕЗОПАСНОСТЬ, КАЧЕСТВО, ПРОИЗВОДИТЕЛЬНОСТЬ, ЗАТРАТЫ)</t>
    </r>
  </si>
  <si>
    <t>Взять крючки</t>
  </si>
  <si>
    <t>1) взять крючки в количестве необходимом для завеса на подвес.
2) при подборе крючков из тары обращать внимание на целостность и чистоту крючков после операции очистки</t>
  </si>
  <si>
    <t>1) исключение лишних движений в случае нехватки крючков
2) исключение лишних движений в случае непригодности  крючков</t>
  </si>
  <si>
    <t>Навесить крючки на подвес</t>
  </si>
  <si>
    <t>1) крючки располагать на подвесе в соответствии со схемой завешивания на данную деталь</t>
  </si>
  <si>
    <t>1) исключить случаи непрокаса деталей и срыва деталей с подвесов при поворотах на линии</t>
  </si>
  <si>
    <t>Взять деталь</t>
  </si>
  <si>
    <t>1) захват детали осуществлять двумя руками
2) провести визуальный осмотр детали на возможные загрязнения поверхности перед покраской</t>
  </si>
  <si>
    <t>1) исключить случаи травматизма и выскальзывания детали
2) исключить случаи брака и переделки</t>
  </si>
  <si>
    <t>Навесить деталь на крючки</t>
  </si>
  <si>
    <t xml:space="preserve">1) ориентировать детали на поверности с лицевой  окраской
2) вывешивать детали в соответствии со схемой завешивания
3) детали подвешивать в специально предусмотренные зоны с технологическими отверстиями </t>
  </si>
  <si>
    <t>1) исключить случаи непрокраса деталей
2) эффективное использование площади окраса в покрасочной камере
 3) исключить случаи падения деталей на поворотах линии и непрокраса в зонах контакта с крючком</t>
  </si>
  <si>
    <t>Время периодической работы на цикл</t>
  </si>
  <si>
    <t xml:space="preserve">Производственная способность, шт
</t>
  </si>
  <si>
    <t>Модель станка</t>
  </si>
  <si>
    <t>t мин</t>
  </si>
  <si>
    <t>t макс-t мин</t>
  </si>
  <si>
    <t>Кол-во рег.сек.</t>
  </si>
  <si>
    <t>t отрег</t>
  </si>
  <si>
    <r>
      <t>Σt</t>
    </r>
    <r>
      <rPr>
        <sz val="9"/>
        <color theme="1"/>
        <rFont val="Times New Roman"/>
        <family val="1"/>
        <charset val="204"/>
      </rPr>
      <t>мин</t>
    </r>
    <r>
      <rPr>
        <sz val="14"/>
        <color theme="1"/>
        <rFont val="Times New Roman"/>
        <family val="1"/>
        <charset val="204"/>
      </rPr>
      <t>=</t>
    </r>
  </si>
  <si>
    <r>
      <rPr>
        <b/>
        <sz val="14"/>
        <color theme="1"/>
        <rFont val="Times New Roman"/>
        <family val="1"/>
        <charset val="204"/>
      </rPr>
      <t xml:space="preserve"> Объяснение условных знаков:</t>
    </r>
    <r>
      <rPr>
        <sz val="14"/>
        <color theme="1"/>
        <rFont val="Times New Roman"/>
        <family val="1"/>
        <charset val="204"/>
      </rPr>
      <t xml:space="preserve">
-  наибольшее время элемента
-  наименьшее время цикла
-  ошибка</t>
    </r>
  </si>
  <si>
    <t>Т-Σtмин=</t>
  </si>
  <si>
    <r>
      <t>(Т-Σtмин)/</t>
    </r>
    <r>
      <rPr>
        <sz val="16"/>
        <color theme="1"/>
        <rFont val="Symbol"/>
        <family val="1"/>
        <charset val="2"/>
      </rPr>
      <t>å</t>
    </r>
    <r>
      <rPr>
        <sz val="16"/>
        <color theme="1"/>
        <rFont val="Times New Roman"/>
        <family val="1"/>
        <charset val="204"/>
      </rPr>
      <t>(t макс-t мин) не относящиеся к потерям=</t>
    </r>
  </si>
  <si>
    <t>Задняя стенка</t>
  </si>
  <si>
    <t>Фронтальная стенка</t>
  </si>
  <si>
    <t>Рама</t>
  </si>
  <si>
    <t>Навешивание  на подвесы</t>
  </si>
  <si>
    <t>Навешивание на подвесы</t>
  </si>
  <si>
    <t>Подвесить крючок на подвес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</si>
</sst>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''&quot;"/>
  </numFmts>
  <fonts count="6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Verdana"/>
      <family val="2"/>
      <charset val="204"/>
    </font>
    <font>
      <sz val="12"/>
      <color rgb="FF1F497D"/>
      <name val="Verdana"/>
      <family val="2"/>
      <charset val="204"/>
    </font>
    <font>
      <sz val="8"/>
      <color theme="1"/>
      <name val="Verdana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3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b/>
      <sz val="1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0"/>
      <color theme="3"/>
      <name val="Times New Roman"/>
      <family val="1"/>
      <charset val="204"/>
    </font>
    <font>
      <b/>
      <sz val="18"/>
      <color theme="0"/>
      <name val="Verdana"/>
      <family val="2"/>
      <charset val="204"/>
    </font>
    <font>
      <sz val="18"/>
      <color theme="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6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22"/>
      <color theme="0"/>
      <name val="Times New Roman"/>
      <family val="1"/>
      <charset val="204"/>
    </font>
    <font>
      <sz val="20"/>
      <color theme="1"/>
      <name val="Verdana"/>
      <family val="2"/>
      <charset val="204"/>
    </font>
    <font>
      <sz val="20"/>
      <color theme="0"/>
      <name val="Verdana"/>
      <family val="2"/>
      <charset val="204"/>
    </font>
    <font>
      <sz val="22"/>
      <color theme="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48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26"/>
      <color theme="0"/>
      <name val="Times New Roman"/>
      <family val="1"/>
      <charset val="204"/>
    </font>
    <font>
      <b/>
      <i/>
      <sz val="12"/>
      <color theme="4"/>
      <name val="Times New Roman"/>
      <family val="1"/>
      <charset val="204"/>
    </font>
    <font>
      <i/>
      <sz val="12"/>
      <color theme="4"/>
      <name val="Times New Roman"/>
      <family val="1"/>
      <charset val="204"/>
    </font>
    <font>
      <i/>
      <sz val="11"/>
      <color theme="4"/>
      <name val="Times New Roman"/>
      <family val="1"/>
      <charset val="204"/>
    </font>
    <font>
      <i/>
      <sz val="10"/>
      <color theme="4"/>
      <name val="Times New Roman"/>
      <family val="1"/>
      <charset val="204"/>
    </font>
    <font>
      <i/>
      <sz val="14"/>
      <color theme="4"/>
      <name val="Times New Roman"/>
      <family val="1"/>
      <charset val="204"/>
    </font>
    <font>
      <i/>
      <sz val="8"/>
      <color theme="4"/>
      <name val="Verdana"/>
      <family val="2"/>
      <charset val="204"/>
    </font>
    <font>
      <sz val="8"/>
      <name val="Times New Roman"/>
      <family val="1"/>
      <charset val="204"/>
    </font>
    <font>
      <i/>
      <sz val="11"/>
      <color theme="3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4"/>
      <color theme="3"/>
      <name val="Times New Roman"/>
      <family val="1"/>
      <charset val="204"/>
    </font>
    <font>
      <sz val="16"/>
      <color theme="0"/>
      <name val="Calibri"/>
      <family val="2"/>
      <charset val="204"/>
      <scheme val="minor"/>
    </font>
    <font>
      <i/>
      <sz val="11"/>
      <color rgb="FF0070C0"/>
      <name val="Times New Roman"/>
      <family val="1"/>
      <charset val="204"/>
    </font>
    <font>
      <i/>
      <sz val="14"/>
      <color theme="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6"/>
      <color theme="4"/>
      <name val="Times New Roman"/>
      <family val="1"/>
      <charset val="204"/>
    </font>
    <font>
      <sz val="11"/>
      <color theme="4"/>
      <name val="Verdana"/>
      <family val="2"/>
      <charset val="204"/>
    </font>
    <font>
      <sz val="11"/>
      <color theme="5"/>
      <name val="Verdana"/>
      <family val="2"/>
      <charset val="204"/>
    </font>
    <font>
      <i/>
      <sz val="8"/>
      <color theme="4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6"/>
      <color theme="1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lightUp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CC"/>
        <bgColor indexed="64"/>
      </patternFill>
    </fill>
  </fills>
  <borders count="1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/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dotted">
        <color theme="0" tint="-0.34998626667073579"/>
      </right>
      <top style="thin">
        <color theme="0" tint="-0.34998626667073579"/>
      </top>
      <bottom/>
      <diagonal/>
    </border>
    <border>
      <left/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indexed="64"/>
      </right>
      <top style="thin">
        <color theme="0" tint="-0.34998626667073579"/>
      </top>
      <bottom/>
      <diagonal/>
    </border>
    <border>
      <left style="hair">
        <color indexed="64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thin">
        <color indexed="64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dotted">
        <color theme="0" tint="-0.34998626667073579"/>
      </right>
      <top style="thin">
        <color theme="0" tint="-0.34998626667073579"/>
      </top>
      <bottom style="hair">
        <color auto="1"/>
      </bottom>
      <diagonal/>
    </border>
    <border>
      <left/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hair">
        <color indexed="64"/>
      </left>
      <right style="thin">
        <color theme="0" tint="-0.34998626667073579"/>
      </right>
      <top style="thin">
        <color theme="0" tint="-0.34998626667073579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0" tint="-0.34998626667073579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dotted">
        <color theme="0" tint="-0.34998626667073579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theme="0" tint="-0.34998626667073579"/>
      </right>
      <top style="hair">
        <color auto="1"/>
      </top>
      <bottom style="thin">
        <color auto="1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dotted">
        <color theme="0" tint="-0.34998626667073579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24994659260841701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24994659260841701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 style="dashed">
        <color theme="0" tint="-0.2499465926084170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ashed">
        <color theme="0" tint="-0.24994659260841701"/>
      </left>
      <right style="dashed">
        <color theme="0" tint="-0.34998626667073579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24994659260841701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theme="0" tint="-0.24994659260841701"/>
      </left>
      <right style="dashed">
        <color theme="0" tint="-0.34998626667073579"/>
      </right>
      <top style="dashed">
        <color theme="0" tint="-0.34998626667073579"/>
      </top>
      <bottom style="medium">
        <color theme="0" tint="-0.2499465926084170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theme="0" tint="-0.24994659260841701"/>
      </bottom>
      <diagonal/>
    </border>
    <border>
      <left style="dashed">
        <color theme="0" tint="-0.34998626667073579"/>
      </left>
      <right style="dashed">
        <color theme="0" tint="-0.24994659260841701"/>
      </right>
      <top style="dashed">
        <color theme="0" tint="-0.34998626667073579"/>
      </top>
      <bottom style="medium">
        <color theme="0" tint="-0.24994659260841701"/>
      </bottom>
      <diagonal/>
    </border>
  </borders>
  <cellStyleXfs count="3">
    <xf numFmtId="0" fontId="0" fillId="0" borderId="0"/>
    <xf numFmtId="0" fontId="35" fillId="0" borderId="0"/>
    <xf numFmtId="9" fontId="61" fillId="0" borderId="0" applyFont="0" applyFill="0" applyBorder="0" applyAlignment="0" applyProtection="0"/>
  </cellStyleXfs>
  <cellXfs count="6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8" fillId="0" borderId="0" xfId="0" applyFont="1"/>
    <xf numFmtId="0" fontId="8" fillId="0" borderId="16" xfId="0" applyFont="1" applyBorder="1"/>
    <xf numFmtId="16" fontId="9" fillId="0" borderId="1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3" fillId="0" borderId="0" xfId="0" applyFont="1"/>
    <xf numFmtId="0" fontId="23" fillId="0" borderId="1" xfId="0" applyFont="1" applyBorder="1"/>
    <xf numFmtId="0" fontId="23" fillId="0" borderId="2" xfId="0" applyFont="1" applyBorder="1"/>
    <xf numFmtId="0" fontId="23" fillId="0" borderId="14" xfId="0" applyFont="1" applyBorder="1"/>
    <xf numFmtId="0" fontId="23" fillId="0" borderId="12" xfId="0" applyFont="1" applyBorder="1"/>
    <xf numFmtId="0" fontId="23" fillId="0" borderId="11" xfId="0" applyFont="1" applyBorder="1"/>
    <xf numFmtId="0" fontId="7" fillId="0" borderId="1" xfId="0" applyFont="1" applyBorder="1"/>
    <xf numFmtId="0" fontId="23" fillId="0" borderId="3" xfId="0" applyFont="1" applyBorder="1"/>
    <xf numFmtId="4" fontId="24" fillId="0" borderId="12" xfId="0" applyNumberFormat="1" applyFont="1" applyBorder="1" applyAlignment="1">
      <alignment vertical="center" wrapText="1"/>
    </xf>
    <xf numFmtId="0" fontId="23" fillId="0" borderId="13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32" xfId="0" applyFont="1" applyBorder="1"/>
    <xf numFmtId="0" fontId="23" fillId="0" borderId="33" xfId="0" applyFont="1" applyBorder="1"/>
    <xf numFmtId="0" fontId="23" fillId="0" borderId="34" xfId="0" applyFont="1" applyBorder="1"/>
    <xf numFmtId="0" fontId="23" fillId="0" borderId="35" xfId="0" applyFont="1" applyBorder="1"/>
    <xf numFmtId="0" fontId="23" fillId="0" borderId="36" xfId="0" applyFont="1" applyBorder="1"/>
    <xf numFmtId="0" fontId="23" fillId="0" borderId="37" xfId="0" applyFont="1" applyBorder="1"/>
    <xf numFmtId="0" fontId="23" fillId="0" borderId="38" xfId="0" applyFont="1" applyBorder="1"/>
    <xf numFmtId="0" fontId="23" fillId="0" borderId="39" xfId="0" applyFont="1" applyBorder="1"/>
    <xf numFmtId="0" fontId="23" fillId="0" borderId="40" xfId="0" applyFont="1" applyBorder="1"/>
    <xf numFmtId="0" fontId="23" fillId="0" borderId="41" xfId="0" applyFont="1" applyBorder="1"/>
    <xf numFmtId="0" fontId="23" fillId="0" borderId="42" xfId="0" applyFont="1" applyBorder="1"/>
    <xf numFmtId="0" fontId="23" fillId="0" borderId="43" xfId="0" applyFont="1" applyBorder="1"/>
    <xf numFmtId="0" fontId="23" fillId="0" borderId="44" xfId="0" applyFont="1" applyBorder="1"/>
    <xf numFmtId="0" fontId="23" fillId="0" borderId="45" xfId="0" applyFont="1" applyBorder="1"/>
    <xf numFmtId="0" fontId="23" fillId="0" borderId="46" xfId="0" applyFont="1" applyBorder="1"/>
    <xf numFmtId="0" fontId="23" fillId="0" borderId="47" xfId="0" applyFont="1" applyBorder="1"/>
    <xf numFmtId="0" fontId="23" fillId="0" borderId="48" xfId="0" applyFont="1" applyBorder="1"/>
    <xf numFmtId="0" fontId="23" fillId="0" borderId="49" xfId="0" applyFont="1" applyBorder="1"/>
    <xf numFmtId="0" fontId="23" fillId="0" borderId="50" xfId="0" applyFont="1" applyBorder="1"/>
    <xf numFmtId="0" fontId="23" fillId="0" borderId="51" xfId="0" applyFont="1" applyBorder="1"/>
    <xf numFmtId="0" fontId="23" fillId="0" borderId="52" xfId="0" applyFont="1" applyBorder="1"/>
    <xf numFmtId="0" fontId="23" fillId="0" borderId="53" xfId="0" applyFont="1" applyBorder="1"/>
    <xf numFmtId="0" fontId="23" fillId="0" borderId="54" xfId="0" applyFont="1" applyBorder="1"/>
    <xf numFmtId="0" fontId="23" fillId="0" borderId="55" xfId="0" applyFont="1" applyBorder="1"/>
    <xf numFmtId="0" fontId="23" fillId="0" borderId="56" xfId="0" applyFont="1" applyBorder="1"/>
    <xf numFmtId="0" fontId="23" fillId="0" borderId="57" xfId="0" applyFont="1" applyBorder="1"/>
    <xf numFmtId="0" fontId="23" fillId="0" borderId="58" xfId="0" applyFont="1" applyBorder="1"/>
    <xf numFmtId="0" fontId="23" fillId="0" borderId="59" xfId="0" applyFont="1" applyBorder="1"/>
    <xf numFmtId="0" fontId="23" fillId="0" borderId="60" xfId="0" applyFont="1" applyBorder="1"/>
    <xf numFmtId="0" fontId="7" fillId="0" borderId="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61" xfId="0" applyBorder="1"/>
    <xf numFmtId="0" fontId="0" fillId="0" borderId="62" xfId="0" applyBorder="1"/>
    <xf numFmtId="0" fontId="0" fillId="0" borderId="20" xfId="0" applyBorder="1"/>
    <xf numFmtId="0" fontId="0" fillId="0" borderId="63" xfId="0" applyBorder="1"/>
    <xf numFmtId="0" fontId="0" fillId="0" borderId="64" xfId="0" applyBorder="1"/>
    <xf numFmtId="0" fontId="0" fillId="4" borderId="17" xfId="0" applyFill="1" applyBorder="1"/>
    <xf numFmtId="0" fontId="0" fillId="4" borderId="19" xfId="0" applyFill="1" applyBorder="1"/>
    <xf numFmtId="0" fontId="0" fillId="0" borderId="65" xfId="0" applyBorder="1"/>
    <xf numFmtId="0" fontId="0" fillId="4" borderId="66" xfId="0" applyFill="1" applyBorder="1"/>
    <xf numFmtId="0" fontId="0" fillId="4" borderId="67" xfId="0" applyFill="1" applyBorder="1"/>
    <xf numFmtId="0" fontId="0" fillId="0" borderId="68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28" fillId="0" borderId="0" xfId="0" applyFont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36" fillId="0" borderId="0" xfId="1" applyFont="1"/>
    <xf numFmtId="0" fontId="37" fillId="0" borderId="0" xfId="1" applyFont="1"/>
    <xf numFmtId="0" fontId="37" fillId="5" borderId="7" xfId="1" applyFont="1" applyFill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7" xfId="1" applyFont="1" applyBorder="1" applyAlignment="1">
      <alignment horizontal="left" vertical="center" wrapText="1"/>
    </xf>
    <xf numFmtId="0" fontId="25" fillId="0" borderId="7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1" xfId="1" applyFont="1" applyBorder="1" applyAlignment="1">
      <alignment vertical="center"/>
    </xf>
    <xf numFmtId="0" fontId="37" fillId="5" borderId="7" xfId="1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8" fillId="0" borderId="0" xfId="0" applyFont="1" applyAlignment="1">
      <alignment horizontal="center"/>
    </xf>
    <xf numFmtId="0" fontId="8" fillId="0" borderId="12" xfId="0" applyFont="1" applyBorder="1"/>
    <xf numFmtId="0" fontId="8" fillId="0" borderId="11" xfId="0" applyFont="1" applyBorder="1"/>
    <xf numFmtId="0" fontId="40" fillId="0" borderId="7" xfId="0" quotePrefix="1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7" xfId="0" applyFont="1" applyBorder="1" applyAlignment="1">
      <alignment vertical="center" wrapText="1"/>
    </xf>
    <xf numFmtId="14" fontId="42" fillId="0" borderId="7" xfId="0" applyNumberFormat="1" applyFont="1" applyBorder="1" applyAlignment="1">
      <alignment horizontal="center" vertical="center"/>
    </xf>
    <xf numFmtId="0" fontId="41" fillId="0" borderId="2" xfId="0" applyFont="1" applyBorder="1"/>
    <xf numFmtId="0" fontId="23" fillId="0" borderId="101" xfId="0" applyFont="1" applyBorder="1"/>
    <xf numFmtId="0" fontId="23" fillId="0" borderId="102" xfId="0" applyFont="1" applyBorder="1"/>
    <xf numFmtId="0" fontId="23" fillId="0" borderId="103" xfId="0" applyFont="1" applyBorder="1"/>
    <xf numFmtId="0" fontId="23" fillId="0" borderId="104" xfId="0" applyFont="1" applyBorder="1"/>
    <xf numFmtId="0" fontId="23" fillId="0" borderId="105" xfId="0" applyFont="1" applyBorder="1"/>
    <xf numFmtId="0" fontId="23" fillId="0" borderId="106" xfId="0" applyFont="1" applyBorder="1"/>
    <xf numFmtId="0" fontId="23" fillId="0" borderId="107" xfId="0" applyFont="1" applyBorder="1"/>
    <xf numFmtId="0" fontId="23" fillId="0" borderId="108" xfId="0" applyFont="1" applyBorder="1"/>
    <xf numFmtId="0" fontId="23" fillId="0" borderId="109" xfId="0" applyFont="1" applyBorder="1"/>
    <xf numFmtId="0" fontId="23" fillId="0" borderId="110" xfId="0" applyFont="1" applyBorder="1"/>
    <xf numFmtId="4" fontId="45" fillId="0" borderId="14" xfId="0" applyNumberFormat="1" applyFont="1" applyBorder="1" applyAlignment="1">
      <alignment vertical="center" wrapText="1"/>
    </xf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37" fillId="0" borderId="0" xfId="1" applyFont="1" applyAlignment="1">
      <alignment horizontal="center" wrapText="1"/>
    </xf>
    <xf numFmtId="0" fontId="37" fillId="0" borderId="0" xfId="1" applyFont="1" applyAlignment="1">
      <alignment horizontal="center" vertical="center"/>
    </xf>
    <xf numFmtId="0" fontId="37" fillId="5" borderId="7" xfId="1" applyFont="1" applyFill="1" applyBorder="1" applyAlignment="1">
      <alignment horizontal="center"/>
    </xf>
    <xf numFmtId="0" fontId="37" fillId="5" borderId="7" xfId="1" applyFont="1" applyFill="1" applyBorder="1" applyAlignment="1">
      <alignment horizontal="right"/>
    </xf>
    <xf numFmtId="0" fontId="37" fillId="0" borderId="7" xfId="1" applyFont="1" applyBorder="1" applyAlignment="1">
      <alignment horizontal="center" vertical="center"/>
    </xf>
    <xf numFmtId="49" fontId="37" fillId="2" borderId="7" xfId="1" applyNumberFormat="1" applyFont="1" applyFill="1" applyBorder="1" applyAlignment="1">
      <alignment horizontal="center" vertical="center"/>
    </xf>
    <xf numFmtId="0" fontId="37" fillId="5" borderId="6" xfId="1" applyFont="1" applyFill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164" fontId="45" fillId="0" borderId="0" xfId="0" applyNumberFormat="1" applyFont="1"/>
    <xf numFmtId="164" fontId="45" fillId="0" borderId="0" xfId="0" applyNumberFormat="1" applyFont="1" applyAlignment="1">
      <alignment vertical="center"/>
    </xf>
    <xf numFmtId="164" fontId="45" fillId="0" borderId="15" xfId="0" applyNumberFormat="1" applyFont="1" applyBorder="1"/>
    <xf numFmtId="164" fontId="45" fillId="0" borderId="14" xfId="0" applyNumberFormat="1" applyFont="1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164" fontId="52" fillId="0" borderId="0" xfId="0" applyNumberFormat="1" applyFont="1"/>
    <xf numFmtId="164" fontId="43" fillId="0" borderId="114" xfId="0" applyNumberFormat="1" applyFont="1" applyBorder="1"/>
    <xf numFmtId="0" fontId="37" fillId="0" borderId="4" xfId="1" applyFont="1" applyBorder="1" applyAlignment="1">
      <alignment horizontal="center"/>
    </xf>
    <xf numFmtId="0" fontId="37" fillId="0" borderId="6" xfId="1" applyFont="1" applyBorder="1" applyAlignment="1">
      <alignment horizontal="center"/>
    </xf>
    <xf numFmtId="0" fontId="39" fillId="0" borderId="4" xfId="0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6" xfId="0" applyFont="1" applyBorder="1" applyAlignment="1">
      <alignment vertical="center"/>
    </xf>
    <xf numFmtId="0" fontId="55" fillId="0" borderId="0" xfId="0" applyFont="1"/>
    <xf numFmtId="0" fontId="56" fillId="0" borderId="0" xfId="0" applyFont="1"/>
    <xf numFmtId="0" fontId="0" fillId="0" borderId="7" xfId="0" applyBorder="1" applyAlignment="1">
      <alignment horizontal="left" vertical="center" wrapText="1"/>
    </xf>
    <xf numFmtId="0" fontId="36" fillId="0" borderId="0" xfId="1" applyFont="1" applyAlignment="1">
      <alignment wrapText="1"/>
    </xf>
    <xf numFmtId="0" fontId="40" fillId="0" borderId="7" xfId="0" applyFont="1" applyBorder="1" applyAlignment="1">
      <alignment horizontal="center" vertical="center" wrapText="1"/>
    </xf>
    <xf numFmtId="164" fontId="4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39" fillId="0" borderId="7" xfId="0" applyFont="1" applyBorder="1" applyAlignment="1">
      <alignment horizontal="center" vertical="center"/>
    </xf>
    <xf numFmtId="14" fontId="39" fillId="0" borderId="4" xfId="0" applyNumberFormat="1" applyFont="1" applyBorder="1" applyAlignment="1">
      <alignment horizontal="left" vertical="center"/>
    </xf>
    <xf numFmtId="14" fontId="39" fillId="0" borderId="5" xfId="0" applyNumberFormat="1" applyFont="1" applyBorder="1" applyAlignment="1">
      <alignment horizontal="left" vertical="center"/>
    </xf>
    <xf numFmtId="14" fontId="39" fillId="0" borderId="6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0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top" wrapText="1"/>
    </xf>
    <xf numFmtId="164" fontId="42" fillId="0" borderId="7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2" fontId="42" fillId="0" borderId="2" xfId="0" applyNumberFormat="1" applyFont="1" applyBorder="1" applyAlignment="1">
      <alignment horizontal="center" vertical="center"/>
    </xf>
    <xf numFmtId="2" fontId="42" fillId="0" borderId="3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2" fontId="42" fillId="0" borderId="11" xfId="0" applyNumberFormat="1" applyFont="1" applyBorder="1" applyAlignment="1">
      <alignment horizontal="center" vertical="center"/>
    </xf>
    <xf numFmtId="2" fontId="42" fillId="0" borderId="13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 wrapText="1"/>
    </xf>
    <xf numFmtId="14" fontId="42" fillId="0" borderId="2" xfId="0" applyNumberFormat="1" applyFont="1" applyBorder="1" applyAlignment="1">
      <alignment horizontal="center" vertical="center" wrapText="1"/>
    </xf>
    <xf numFmtId="14" fontId="42" fillId="0" borderId="3" xfId="0" applyNumberFormat="1" applyFont="1" applyBorder="1" applyAlignment="1">
      <alignment horizontal="center" vertical="center" wrapText="1"/>
    </xf>
    <xf numFmtId="14" fontId="42" fillId="0" borderId="12" xfId="0" applyNumberFormat="1" applyFont="1" applyBorder="1" applyAlignment="1">
      <alignment horizontal="center" vertical="center" wrapText="1"/>
    </xf>
    <xf numFmtId="14" fontId="42" fillId="0" borderId="11" xfId="0" applyNumberFormat="1" applyFont="1" applyBorder="1" applyAlignment="1">
      <alignment horizontal="center" vertical="center" wrapText="1"/>
    </xf>
    <xf numFmtId="14" fontId="42" fillId="0" borderId="13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left" vertical="center" wrapText="1"/>
    </xf>
    <xf numFmtId="0" fontId="42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40" fillId="0" borderId="4" xfId="0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/>
    </xf>
    <xf numFmtId="14" fontId="42" fillId="0" borderId="2" xfId="0" applyNumberFormat="1" applyFont="1" applyBorder="1" applyAlignment="1">
      <alignment horizontal="center" vertical="center"/>
    </xf>
    <xf numFmtId="14" fontId="42" fillId="0" borderId="3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4" fontId="42" fillId="0" borderId="11" xfId="0" applyNumberFormat="1" applyFont="1" applyBorder="1" applyAlignment="1">
      <alignment horizontal="center" vertical="center"/>
    </xf>
    <xf numFmtId="14" fontId="42" fillId="0" borderId="13" xfId="0" applyNumberFormat="1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2" fontId="40" fillId="0" borderId="2" xfId="0" applyNumberFormat="1" applyFont="1" applyBorder="1" applyAlignment="1">
      <alignment horizontal="center" vertical="center"/>
    </xf>
    <xf numFmtId="2" fontId="40" fillId="0" borderId="3" xfId="0" applyNumberFormat="1" applyFont="1" applyBorder="1" applyAlignment="1">
      <alignment horizontal="center" vertical="center"/>
    </xf>
    <xf numFmtId="2" fontId="40" fillId="0" borderId="12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>
      <alignment horizontal="center" vertical="center"/>
    </xf>
    <xf numFmtId="2" fontId="40" fillId="0" borderId="13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2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22" fillId="3" borderId="1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 wrapText="1"/>
    </xf>
    <xf numFmtId="0" fontId="57" fillId="0" borderId="13" xfId="0" applyFont="1" applyBorder="1" applyAlignment="1">
      <alignment horizontal="center" vertical="center" wrapText="1"/>
    </xf>
    <xf numFmtId="2" fontId="40" fillId="0" borderId="1" xfId="0" applyNumberFormat="1" applyFont="1" applyBorder="1" applyAlignment="1">
      <alignment horizontal="center" vertical="center" wrapText="1"/>
    </xf>
    <xf numFmtId="2" fontId="40" fillId="0" borderId="2" xfId="0" applyNumberFormat="1" applyFont="1" applyBorder="1" applyAlignment="1">
      <alignment horizontal="center" vertical="center" wrapText="1"/>
    </xf>
    <xf numFmtId="2" fontId="40" fillId="0" borderId="3" xfId="0" applyNumberFormat="1" applyFont="1" applyBorder="1" applyAlignment="1">
      <alignment horizontal="center" vertical="center" wrapText="1"/>
    </xf>
    <xf numFmtId="2" fontId="40" fillId="0" borderId="12" xfId="0" applyNumberFormat="1" applyFont="1" applyBorder="1" applyAlignment="1">
      <alignment horizontal="center" vertical="center" wrapText="1"/>
    </xf>
    <xf numFmtId="2" fontId="40" fillId="0" borderId="11" xfId="0" applyNumberFormat="1" applyFont="1" applyBorder="1" applyAlignment="1">
      <alignment horizontal="center" vertical="center" wrapText="1"/>
    </xf>
    <xf numFmtId="2" fontId="40" fillId="0" borderId="13" xfId="0" applyNumberFormat="1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0" fontId="30" fillId="3" borderId="0" xfId="0" applyFont="1" applyFill="1" applyAlignment="1">
      <alignment horizontal="center"/>
    </xf>
    <xf numFmtId="0" fontId="30" fillId="3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top" wrapText="1"/>
    </xf>
    <xf numFmtId="0" fontId="40" fillId="0" borderId="9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center" vertical="top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2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/>
    </xf>
    <xf numFmtId="164" fontId="23" fillId="0" borderId="12" xfId="0" applyNumberFormat="1" applyFont="1" applyBorder="1" applyAlignment="1">
      <alignment horizontal="center"/>
    </xf>
    <xf numFmtId="164" fontId="23" fillId="0" borderId="11" xfId="0" applyNumberFormat="1" applyFont="1" applyBorder="1" applyAlignment="1">
      <alignment horizontal="center"/>
    </xf>
    <xf numFmtId="164" fontId="23" fillId="0" borderId="13" xfId="0" applyNumberFormat="1" applyFont="1" applyBorder="1" applyAlignment="1">
      <alignment horizontal="center"/>
    </xf>
    <xf numFmtId="164" fontId="23" fillId="0" borderId="4" xfId="0" applyNumberFormat="1" applyFont="1" applyBorder="1" applyAlignment="1">
      <alignment horizontal="center"/>
    </xf>
    <xf numFmtId="164" fontId="23" fillId="0" borderId="5" xfId="0" applyNumberFormat="1" applyFont="1" applyBorder="1" applyAlignment="1">
      <alignment horizontal="center"/>
    </xf>
    <xf numFmtId="164" fontId="23" fillId="0" borderId="6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64" fontId="41" fillId="0" borderId="1" xfId="0" applyNumberFormat="1" applyFont="1" applyBorder="1" applyAlignment="1">
      <alignment horizontal="center"/>
    </xf>
    <xf numFmtId="164" fontId="41" fillId="0" borderId="2" xfId="0" applyNumberFormat="1" applyFont="1" applyBorder="1" applyAlignment="1">
      <alignment horizontal="center"/>
    </xf>
    <xf numFmtId="164" fontId="41" fillId="0" borderId="3" xfId="0" applyNumberFormat="1" applyFont="1" applyBorder="1" applyAlignment="1">
      <alignment horizontal="center"/>
    </xf>
    <xf numFmtId="164" fontId="41" fillId="0" borderId="12" xfId="0" applyNumberFormat="1" applyFont="1" applyBorder="1" applyAlignment="1">
      <alignment horizontal="center"/>
    </xf>
    <xf numFmtId="164" fontId="41" fillId="0" borderId="11" xfId="0" applyNumberFormat="1" applyFont="1" applyBorder="1" applyAlignment="1">
      <alignment horizontal="center"/>
    </xf>
    <xf numFmtId="164" fontId="41" fillId="0" borderId="13" xfId="0" applyNumberFormat="1" applyFont="1" applyBorder="1" applyAlignment="1">
      <alignment horizontal="center"/>
    </xf>
    <xf numFmtId="49" fontId="41" fillId="0" borderId="1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2" fillId="0" borderId="12" xfId="0" applyFont="1" applyBorder="1" applyAlignment="1">
      <alignment horizontal="left" vertical="center" wrapText="1"/>
    </xf>
    <xf numFmtId="0" fontId="42" fillId="0" borderId="11" xfId="0" applyFont="1" applyBorder="1" applyAlignment="1">
      <alignment horizontal="left" vertical="center" wrapText="1"/>
    </xf>
    <xf numFmtId="0" fontId="42" fillId="0" borderId="13" xfId="0" applyFont="1" applyBorder="1" applyAlignment="1">
      <alignment horizontal="left" vertical="center" wrapText="1"/>
    </xf>
    <xf numFmtId="164" fontId="41" fillId="0" borderId="1" xfId="0" applyNumberFormat="1" applyFont="1" applyBorder="1" applyAlignment="1">
      <alignment horizontal="center" vertical="center"/>
    </xf>
    <xf numFmtId="164" fontId="41" fillId="0" borderId="2" xfId="0" applyNumberFormat="1" applyFont="1" applyBorder="1" applyAlignment="1">
      <alignment horizontal="center" vertical="center"/>
    </xf>
    <xf numFmtId="164" fontId="41" fillId="0" borderId="3" xfId="0" applyNumberFormat="1" applyFont="1" applyBorder="1" applyAlignment="1">
      <alignment horizontal="center" vertical="center"/>
    </xf>
    <xf numFmtId="164" fontId="41" fillId="0" borderId="12" xfId="0" applyNumberFormat="1" applyFont="1" applyBorder="1" applyAlignment="1">
      <alignment horizontal="center" vertical="center"/>
    </xf>
    <xf numFmtId="164" fontId="41" fillId="0" borderId="11" xfId="0" applyNumberFormat="1" applyFont="1" applyBorder="1" applyAlignment="1">
      <alignment horizontal="center" vertical="center"/>
    </xf>
    <xf numFmtId="164" fontId="41" fillId="0" borderId="13" xfId="0" applyNumberFormat="1" applyFont="1" applyBorder="1" applyAlignment="1">
      <alignment horizontal="center" vertical="center"/>
    </xf>
    <xf numFmtId="164" fontId="45" fillId="0" borderId="0" xfId="0" applyNumberFormat="1" applyFont="1" applyAlignment="1">
      <alignment horizontal="center"/>
    </xf>
    <xf numFmtId="4" fontId="24" fillId="0" borderId="7" xfId="0" applyNumberFormat="1" applyFont="1" applyBorder="1" applyAlignment="1">
      <alignment horizontal="center" vertical="center" wrapText="1"/>
    </xf>
    <xf numFmtId="16" fontId="41" fillId="0" borderId="1" xfId="0" applyNumberFormat="1" applyFont="1" applyBorder="1" applyAlignment="1">
      <alignment horizontal="center"/>
    </xf>
    <xf numFmtId="164" fontId="41" fillId="0" borderId="4" xfId="0" applyNumberFormat="1" applyFont="1" applyBorder="1" applyAlignment="1">
      <alignment horizontal="center" vertical="center"/>
    </xf>
    <xf numFmtId="164" fontId="41" fillId="0" borderId="5" xfId="0" applyNumberFormat="1" applyFont="1" applyBorder="1" applyAlignment="1">
      <alignment horizontal="center" vertical="center"/>
    </xf>
    <xf numFmtId="164" fontId="41" fillId="0" borderId="6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textRotation="90" wrapText="1"/>
    </xf>
    <xf numFmtId="0" fontId="23" fillId="0" borderId="2" xfId="0" applyFont="1" applyBorder="1" applyAlignment="1">
      <alignment horizontal="center" textRotation="90" wrapText="1"/>
    </xf>
    <xf numFmtId="0" fontId="23" fillId="0" borderId="3" xfId="0" applyFont="1" applyBorder="1" applyAlignment="1">
      <alignment horizontal="center" textRotation="90" wrapText="1"/>
    </xf>
    <xf numFmtId="0" fontId="23" fillId="0" borderId="14" xfId="0" applyFont="1" applyBorder="1" applyAlignment="1">
      <alignment horizontal="center" textRotation="90" wrapText="1"/>
    </xf>
    <xf numFmtId="0" fontId="23" fillId="0" borderId="0" xfId="0" applyFont="1" applyAlignment="1">
      <alignment horizontal="center" textRotation="90" wrapText="1"/>
    </xf>
    <xf numFmtId="0" fontId="23" fillId="0" borderId="15" xfId="0" applyFont="1" applyBorder="1" applyAlignment="1">
      <alignment horizontal="center" textRotation="90" wrapText="1"/>
    </xf>
    <xf numFmtId="0" fontId="23" fillId="0" borderId="12" xfId="0" applyFont="1" applyBorder="1" applyAlignment="1">
      <alignment horizontal="center" textRotation="90" wrapText="1"/>
    </xf>
    <xf numFmtId="0" fontId="23" fillId="0" borderId="11" xfId="0" applyFont="1" applyBorder="1" applyAlignment="1">
      <alignment horizontal="center" textRotation="90" wrapText="1"/>
    </xf>
    <xf numFmtId="0" fontId="23" fillId="0" borderId="13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41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4" fillId="0" borderId="7" xfId="0" applyFont="1" applyBorder="1" applyAlignment="1">
      <alignment horizontal="center" vertical="center" wrapText="1"/>
    </xf>
    <xf numFmtId="14" fontId="44" fillId="0" borderId="7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3" borderId="0" xfId="0" applyFont="1" applyFill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164" fontId="51" fillId="0" borderId="0" xfId="0" applyNumberFormat="1" applyFont="1" applyAlignment="1">
      <alignment horizontal="center"/>
    </xf>
    <xf numFmtId="164" fontId="51" fillId="0" borderId="114" xfId="0" applyNumberFormat="1" applyFont="1" applyBorder="1" applyAlignment="1">
      <alignment horizontal="center"/>
    </xf>
    <xf numFmtId="0" fontId="29" fillId="3" borderId="0" xfId="0" applyFont="1" applyFill="1" applyAlignment="1">
      <alignment horizontal="center" vertical="center"/>
    </xf>
    <xf numFmtId="0" fontId="46" fillId="0" borderId="22" xfId="0" applyFont="1" applyBorder="1" applyAlignment="1">
      <alignment horizontal="center"/>
    </xf>
    <xf numFmtId="0" fontId="47" fillId="0" borderId="0" xfId="0" quotePrefix="1" applyFont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 wrapText="1"/>
    </xf>
    <xf numFmtId="2" fontId="46" fillId="0" borderId="20" xfId="0" applyNumberFormat="1" applyFont="1" applyBorder="1" applyAlignment="1">
      <alignment horizontal="center" vertical="center"/>
    </xf>
    <xf numFmtId="2" fontId="46" fillId="0" borderId="22" xfId="0" applyNumberFormat="1" applyFont="1" applyBorder="1" applyAlignment="1">
      <alignment horizontal="center" vertical="center"/>
    </xf>
    <xf numFmtId="2" fontId="46" fillId="0" borderId="24" xfId="0" applyNumberFormat="1" applyFont="1" applyBorder="1" applyAlignment="1">
      <alignment horizontal="center" vertical="center"/>
    </xf>
    <xf numFmtId="0" fontId="46" fillId="0" borderId="69" xfId="0" applyFont="1" applyBorder="1" applyAlignment="1">
      <alignment horizont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4" fontId="48" fillId="0" borderId="18" xfId="0" applyNumberFormat="1" applyFont="1" applyBorder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48" fillId="0" borderId="22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0" fillId="0" borderId="0" xfId="0" applyAlignment="1">
      <alignment horizontal="left" vertical="center"/>
    </xf>
    <xf numFmtId="0" fontId="32" fillId="0" borderId="23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7" xfId="0" applyFont="1" applyBorder="1" applyAlignment="1">
      <alignment horizontal="center"/>
    </xf>
    <xf numFmtId="0" fontId="32" fillId="0" borderId="17" xfId="0" applyFont="1" applyBorder="1" applyAlignment="1">
      <alignment horizontal="left"/>
    </xf>
    <xf numFmtId="0" fontId="32" fillId="0" borderId="18" xfId="0" applyFont="1" applyBorder="1" applyAlignment="1">
      <alignment horizontal="left"/>
    </xf>
    <xf numFmtId="0" fontId="32" fillId="0" borderId="19" xfId="0" applyFont="1" applyBorder="1" applyAlignment="1">
      <alignment horizontal="left"/>
    </xf>
    <xf numFmtId="0" fontId="32" fillId="0" borderId="88" xfId="0" applyFont="1" applyBorder="1" applyAlignment="1">
      <alignment horizontal="left"/>
    </xf>
    <xf numFmtId="0" fontId="32" fillId="0" borderId="89" xfId="0" applyFont="1" applyBorder="1" applyAlignment="1">
      <alignment horizontal="left"/>
    </xf>
    <xf numFmtId="0" fontId="32" fillId="0" borderId="90" xfId="0" applyFont="1" applyBorder="1" applyAlignment="1">
      <alignment horizontal="left"/>
    </xf>
    <xf numFmtId="0" fontId="32" fillId="0" borderId="98" xfId="0" applyFont="1" applyBorder="1" applyAlignment="1">
      <alignment horizontal="left"/>
    </xf>
    <xf numFmtId="0" fontId="32" fillId="0" borderId="99" xfId="0" applyFont="1" applyBorder="1" applyAlignment="1">
      <alignment horizontal="left"/>
    </xf>
    <xf numFmtId="0" fontId="32" fillId="0" borderId="100" xfId="0" applyFont="1" applyBorder="1" applyAlignment="1">
      <alignment horizontal="left"/>
    </xf>
    <xf numFmtId="0" fontId="32" fillId="0" borderId="91" xfId="0" applyFont="1" applyBorder="1" applyAlignment="1">
      <alignment horizontal="left"/>
    </xf>
    <xf numFmtId="0" fontId="32" fillId="0" borderId="92" xfId="0" applyFont="1" applyBorder="1" applyAlignment="1">
      <alignment horizontal="left"/>
    </xf>
    <xf numFmtId="0" fontId="32" fillId="0" borderId="93" xfId="0" applyFont="1" applyBorder="1" applyAlignment="1">
      <alignment horizontal="left"/>
    </xf>
    <xf numFmtId="0" fontId="32" fillId="0" borderId="94" xfId="0" applyFont="1" applyBorder="1" applyAlignment="1">
      <alignment horizontal="left"/>
    </xf>
    <xf numFmtId="0" fontId="32" fillId="0" borderId="85" xfId="0" applyFont="1" applyBorder="1" applyAlignment="1">
      <alignment horizontal="left"/>
    </xf>
    <xf numFmtId="0" fontId="32" fillId="0" borderId="86" xfId="0" applyFont="1" applyBorder="1" applyAlignment="1">
      <alignment horizontal="left"/>
    </xf>
    <xf numFmtId="0" fontId="32" fillId="0" borderId="87" xfId="0" applyFont="1" applyBorder="1" applyAlignment="1">
      <alignment horizontal="left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3" fillId="0" borderId="28" xfId="0" applyFont="1" applyBorder="1" applyAlignment="1">
      <alignment horizontal="center" vertical="center"/>
    </xf>
    <xf numFmtId="0" fontId="58" fillId="0" borderId="28" xfId="0" applyFont="1" applyBorder="1" applyAlignment="1">
      <alignment horizontal="center" vertical="center"/>
    </xf>
    <xf numFmtId="14" fontId="32" fillId="0" borderId="28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34" fillId="3" borderId="18" xfId="0" applyFont="1" applyFill="1" applyBorder="1" applyAlignment="1">
      <alignment horizontal="center"/>
    </xf>
    <xf numFmtId="0" fontId="34" fillId="3" borderId="19" xfId="0" applyFont="1" applyFill="1" applyBorder="1" applyAlignment="1">
      <alignment horizontal="center"/>
    </xf>
    <xf numFmtId="0" fontId="34" fillId="3" borderId="0" xfId="0" applyFont="1" applyFill="1" applyAlignment="1">
      <alignment horizontal="center"/>
    </xf>
    <xf numFmtId="0" fontId="34" fillId="3" borderId="20" xfId="0" applyFont="1" applyFill="1" applyBorder="1" applyAlignment="1">
      <alignment horizontal="center"/>
    </xf>
    <xf numFmtId="0" fontId="31" fillId="0" borderId="25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4" fillId="2" borderId="18" xfId="0" applyFont="1" applyFill="1" applyBorder="1" applyAlignment="1">
      <alignment horizontal="center"/>
    </xf>
    <xf numFmtId="0" fontId="34" fillId="2" borderId="11" xfId="0" applyFont="1" applyFill="1" applyBorder="1" applyAlignment="1">
      <alignment horizontal="center"/>
    </xf>
    <xf numFmtId="0" fontId="49" fillId="3" borderId="18" xfId="0" applyFont="1" applyFill="1" applyBorder="1" applyAlignment="1">
      <alignment horizontal="center" vertical="center"/>
    </xf>
    <xf numFmtId="0" fontId="49" fillId="3" borderId="11" xfId="0" applyFont="1" applyFill="1" applyBorder="1" applyAlignment="1">
      <alignment horizontal="center" vertical="center"/>
    </xf>
    <xf numFmtId="0" fontId="31" fillId="0" borderId="11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25" fillId="0" borderId="4" xfId="1" applyFont="1" applyBorder="1" applyAlignment="1">
      <alignment horizontal="left" vertical="center" wrapText="1"/>
    </xf>
    <xf numFmtId="0" fontId="25" fillId="0" borderId="5" xfId="1" applyFont="1" applyBorder="1" applyAlignment="1">
      <alignment horizontal="left" vertical="center" wrapText="1"/>
    </xf>
    <xf numFmtId="0" fontId="25" fillId="0" borderId="6" xfId="1" applyFont="1" applyBorder="1" applyAlignment="1">
      <alignment horizontal="left" vertical="center" wrapText="1"/>
    </xf>
    <xf numFmtId="0" fontId="25" fillId="0" borderId="4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37" fillId="5" borderId="4" xfId="1" applyFont="1" applyFill="1" applyBorder="1" applyAlignment="1">
      <alignment horizontal="center" vertical="center" wrapText="1"/>
    </xf>
    <xf numFmtId="0" fontId="37" fillId="5" borderId="6" xfId="1" applyFont="1" applyFill="1" applyBorder="1" applyAlignment="1">
      <alignment horizontal="center" vertical="center" wrapText="1"/>
    </xf>
    <xf numFmtId="0" fontId="37" fillId="5" borderId="5" xfId="1" applyFont="1" applyFill="1" applyBorder="1" applyAlignment="1">
      <alignment horizontal="center" vertical="center" wrapText="1"/>
    </xf>
    <xf numFmtId="0" fontId="37" fillId="5" borderId="7" xfId="1" applyFont="1" applyFill="1" applyBorder="1" applyAlignment="1">
      <alignment horizontal="right" wrapText="1"/>
    </xf>
    <xf numFmtId="0" fontId="37" fillId="0" borderId="4" xfId="1" applyFont="1" applyBorder="1" applyAlignment="1">
      <alignment horizontal="center" wrapText="1"/>
    </xf>
    <xf numFmtId="0" fontId="37" fillId="0" borderId="5" xfId="1" applyFont="1" applyBorder="1" applyAlignment="1">
      <alignment horizontal="center" wrapText="1"/>
    </xf>
    <xf numFmtId="0" fontId="37" fillId="0" borderId="6" xfId="1" applyFont="1" applyBorder="1" applyAlignment="1">
      <alignment horizontal="center" wrapText="1"/>
    </xf>
    <xf numFmtId="0" fontId="37" fillId="5" borderId="4" xfId="1" applyFont="1" applyFill="1" applyBorder="1" applyAlignment="1">
      <alignment horizontal="center"/>
    </xf>
    <xf numFmtId="0" fontId="37" fillId="5" borderId="5" xfId="1" applyFont="1" applyFill="1" applyBorder="1" applyAlignment="1">
      <alignment horizontal="center"/>
    </xf>
    <xf numFmtId="0" fontId="37" fillId="5" borderId="6" xfId="1" applyFont="1" applyFill="1" applyBorder="1" applyAlignment="1">
      <alignment horizontal="center"/>
    </xf>
    <xf numFmtId="0" fontId="37" fillId="5" borderId="8" xfId="1" applyFont="1" applyFill="1" applyBorder="1" applyAlignment="1">
      <alignment horizontal="center" vertical="center" wrapText="1"/>
    </xf>
    <xf numFmtId="0" fontId="37" fillId="5" borderId="9" xfId="1" applyFont="1" applyFill="1" applyBorder="1" applyAlignment="1">
      <alignment horizontal="center" vertical="center" wrapText="1"/>
    </xf>
    <xf numFmtId="0" fontId="37" fillId="5" borderId="10" xfId="1" applyFont="1" applyFill="1" applyBorder="1" applyAlignment="1">
      <alignment horizontal="center" vertical="center" wrapText="1"/>
    </xf>
    <xf numFmtId="0" fontId="37" fillId="0" borderId="4" xfId="1" applyFont="1" applyBorder="1" applyAlignment="1">
      <alignment horizontal="center" vertical="center"/>
    </xf>
    <xf numFmtId="0" fontId="37" fillId="0" borderId="6" xfId="1" applyFont="1" applyBorder="1" applyAlignment="1">
      <alignment horizontal="center" vertical="center"/>
    </xf>
    <xf numFmtId="0" fontId="37" fillId="0" borderId="4" xfId="1" applyFont="1" applyBorder="1" applyAlignment="1">
      <alignment horizontal="center"/>
    </xf>
    <xf numFmtId="0" fontId="37" fillId="0" borderId="6" xfId="1" applyFont="1" applyBorder="1" applyAlignment="1">
      <alignment horizontal="center"/>
    </xf>
    <xf numFmtId="0" fontId="37" fillId="0" borderId="1" xfId="1" applyFont="1" applyBorder="1" applyAlignment="1">
      <alignment horizontal="center" vertical="center" wrapText="1"/>
    </xf>
    <xf numFmtId="0" fontId="37" fillId="0" borderId="3" xfId="1" applyFont="1" applyBorder="1" applyAlignment="1">
      <alignment horizontal="center" vertical="center" wrapText="1"/>
    </xf>
    <xf numFmtId="0" fontId="37" fillId="0" borderId="14" xfId="1" applyFont="1" applyBorder="1" applyAlignment="1">
      <alignment horizontal="center" vertical="center" wrapText="1"/>
    </xf>
    <xf numFmtId="0" fontId="37" fillId="0" borderId="15" xfId="1" applyFont="1" applyBorder="1" applyAlignment="1">
      <alignment horizontal="center" vertical="center" wrapText="1"/>
    </xf>
    <xf numFmtId="0" fontId="37" fillId="0" borderId="12" xfId="1" applyFont="1" applyBorder="1" applyAlignment="1">
      <alignment horizontal="center" vertical="center" wrapText="1"/>
    </xf>
    <xf numFmtId="0" fontId="37" fillId="0" borderId="13" xfId="1" applyFont="1" applyBorder="1" applyAlignment="1">
      <alignment horizontal="center" vertical="center" wrapText="1"/>
    </xf>
    <xf numFmtId="14" fontId="37" fillId="0" borderId="4" xfId="1" applyNumberFormat="1" applyFont="1" applyBorder="1" applyAlignment="1">
      <alignment horizontal="center" vertical="center"/>
    </xf>
    <xf numFmtId="0" fontId="38" fillId="3" borderId="0" xfId="1" applyFont="1" applyFill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22" fillId="3" borderId="7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14" fontId="50" fillId="0" borderId="7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90" wrapText="1"/>
    </xf>
    <xf numFmtId="164" fontId="41" fillId="0" borderId="7" xfId="0" applyNumberFormat="1" applyFont="1" applyBorder="1" applyAlignment="1">
      <alignment horizontal="center" vertical="center"/>
    </xf>
    <xf numFmtId="164" fontId="40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left" vertical="center"/>
    </xf>
    <xf numFmtId="0" fontId="11" fillId="0" borderId="14" xfId="0" applyFont="1" applyBorder="1"/>
    <xf numFmtId="9" fontId="11" fillId="0" borderId="0" xfId="2" applyFont="1" applyBorder="1"/>
    <xf numFmtId="0" fontId="14" fillId="0" borderId="7" xfId="0" applyFont="1" applyBorder="1" applyAlignment="1">
      <alignment vertical="center"/>
    </xf>
    <xf numFmtId="0" fontId="62" fillId="0" borderId="4" xfId="0" applyFont="1" applyBorder="1" applyAlignment="1">
      <alignment horizontal="left" vertical="center"/>
    </xf>
    <xf numFmtId="0" fontId="62" fillId="0" borderId="5" xfId="0" applyFont="1" applyBorder="1" applyAlignment="1">
      <alignment horizontal="left" vertical="center"/>
    </xf>
    <xf numFmtId="0" fontId="62" fillId="0" borderId="6" xfId="0" applyFont="1" applyBorder="1" applyAlignment="1">
      <alignment horizontal="left" vertical="center"/>
    </xf>
    <xf numFmtId="0" fontId="63" fillId="0" borderId="7" xfId="0" applyFont="1" applyBorder="1" applyAlignment="1">
      <alignment horizontal="center" vertical="center" wrapText="1"/>
    </xf>
    <xf numFmtId="164" fontId="41" fillId="0" borderId="7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63" fillId="0" borderId="8" xfId="0" applyFont="1" applyBorder="1" applyAlignment="1">
      <alignment horizontal="center" vertical="center" wrapText="1"/>
    </xf>
    <xf numFmtId="0" fontId="63" fillId="0" borderId="7" xfId="0" applyFont="1" applyBorder="1" applyAlignment="1">
      <alignment horizontal="left" vertical="center" wrapText="1"/>
    </xf>
    <xf numFmtId="0" fontId="11" fillId="0" borderId="12" xfId="0" applyFont="1" applyBorder="1"/>
    <xf numFmtId="0" fontId="11" fillId="0" borderId="11" xfId="0" applyFont="1" applyBorder="1"/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left" vertical="center" wrapText="1"/>
    </xf>
    <xf numFmtId="0" fontId="12" fillId="7" borderId="7" xfId="0" applyFont="1" applyFill="1" applyBorder="1" applyAlignment="1">
      <alignment horizontal="center" vertical="center"/>
    </xf>
    <xf numFmtId="164" fontId="41" fillId="7" borderId="7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64" fontId="41" fillId="0" borderId="7" xfId="0" applyNumberFormat="1" applyFont="1" applyFill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 wrapText="1"/>
    </xf>
    <xf numFmtId="2" fontId="43" fillId="0" borderId="3" xfId="0" applyNumberFormat="1" applyFont="1" applyBorder="1" applyAlignment="1">
      <alignment horizontal="center" vertical="center" wrapText="1"/>
    </xf>
    <xf numFmtId="2" fontId="43" fillId="0" borderId="12" xfId="0" applyNumberFormat="1" applyFont="1" applyBorder="1" applyAlignment="1">
      <alignment horizontal="center" vertical="center" wrapText="1"/>
    </xf>
    <xf numFmtId="2" fontId="43" fillId="0" borderId="13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371EBAA5-2AB1-40EE-BDF1-A3E5AABD1543}"/>
    <cellStyle name="Процентный" xfId="2" builtinId="5"/>
  </cellStyles>
  <dxfs count="0"/>
  <tableStyles count="0" defaultTableStyle="TableStyleMedium2" defaultPivotStyle="PivotStyleLight16"/>
  <colors>
    <mruColors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7.jpeg"/><Relationship Id="rId7" Type="http://schemas.openxmlformats.org/officeDocument/2006/relationships/image" Target="../media/image9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8.png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11953</xdr:colOff>
      <xdr:row>0</xdr:row>
      <xdr:rowOff>25491</xdr:rowOff>
    </xdr:from>
    <xdr:to>
      <xdr:col>4</xdr:col>
      <xdr:colOff>136635</xdr:colOff>
      <xdr:row>1</xdr:row>
      <xdr:rowOff>24061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7A34374-B0C7-45E2-B6DE-3969472192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1953" y="25491"/>
          <a:ext cx="1133675" cy="392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108932</xdr:colOff>
      <xdr:row>17</xdr:row>
      <xdr:rowOff>45702</xdr:rowOff>
    </xdr:from>
    <xdr:to>
      <xdr:col>27</xdr:col>
      <xdr:colOff>19339</xdr:colOff>
      <xdr:row>17</xdr:row>
      <xdr:rowOff>202599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DE3D71D4-1C43-43B4-9AD9-967B5C03ADCD}"/>
            </a:ext>
          </a:extLst>
        </xdr:cNvPr>
        <xdr:cNvSpPr/>
      </xdr:nvSpPr>
      <xdr:spPr>
        <a:xfrm>
          <a:off x="4757132" y="4229082"/>
          <a:ext cx="276167" cy="156897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99609</xdr:colOff>
      <xdr:row>17</xdr:row>
      <xdr:rowOff>337721</xdr:rowOff>
    </xdr:from>
    <xdr:to>
      <xdr:col>27</xdr:col>
      <xdr:colOff>29448</xdr:colOff>
      <xdr:row>17</xdr:row>
      <xdr:rowOff>343674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11CD07B-E364-4BBC-8324-4E78C181F09C}"/>
            </a:ext>
          </a:extLst>
        </xdr:cNvPr>
        <xdr:cNvCxnSpPr/>
      </xdr:nvCxnSpPr>
      <xdr:spPr>
        <a:xfrm flipV="1">
          <a:off x="4747809" y="4521101"/>
          <a:ext cx="295599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35233</xdr:rowOff>
    </xdr:from>
    <xdr:to>
      <xdr:col>5</xdr:col>
      <xdr:colOff>130684</xdr:colOff>
      <xdr:row>1</xdr:row>
      <xdr:rowOff>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858B65-017E-4E3D-B953-735F77D074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51144" y="35233"/>
          <a:ext cx="1137187" cy="35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152348</xdr:colOff>
      <xdr:row>17</xdr:row>
      <xdr:rowOff>445767</xdr:rowOff>
    </xdr:from>
    <xdr:to>
      <xdr:col>26</xdr:col>
      <xdr:colOff>154687</xdr:colOff>
      <xdr:row>17</xdr:row>
      <xdr:rowOff>555719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6B0AF962-83B4-4569-AC84-ED7D66FB992D}"/>
            </a:ext>
          </a:extLst>
        </xdr:cNvPr>
        <xdr:cNvGrpSpPr/>
      </xdr:nvGrpSpPr>
      <xdr:grpSpPr>
        <a:xfrm>
          <a:off x="4782326" y="4931131"/>
          <a:ext cx="184557" cy="109952"/>
          <a:chOff x="6140123" y="3967975"/>
          <a:chExt cx="183548" cy="109952"/>
        </a:xfrm>
      </xdr:grpSpPr>
      <xdr:cxnSp macro="">
        <xdr:nvCxnSpPr>
          <xdr:cNvPr id="17" name="Прямая соединительная линия 16">
            <a:extLst>
              <a:ext uri="{FF2B5EF4-FFF2-40B4-BE49-F238E27FC236}">
                <a16:creationId xmlns:a16="http://schemas.microsoft.com/office/drawing/2014/main" id="{F2172ED3-B091-448E-BFA3-07C563CA9E0C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Прямая соединительная линия 18">
            <a:extLst>
              <a:ext uri="{FF2B5EF4-FFF2-40B4-BE49-F238E27FC236}">
                <a16:creationId xmlns:a16="http://schemas.microsoft.com/office/drawing/2014/main" id="{C6DB594B-EBE2-4C95-BFD5-E24DA86DC23A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60908</xdr:colOff>
      <xdr:row>9</xdr:row>
      <xdr:rowOff>171446</xdr:rowOff>
    </xdr:from>
    <xdr:to>
      <xdr:col>7</xdr:col>
      <xdr:colOff>7620</xdr:colOff>
      <xdr:row>9</xdr:row>
      <xdr:rowOff>320039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A272282C-24DC-4B4D-94F7-A2D3C3665EA3}"/>
            </a:ext>
          </a:extLst>
        </xdr:cNvPr>
        <xdr:cNvGrpSpPr/>
      </xdr:nvGrpSpPr>
      <xdr:grpSpPr>
        <a:xfrm>
          <a:off x="678294" y="2386713"/>
          <a:ext cx="681296" cy="148593"/>
          <a:chOff x="6140123" y="3967975"/>
          <a:chExt cx="183548" cy="109952"/>
        </a:xfrm>
      </xdr:grpSpPr>
      <xdr:cxnSp macro="">
        <xdr:nvCxnSpPr>
          <xdr:cNvPr id="9" name="Прямая соединительная линия 8">
            <a:extLst>
              <a:ext uri="{FF2B5EF4-FFF2-40B4-BE49-F238E27FC236}">
                <a16:creationId xmlns:a16="http://schemas.microsoft.com/office/drawing/2014/main" id="{FE7DF5F4-7700-49E9-823F-0BC0BD7DD238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Прямая соединительная линия 9">
            <a:extLst>
              <a:ext uri="{FF2B5EF4-FFF2-40B4-BE49-F238E27FC236}">
                <a16:creationId xmlns:a16="http://schemas.microsoft.com/office/drawing/2014/main" id="{62A89B93-7D8E-4414-85D7-F57A648E3DF4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69129</xdr:colOff>
      <xdr:row>8</xdr:row>
      <xdr:rowOff>223421</xdr:rowOff>
    </xdr:from>
    <xdr:to>
      <xdr:col>5</xdr:col>
      <xdr:colOff>181848</xdr:colOff>
      <xdr:row>8</xdr:row>
      <xdr:rowOff>229374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8E0B7DDE-F72D-4D3A-BA9D-E2306735D606}"/>
            </a:ext>
          </a:extLst>
        </xdr:cNvPr>
        <xdr:cNvCxnSpPr/>
      </xdr:nvCxnSpPr>
      <xdr:spPr>
        <a:xfrm flipV="1">
          <a:off x="876849" y="2197001"/>
          <a:ext cx="295599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32732</xdr:colOff>
      <xdr:row>13</xdr:row>
      <xdr:rowOff>45702</xdr:rowOff>
    </xdr:from>
    <xdr:to>
      <xdr:col>6</xdr:col>
      <xdr:colOff>175260</xdr:colOff>
      <xdr:row>13</xdr:row>
      <xdr:rowOff>213360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88F7725E-AC0B-4FB5-A9DB-ACF2E7BFA8A5}"/>
            </a:ext>
          </a:extLst>
        </xdr:cNvPr>
        <xdr:cNvSpPr/>
      </xdr:nvSpPr>
      <xdr:spPr>
        <a:xfrm>
          <a:off x="840452" y="3451842"/>
          <a:ext cx="508288" cy="167658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108932</xdr:colOff>
      <xdr:row>35</xdr:row>
      <xdr:rowOff>45702</xdr:rowOff>
    </xdr:from>
    <xdr:to>
      <xdr:col>27</xdr:col>
      <xdr:colOff>19339</xdr:colOff>
      <xdr:row>35</xdr:row>
      <xdr:rowOff>202599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0BC30B84-B6A4-4393-B4B5-C8F115E01B34}"/>
            </a:ext>
          </a:extLst>
        </xdr:cNvPr>
        <xdr:cNvSpPr/>
      </xdr:nvSpPr>
      <xdr:spPr>
        <a:xfrm>
          <a:off x="4811561" y="4399988"/>
          <a:ext cx="280521" cy="156897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99609</xdr:colOff>
      <xdr:row>35</xdr:row>
      <xdr:rowOff>337721</xdr:rowOff>
    </xdr:from>
    <xdr:to>
      <xdr:col>27</xdr:col>
      <xdr:colOff>29448</xdr:colOff>
      <xdr:row>35</xdr:row>
      <xdr:rowOff>343674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24DC7D1F-A9B6-44E1-99C8-D7AF4A16B55C}"/>
            </a:ext>
          </a:extLst>
        </xdr:cNvPr>
        <xdr:cNvCxnSpPr/>
      </xdr:nvCxnSpPr>
      <xdr:spPr>
        <a:xfrm flipV="1">
          <a:off x="4802238" y="4692007"/>
          <a:ext cx="299953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18</xdr:row>
      <xdr:rowOff>35233</xdr:rowOff>
    </xdr:from>
    <xdr:ext cx="1132170" cy="355392"/>
    <xdr:pic>
      <xdr:nvPicPr>
        <xdr:cNvPr id="15" name="Рисунок 14">
          <a:extLst>
            <a:ext uri="{FF2B5EF4-FFF2-40B4-BE49-F238E27FC236}">
              <a16:creationId xmlns:a16="http://schemas.microsoft.com/office/drawing/2014/main" id="{F644CA63-B15E-467F-BC44-057526C79B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35233"/>
          <a:ext cx="1132170" cy="35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174120</xdr:colOff>
      <xdr:row>53</xdr:row>
      <xdr:rowOff>445768</xdr:rowOff>
    </xdr:from>
    <xdr:to>
      <xdr:col>26</xdr:col>
      <xdr:colOff>176459</xdr:colOff>
      <xdr:row>53</xdr:row>
      <xdr:rowOff>555720</xdr:rowOff>
    </xdr:to>
    <xdr:grpSp>
      <xdr:nvGrpSpPr>
        <xdr:cNvPr id="16" name="Группа 15">
          <a:extLst>
            <a:ext uri="{FF2B5EF4-FFF2-40B4-BE49-F238E27FC236}">
              <a16:creationId xmlns:a16="http://schemas.microsoft.com/office/drawing/2014/main" id="{27E563F5-072C-4BB7-A02F-0EA6F8C466D8}"/>
            </a:ext>
          </a:extLst>
        </xdr:cNvPr>
        <xdr:cNvGrpSpPr/>
      </xdr:nvGrpSpPr>
      <xdr:grpSpPr>
        <a:xfrm>
          <a:off x="4800288" y="14406436"/>
          <a:ext cx="184557" cy="109952"/>
          <a:chOff x="6140123" y="3967975"/>
          <a:chExt cx="183548" cy="109952"/>
        </a:xfrm>
      </xdr:grpSpPr>
      <xdr:cxnSp macro="">
        <xdr:nvCxnSpPr>
          <xdr:cNvPr id="18" name="Прямая соединительная линия 17">
            <a:extLst>
              <a:ext uri="{FF2B5EF4-FFF2-40B4-BE49-F238E27FC236}">
                <a16:creationId xmlns:a16="http://schemas.microsoft.com/office/drawing/2014/main" id="{C22AA487-376C-4824-9FA6-D6D3138E4003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Прямая соединительная линия 19">
            <a:extLst>
              <a:ext uri="{FF2B5EF4-FFF2-40B4-BE49-F238E27FC236}">
                <a16:creationId xmlns:a16="http://schemas.microsoft.com/office/drawing/2014/main" id="{729F4D30-121C-4F1D-B013-FA20D426FBC1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60908</xdr:colOff>
      <xdr:row>30</xdr:row>
      <xdr:rowOff>62589</xdr:rowOff>
    </xdr:from>
    <xdr:to>
      <xdr:col>7</xdr:col>
      <xdr:colOff>7620</xdr:colOff>
      <xdr:row>30</xdr:row>
      <xdr:rowOff>211182</xdr:rowOff>
    </xdr:to>
    <xdr:grpSp>
      <xdr:nvGrpSpPr>
        <xdr:cNvPr id="21" name="Группа 20">
          <a:extLst>
            <a:ext uri="{FF2B5EF4-FFF2-40B4-BE49-F238E27FC236}">
              <a16:creationId xmlns:a16="http://schemas.microsoft.com/office/drawing/2014/main" id="{04C4D329-4068-425A-BC89-5116AC79868C}"/>
            </a:ext>
          </a:extLst>
        </xdr:cNvPr>
        <xdr:cNvGrpSpPr/>
      </xdr:nvGrpSpPr>
      <xdr:grpSpPr>
        <a:xfrm>
          <a:off x="678294" y="8490475"/>
          <a:ext cx="681296" cy="148593"/>
          <a:chOff x="6140123" y="3967975"/>
          <a:chExt cx="183548" cy="109952"/>
        </a:xfrm>
      </xdr:grpSpPr>
      <xdr:cxnSp macro="">
        <xdr:nvCxnSpPr>
          <xdr:cNvPr id="22" name="Прямая соединительная линия 21">
            <a:extLst>
              <a:ext uri="{FF2B5EF4-FFF2-40B4-BE49-F238E27FC236}">
                <a16:creationId xmlns:a16="http://schemas.microsoft.com/office/drawing/2014/main" id="{BB3C6474-1E3F-460A-9473-AECBD4087D6F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Прямая соединительная линия 23">
            <a:extLst>
              <a:ext uri="{FF2B5EF4-FFF2-40B4-BE49-F238E27FC236}">
                <a16:creationId xmlns:a16="http://schemas.microsoft.com/office/drawing/2014/main" id="{2BC0B3B0-CD7E-4DB4-ACE3-66AC7885E1F5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69129</xdr:colOff>
      <xdr:row>26</xdr:row>
      <xdr:rowOff>223421</xdr:rowOff>
    </xdr:from>
    <xdr:to>
      <xdr:col>5</xdr:col>
      <xdr:colOff>181848</xdr:colOff>
      <xdr:row>26</xdr:row>
      <xdr:rowOff>229374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93492A73-89FA-4166-BE1C-891F98705893}"/>
            </a:ext>
          </a:extLst>
        </xdr:cNvPr>
        <xdr:cNvCxnSpPr/>
      </xdr:nvCxnSpPr>
      <xdr:spPr>
        <a:xfrm flipV="1">
          <a:off x="885558" y="2204621"/>
          <a:ext cx="297776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21846</xdr:colOff>
      <xdr:row>24</xdr:row>
      <xdr:rowOff>34817</xdr:rowOff>
    </xdr:from>
    <xdr:to>
      <xdr:col>6</xdr:col>
      <xdr:colOff>164374</xdr:colOff>
      <xdr:row>24</xdr:row>
      <xdr:rowOff>202475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03AF6902-B4A6-4CFB-9935-EDF493132F74}"/>
            </a:ext>
          </a:extLst>
        </xdr:cNvPr>
        <xdr:cNvSpPr/>
      </xdr:nvSpPr>
      <xdr:spPr>
        <a:xfrm>
          <a:off x="838275" y="6544474"/>
          <a:ext cx="512642" cy="167658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108932</xdr:colOff>
      <xdr:row>53</xdr:row>
      <xdr:rowOff>45702</xdr:rowOff>
    </xdr:from>
    <xdr:to>
      <xdr:col>27</xdr:col>
      <xdr:colOff>19339</xdr:colOff>
      <xdr:row>53</xdr:row>
      <xdr:rowOff>202599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C23BD414-CC10-445C-BF42-03D4F7318EFB}"/>
            </a:ext>
          </a:extLst>
        </xdr:cNvPr>
        <xdr:cNvSpPr/>
      </xdr:nvSpPr>
      <xdr:spPr>
        <a:xfrm>
          <a:off x="4811561" y="9527159"/>
          <a:ext cx="280521" cy="156897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99609</xdr:colOff>
      <xdr:row>53</xdr:row>
      <xdr:rowOff>337721</xdr:rowOff>
    </xdr:from>
    <xdr:to>
      <xdr:col>27</xdr:col>
      <xdr:colOff>29448</xdr:colOff>
      <xdr:row>53</xdr:row>
      <xdr:rowOff>343674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5942CC19-F018-436C-BA5B-920359B26817}"/>
            </a:ext>
          </a:extLst>
        </xdr:cNvPr>
        <xdr:cNvCxnSpPr/>
      </xdr:nvCxnSpPr>
      <xdr:spPr>
        <a:xfrm flipV="1">
          <a:off x="4802238" y="9819178"/>
          <a:ext cx="299953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36</xdr:row>
      <xdr:rowOff>35233</xdr:rowOff>
    </xdr:from>
    <xdr:ext cx="1132170" cy="355392"/>
    <xdr:pic>
      <xdr:nvPicPr>
        <xdr:cNvPr id="29" name="Рисунок 28">
          <a:extLst>
            <a:ext uri="{FF2B5EF4-FFF2-40B4-BE49-F238E27FC236}">
              <a16:creationId xmlns:a16="http://schemas.microsoft.com/office/drawing/2014/main" id="{49BCE8D1-B937-4D03-B613-B3B623E9DB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10311347"/>
          <a:ext cx="1132170" cy="35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137108</xdr:colOff>
      <xdr:row>49</xdr:row>
      <xdr:rowOff>40818</xdr:rowOff>
    </xdr:from>
    <xdr:to>
      <xdr:col>7</xdr:col>
      <xdr:colOff>83820</xdr:colOff>
      <xdr:row>49</xdr:row>
      <xdr:rowOff>174171</xdr:rowOff>
    </xdr:to>
    <xdr:grpSp>
      <xdr:nvGrpSpPr>
        <xdr:cNvPr id="33" name="Группа 32">
          <a:extLst>
            <a:ext uri="{FF2B5EF4-FFF2-40B4-BE49-F238E27FC236}">
              <a16:creationId xmlns:a16="http://schemas.microsoft.com/office/drawing/2014/main" id="{C6714476-AC47-4251-A90C-2A5C1CF5F572}"/>
            </a:ext>
          </a:extLst>
        </xdr:cNvPr>
        <xdr:cNvGrpSpPr/>
      </xdr:nvGrpSpPr>
      <xdr:grpSpPr>
        <a:xfrm>
          <a:off x="754494" y="13210166"/>
          <a:ext cx="681296" cy="129543"/>
          <a:chOff x="6140123" y="3967975"/>
          <a:chExt cx="183548" cy="109952"/>
        </a:xfrm>
      </xdr:grpSpPr>
      <xdr:cxnSp macro="">
        <xdr:nvCxnSpPr>
          <xdr:cNvPr id="34" name="Прямая соединительная линия 33">
            <a:extLst>
              <a:ext uri="{FF2B5EF4-FFF2-40B4-BE49-F238E27FC236}">
                <a16:creationId xmlns:a16="http://schemas.microsoft.com/office/drawing/2014/main" id="{4D4A962F-B30B-46A9-8BB5-FAD380C312D0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Прямая соединительная линия 34">
            <a:extLst>
              <a:ext uri="{FF2B5EF4-FFF2-40B4-BE49-F238E27FC236}">
                <a16:creationId xmlns:a16="http://schemas.microsoft.com/office/drawing/2014/main" id="{1A0FA512-90EF-4624-B32D-36ADFA7FBC93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69129</xdr:colOff>
      <xdr:row>44</xdr:row>
      <xdr:rowOff>223421</xdr:rowOff>
    </xdr:from>
    <xdr:to>
      <xdr:col>5</xdr:col>
      <xdr:colOff>181848</xdr:colOff>
      <xdr:row>44</xdr:row>
      <xdr:rowOff>229374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572F28FB-2972-492F-8C88-DB2659EB3703}"/>
            </a:ext>
          </a:extLst>
        </xdr:cNvPr>
        <xdr:cNvCxnSpPr/>
      </xdr:nvCxnSpPr>
      <xdr:spPr>
        <a:xfrm flipV="1">
          <a:off x="885558" y="7233821"/>
          <a:ext cx="297776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32732</xdr:colOff>
      <xdr:row>48</xdr:row>
      <xdr:rowOff>13046</xdr:rowOff>
    </xdr:from>
    <xdr:to>
      <xdr:col>6</xdr:col>
      <xdr:colOff>175260</xdr:colOff>
      <xdr:row>48</xdr:row>
      <xdr:rowOff>173084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D110F8FA-FE53-431E-A167-98B15BAE897E}"/>
            </a:ext>
          </a:extLst>
        </xdr:cNvPr>
        <xdr:cNvSpPr/>
      </xdr:nvSpPr>
      <xdr:spPr>
        <a:xfrm>
          <a:off x="849161" y="12847303"/>
          <a:ext cx="512642" cy="160038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43542</xdr:colOff>
      <xdr:row>46</xdr:row>
      <xdr:rowOff>141515</xdr:rowOff>
    </xdr:from>
    <xdr:to>
      <xdr:col>6</xdr:col>
      <xdr:colOff>76200</xdr:colOff>
      <xdr:row>46</xdr:row>
      <xdr:rowOff>174172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AACC6673-A446-463D-B3D9-546406D8DF6E}"/>
            </a:ext>
          </a:extLst>
        </xdr:cNvPr>
        <xdr:cNvCxnSpPr/>
      </xdr:nvCxnSpPr>
      <xdr:spPr>
        <a:xfrm flipV="1">
          <a:off x="859971" y="12583886"/>
          <a:ext cx="402772" cy="3265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103586</xdr:colOff>
      <xdr:row>32</xdr:row>
      <xdr:rowOff>139899</xdr:rowOff>
    </xdr:from>
    <xdr:to>
      <xdr:col>40</xdr:col>
      <xdr:colOff>10717</xdr:colOff>
      <xdr:row>34</xdr:row>
      <xdr:rowOff>44649</xdr:rowOff>
    </xdr:to>
    <xdr:sp macro="" textlink="">
      <xdr:nvSpPr>
        <xdr:cNvPr id="2" name="Крест 1">
          <a:extLst>
            <a:ext uri="{FF2B5EF4-FFF2-40B4-BE49-F238E27FC236}">
              <a16:creationId xmlns:a16="http://schemas.microsoft.com/office/drawing/2014/main" id="{3CB6C6FA-5887-4CEC-9653-39C7D7F761FB}"/>
            </a:ext>
          </a:extLst>
        </xdr:cNvPr>
        <xdr:cNvSpPr/>
      </xdr:nvSpPr>
      <xdr:spPr>
        <a:xfrm>
          <a:off x="6980636" y="6740724"/>
          <a:ext cx="269081" cy="266700"/>
        </a:xfrm>
        <a:prstGeom prst="plus">
          <a:avLst>
            <a:gd name="adj" fmla="val 32143"/>
          </a:avLst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154777</xdr:colOff>
      <xdr:row>32</xdr:row>
      <xdr:rowOff>121608</xdr:rowOff>
    </xdr:from>
    <xdr:to>
      <xdr:col>35</xdr:col>
      <xdr:colOff>60390</xdr:colOff>
      <xdr:row>34</xdr:row>
      <xdr:rowOff>27220</xdr:rowOff>
    </xdr:to>
    <xdr:sp macro="" textlink="">
      <xdr:nvSpPr>
        <xdr:cNvPr id="3" name="Ромб 2">
          <a:extLst>
            <a:ext uri="{FF2B5EF4-FFF2-40B4-BE49-F238E27FC236}">
              <a16:creationId xmlns:a16="http://schemas.microsoft.com/office/drawing/2014/main" id="{46776840-2086-4F62-BF84-47B899C0C7A0}"/>
            </a:ext>
          </a:extLst>
        </xdr:cNvPr>
        <xdr:cNvSpPr/>
      </xdr:nvSpPr>
      <xdr:spPr>
        <a:xfrm>
          <a:off x="6126952" y="6722433"/>
          <a:ext cx="267563" cy="267562"/>
        </a:xfrm>
        <a:prstGeom prst="diamond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43</xdr:col>
      <xdr:colOff>95246</xdr:colOff>
      <xdr:row>32</xdr:row>
      <xdr:rowOff>122038</xdr:rowOff>
    </xdr:from>
    <xdr:to>
      <xdr:col>44</xdr:col>
      <xdr:colOff>178592</xdr:colOff>
      <xdr:row>34</xdr:row>
      <xdr:rowOff>26788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5D9D1D44-F38B-4388-B56F-083D394C66A4}"/>
            </a:ext>
          </a:extLst>
        </xdr:cNvPr>
        <xdr:cNvGrpSpPr/>
      </xdr:nvGrpSpPr>
      <xdr:grpSpPr>
        <a:xfrm>
          <a:off x="7880981" y="6200893"/>
          <a:ext cx="256701" cy="243840"/>
          <a:chOff x="4029072" y="6649045"/>
          <a:chExt cx="264320" cy="266700"/>
        </a:xfrm>
      </xdr:grpSpPr>
      <xdr:sp macro="" textlink="">
        <xdr:nvSpPr>
          <xdr:cNvPr id="5" name="Овал 4">
            <a:extLst>
              <a:ext uri="{FF2B5EF4-FFF2-40B4-BE49-F238E27FC236}">
                <a16:creationId xmlns:a16="http://schemas.microsoft.com/office/drawing/2014/main" id="{B186D72A-BAA7-48F1-9669-44C6084E8F7B}"/>
              </a:ext>
            </a:extLst>
          </xdr:cNvPr>
          <xdr:cNvSpPr/>
        </xdr:nvSpPr>
        <xdr:spPr>
          <a:xfrm>
            <a:off x="4029072" y="6649045"/>
            <a:ext cx="264320" cy="266700"/>
          </a:xfrm>
          <a:prstGeom prst="ellipse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4519EF26-7C7B-429B-B759-7591DC28F2ED}"/>
              </a:ext>
            </a:extLst>
          </xdr:cNvPr>
          <xdr:cNvCxnSpPr>
            <a:stCxn id="5" idx="3"/>
            <a:endCxn id="5" idx="7"/>
          </xdr:cNvCxnSpPr>
        </xdr:nvCxnSpPr>
        <xdr:spPr>
          <a:xfrm flipV="1">
            <a:off x="4067781" y="6688102"/>
            <a:ext cx="186902" cy="18858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5B04A27C-1326-490B-B758-CC366D1427B8}"/>
              </a:ext>
            </a:extLst>
          </xdr:cNvPr>
          <xdr:cNvCxnSpPr>
            <a:stCxn id="5" idx="2"/>
            <a:endCxn id="5" idx="0"/>
          </xdr:cNvCxnSpPr>
        </xdr:nvCxnSpPr>
        <xdr:spPr>
          <a:xfrm flipV="1">
            <a:off x="4029072" y="664904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я соединительная линия 7">
            <a:extLst>
              <a:ext uri="{FF2B5EF4-FFF2-40B4-BE49-F238E27FC236}">
                <a16:creationId xmlns:a16="http://schemas.microsoft.com/office/drawing/2014/main" id="{DD688CA1-6F44-4B81-A6AC-5F04D39D7266}"/>
              </a:ext>
            </a:extLst>
          </xdr:cNvPr>
          <xdr:cNvCxnSpPr>
            <a:stCxn id="5" idx="4"/>
            <a:endCxn id="5" idx="6"/>
          </xdr:cNvCxnSpPr>
        </xdr:nvCxnSpPr>
        <xdr:spPr>
          <a:xfrm flipV="1">
            <a:off x="4161232" y="678239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я соединительная линия 8">
            <a:extLst>
              <a:ext uri="{FF2B5EF4-FFF2-40B4-BE49-F238E27FC236}">
                <a16:creationId xmlns:a16="http://schemas.microsoft.com/office/drawing/2014/main" id="{F81E6121-A14D-446B-9702-59EFD91BBE5D}"/>
              </a:ext>
            </a:extLst>
          </xdr:cNvPr>
          <xdr:cNvCxnSpPr/>
        </xdr:nvCxnSpPr>
        <xdr:spPr>
          <a:xfrm flipV="1">
            <a:off x="4037209" y="6663335"/>
            <a:ext cx="176408" cy="17799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Прямая соединительная линия 9">
            <a:extLst>
              <a:ext uri="{FF2B5EF4-FFF2-40B4-BE49-F238E27FC236}">
                <a16:creationId xmlns:a16="http://schemas.microsoft.com/office/drawing/2014/main" id="{83A7D49F-9A0F-4F5A-AB85-CDD825CB5EEE}"/>
              </a:ext>
            </a:extLst>
          </xdr:cNvPr>
          <xdr:cNvCxnSpPr/>
        </xdr:nvCxnSpPr>
        <xdr:spPr>
          <a:xfrm flipV="1">
            <a:off x="4111228" y="6727031"/>
            <a:ext cx="175228" cy="17680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17600</xdr:colOff>
      <xdr:row>32</xdr:row>
      <xdr:rowOff>152192</xdr:rowOff>
    </xdr:from>
    <xdr:to>
      <xdr:col>25</xdr:col>
      <xdr:colOff>133557</xdr:colOff>
      <xdr:row>34</xdr:row>
      <xdr:rowOff>39859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2EE95F1-CD1D-4B81-AFEA-37B38BB881F9}"/>
            </a:ext>
          </a:extLst>
        </xdr:cNvPr>
        <xdr:cNvCxnSpPr/>
      </xdr:nvCxnSpPr>
      <xdr:spPr>
        <a:xfrm flipV="1">
          <a:off x="4180025" y="6753017"/>
          <a:ext cx="477907" cy="249617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17601</xdr:colOff>
      <xdr:row>32</xdr:row>
      <xdr:rowOff>158145</xdr:rowOff>
    </xdr:from>
    <xdr:to>
      <xdr:col>30</xdr:col>
      <xdr:colOff>133557</xdr:colOff>
      <xdr:row>34</xdr:row>
      <xdr:rowOff>45812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9E6EA8F-DC46-481C-9545-D12B6E2F40C9}"/>
            </a:ext>
          </a:extLst>
        </xdr:cNvPr>
        <xdr:cNvCxnSpPr/>
      </xdr:nvCxnSpPr>
      <xdr:spPr>
        <a:xfrm flipV="1">
          <a:off x="5084901" y="6758970"/>
          <a:ext cx="477906" cy="249617"/>
        </a:xfrm>
        <a:prstGeom prst="straightConnector1">
          <a:avLst/>
        </a:prstGeom>
        <a:ln w="635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93345</xdr:rowOff>
    </xdr:from>
    <xdr:to>
      <xdr:col>5</xdr:col>
      <xdr:colOff>115102</xdr:colOff>
      <xdr:row>0</xdr:row>
      <xdr:rowOff>403860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1F5CEEF-4CB6-43D7-811B-E2ADF34DF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93345"/>
          <a:ext cx="1029502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133350</xdr:colOff>
      <xdr:row>22</xdr:row>
      <xdr:rowOff>85725</xdr:rowOff>
    </xdr:from>
    <xdr:to>
      <xdr:col>27</xdr:col>
      <xdr:colOff>171450</xdr:colOff>
      <xdr:row>26</xdr:row>
      <xdr:rowOff>0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66731109-2FAA-4C3B-9E4F-5CA322F970FC}"/>
            </a:ext>
          </a:extLst>
        </xdr:cNvPr>
        <xdr:cNvSpPr/>
      </xdr:nvSpPr>
      <xdr:spPr>
        <a:xfrm>
          <a:off x="3749040" y="4202430"/>
          <a:ext cx="1304925" cy="59817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рам</a:t>
          </a:r>
        </a:p>
      </xdr:txBody>
    </xdr:sp>
    <xdr:clientData/>
  </xdr:twoCellAnchor>
  <xdr:twoCellAnchor>
    <xdr:from>
      <xdr:col>7</xdr:col>
      <xdr:colOff>152399</xdr:colOff>
      <xdr:row>15</xdr:row>
      <xdr:rowOff>123825</xdr:rowOff>
    </xdr:from>
    <xdr:to>
      <xdr:col>12</xdr:col>
      <xdr:colOff>152399</xdr:colOff>
      <xdr:row>19</xdr:row>
      <xdr:rowOff>38100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5D686A6C-3A15-405D-B79D-9D5C2F072DB9}"/>
            </a:ext>
          </a:extLst>
        </xdr:cNvPr>
        <xdr:cNvSpPr/>
      </xdr:nvSpPr>
      <xdr:spPr>
        <a:xfrm>
          <a:off x="1419224" y="3040380"/>
          <a:ext cx="904875" cy="59817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крючков</a:t>
          </a:r>
        </a:p>
      </xdr:txBody>
    </xdr:sp>
    <xdr:clientData/>
  </xdr:twoCellAnchor>
  <xdr:twoCellAnchor>
    <xdr:from>
      <xdr:col>14</xdr:col>
      <xdr:colOff>76199</xdr:colOff>
      <xdr:row>6</xdr:row>
      <xdr:rowOff>127000</xdr:rowOff>
    </xdr:from>
    <xdr:to>
      <xdr:col>41</xdr:col>
      <xdr:colOff>28575</xdr:colOff>
      <xdr:row>8</xdr:row>
      <xdr:rowOff>19050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3496ADDA-D9B5-4893-AE25-AF47E46325D9}"/>
            </a:ext>
          </a:extLst>
        </xdr:cNvPr>
        <xdr:cNvSpPr/>
      </xdr:nvSpPr>
      <xdr:spPr>
        <a:xfrm>
          <a:off x="2609849" y="1502410"/>
          <a:ext cx="4836796" cy="227330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rgbClr val="0070C0"/>
              </a:solidFill>
              <a:latin typeface="+mn-lt"/>
              <a:ea typeface="+mn-ea"/>
              <a:cs typeface="+mn-cs"/>
            </a:rPr>
            <a:t>Зона подвеса</a:t>
          </a:r>
          <a:r>
            <a:rPr lang="ru-RU" sz="1100" baseline="0">
              <a:solidFill>
                <a:srgbClr val="0070C0"/>
              </a:solidFill>
              <a:latin typeface="+mn-lt"/>
              <a:ea typeface="+mn-ea"/>
              <a:cs typeface="+mn-cs"/>
            </a:rPr>
            <a:t> на линии окраски</a:t>
          </a:r>
          <a:endParaRPr lang="ru-RU" sz="1100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9526</xdr:colOff>
      <xdr:row>13</xdr:row>
      <xdr:rowOff>152401</xdr:rowOff>
    </xdr:from>
    <xdr:to>
      <xdr:col>11</xdr:col>
      <xdr:colOff>76201</xdr:colOff>
      <xdr:row>15</xdr:row>
      <xdr:rowOff>38101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B05F8B9F-89F0-437B-A012-17397BB97877}"/>
            </a:ext>
          </a:extLst>
        </xdr:cNvPr>
        <xdr:cNvSpPr/>
      </xdr:nvSpPr>
      <xdr:spPr>
        <a:xfrm>
          <a:off x="1821181" y="2724151"/>
          <a:ext cx="245745" cy="228600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1"/>
              </a:solidFill>
            </a:rPr>
            <a:t>1</a:t>
          </a:r>
        </a:p>
      </xdr:txBody>
    </xdr:sp>
    <xdr:clientData/>
  </xdr:twoCellAnchor>
  <xdr:twoCellAnchor>
    <xdr:from>
      <xdr:col>11</xdr:col>
      <xdr:colOff>38539</xdr:colOff>
      <xdr:row>9</xdr:row>
      <xdr:rowOff>14516</xdr:rowOff>
    </xdr:from>
    <xdr:to>
      <xdr:col>17</xdr:col>
      <xdr:colOff>5444</xdr:colOff>
      <xdr:row>14</xdr:row>
      <xdr:rowOff>7373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4EDFCF60-22DB-41CD-AB87-FB3313371866}"/>
            </a:ext>
          </a:extLst>
        </xdr:cNvPr>
        <xdr:cNvCxnSpPr>
          <a:stCxn id="17" idx="7"/>
          <a:endCxn id="19" idx="2"/>
        </xdr:cNvCxnSpPr>
      </xdr:nvCxnSpPr>
      <xdr:spPr>
        <a:xfrm flipV="1">
          <a:off x="2029264" y="1904276"/>
          <a:ext cx="1054660" cy="848202"/>
        </a:xfrm>
        <a:prstGeom prst="straightConnector1">
          <a:avLst/>
        </a:prstGeom>
        <a:ln w="63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5444</xdr:colOff>
      <xdr:row>8</xdr:row>
      <xdr:rowOff>71665</xdr:rowOff>
    </xdr:from>
    <xdr:to>
      <xdr:col>18</xdr:col>
      <xdr:colOff>81644</xdr:colOff>
      <xdr:row>9</xdr:row>
      <xdr:rowOff>138794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D7EAB508-4449-48E4-8602-5A5DEF8D68ED}"/>
            </a:ext>
          </a:extLst>
        </xdr:cNvPr>
        <xdr:cNvSpPr/>
      </xdr:nvSpPr>
      <xdr:spPr>
        <a:xfrm>
          <a:off x="3083924" y="1784260"/>
          <a:ext cx="257175" cy="236674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1"/>
              </a:solidFill>
            </a:rPr>
            <a:t>2</a:t>
          </a:r>
        </a:p>
      </xdr:txBody>
    </xdr:sp>
    <xdr:clientData/>
  </xdr:twoCellAnchor>
  <xdr:twoCellAnchor>
    <xdr:from>
      <xdr:col>18</xdr:col>
      <xdr:colOff>42587</xdr:colOff>
      <xdr:row>9</xdr:row>
      <xdr:rowOff>102394</xdr:rowOff>
    </xdr:from>
    <xdr:to>
      <xdr:col>24</xdr:col>
      <xdr:colOff>82601</xdr:colOff>
      <xdr:row>20</xdr:row>
      <xdr:rowOff>98994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0C2BEFE5-4CA9-4882-83C0-C5EAF28C7072}"/>
            </a:ext>
          </a:extLst>
        </xdr:cNvPr>
        <xdr:cNvCxnSpPr>
          <a:cxnSpLocks/>
          <a:stCxn id="19" idx="5"/>
          <a:endCxn id="21" idx="1"/>
        </xdr:cNvCxnSpPr>
      </xdr:nvCxnSpPr>
      <xdr:spPr>
        <a:xfrm>
          <a:off x="3302042" y="1984534"/>
          <a:ext cx="1125864" cy="1882550"/>
        </a:xfrm>
        <a:prstGeom prst="straightConnector1">
          <a:avLst/>
        </a:prstGeom>
        <a:ln w="63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43544</xdr:colOff>
      <xdr:row>20</xdr:row>
      <xdr:rowOff>62594</xdr:rowOff>
    </xdr:from>
    <xdr:to>
      <xdr:col>25</xdr:col>
      <xdr:colOff>119744</xdr:colOff>
      <xdr:row>21</xdr:row>
      <xdr:rowOff>129723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2C12A01C-D64A-4458-BA2E-C1D6F40E4E5E}"/>
            </a:ext>
          </a:extLst>
        </xdr:cNvPr>
        <xdr:cNvSpPr/>
      </xdr:nvSpPr>
      <xdr:spPr>
        <a:xfrm>
          <a:off x="4388849" y="3830684"/>
          <a:ext cx="257175" cy="246199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1"/>
              </a:solidFill>
            </a:rPr>
            <a:t>3</a:t>
          </a:r>
        </a:p>
      </xdr:txBody>
    </xdr:sp>
    <xdr:clientData/>
  </xdr:twoCellAnchor>
  <xdr:twoCellAnchor>
    <xdr:from>
      <xdr:col>24</xdr:col>
      <xdr:colOff>176894</xdr:colOff>
      <xdr:row>9</xdr:row>
      <xdr:rowOff>175986</xdr:rowOff>
    </xdr:from>
    <xdr:to>
      <xdr:col>25</xdr:col>
      <xdr:colOff>102282</xdr:colOff>
      <xdr:row>20</xdr:row>
      <xdr:rowOff>62594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07CA6E38-1AD7-427E-94A7-F9CBF78E3E3E}"/>
            </a:ext>
          </a:extLst>
        </xdr:cNvPr>
        <xdr:cNvCxnSpPr>
          <a:cxnSpLocks/>
          <a:stCxn id="21" idx="0"/>
          <a:endCxn id="23" idx="4"/>
        </xdr:cNvCxnSpPr>
      </xdr:nvCxnSpPr>
      <xdr:spPr>
        <a:xfrm flipV="1">
          <a:off x="4516484" y="2058126"/>
          <a:ext cx="106363" cy="1772558"/>
        </a:xfrm>
        <a:prstGeom prst="straightConnector1">
          <a:avLst/>
        </a:prstGeom>
        <a:ln w="635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164194</xdr:colOff>
      <xdr:row>8</xdr:row>
      <xdr:rowOff>109311</xdr:rowOff>
    </xdr:from>
    <xdr:to>
      <xdr:col>26</xdr:col>
      <xdr:colOff>40369</xdr:colOff>
      <xdr:row>9</xdr:row>
      <xdr:rowOff>175986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15487DD3-ED06-443F-B6AA-A2B05147A618}"/>
            </a:ext>
          </a:extLst>
        </xdr:cNvPr>
        <xdr:cNvSpPr/>
      </xdr:nvSpPr>
      <xdr:spPr>
        <a:xfrm>
          <a:off x="4511404" y="1821906"/>
          <a:ext cx="234315" cy="236220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1"/>
              </a:solidFill>
            </a:rPr>
            <a:t>4</a:t>
          </a:r>
        </a:p>
      </xdr:txBody>
    </xdr:sp>
    <xdr:clientData/>
  </xdr:twoCellAnchor>
  <xdr:twoCellAnchor>
    <xdr:from>
      <xdr:col>11</xdr:col>
      <xdr:colOff>76201</xdr:colOff>
      <xdr:row>9</xdr:row>
      <xdr:rowOff>139652</xdr:rowOff>
    </xdr:from>
    <xdr:to>
      <xdr:col>25</xdr:col>
      <xdr:colOff>11356</xdr:colOff>
      <xdr:row>14</xdr:row>
      <xdr:rowOff>95252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D21A9E0B-240B-4CEC-8E5B-C942F91B8369}"/>
            </a:ext>
          </a:extLst>
        </xdr:cNvPr>
        <xdr:cNvCxnSpPr>
          <a:stCxn id="23" idx="3"/>
          <a:endCxn id="17" idx="6"/>
        </xdr:cNvCxnSpPr>
      </xdr:nvCxnSpPr>
      <xdr:spPr>
        <a:xfrm flipH="1">
          <a:off x="2066926" y="2021792"/>
          <a:ext cx="2470710" cy="812850"/>
        </a:xfrm>
        <a:prstGeom prst="straightConnector1">
          <a:avLst/>
        </a:prstGeom>
        <a:ln w="6350">
          <a:solidFill>
            <a:schemeClr val="accent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6</xdr:row>
      <xdr:rowOff>25400</xdr:rowOff>
    </xdr:from>
    <xdr:to>
      <xdr:col>37</xdr:col>
      <xdr:colOff>142875</xdr:colOff>
      <xdr:row>6</xdr:row>
      <xdr:rowOff>44450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30C4579C-3F33-4FB1-80B9-98CB42D51B45}"/>
            </a:ext>
          </a:extLst>
        </xdr:cNvPr>
        <xdr:cNvCxnSpPr/>
      </xdr:nvCxnSpPr>
      <xdr:spPr>
        <a:xfrm flipV="1">
          <a:off x="3048000" y="1393190"/>
          <a:ext cx="3789045" cy="24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180522</xdr:colOff>
      <xdr:row>4</xdr:row>
      <xdr:rowOff>170089</xdr:rowOff>
    </xdr:from>
    <xdr:ext cx="23241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8D48DF-94B2-425C-87BA-97B371BE0993}"/>
            </a:ext>
          </a:extLst>
        </xdr:cNvPr>
        <xdr:cNvSpPr txBox="1"/>
      </xdr:nvSpPr>
      <xdr:spPr>
        <a:xfrm>
          <a:off x="3798117" y="1202599"/>
          <a:ext cx="23241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1">
              <a:solidFill>
                <a:schemeClr val="accent1"/>
              </a:solidFill>
            </a:rPr>
            <a:t>Направление движения линии</a:t>
          </a:r>
        </a:p>
      </xdr:txBody>
    </xdr:sp>
    <xdr:clientData/>
  </xdr:oneCellAnchor>
  <xdr:twoCellAnchor>
    <xdr:from>
      <xdr:col>8</xdr:col>
      <xdr:colOff>85725</xdr:colOff>
      <xdr:row>22</xdr:row>
      <xdr:rowOff>85725</xdr:rowOff>
    </xdr:from>
    <xdr:to>
      <xdr:col>20</xdr:col>
      <xdr:colOff>57150</xdr:colOff>
      <xdr:row>26</xdr:row>
      <xdr:rowOff>0</xdr:rowOff>
    </xdr:to>
    <xdr:sp macro="" textlink="">
      <xdr:nvSpPr>
        <xdr:cNvPr id="27" name="Прямоугольник 26">
          <a:extLst>
            <a:ext uri="{FF2B5EF4-FFF2-40B4-BE49-F238E27FC236}">
              <a16:creationId xmlns:a16="http://schemas.microsoft.com/office/drawing/2014/main" id="{F22AA07E-4FFF-4C57-8D39-14F23068C09A}"/>
            </a:ext>
          </a:extLst>
        </xdr:cNvPr>
        <xdr:cNvSpPr/>
      </xdr:nvSpPr>
      <xdr:spPr>
        <a:xfrm>
          <a:off x="1535430" y="4202430"/>
          <a:ext cx="2137410" cy="59817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фронтальных стенок</a:t>
          </a:r>
        </a:p>
      </xdr:txBody>
    </xdr:sp>
    <xdr:clientData/>
  </xdr:twoCellAnchor>
  <xdr:twoCellAnchor>
    <xdr:from>
      <xdr:col>28</xdr:col>
      <xdr:colOff>76200</xdr:colOff>
      <xdr:row>22</xdr:row>
      <xdr:rowOff>76200</xdr:rowOff>
    </xdr:from>
    <xdr:to>
      <xdr:col>36</xdr:col>
      <xdr:colOff>104775</xdr:colOff>
      <xdr:row>25</xdr:row>
      <xdr:rowOff>171450</xdr:rowOff>
    </xdr:to>
    <xdr:sp macro="" textlink="">
      <xdr:nvSpPr>
        <xdr:cNvPr id="28" name="Прямоугольник 27">
          <a:extLst>
            <a:ext uri="{FF2B5EF4-FFF2-40B4-BE49-F238E27FC236}">
              <a16:creationId xmlns:a16="http://schemas.microsoft.com/office/drawing/2014/main" id="{8E6533E6-30E5-475D-A331-E6DCE665D02D}"/>
            </a:ext>
          </a:extLst>
        </xdr:cNvPr>
        <xdr:cNvSpPr/>
      </xdr:nvSpPr>
      <xdr:spPr>
        <a:xfrm>
          <a:off x="5143500" y="4191000"/>
          <a:ext cx="1474470" cy="60579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задних стенка</a:t>
          </a:r>
        </a:p>
      </xdr:txBody>
    </xdr:sp>
    <xdr:clientData/>
  </xdr:twoCellAnchor>
  <xdr:twoCellAnchor>
    <xdr:from>
      <xdr:col>0</xdr:col>
      <xdr:colOff>152400</xdr:colOff>
      <xdr:row>8</xdr:row>
      <xdr:rowOff>38100</xdr:rowOff>
    </xdr:from>
    <xdr:to>
      <xdr:col>7</xdr:col>
      <xdr:colOff>38100</xdr:colOff>
      <xdr:row>11</xdr:row>
      <xdr:rowOff>133350</xdr:rowOff>
    </xdr:to>
    <xdr:sp macro="" textlink="">
      <xdr:nvSpPr>
        <xdr:cNvPr id="29" name="Прямоугольник 28">
          <a:extLst>
            <a:ext uri="{FF2B5EF4-FFF2-40B4-BE49-F238E27FC236}">
              <a16:creationId xmlns:a16="http://schemas.microsoft.com/office/drawing/2014/main" id="{E3BC2095-2903-4E65-A7C2-83F9FCC3AF7B}"/>
            </a:ext>
          </a:extLst>
        </xdr:cNvPr>
        <xdr:cNvSpPr/>
      </xdr:nvSpPr>
      <xdr:spPr>
        <a:xfrm>
          <a:off x="152400" y="1752600"/>
          <a:ext cx="1152525" cy="60579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bg1"/>
              </a:solidFill>
            </a:rPr>
            <a:t>Место хранения дверных рамок</a:t>
          </a:r>
        </a:p>
      </xdr:txBody>
    </xdr:sp>
    <xdr:clientData/>
  </xdr:twoCellAnchor>
  <xdr:twoCellAnchor>
    <xdr:from>
      <xdr:col>1</xdr:col>
      <xdr:colOff>76200</xdr:colOff>
      <xdr:row>22</xdr:row>
      <xdr:rowOff>66675</xdr:rowOff>
    </xdr:from>
    <xdr:to>
      <xdr:col>8</xdr:col>
      <xdr:colOff>19050</xdr:colOff>
      <xdr:row>25</xdr:row>
      <xdr:rowOff>161925</xdr:rowOff>
    </xdr:to>
    <xdr:sp macro="" textlink="">
      <xdr:nvSpPr>
        <xdr:cNvPr id="30" name="Прямоугольник 29">
          <a:extLst>
            <a:ext uri="{FF2B5EF4-FFF2-40B4-BE49-F238E27FC236}">
              <a16:creationId xmlns:a16="http://schemas.microsoft.com/office/drawing/2014/main" id="{EB6E6DF1-2441-4FD5-9D9B-7994D663099B}"/>
            </a:ext>
          </a:extLst>
        </xdr:cNvPr>
        <xdr:cNvSpPr/>
      </xdr:nvSpPr>
      <xdr:spPr>
        <a:xfrm>
          <a:off x="257175" y="4179570"/>
          <a:ext cx="1205865" cy="61341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боковых стенок</a:t>
          </a:r>
        </a:p>
      </xdr:txBody>
    </xdr:sp>
    <xdr:clientData/>
  </xdr:twoCellAnchor>
  <xdr:twoCellAnchor>
    <xdr:from>
      <xdr:col>0</xdr:col>
      <xdr:colOff>153307</xdr:colOff>
      <xdr:row>13</xdr:row>
      <xdr:rowOff>147410</xdr:rowOff>
    </xdr:from>
    <xdr:to>
      <xdr:col>7</xdr:col>
      <xdr:colOff>39007</xdr:colOff>
      <xdr:row>17</xdr:row>
      <xdr:rowOff>61232</xdr:rowOff>
    </xdr:to>
    <xdr:sp macro="" textlink="">
      <xdr:nvSpPr>
        <xdr:cNvPr id="31" name="Прямоугольник 30">
          <a:extLst>
            <a:ext uri="{FF2B5EF4-FFF2-40B4-BE49-F238E27FC236}">
              <a16:creationId xmlns:a16="http://schemas.microsoft.com/office/drawing/2014/main" id="{2C3393D4-BC87-4BF1-A4DC-5DAC042FE4CF}"/>
            </a:ext>
          </a:extLst>
        </xdr:cNvPr>
        <xdr:cNvSpPr/>
      </xdr:nvSpPr>
      <xdr:spPr>
        <a:xfrm>
          <a:off x="153307" y="2717255"/>
          <a:ext cx="1152525" cy="597717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кронштейнов</a:t>
          </a:r>
        </a:p>
      </xdr:txBody>
    </xdr:sp>
    <xdr:clientData/>
  </xdr:twoCellAnchor>
  <xdr:twoCellAnchor>
    <xdr:from>
      <xdr:col>36</xdr:col>
      <xdr:colOff>161925</xdr:colOff>
      <xdr:row>22</xdr:row>
      <xdr:rowOff>66675</xdr:rowOff>
    </xdr:from>
    <xdr:to>
      <xdr:col>43</xdr:col>
      <xdr:colOff>47625</xdr:colOff>
      <xdr:row>25</xdr:row>
      <xdr:rowOff>161925</xdr:rowOff>
    </xdr:to>
    <xdr:sp macro="" textlink="">
      <xdr:nvSpPr>
        <xdr:cNvPr id="32" name="Прямоугольник 31">
          <a:extLst>
            <a:ext uri="{FF2B5EF4-FFF2-40B4-BE49-F238E27FC236}">
              <a16:creationId xmlns:a16="http://schemas.microsoft.com/office/drawing/2014/main" id="{42E741E0-4A35-468D-877A-CFB328111810}"/>
            </a:ext>
          </a:extLst>
        </xdr:cNvPr>
        <xdr:cNvSpPr/>
      </xdr:nvSpPr>
      <xdr:spPr>
        <a:xfrm>
          <a:off x="6678930" y="4179570"/>
          <a:ext cx="1152525" cy="613410"/>
        </a:xfrm>
        <a:prstGeom prst="rect">
          <a:avLst/>
        </a:prstGeom>
        <a:pattFill prst="wdUpDiag">
          <a:fgClr>
            <a:schemeClr val="accent1"/>
          </a:fgClr>
          <a:bgClr>
            <a:schemeClr val="accent1">
              <a:lumMod val="60000"/>
              <a:lumOff val="40000"/>
            </a:schemeClr>
          </a:bgClr>
        </a:patt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ru-RU" sz="1100">
              <a:solidFill>
                <a:schemeClr val="bg1"/>
              </a:solidFill>
              <a:latin typeface="+mn-lt"/>
              <a:ea typeface="+mn-ea"/>
              <a:cs typeface="+mn-cs"/>
            </a:rPr>
            <a:t>Место хранения рамок</a:t>
          </a:r>
        </a:p>
      </xdr:txBody>
    </xdr:sp>
    <xdr:clientData/>
  </xdr:twoCellAnchor>
  <xdr:twoCellAnchor>
    <xdr:from>
      <xdr:col>12</xdr:col>
      <xdr:colOff>152401</xdr:colOff>
      <xdr:row>14</xdr:row>
      <xdr:rowOff>95251</xdr:rowOff>
    </xdr:from>
    <xdr:to>
      <xdr:col>14</xdr:col>
      <xdr:colOff>38101</xdr:colOff>
      <xdr:row>15</xdr:row>
      <xdr:rowOff>161926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6E0BFF31-12C6-49FE-B923-3ACCB695CD00}"/>
            </a:ext>
          </a:extLst>
        </xdr:cNvPr>
        <xdr:cNvSpPr/>
      </xdr:nvSpPr>
      <xdr:spPr>
        <a:xfrm>
          <a:off x="2324101" y="2834641"/>
          <a:ext cx="247650" cy="243840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2"/>
              </a:solidFill>
            </a:rPr>
            <a:t>1</a:t>
          </a:r>
        </a:p>
      </xdr:txBody>
    </xdr:sp>
    <xdr:clientData/>
  </xdr:twoCellAnchor>
  <xdr:twoCellAnchor>
    <xdr:from>
      <xdr:col>13</xdr:col>
      <xdr:colOff>189544</xdr:colOff>
      <xdr:row>9</xdr:row>
      <xdr:rowOff>131489</xdr:rowOff>
    </xdr:from>
    <xdr:to>
      <xdr:col>18</xdr:col>
      <xdr:colOff>142438</xdr:colOff>
      <xdr:row>14</xdr:row>
      <xdr:rowOff>131585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19B6E485-6C04-48E9-84DF-74639798D597}"/>
            </a:ext>
          </a:extLst>
        </xdr:cNvPr>
        <xdr:cNvCxnSpPr>
          <a:cxnSpLocks/>
          <a:stCxn id="33" idx="7"/>
          <a:endCxn id="35" idx="3"/>
        </xdr:cNvCxnSpPr>
      </xdr:nvCxnSpPr>
      <xdr:spPr>
        <a:xfrm flipV="1">
          <a:off x="2532694" y="2021249"/>
          <a:ext cx="865389" cy="857346"/>
        </a:xfrm>
        <a:prstGeom prst="straightConnector1">
          <a:avLst/>
        </a:prstGeom>
        <a:ln w="63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104776</xdr:colOff>
      <xdr:row>8</xdr:row>
      <xdr:rowOff>101147</xdr:rowOff>
    </xdr:from>
    <xdr:to>
      <xdr:col>19</xdr:col>
      <xdr:colOff>171451</xdr:colOff>
      <xdr:row>9</xdr:row>
      <xdr:rowOff>167823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126CDDA8-C0ED-4A85-B22E-CCA83A6ACA60}"/>
            </a:ext>
          </a:extLst>
        </xdr:cNvPr>
        <xdr:cNvSpPr/>
      </xdr:nvSpPr>
      <xdr:spPr>
        <a:xfrm>
          <a:off x="3360421" y="1811837"/>
          <a:ext cx="245745" cy="245746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2"/>
              </a:solidFill>
            </a:rPr>
            <a:t>2</a:t>
          </a:r>
        </a:p>
      </xdr:txBody>
    </xdr:sp>
    <xdr:clientData/>
  </xdr:twoCellAnchor>
  <xdr:twoCellAnchor>
    <xdr:from>
      <xdr:col>19</xdr:col>
      <xdr:colOff>42864</xdr:colOff>
      <xdr:row>9</xdr:row>
      <xdr:rowOff>167823</xdr:rowOff>
    </xdr:from>
    <xdr:to>
      <xdr:col>31</xdr:col>
      <xdr:colOff>105457</xdr:colOff>
      <xdr:row>20</xdr:row>
      <xdr:rowOff>98880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76883C63-AA40-40DC-AF50-E97B3F9BE3B4}"/>
            </a:ext>
          </a:extLst>
        </xdr:cNvPr>
        <xdr:cNvCxnSpPr>
          <a:cxnSpLocks/>
          <a:stCxn id="35" idx="4"/>
          <a:endCxn id="37" idx="0"/>
        </xdr:cNvCxnSpPr>
      </xdr:nvCxnSpPr>
      <xdr:spPr>
        <a:xfrm>
          <a:off x="3483294" y="2057583"/>
          <a:ext cx="2230483" cy="1809387"/>
        </a:xfrm>
        <a:prstGeom prst="straightConnector1">
          <a:avLst/>
        </a:prstGeom>
        <a:ln w="63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167369</xdr:colOff>
      <xdr:row>20</xdr:row>
      <xdr:rowOff>98880</xdr:rowOff>
    </xdr:from>
    <xdr:to>
      <xdr:col>32</xdr:col>
      <xdr:colOff>43544</xdr:colOff>
      <xdr:row>21</xdr:row>
      <xdr:rowOff>166009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3A4DB476-0E92-42FC-94D5-6DE76048923E}"/>
            </a:ext>
          </a:extLst>
        </xdr:cNvPr>
        <xdr:cNvSpPr/>
      </xdr:nvSpPr>
      <xdr:spPr>
        <a:xfrm>
          <a:off x="5600429" y="3866970"/>
          <a:ext cx="236220" cy="246199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2"/>
              </a:solidFill>
            </a:rPr>
            <a:t>3</a:t>
          </a:r>
        </a:p>
      </xdr:txBody>
    </xdr:sp>
    <xdr:clientData/>
  </xdr:twoCellAnchor>
  <xdr:twoCellAnchor>
    <xdr:from>
      <xdr:col>27</xdr:col>
      <xdr:colOff>76882</xdr:colOff>
      <xdr:row>9</xdr:row>
      <xdr:rowOff>159660</xdr:rowOff>
    </xdr:from>
    <xdr:to>
      <xdr:col>31</xdr:col>
      <xdr:colOff>105457</xdr:colOff>
      <xdr:row>20</xdr:row>
      <xdr:rowOff>98880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615958F3-6519-4D72-9D12-33ADBBB6F86F}"/>
            </a:ext>
          </a:extLst>
        </xdr:cNvPr>
        <xdr:cNvCxnSpPr>
          <a:cxnSpLocks/>
          <a:stCxn id="37" idx="0"/>
          <a:endCxn id="39" idx="4"/>
        </xdr:cNvCxnSpPr>
      </xdr:nvCxnSpPr>
      <xdr:spPr>
        <a:xfrm flipH="1" flipV="1">
          <a:off x="4963207" y="2047515"/>
          <a:ext cx="750570" cy="1819455"/>
        </a:xfrm>
        <a:prstGeom prst="straightConnector1">
          <a:avLst/>
        </a:prstGeom>
        <a:ln w="63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138794</xdr:colOff>
      <xdr:row>8</xdr:row>
      <xdr:rowOff>92985</xdr:rowOff>
    </xdr:from>
    <xdr:to>
      <xdr:col>28</xdr:col>
      <xdr:colOff>14969</xdr:colOff>
      <xdr:row>9</xdr:row>
      <xdr:rowOff>159660</xdr:rowOff>
    </xdr:to>
    <xdr:sp macro="" textlink="">
      <xdr:nvSpPr>
        <xdr:cNvPr id="39" name="Овал 38">
          <a:extLst>
            <a:ext uri="{FF2B5EF4-FFF2-40B4-BE49-F238E27FC236}">
              <a16:creationId xmlns:a16="http://schemas.microsoft.com/office/drawing/2014/main" id="{5E67618D-188F-4AD6-A82B-09FD1DD70009}"/>
            </a:ext>
          </a:extLst>
        </xdr:cNvPr>
        <xdr:cNvSpPr/>
      </xdr:nvSpPr>
      <xdr:spPr>
        <a:xfrm>
          <a:off x="4840334" y="1811295"/>
          <a:ext cx="245745" cy="236220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2"/>
              </a:solidFill>
            </a:rPr>
            <a:t>4</a:t>
          </a:r>
        </a:p>
      </xdr:txBody>
    </xdr:sp>
    <xdr:clientData/>
  </xdr:twoCellAnchor>
  <xdr:twoCellAnchor>
    <xdr:from>
      <xdr:col>14</xdr:col>
      <xdr:colOff>38101</xdr:colOff>
      <xdr:row>9</xdr:row>
      <xdr:rowOff>35609</xdr:rowOff>
    </xdr:from>
    <xdr:to>
      <xdr:col>26</xdr:col>
      <xdr:colOff>138794</xdr:colOff>
      <xdr:row>15</xdr:row>
      <xdr:rowOff>37874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5B862426-793F-40D9-8049-0889AF1A6A69}"/>
            </a:ext>
          </a:extLst>
        </xdr:cNvPr>
        <xdr:cNvCxnSpPr>
          <a:cxnSpLocks/>
          <a:stCxn id="39" idx="2"/>
          <a:endCxn id="33" idx="6"/>
        </xdr:cNvCxnSpPr>
      </xdr:nvCxnSpPr>
      <xdr:spPr>
        <a:xfrm flipH="1">
          <a:off x="2571751" y="1921559"/>
          <a:ext cx="2268583" cy="1030965"/>
        </a:xfrm>
        <a:prstGeom prst="straightConnector1">
          <a:avLst/>
        </a:prstGeom>
        <a:ln w="6350">
          <a:solidFill>
            <a:schemeClr val="accent2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34473</xdr:colOff>
      <xdr:row>19</xdr:row>
      <xdr:rowOff>45357</xdr:rowOff>
    </xdr:from>
    <xdr:to>
      <xdr:col>14</xdr:col>
      <xdr:colOff>110673</xdr:colOff>
      <xdr:row>20</xdr:row>
      <xdr:rowOff>112032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9DB0BBAE-1CD7-448D-9087-69D8ED7FE2D8}"/>
            </a:ext>
          </a:extLst>
        </xdr:cNvPr>
        <xdr:cNvSpPr/>
      </xdr:nvSpPr>
      <xdr:spPr>
        <a:xfrm>
          <a:off x="2387148" y="3647712"/>
          <a:ext cx="257175" cy="23622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19</xdr:col>
      <xdr:colOff>184605</xdr:colOff>
      <xdr:row>8</xdr:row>
      <xdr:rowOff>108858</xdr:rowOff>
    </xdr:from>
    <xdr:to>
      <xdr:col>21</xdr:col>
      <xdr:colOff>60780</xdr:colOff>
      <xdr:row>9</xdr:row>
      <xdr:rowOff>175534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A12EEC25-445E-4D46-A1B5-17FE3C3D701A}"/>
            </a:ext>
          </a:extLst>
        </xdr:cNvPr>
        <xdr:cNvSpPr/>
      </xdr:nvSpPr>
      <xdr:spPr>
        <a:xfrm>
          <a:off x="3621225" y="1821453"/>
          <a:ext cx="236220" cy="23622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14</xdr:col>
      <xdr:colOff>71616</xdr:colOff>
      <xdr:row>9</xdr:row>
      <xdr:rowOff>139200</xdr:rowOff>
    </xdr:from>
    <xdr:to>
      <xdr:col>20</xdr:col>
      <xdr:colOff>31767</xdr:colOff>
      <xdr:row>19</xdr:row>
      <xdr:rowOff>81691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B26BA825-7D18-42C0-AC0D-A7B0039D3AA8}"/>
            </a:ext>
          </a:extLst>
        </xdr:cNvPr>
        <xdr:cNvCxnSpPr>
          <a:stCxn id="41" idx="7"/>
          <a:endCxn id="42" idx="3"/>
        </xdr:cNvCxnSpPr>
      </xdr:nvCxnSpPr>
      <xdr:spPr>
        <a:xfrm flipV="1">
          <a:off x="2603361" y="2021340"/>
          <a:ext cx="1046001" cy="1662706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115207</xdr:colOff>
      <xdr:row>8</xdr:row>
      <xdr:rowOff>122465</xdr:rowOff>
    </xdr:from>
    <xdr:to>
      <xdr:col>23</xdr:col>
      <xdr:colOff>907</xdr:colOff>
      <xdr:row>10</xdr:row>
      <xdr:rowOff>7711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C4311BF9-28A4-4CC0-B170-6DF91ECE255C}"/>
            </a:ext>
          </a:extLst>
        </xdr:cNvPr>
        <xdr:cNvSpPr/>
      </xdr:nvSpPr>
      <xdr:spPr>
        <a:xfrm>
          <a:off x="3915682" y="1838870"/>
          <a:ext cx="247650" cy="22814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14</xdr:col>
      <xdr:colOff>110673</xdr:colOff>
      <xdr:row>10</xdr:row>
      <xdr:rowOff>7711</xdr:rowOff>
    </xdr:from>
    <xdr:to>
      <xdr:col>22</xdr:col>
      <xdr:colOff>58057</xdr:colOff>
      <xdr:row>19</xdr:row>
      <xdr:rowOff>169409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5872A3F8-5F99-4DE3-A005-E3898E0B1326}"/>
            </a:ext>
          </a:extLst>
        </xdr:cNvPr>
        <xdr:cNvCxnSpPr>
          <a:cxnSpLocks/>
          <a:stCxn id="44" idx="4"/>
          <a:endCxn id="41" idx="6"/>
        </xdr:cNvCxnSpPr>
      </xdr:nvCxnSpPr>
      <xdr:spPr>
        <a:xfrm flipH="1">
          <a:off x="2644323" y="2067016"/>
          <a:ext cx="1391374" cy="1706653"/>
        </a:xfrm>
        <a:prstGeom prst="straightConnector1">
          <a:avLst/>
        </a:prstGeom>
        <a:ln w="635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238800</xdr:colOff>
      <xdr:row>14</xdr:row>
      <xdr:rowOff>272794</xdr:rowOff>
    </xdr:from>
    <xdr:to>
      <xdr:col>17</xdr:col>
      <xdr:colOff>488350</xdr:colOff>
      <xdr:row>14</xdr:row>
      <xdr:rowOff>388065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238E5785-C989-4C2C-831E-68F63CF0B707}"/>
            </a:ext>
          </a:extLst>
        </xdr:cNvPr>
        <xdr:cNvSpPr/>
      </xdr:nvSpPr>
      <xdr:spPr>
        <a:xfrm rot="21287971">
          <a:off x="11556405" y="6456424"/>
          <a:ext cx="245740" cy="115271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258590</xdr:colOff>
      <xdr:row>15</xdr:row>
      <xdr:rowOff>148718</xdr:rowOff>
    </xdr:from>
    <xdr:to>
      <xdr:col>17</xdr:col>
      <xdr:colOff>475296</xdr:colOff>
      <xdr:row>15</xdr:row>
      <xdr:rowOff>184437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3D15C236-48B1-47FC-BE55-7895763358AC}"/>
            </a:ext>
          </a:extLst>
        </xdr:cNvPr>
        <xdr:cNvCxnSpPr/>
      </xdr:nvCxnSpPr>
      <xdr:spPr>
        <a:xfrm flipV="1">
          <a:off x="11572385" y="6768593"/>
          <a:ext cx="22242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282055</xdr:colOff>
      <xdr:row>15</xdr:row>
      <xdr:rowOff>288322</xdr:rowOff>
    </xdr:from>
    <xdr:to>
      <xdr:col>17</xdr:col>
      <xdr:colOff>497641</xdr:colOff>
      <xdr:row>15</xdr:row>
      <xdr:rowOff>399773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8E8159AE-56BA-43B8-AD2E-B8484D77CA41}"/>
            </a:ext>
          </a:extLst>
        </xdr:cNvPr>
        <xdr:cNvGrpSpPr/>
      </xdr:nvGrpSpPr>
      <xdr:grpSpPr>
        <a:xfrm rot="21291818">
          <a:off x="11601565" y="6904387"/>
          <a:ext cx="211776" cy="119071"/>
          <a:chOff x="6140123" y="3967975"/>
          <a:chExt cx="183548" cy="109952"/>
        </a:xfrm>
      </xdr:grpSpPr>
      <xdr:cxnSp macro="">
        <xdr:nvCxnSpPr>
          <xdr:cNvPr id="5" name="Прямая соединительная линия 4">
            <a:extLst>
              <a:ext uri="{FF2B5EF4-FFF2-40B4-BE49-F238E27FC236}">
                <a16:creationId xmlns:a16="http://schemas.microsoft.com/office/drawing/2014/main" id="{B0945853-97A4-A42F-2451-EB1F72013EF8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DF60DFE7-5028-CE18-240B-34BCDA062AEE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89646</xdr:colOff>
      <xdr:row>0</xdr:row>
      <xdr:rowOff>71718</xdr:rowOff>
    </xdr:from>
    <xdr:to>
      <xdr:col>1</xdr:col>
      <xdr:colOff>2493196</xdr:colOff>
      <xdr:row>2</xdr:row>
      <xdr:rowOff>131939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A86BBE6-3CA3-43B9-8630-B9BAFD1F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6" y="69813"/>
          <a:ext cx="2649295" cy="1050821"/>
        </a:xfrm>
        <a:prstGeom prst="rect">
          <a:avLst/>
        </a:prstGeom>
      </xdr:spPr>
    </xdr:pic>
    <xdr:clientData/>
  </xdr:twoCellAnchor>
  <xdr:twoCellAnchor>
    <xdr:from>
      <xdr:col>11</xdr:col>
      <xdr:colOff>41680</xdr:colOff>
      <xdr:row>4</xdr:row>
      <xdr:rowOff>115484</xdr:rowOff>
    </xdr:from>
    <xdr:to>
      <xdr:col>11</xdr:col>
      <xdr:colOff>339904</xdr:colOff>
      <xdr:row>4</xdr:row>
      <xdr:rowOff>294029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5D5E30BD-67C3-4479-AA8A-E950B6F83C52}"/>
            </a:ext>
          </a:extLst>
        </xdr:cNvPr>
        <xdr:cNvSpPr/>
      </xdr:nvSpPr>
      <xdr:spPr>
        <a:xfrm rot="21287971">
          <a:off x="7280680" y="1915709"/>
          <a:ext cx="298224" cy="17664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52887</xdr:colOff>
      <xdr:row>5</xdr:row>
      <xdr:rowOff>115483</xdr:rowOff>
    </xdr:from>
    <xdr:to>
      <xdr:col>5</xdr:col>
      <xdr:colOff>351111</xdr:colOff>
      <xdr:row>5</xdr:row>
      <xdr:rowOff>292123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5BEA1365-C6AF-47D5-BC73-94D19D2686D4}"/>
            </a:ext>
          </a:extLst>
        </xdr:cNvPr>
        <xdr:cNvSpPr/>
      </xdr:nvSpPr>
      <xdr:spPr>
        <a:xfrm rot="21287971">
          <a:off x="4895397" y="2353858"/>
          <a:ext cx="296319" cy="17283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67902</xdr:colOff>
      <xdr:row>6</xdr:row>
      <xdr:rowOff>137895</xdr:rowOff>
    </xdr:from>
    <xdr:to>
      <xdr:col>7</xdr:col>
      <xdr:colOff>364221</xdr:colOff>
      <xdr:row>6</xdr:row>
      <xdr:rowOff>310725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ABC80636-6C16-46E4-B50C-023C66FE635E}"/>
            </a:ext>
          </a:extLst>
        </xdr:cNvPr>
        <xdr:cNvSpPr/>
      </xdr:nvSpPr>
      <xdr:spPr>
        <a:xfrm rot="21287971">
          <a:off x="5704797" y="2810610"/>
          <a:ext cx="294414" cy="17854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43586</xdr:colOff>
      <xdr:row>7</xdr:row>
      <xdr:rowOff>134086</xdr:rowOff>
    </xdr:from>
    <xdr:to>
      <xdr:col>11</xdr:col>
      <xdr:colOff>338000</xdr:colOff>
      <xdr:row>7</xdr:row>
      <xdr:rowOff>312631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3C6F809A-90CC-469A-B513-7C1F457DBA23}"/>
            </a:ext>
          </a:extLst>
        </xdr:cNvPr>
        <xdr:cNvSpPr/>
      </xdr:nvSpPr>
      <xdr:spPr>
        <a:xfrm rot="21287971">
          <a:off x="7284491" y="3244951"/>
          <a:ext cx="290604" cy="18426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34286</xdr:colOff>
      <xdr:row>8</xdr:row>
      <xdr:rowOff>130276</xdr:rowOff>
    </xdr:from>
    <xdr:to>
      <xdr:col>8</xdr:col>
      <xdr:colOff>324890</xdr:colOff>
      <xdr:row>8</xdr:row>
      <xdr:rowOff>314536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A9D12365-8109-4408-AF3E-80FD325CD871}"/>
            </a:ext>
          </a:extLst>
        </xdr:cNvPr>
        <xdr:cNvSpPr/>
      </xdr:nvSpPr>
      <xdr:spPr>
        <a:xfrm rot="21287971">
          <a:off x="6071231" y="3686911"/>
          <a:ext cx="288699" cy="18235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54791</xdr:colOff>
      <xdr:row>9</xdr:row>
      <xdr:rowOff>122882</xdr:rowOff>
    </xdr:from>
    <xdr:to>
      <xdr:col>11</xdr:col>
      <xdr:colOff>343490</xdr:colOff>
      <xdr:row>9</xdr:row>
      <xdr:rowOff>305237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1C1A560A-FAFE-49F3-BA5D-CBE967CE6673}"/>
            </a:ext>
          </a:extLst>
        </xdr:cNvPr>
        <xdr:cNvSpPr/>
      </xdr:nvSpPr>
      <xdr:spPr>
        <a:xfrm rot="21287971">
          <a:off x="7297601" y="4115762"/>
          <a:ext cx="284889" cy="18045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36189</xdr:colOff>
      <xdr:row>10</xdr:row>
      <xdr:rowOff>113581</xdr:rowOff>
    </xdr:from>
    <xdr:to>
      <xdr:col>10</xdr:col>
      <xdr:colOff>321078</xdr:colOff>
      <xdr:row>10</xdr:row>
      <xdr:rowOff>294031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EE180F63-EC57-48FB-A69F-06453F674878}"/>
            </a:ext>
          </a:extLst>
        </xdr:cNvPr>
        <xdr:cNvSpPr/>
      </xdr:nvSpPr>
      <xdr:spPr>
        <a:xfrm rot="21287971">
          <a:off x="6875139" y="4542706"/>
          <a:ext cx="288699" cy="17854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58601</xdr:colOff>
      <xdr:row>11</xdr:row>
      <xdr:rowOff>124788</xdr:rowOff>
    </xdr:from>
    <xdr:to>
      <xdr:col>6</xdr:col>
      <xdr:colOff>347300</xdr:colOff>
      <xdr:row>11</xdr:row>
      <xdr:rowOff>303333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AD5FC712-FEE7-4F7F-857D-4FFEAFF38E05}"/>
            </a:ext>
          </a:extLst>
        </xdr:cNvPr>
        <xdr:cNvSpPr/>
      </xdr:nvSpPr>
      <xdr:spPr>
        <a:xfrm rot="21287971">
          <a:off x="5293541" y="4993968"/>
          <a:ext cx="294414" cy="17664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43585</xdr:colOff>
      <xdr:row>12</xdr:row>
      <xdr:rowOff>115486</xdr:rowOff>
    </xdr:from>
    <xdr:to>
      <xdr:col>10</xdr:col>
      <xdr:colOff>337999</xdr:colOff>
      <xdr:row>12</xdr:row>
      <xdr:rowOff>292126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99A7B9E7-E46E-4837-84E3-5D07A10BAF8E}"/>
            </a:ext>
          </a:extLst>
        </xdr:cNvPr>
        <xdr:cNvSpPr/>
      </xdr:nvSpPr>
      <xdr:spPr>
        <a:xfrm rot="21287971">
          <a:off x="6884440" y="5420911"/>
          <a:ext cx="290604" cy="17283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133420</xdr:colOff>
      <xdr:row>4</xdr:row>
      <xdr:rowOff>283189</xdr:rowOff>
    </xdr:from>
    <xdr:to>
      <xdr:col>10</xdr:col>
      <xdr:colOff>355841</xdr:colOff>
      <xdr:row>4</xdr:row>
      <xdr:rowOff>317003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B87DFB05-8D86-491D-A83C-7D9651CCEAA9}"/>
            </a:ext>
          </a:extLst>
        </xdr:cNvPr>
        <xdr:cNvCxnSpPr/>
      </xdr:nvCxnSpPr>
      <xdr:spPr>
        <a:xfrm flipV="1">
          <a:off x="6968560" y="2087224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11</xdr:col>
      <xdr:colOff>118404</xdr:colOff>
      <xdr:row>5</xdr:row>
      <xdr:rowOff>298204</xdr:rowOff>
    </xdr:from>
    <xdr:to>
      <xdr:col>11</xdr:col>
      <xdr:colOff>348445</xdr:colOff>
      <xdr:row>5</xdr:row>
      <xdr:rowOff>332018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30DCD69E-C121-4DD1-99AA-4657AA858024}"/>
            </a:ext>
          </a:extLst>
        </xdr:cNvPr>
        <xdr:cNvCxnSpPr/>
      </xdr:nvCxnSpPr>
      <xdr:spPr>
        <a:xfrm flipV="1">
          <a:off x="7359309" y="2534674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53074</xdr:colOff>
      <xdr:row>6</xdr:row>
      <xdr:rowOff>285094</xdr:rowOff>
    </xdr:from>
    <xdr:to>
      <xdr:col>5</xdr:col>
      <xdr:colOff>283115</xdr:colOff>
      <xdr:row>6</xdr:row>
      <xdr:rowOff>318908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C808069F-8AA2-48A1-B679-DCFF0FE40277}"/>
            </a:ext>
          </a:extLst>
        </xdr:cNvPr>
        <xdr:cNvCxnSpPr/>
      </xdr:nvCxnSpPr>
      <xdr:spPr>
        <a:xfrm flipV="1">
          <a:off x="4895584" y="2965429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6</xdr:col>
      <xdr:colOff>71899</xdr:colOff>
      <xdr:row>8</xdr:row>
      <xdr:rowOff>307505</xdr:rowOff>
    </xdr:from>
    <xdr:to>
      <xdr:col>6</xdr:col>
      <xdr:colOff>301940</xdr:colOff>
      <xdr:row>8</xdr:row>
      <xdr:rowOff>348939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2FE96458-3E3D-426F-A1E9-2052A7E45799}"/>
            </a:ext>
          </a:extLst>
        </xdr:cNvPr>
        <xdr:cNvCxnSpPr/>
      </xdr:nvCxnSpPr>
      <xdr:spPr>
        <a:xfrm flipV="1">
          <a:off x="5308744" y="3860330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38282</xdr:colOff>
      <xdr:row>7</xdr:row>
      <xdr:rowOff>262681</xdr:rowOff>
    </xdr:from>
    <xdr:to>
      <xdr:col>5</xdr:col>
      <xdr:colOff>268323</xdr:colOff>
      <xdr:row>7</xdr:row>
      <xdr:rowOff>304115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76C98F4E-7561-404D-B847-D323F4FABFF3}"/>
            </a:ext>
          </a:extLst>
        </xdr:cNvPr>
        <xdr:cNvCxnSpPr/>
      </xdr:nvCxnSpPr>
      <xdr:spPr>
        <a:xfrm flipV="1">
          <a:off x="4876982" y="3375451"/>
          <a:ext cx="230041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12</xdr:col>
      <xdr:colOff>58788</xdr:colOff>
      <xdr:row>9</xdr:row>
      <xdr:rowOff>240271</xdr:rowOff>
    </xdr:from>
    <xdr:to>
      <xdr:col>12</xdr:col>
      <xdr:colOff>290734</xdr:colOff>
      <xdr:row>9</xdr:row>
      <xdr:rowOff>283610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A5F2724-1C77-4B47-A023-E4A54B3F5A72}"/>
            </a:ext>
          </a:extLst>
        </xdr:cNvPr>
        <xdr:cNvCxnSpPr/>
      </xdr:nvCxnSpPr>
      <xdr:spPr>
        <a:xfrm flipV="1">
          <a:off x="7694028" y="4235056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8</xdr:col>
      <xdr:colOff>88596</xdr:colOff>
      <xdr:row>10</xdr:row>
      <xdr:rowOff>266492</xdr:rowOff>
    </xdr:from>
    <xdr:to>
      <xdr:col>8</xdr:col>
      <xdr:colOff>320542</xdr:colOff>
      <xdr:row>10</xdr:row>
      <xdr:rowOff>309831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0F41681D-084D-4F2A-A434-0CB5B236C80F}"/>
            </a:ext>
          </a:extLst>
        </xdr:cNvPr>
        <xdr:cNvCxnSpPr/>
      </xdr:nvCxnSpPr>
      <xdr:spPr>
        <a:xfrm flipV="1">
          <a:off x="6131256" y="4695617"/>
          <a:ext cx="231946" cy="4524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8</xdr:col>
      <xdr:colOff>81200</xdr:colOff>
      <xdr:row>11</xdr:row>
      <xdr:rowOff>333727</xdr:rowOff>
    </xdr:from>
    <xdr:to>
      <xdr:col>8</xdr:col>
      <xdr:colOff>313146</xdr:colOff>
      <xdr:row>11</xdr:row>
      <xdr:rowOff>378971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372D7148-BEE0-497D-BEAC-40A198AC68C0}"/>
            </a:ext>
          </a:extLst>
        </xdr:cNvPr>
        <xdr:cNvCxnSpPr/>
      </xdr:nvCxnSpPr>
      <xdr:spPr>
        <a:xfrm flipV="1">
          <a:off x="6121955" y="5199097"/>
          <a:ext cx="231946" cy="4714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9</xdr:col>
      <xdr:colOff>127929</xdr:colOff>
      <xdr:row>12</xdr:row>
      <xdr:rowOff>264586</xdr:rowOff>
    </xdr:from>
    <xdr:to>
      <xdr:col>9</xdr:col>
      <xdr:colOff>359875</xdr:colOff>
      <xdr:row>12</xdr:row>
      <xdr:rowOff>311735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06CDBC46-33C1-4C6D-A221-4AC9D3437241}"/>
            </a:ext>
          </a:extLst>
        </xdr:cNvPr>
        <xdr:cNvCxnSpPr/>
      </xdr:nvCxnSpPr>
      <xdr:spPr>
        <a:xfrm flipV="1">
          <a:off x="6570639" y="5570011"/>
          <a:ext cx="231946" cy="4905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75710</xdr:colOff>
      <xdr:row>13</xdr:row>
      <xdr:rowOff>275792</xdr:rowOff>
    </xdr:from>
    <xdr:to>
      <xdr:col>5</xdr:col>
      <xdr:colOff>307656</xdr:colOff>
      <xdr:row>13</xdr:row>
      <xdr:rowOff>324846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4FC7B2A9-CB86-469A-B495-80F1751AD985}"/>
            </a:ext>
          </a:extLst>
        </xdr:cNvPr>
        <xdr:cNvCxnSpPr/>
      </xdr:nvCxnSpPr>
      <xdr:spPr>
        <a:xfrm flipV="1">
          <a:off x="4914410" y="6021272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238800</xdr:colOff>
      <xdr:row>30</xdr:row>
      <xdr:rowOff>272794</xdr:rowOff>
    </xdr:from>
    <xdr:to>
      <xdr:col>17</xdr:col>
      <xdr:colOff>488350</xdr:colOff>
      <xdr:row>30</xdr:row>
      <xdr:rowOff>388065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348478E7-0CEA-46BE-B339-EBD895AD8E22}"/>
            </a:ext>
          </a:extLst>
        </xdr:cNvPr>
        <xdr:cNvSpPr/>
      </xdr:nvSpPr>
      <xdr:spPr>
        <a:xfrm rot="21287971">
          <a:off x="11603470" y="6449140"/>
          <a:ext cx="245740" cy="115271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258590</xdr:colOff>
      <xdr:row>31</xdr:row>
      <xdr:rowOff>148718</xdr:rowOff>
    </xdr:from>
    <xdr:to>
      <xdr:col>17</xdr:col>
      <xdr:colOff>475296</xdr:colOff>
      <xdr:row>31</xdr:row>
      <xdr:rowOff>184437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E8FDF783-48C6-43AF-ADD2-B62C1271EF7F}"/>
            </a:ext>
          </a:extLst>
        </xdr:cNvPr>
        <xdr:cNvCxnSpPr/>
      </xdr:nvCxnSpPr>
      <xdr:spPr>
        <a:xfrm flipV="1">
          <a:off x="11619450" y="6760189"/>
          <a:ext cx="22242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oneCellAnchor>
    <xdr:from>
      <xdr:col>0</xdr:col>
      <xdr:colOff>89646</xdr:colOff>
      <xdr:row>16</xdr:row>
      <xdr:rowOff>71718</xdr:rowOff>
    </xdr:from>
    <xdr:ext cx="2650079" cy="1052054"/>
    <xdr:pic>
      <xdr:nvPicPr>
        <xdr:cNvPr id="32" name="Рисунок 31">
          <a:extLst>
            <a:ext uri="{FF2B5EF4-FFF2-40B4-BE49-F238E27FC236}">
              <a16:creationId xmlns:a16="http://schemas.microsoft.com/office/drawing/2014/main" id="{DA9D7518-1013-4020-9604-B80D0CD5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6" y="69813"/>
          <a:ext cx="2650079" cy="1052054"/>
        </a:xfrm>
        <a:prstGeom prst="rect">
          <a:avLst/>
        </a:prstGeom>
      </xdr:spPr>
    </xdr:pic>
    <xdr:clientData/>
  </xdr:oneCellAnchor>
  <xdr:twoCellAnchor>
    <xdr:from>
      <xdr:col>6</xdr:col>
      <xdr:colOff>8063</xdr:colOff>
      <xdr:row>20</xdr:row>
      <xdr:rowOff>137896</xdr:rowOff>
    </xdr:from>
    <xdr:to>
      <xdr:col>6</xdr:col>
      <xdr:colOff>306287</xdr:colOff>
      <xdr:row>20</xdr:row>
      <xdr:rowOff>314536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E6879F1F-2E95-49F6-9D63-091D3E890827}"/>
            </a:ext>
          </a:extLst>
        </xdr:cNvPr>
        <xdr:cNvSpPr/>
      </xdr:nvSpPr>
      <xdr:spPr>
        <a:xfrm rot="21287971">
          <a:off x="5252416" y="8990543"/>
          <a:ext cx="298224" cy="17664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30216</xdr:colOff>
      <xdr:row>21</xdr:row>
      <xdr:rowOff>140232</xdr:rowOff>
    </xdr:from>
    <xdr:to>
      <xdr:col>3</xdr:col>
      <xdr:colOff>334155</xdr:colOff>
      <xdr:row>21</xdr:row>
      <xdr:rowOff>359211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A08736EE-9801-4E77-B876-EAAA13E1DD95}"/>
            </a:ext>
          </a:extLst>
        </xdr:cNvPr>
        <xdr:cNvSpPr/>
      </xdr:nvSpPr>
      <xdr:spPr>
        <a:xfrm rot="21287971">
          <a:off x="4072129" y="9441602"/>
          <a:ext cx="303939" cy="218979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24584</xdr:colOff>
      <xdr:row>22</xdr:row>
      <xdr:rowOff>134085</xdr:rowOff>
    </xdr:from>
    <xdr:to>
      <xdr:col>3</xdr:col>
      <xdr:colOff>318998</xdr:colOff>
      <xdr:row>22</xdr:row>
      <xdr:rowOff>312630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C38B94D2-C499-4663-922A-DCA79C53E89D}"/>
            </a:ext>
          </a:extLst>
        </xdr:cNvPr>
        <xdr:cNvSpPr/>
      </xdr:nvSpPr>
      <xdr:spPr>
        <a:xfrm rot="21287971">
          <a:off x="4066497" y="9874433"/>
          <a:ext cx="294414" cy="17854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43586</xdr:colOff>
      <xdr:row>23</xdr:row>
      <xdr:rowOff>134086</xdr:rowOff>
    </xdr:from>
    <xdr:to>
      <xdr:col>11</xdr:col>
      <xdr:colOff>338000</xdr:colOff>
      <xdr:row>23</xdr:row>
      <xdr:rowOff>312631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F7C79467-3CCA-4DFE-B8BF-26EA9B49CBBA}"/>
            </a:ext>
          </a:extLst>
        </xdr:cNvPr>
        <xdr:cNvSpPr/>
      </xdr:nvSpPr>
      <xdr:spPr>
        <a:xfrm rot="21287971">
          <a:off x="7306903" y="3245511"/>
          <a:ext cx="290604" cy="18426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48945</xdr:colOff>
      <xdr:row>24</xdr:row>
      <xdr:rowOff>134086</xdr:rowOff>
    </xdr:from>
    <xdr:to>
      <xdr:col>7</xdr:col>
      <xdr:colOff>337644</xdr:colOff>
      <xdr:row>24</xdr:row>
      <xdr:rowOff>316441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A4CE2BF8-39B3-414E-A1C4-F17BD233BE3C}"/>
            </a:ext>
          </a:extLst>
        </xdr:cNvPr>
        <xdr:cNvSpPr/>
      </xdr:nvSpPr>
      <xdr:spPr>
        <a:xfrm rot="21287971">
          <a:off x="5681119" y="10752390"/>
          <a:ext cx="288699" cy="18235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54791</xdr:colOff>
      <xdr:row>25</xdr:row>
      <xdr:rowOff>122882</xdr:rowOff>
    </xdr:from>
    <xdr:to>
      <xdr:col>11</xdr:col>
      <xdr:colOff>343490</xdr:colOff>
      <xdr:row>25</xdr:row>
      <xdr:rowOff>305237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7AC011E4-598E-4DFD-90D1-216EBBF2EC64}"/>
            </a:ext>
          </a:extLst>
        </xdr:cNvPr>
        <xdr:cNvSpPr/>
      </xdr:nvSpPr>
      <xdr:spPr>
        <a:xfrm rot="21287971">
          <a:off x="7320013" y="4114081"/>
          <a:ext cx="284889" cy="18045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77602</xdr:colOff>
      <xdr:row>26</xdr:row>
      <xdr:rowOff>138428</xdr:rowOff>
    </xdr:from>
    <xdr:to>
      <xdr:col>5</xdr:col>
      <xdr:colOff>366301</xdr:colOff>
      <xdr:row>26</xdr:row>
      <xdr:rowOff>316973</xdr:rowOff>
    </xdr:to>
    <xdr:sp macro="" textlink="">
      <xdr:nvSpPr>
        <xdr:cNvPr id="39" name="Овал 38">
          <a:extLst>
            <a:ext uri="{FF2B5EF4-FFF2-40B4-BE49-F238E27FC236}">
              <a16:creationId xmlns:a16="http://schemas.microsoft.com/office/drawing/2014/main" id="{9F6782FF-421C-4827-A802-D301461BAE95}"/>
            </a:ext>
          </a:extLst>
        </xdr:cNvPr>
        <xdr:cNvSpPr/>
      </xdr:nvSpPr>
      <xdr:spPr>
        <a:xfrm rot="21287971">
          <a:off x="4914645" y="11634689"/>
          <a:ext cx="288699" cy="17854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377814</xdr:colOff>
      <xdr:row>27</xdr:row>
      <xdr:rowOff>143258</xdr:rowOff>
    </xdr:from>
    <xdr:to>
      <xdr:col>6</xdr:col>
      <xdr:colOff>274662</xdr:colOff>
      <xdr:row>27</xdr:row>
      <xdr:rowOff>319898</xdr:rowOff>
    </xdr:to>
    <xdr:sp macro="" textlink="">
      <xdr:nvSpPr>
        <xdr:cNvPr id="40" name="Овал 39">
          <a:extLst>
            <a:ext uri="{FF2B5EF4-FFF2-40B4-BE49-F238E27FC236}">
              <a16:creationId xmlns:a16="http://schemas.microsoft.com/office/drawing/2014/main" id="{3D99B962-CFD9-42F5-8F8F-D8A1E75F325E}"/>
            </a:ext>
          </a:extLst>
        </xdr:cNvPr>
        <xdr:cNvSpPr/>
      </xdr:nvSpPr>
      <xdr:spPr>
        <a:xfrm rot="21287971">
          <a:off x="5214857" y="12078497"/>
          <a:ext cx="294414" cy="17664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86904</xdr:colOff>
      <xdr:row>28</xdr:row>
      <xdr:rowOff>132051</xdr:rowOff>
    </xdr:from>
    <xdr:to>
      <xdr:col>5</xdr:col>
      <xdr:colOff>377508</xdr:colOff>
      <xdr:row>28</xdr:row>
      <xdr:rowOff>304881</xdr:rowOff>
    </xdr:to>
    <xdr:sp macro="" textlink="">
      <xdr:nvSpPr>
        <xdr:cNvPr id="41" name="Овал 40">
          <a:extLst>
            <a:ext uri="{FF2B5EF4-FFF2-40B4-BE49-F238E27FC236}">
              <a16:creationId xmlns:a16="http://schemas.microsoft.com/office/drawing/2014/main" id="{B1F7B3BB-DDB2-43B9-B8F8-4D0B7515B17C}"/>
            </a:ext>
          </a:extLst>
        </xdr:cNvPr>
        <xdr:cNvSpPr/>
      </xdr:nvSpPr>
      <xdr:spPr>
        <a:xfrm rot="21287971">
          <a:off x="4923947" y="12506268"/>
          <a:ext cx="290604" cy="17283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103744</xdr:colOff>
      <xdr:row>21</xdr:row>
      <xdr:rowOff>279733</xdr:rowOff>
    </xdr:from>
    <xdr:to>
      <xdr:col>7</xdr:col>
      <xdr:colOff>333785</xdr:colOff>
      <xdr:row>21</xdr:row>
      <xdr:rowOff>313547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5D29DC48-9722-4004-990A-C4B72DDD7E3D}"/>
            </a:ext>
          </a:extLst>
        </xdr:cNvPr>
        <xdr:cNvCxnSpPr/>
      </xdr:nvCxnSpPr>
      <xdr:spPr>
        <a:xfrm flipV="1">
          <a:off x="5735918" y="9581103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53074</xdr:colOff>
      <xdr:row>22</xdr:row>
      <xdr:rowOff>285094</xdr:rowOff>
    </xdr:from>
    <xdr:to>
      <xdr:col>5</xdr:col>
      <xdr:colOff>283115</xdr:colOff>
      <xdr:row>22</xdr:row>
      <xdr:rowOff>318908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52A811C5-3ED6-4E7E-8B9D-C3DB5F1642DD}"/>
            </a:ext>
          </a:extLst>
        </xdr:cNvPr>
        <xdr:cNvCxnSpPr/>
      </xdr:nvCxnSpPr>
      <xdr:spPr>
        <a:xfrm flipV="1">
          <a:off x="4897825" y="2967110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6</xdr:col>
      <xdr:colOff>71899</xdr:colOff>
      <xdr:row>24</xdr:row>
      <xdr:rowOff>307505</xdr:rowOff>
    </xdr:from>
    <xdr:to>
      <xdr:col>6</xdr:col>
      <xdr:colOff>301940</xdr:colOff>
      <xdr:row>24</xdr:row>
      <xdr:rowOff>348939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B61E2697-144A-4741-87F3-E6C9CAED0DDD}"/>
            </a:ext>
          </a:extLst>
        </xdr:cNvPr>
        <xdr:cNvCxnSpPr/>
      </xdr:nvCxnSpPr>
      <xdr:spPr>
        <a:xfrm flipV="1">
          <a:off x="5314347" y="3859770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38282</xdr:colOff>
      <xdr:row>23</xdr:row>
      <xdr:rowOff>262681</xdr:rowOff>
    </xdr:from>
    <xdr:to>
      <xdr:col>5</xdr:col>
      <xdr:colOff>268323</xdr:colOff>
      <xdr:row>23</xdr:row>
      <xdr:rowOff>304115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019988D3-3E84-4A51-9322-F77CAA5C39E4}"/>
            </a:ext>
          </a:extLst>
        </xdr:cNvPr>
        <xdr:cNvCxnSpPr/>
      </xdr:nvCxnSpPr>
      <xdr:spPr>
        <a:xfrm flipV="1">
          <a:off x="4879223" y="3376011"/>
          <a:ext cx="230041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12</xdr:col>
      <xdr:colOff>104674</xdr:colOff>
      <xdr:row>25</xdr:row>
      <xdr:rowOff>310342</xdr:rowOff>
    </xdr:from>
    <xdr:to>
      <xdr:col>12</xdr:col>
      <xdr:colOff>336620</xdr:colOff>
      <xdr:row>25</xdr:row>
      <xdr:rowOff>353681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6D5FECBF-1524-4D65-A682-414F567AB2D1}"/>
            </a:ext>
          </a:extLst>
        </xdr:cNvPr>
        <xdr:cNvCxnSpPr/>
      </xdr:nvCxnSpPr>
      <xdr:spPr>
        <a:xfrm flipV="1">
          <a:off x="7724674" y="11367625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9</xdr:col>
      <xdr:colOff>17863</xdr:colOff>
      <xdr:row>26</xdr:row>
      <xdr:rowOff>291340</xdr:rowOff>
    </xdr:from>
    <xdr:to>
      <xdr:col>9</xdr:col>
      <xdr:colOff>249809</xdr:colOff>
      <xdr:row>26</xdr:row>
      <xdr:rowOff>336584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C6ED890B-4189-4A6C-9C0C-679A96117777}"/>
            </a:ext>
          </a:extLst>
        </xdr:cNvPr>
        <xdr:cNvCxnSpPr/>
      </xdr:nvCxnSpPr>
      <xdr:spPr>
        <a:xfrm flipV="1">
          <a:off x="6445167" y="11787601"/>
          <a:ext cx="231946" cy="4524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7</xdr:col>
      <xdr:colOff>41692</xdr:colOff>
      <xdr:row>27</xdr:row>
      <xdr:rowOff>364953</xdr:rowOff>
    </xdr:from>
    <xdr:to>
      <xdr:col>7</xdr:col>
      <xdr:colOff>273638</xdr:colOff>
      <xdr:row>27</xdr:row>
      <xdr:rowOff>412102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7087D1CA-8126-4800-A042-9A3269DE52C3}"/>
            </a:ext>
          </a:extLst>
        </xdr:cNvPr>
        <xdr:cNvCxnSpPr/>
      </xdr:nvCxnSpPr>
      <xdr:spPr>
        <a:xfrm flipV="1">
          <a:off x="5673866" y="12300192"/>
          <a:ext cx="231946" cy="4714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9</xdr:col>
      <xdr:colOff>127929</xdr:colOff>
      <xdr:row>28</xdr:row>
      <xdr:rowOff>264586</xdr:rowOff>
    </xdr:from>
    <xdr:to>
      <xdr:col>9</xdr:col>
      <xdr:colOff>359875</xdr:colOff>
      <xdr:row>28</xdr:row>
      <xdr:rowOff>311735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D4585C65-3FD7-4A2D-8396-058AF2201963}"/>
            </a:ext>
          </a:extLst>
        </xdr:cNvPr>
        <xdr:cNvCxnSpPr/>
      </xdr:nvCxnSpPr>
      <xdr:spPr>
        <a:xfrm flipV="1">
          <a:off x="6586327" y="5564968"/>
          <a:ext cx="231946" cy="4905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12</xdr:col>
      <xdr:colOff>134765</xdr:colOff>
      <xdr:row>29</xdr:row>
      <xdr:rowOff>308177</xdr:rowOff>
    </xdr:from>
    <xdr:to>
      <xdr:col>12</xdr:col>
      <xdr:colOff>368616</xdr:colOff>
      <xdr:row>29</xdr:row>
      <xdr:rowOff>353421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15BEB143-2C1F-48EA-BF51-2AB8ADD52D36}"/>
            </a:ext>
          </a:extLst>
        </xdr:cNvPr>
        <xdr:cNvCxnSpPr/>
      </xdr:nvCxnSpPr>
      <xdr:spPr>
        <a:xfrm flipV="1">
          <a:off x="7773815" y="13109777"/>
          <a:ext cx="233851" cy="4524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250343</xdr:colOff>
      <xdr:row>31</xdr:row>
      <xdr:rowOff>230387</xdr:rowOff>
    </xdr:from>
    <xdr:to>
      <xdr:col>17</xdr:col>
      <xdr:colOff>467834</xdr:colOff>
      <xdr:row>31</xdr:row>
      <xdr:rowOff>351363</xdr:rowOff>
    </xdr:to>
    <xdr:grpSp>
      <xdr:nvGrpSpPr>
        <xdr:cNvPr id="52" name="Группа 51">
          <a:extLst>
            <a:ext uri="{FF2B5EF4-FFF2-40B4-BE49-F238E27FC236}">
              <a16:creationId xmlns:a16="http://schemas.microsoft.com/office/drawing/2014/main" id="{39E59126-EC44-E516-DEFB-33256DB90EFA}"/>
            </a:ext>
          </a:extLst>
        </xdr:cNvPr>
        <xdr:cNvGrpSpPr/>
      </xdr:nvGrpSpPr>
      <xdr:grpSpPr>
        <a:xfrm rot="21291818">
          <a:off x="11562233" y="13908287"/>
          <a:ext cx="223206" cy="122881"/>
          <a:chOff x="6140123" y="3967975"/>
          <a:chExt cx="183548" cy="109952"/>
        </a:xfrm>
      </xdr:grpSpPr>
      <xdr:cxnSp macro="">
        <xdr:nvCxnSpPr>
          <xdr:cNvPr id="53" name="Прямая соединительная линия 52">
            <a:extLst>
              <a:ext uri="{FF2B5EF4-FFF2-40B4-BE49-F238E27FC236}">
                <a16:creationId xmlns:a16="http://schemas.microsoft.com/office/drawing/2014/main" id="{FE1DD99F-7CB5-E317-7C12-A23A53958EA1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Прямая соединительная линия 53">
            <a:extLst>
              <a:ext uri="{FF2B5EF4-FFF2-40B4-BE49-F238E27FC236}">
                <a16:creationId xmlns:a16="http://schemas.microsoft.com/office/drawing/2014/main" id="{B65892D3-9682-6D2C-658D-86C30C05DCD0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98951</xdr:colOff>
      <xdr:row>20</xdr:row>
      <xdr:rowOff>140742</xdr:rowOff>
    </xdr:from>
    <xdr:to>
      <xdr:col>8</xdr:col>
      <xdr:colOff>324062</xdr:colOff>
      <xdr:row>20</xdr:row>
      <xdr:rowOff>265528</xdr:rowOff>
    </xdr:to>
    <xdr:grpSp>
      <xdr:nvGrpSpPr>
        <xdr:cNvPr id="55" name="Группа 54">
          <a:extLst>
            <a:ext uri="{FF2B5EF4-FFF2-40B4-BE49-F238E27FC236}">
              <a16:creationId xmlns:a16="http://schemas.microsoft.com/office/drawing/2014/main" id="{893C4498-1507-EFE3-A7FA-8F099591EFE4}"/>
            </a:ext>
          </a:extLst>
        </xdr:cNvPr>
        <xdr:cNvGrpSpPr/>
      </xdr:nvGrpSpPr>
      <xdr:grpSpPr>
        <a:xfrm rot="21291818">
          <a:off x="6133991" y="8995182"/>
          <a:ext cx="225111" cy="128596"/>
          <a:chOff x="6140123" y="3967975"/>
          <a:chExt cx="183548" cy="109952"/>
        </a:xfrm>
      </xdr:grpSpPr>
      <xdr:cxnSp macro="">
        <xdr:nvCxnSpPr>
          <xdr:cNvPr id="56" name="Прямая соединительная линия 55">
            <a:extLst>
              <a:ext uri="{FF2B5EF4-FFF2-40B4-BE49-F238E27FC236}">
                <a16:creationId xmlns:a16="http://schemas.microsoft.com/office/drawing/2014/main" id="{E8FF8FC9-B4C4-3D0F-86ED-F50ECDB1519A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Прямая соединительная линия 56">
            <a:extLst>
              <a:ext uri="{FF2B5EF4-FFF2-40B4-BE49-F238E27FC236}">
                <a16:creationId xmlns:a16="http://schemas.microsoft.com/office/drawing/2014/main" id="{DC2E68A8-D73D-6FF0-F0CB-9BC67C1EE65D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83936</xdr:colOff>
      <xdr:row>20</xdr:row>
      <xdr:rowOff>181755</xdr:rowOff>
    </xdr:from>
    <xdr:to>
      <xdr:col>10</xdr:col>
      <xdr:colOff>309047</xdr:colOff>
      <xdr:row>20</xdr:row>
      <xdr:rowOff>310351</xdr:rowOff>
    </xdr:to>
    <xdr:grpSp>
      <xdr:nvGrpSpPr>
        <xdr:cNvPr id="58" name="Группа 57">
          <a:extLst>
            <a:ext uri="{FF2B5EF4-FFF2-40B4-BE49-F238E27FC236}">
              <a16:creationId xmlns:a16="http://schemas.microsoft.com/office/drawing/2014/main" id="{F190FB94-1E3C-341D-C03C-BC301E8A8EC1}"/>
            </a:ext>
          </a:extLst>
        </xdr:cNvPr>
        <xdr:cNvGrpSpPr/>
      </xdr:nvGrpSpPr>
      <xdr:grpSpPr>
        <a:xfrm rot="21291818">
          <a:off x="6924791" y="9038100"/>
          <a:ext cx="225111" cy="132406"/>
          <a:chOff x="6140123" y="3967975"/>
          <a:chExt cx="183548" cy="109952"/>
        </a:xfrm>
      </xdr:grpSpPr>
      <xdr:cxnSp macro="">
        <xdr:nvCxnSpPr>
          <xdr:cNvPr id="59" name="Прямая соединительная линия 58">
            <a:extLst>
              <a:ext uri="{FF2B5EF4-FFF2-40B4-BE49-F238E27FC236}">
                <a16:creationId xmlns:a16="http://schemas.microsoft.com/office/drawing/2014/main" id="{D0292259-75A1-5086-3419-305404B4FF06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Прямая соединительная линия 59">
            <a:extLst>
              <a:ext uri="{FF2B5EF4-FFF2-40B4-BE49-F238E27FC236}">
                <a16:creationId xmlns:a16="http://schemas.microsoft.com/office/drawing/2014/main" id="{A0860510-CED9-58C8-CFB0-46A0FC69AD35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110688</xdr:colOff>
      <xdr:row>25</xdr:row>
      <xdr:rowOff>213913</xdr:rowOff>
    </xdr:from>
    <xdr:to>
      <xdr:col>4</xdr:col>
      <xdr:colOff>335799</xdr:colOff>
      <xdr:row>25</xdr:row>
      <xdr:rowOff>346319</xdr:rowOff>
    </xdr:to>
    <xdr:grpSp>
      <xdr:nvGrpSpPr>
        <xdr:cNvPr id="61" name="Группа 60">
          <a:extLst>
            <a:ext uri="{FF2B5EF4-FFF2-40B4-BE49-F238E27FC236}">
              <a16:creationId xmlns:a16="http://schemas.microsoft.com/office/drawing/2014/main" id="{379ED657-3F9D-5EC2-402E-94A14D406A51}"/>
            </a:ext>
          </a:extLst>
        </xdr:cNvPr>
        <xdr:cNvGrpSpPr/>
      </xdr:nvGrpSpPr>
      <xdr:grpSpPr>
        <a:xfrm rot="21291818">
          <a:off x="4549338" y="11259103"/>
          <a:ext cx="223206" cy="136216"/>
          <a:chOff x="6140123" y="3967975"/>
          <a:chExt cx="183548" cy="109952"/>
        </a:xfrm>
      </xdr:grpSpPr>
      <xdr:cxnSp macro="">
        <xdr:nvCxnSpPr>
          <xdr:cNvPr id="62" name="Прямая соединительная линия 61">
            <a:extLst>
              <a:ext uri="{FF2B5EF4-FFF2-40B4-BE49-F238E27FC236}">
                <a16:creationId xmlns:a16="http://schemas.microsoft.com/office/drawing/2014/main" id="{78AB3B63-D228-593F-31EE-43810AE0E6E9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Прямая соединительная линия 62">
            <a:extLst>
              <a:ext uri="{FF2B5EF4-FFF2-40B4-BE49-F238E27FC236}">
                <a16:creationId xmlns:a16="http://schemas.microsoft.com/office/drawing/2014/main" id="{A3E2D6E5-B7E9-C02B-431A-F75F668B741D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19456</xdr:colOff>
      <xdr:row>20</xdr:row>
      <xdr:rowOff>307504</xdr:rowOff>
    </xdr:from>
    <xdr:to>
      <xdr:col>7</xdr:col>
      <xdr:colOff>249497</xdr:colOff>
      <xdr:row>20</xdr:row>
      <xdr:rowOff>341318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4AD03982-2EB9-EF89-D0CC-C63BE0111F45}"/>
            </a:ext>
          </a:extLst>
        </xdr:cNvPr>
        <xdr:cNvCxnSpPr/>
      </xdr:nvCxnSpPr>
      <xdr:spPr>
        <a:xfrm flipV="1">
          <a:off x="5667221" y="9160151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238800</xdr:colOff>
      <xdr:row>43</xdr:row>
      <xdr:rowOff>272794</xdr:rowOff>
    </xdr:from>
    <xdr:to>
      <xdr:col>17</xdr:col>
      <xdr:colOff>488350</xdr:colOff>
      <xdr:row>43</xdr:row>
      <xdr:rowOff>388065</xdr:rowOff>
    </xdr:to>
    <xdr:sp macro="" textlink="">
      <xdr:nvSpPr>
        <xdr:cNvPr id="65" name="Овал 64">
          <a:extLst>
            <a:ext uri="{FF2B5EF4-FFF2-40B4-BE49-F238E27FC236}">
              <a16:creationId xmlns:a16="http://schemas.microsoft.com/office/drawing/2014/main" id="{AD76EB64-7B6D-4693-B1DB-AB99CE1DC17E}"/>
            </a:ext>
          </a:extLst>
        </xdr:cNvPr>
        <xdr:cNvSpPr/>
      </xdr:nvSpPr>
      <xdr:spPr>
        <a:xfrm rot="21287971">
          <a:off x="11556405" y="13514449"/>
          <a:ext cx="245740" cy="115271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258590</xdr:colOff>
      <xdr:row>44</xdr:row>
      <xdr:rowOff>148718</xdr:rowOff>
    </xdr:from>
    <xdr:to>
      <xdr:col>17</xdr:col>
      <xdr:colOff>475296</xdr:colOff>
      <xdr:row>44</xdr:row>
      <xdr:rowOff>184437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164FD67E-79FF-4559-8CC2-092A02D1ACC9}"/>
            </a:ext>
          </a:extLst>
        </xdr:cNvPr>
        <xdr:cNvCxnSpPr/>
      </xdr:nvCxnSpPr>
      <xdr:spPr>
        <a:xfrm flipV="1">
          <a:off x="11572385" y="13826618"/>
          <a:ext cx="22242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oneCellAnchor>
    <xdr:from>
      <xdr:col>0</xdr:col>
      <xdr:colOff>89646</xdr:colOff>
      <xdr:row>32</xdr:row>
      <xdr:rowOff>71718</xdr:rowOff>
    </xdr:from>
    <xdr:ext cx="2650079" cy="1052054"/>
    <xdr:pic>
      <xdr:nvPicPr>
        <xdr:cNvPr id="67" name="Рисунок 66">
          <a:extLst>
            <a:ext uri="{FF2B5EF4-FFF2-40B4-BE49-F238E27FC236}">
              <a16:creationId xmlns:a16="http://schemas.microsoft.com/office/drawing/2014/main" id="{EBED5B9C-17DD-4F1B-96E5-880675C4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6" y="7127838"/>
          <a:ext cx="2650079" cy="1052054"/>
        </a:xfrm>
        <a:prstGeom prst="rect">
          <a:avLst/>
        </a:prstGeom>
      </xdr:spPr>
    </xdr:pic>
    <xdr:clientData/>
  </xdr:oneCellAnchor>
  <xdr:twoCellAnchor>
    <xdr:from>
      <xdr:col>7</xdr:col>
      <xdr:colOff>55688</xdr:colOff>
      <xdr:row>36</xdr:row>
      <xdr:rowOff>153135</xdr:rowOff>
    </xdr:from>
    <xdr:to>
      <xdr:col>7</xdr:col>
      <xdr:colOff>350102</xdr:colOff>
      <xdr:row>36</xdr:row>
      <xdr:rowOff>333585</xdr:rowOff>
    </xdr:to>
    <xdr:sp macro="" textlink="">
      <xdr:nvSpPr>
        <xdr:cNvPr id="68" name="Овал 67">
          <a:extLst>
            <a:ext uri="{FF2B5EF4-FFF2-40B4-BE49-F238E27FC236}">
              <a16:creationId xmlns:a16="http://schemas.microsoft.com/office/drawing/2014/main" id="{FCB5B92C-AC9D-4462-B514-428F4EFA296D}"/>
            </a:ext>
          </a:extLst>
        </xdr:cNvPr>
        <xdr:cNvSpPr/>
      </xdr:nvSpPr>
      <xdr:spPr>
        <a:xfrm rot="21287971">
          <a:off x="5694488" y="16069410"/>
          <a:ext cx="294414" cy="18045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66411</xdr:colOff>
      <xdr:row>37</xdr:row>
      <xdr:rowOff>145947</xdr:rowOff>
    </xdr:from>
    <xdr:to>
      <xdr:col>6</xdr:col>
      <xdr:colOff>370350</xdr:colOff>
      <xdr:row>37</xdr:row>
      <xdr:rowOff>372546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1FA0130E-4440-4251-A70F-2C5CB2066ECE}"/>
            </a:ext>
          </a:extLst>
        </xdr:cNvPr>
        <xdr:cNvSpPr/>
      </xdr:nvSpPr>
      <xdr:spPr>
        <a:xfrm rot="21287971">
          <a:off x="5305161" y="16500372"/>
          <a:ext cx="303939" cy="226599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20775</xdr:colOff>
      <xdr:row>38</xdr:row>
      <xdr:rowOff>139799</xdr:rowOff>
    </xdr:from>
    <xdr:to>
      <xdr:col>6</xdr:col>
      <xdr:colOff>322809</xdr:colOff>
      <xdr:row>38</xdr:row>
      <xdr:rowOff>324059</xdr:rowOff>
    </xdr:to>
    <xdr:sp macro="" textlink="">
      <xdr:nvSpPr>
        <xdr:cNvPr id="70" name="Овал 69">
          <a:extLst>
            <a:ext uri="{FF2B5EF4-FFF2-40B4-BE49-F238E27FC236}">
              <a16:creationId xmlns:a16="http://schemas.microsoft.com/office/drawing/2014/main" id="{553CCF8C-B341-4B42-821E-7DD80D44E3C5}"/>
            </a:ext>
          </a:extLst>
        </xdr:cNvPr>
        <xdr:cNvSpPr/>
      </xdr:nvSpPr>
      <xdr:spPr>
        <a:xfrm rot="21287971">
          <a:off x="5259525" y="16932374"/>
          <a:ext cx="302034" cy="18426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35966</xdr:colOff>
      <xdr:row>39</xdr:row>
      <xdr:rowOff>130276</xdr:rowOff>
    </xdr:from>
    <xdr:to>
      <xdr:col>3</xdr:col>
      <xdr:colOff>326570</xdr:colOff>
      <xdr:row>39</xdr:row>
      <xdr:rowOff>314536</xdr:rowOff>
    </xdr:to>
    <xdr:sp macro="" textlink="">
      <xdr:nvSpPr>
        <xdr:cNvPr id="71" name="Овал 70">
          <a:extLst>
            <a:ext uri="{FF2B5EF4-FFF2-40B4-BE49-F238E27FC236}">
              <a16:creationId xmlns:a16="http://schemas.microsoft.com/office/drawing/2014/main" id="{14A75976-9D89-45AB-B385-F872DDE3286B}"/>
            </a:ext>
          </a:extLst>
        </xdr:cNvPr>
        <xdr:cNvSpPr/>
      </xdr:nvSpPr>
      <xdr:spPr>
        <a:xfrm rot="21287971">
          <a:off x="4074566" y="17361001"/>
          <a:ext cx="290604" cy="18426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66089</xdr:colOff>
      <xdr:row>40</xdr:row>
      <xdr:rowOff>143612</xdr:rowOff>
    </xdr:from>
    <xdr:to>
      <xdr:col>6</xdr:col>
      <xdr:colOff>350978</xdr:colOff>
      <xdr:row>40</xdr:row>
      <xdr:rowOff>333587</xdr:rowOff>
    </xdr:to>
    <xdr:sp macro="" textlink="">
      <xdr:nvSpPr>
        <xdr:cNvPr id="72" name="Овал 71">
          <a:extLst>
            <a:ext uri="{FF2B5EF4-FFF2-40B4-BE49-F238E27FC236}">
              <a16:creationId xmlns:a16="http://schemas.microsoft.com/office/drawing/2014/main" id="{67BD9D45-507F-4B79-8906-A44E9A5DBD43}"/>
            </a:ext>
          </a:extLst>
        </xdr:cNvPr>
        <xdr:cNvSpPr/>
      </xdr:nvSpPr>
      <xdr:spPr>
        <a:xfrm rot="21287971">
          <a:off x="5304839" y="17812487"/>
          <a:ext cx="284889" cy="189975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77651</xdr:colOff>
      <xdr:row>41</xdr:row>
      <xdr:rowOff>153362</xdr:rowOff>
    </xdr:from>
    <xdr:to>
      <xdr:col>4</xdr:col>
      <xdr:colOff>362540</xdr:colOff>
      <xdr:row>41</xdr:row>
      <xdr:rowOff>333812</xdr:rowOff>
    </xdr:to>
    <xdr:sp macro="" textlink="">
      <xdr:nvSpPr>
        <xdr:cNvPr id="73" name="Овал 72">
          <a:extLst>
            <a:ext uri="{FF2B5EF4-FFF2-40B4-BE49-F238E27FC236}">
              <a16:creationId xmlns:a16="http://schemas.microsoft.com/office/drawing/2014/main" id="{DB88B0BD-6888-4CE9-A3AF-22A8D0AFB2FB}"/>
            </a:ext>
          </a:extLst>
        </xdr:cNvPr>
        <xdr:cNvSpPr/>
      </xdr:nvSpPr>
      <xdr:spPr>
        <a:xfrm rot="21287971">
          <a:off x="4516301" y="18260387"/>
          <a:ext cx="284889" cy="180450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54214</xdr:colOff>
      <xdr:row>37</xdr:row>
      <xdr:rowOff>312118</xdr:rowOff>
    </xdr:from>
    <xdr:to>
      <xdr:col>10</xdr:col>
      <xdr:colOff>284255</xdr:colOff>
      <xdr:row>37</xdr:row>
      <xdr:rowOff>344027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C5D4EEF3-E489-403F-8805-487AD197B441}"/>
            </a:ext>
          </a:extLst>
        </xdr:cNvPr>
        <xdr:cNvCxnSpPr/>
      </xdr:nvCxnSpPr>
      <xdr:spPr>
        <a:xfrm flipV="1">
          <a:off x="6893164" y="16666543"/>
          <a:ext cx="230041" cy="3190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3</xdr:col>
      <xdr:colOff>104509</xdr:colOff>
      <xdr:row>38</xdr:row>
      <xdr:rowOff>317479</xdr:rowOff>
    </xdr:from>
    <xdr:to>
      <xdr:col>3</xdr:col>
      <xdr:colOff>334550</xdr:colOff>
      <xdr:row>38</xdr:row>
      <xdr:rowOff>351293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77114C94-F9E5-4813-A0CB-B02A1A4D3F50}"/>
            </a:ext>
          </a:extLst>
        </xdr:cNvPr>
        <xdr:cNvCxnSpPr/>
      </xdr:nvCxnSpPr>
      <xdr:spPr>
        <a:xfrm flipV="1">
          <a:off x="4143109" y="17110054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11</xdr:col>
      <xdr:colOff>89044</xdr:colOff>
      <xdr:row>40</xdr:row>
      <xdr:rowOff>317030</xdr:rowOff>
    </xdr:from>
    <xdr:to>
      <xdr:col>11</xdr:col>
      <xdr:colOff>320990</xdr:colOff>
      <xdr:row>40</xdr:row>
      <xdr:rowOff>360369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B96C97D2-DE2D-47D1-9866-93F66FBDCFF7}"/>
            </a:ext>
          </a:extLst>
        </xdr:cNvPr>
        <xdr:cNvCxnSpPr/>
      </xdr:nvCxnSpPr>
      <xdr:spPr>
        <a:xfrm flipV="1">
          <a:off x="7328044" y="17985905"/>
          <a:ext cx="231946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10</xdr:col>
      <xdr:colOff>85907</xdr:colOff>
      <xdr:row>39</xdr:row>
      <xdr:rowOff>308401</xdr:rowOff>
    </xdr:from>
    <xdr:to>
      <xdr:col>10</xdr:col>
      <xdr:colOff>315948</xdr:colOff>
      <xdr:row>39</xdr:row>
      <xdr:rowOff>351740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DD94EB9C-CE3D-4434-996E-3A906E300465}"/>
            </a:ext>
          </a:extLst>
        </xdr:cNvPr>
        <xdr:cNvCxnSpPr/>
      </xdr:nvCxnSpPr>
      <xdr:spPr>
        <a:xfrm flipV="1">
          <a:off x="6924857" y="17539126"/>
          <a:ext cx="230041" cy="4333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11</xdr:col>
      <xdr:colOff>94760</xdr:colOff>
      <xdr:row>42</xdr:row>
      <xdr:rowOff>306272</xdr:rowOff>
    </xdr:from>
    <xdr:to>
      <xdr:col>11</xdr:col>
      <xdr:colOff>326706</xdr:colOff>
      <xdr:row>42</xdr:row>
      <xdr:rowOff>355326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1B58F0DC-D665-4A09-B15E-7F66C5364555}"/>
            </a:ext>
          </a:extLst>
        </xdr:cNvPr>
        <xdr:cNvCxnSpPr/>
      </xdr:nvCxnSpPr>
      <xdr:spPr>
        <a:xfrm flipV="1">
          <a:off x="7333760" y="18851447"/>
          <a:ext cx="231946" cy="4905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245649</xdr:colOff>
      <xdr:row>44</xdr:row>
      <xdr:rowOff>217963</xdr:rowOff>
    </xdr:from>
    <xdr:to>
      <xdr:col>17</xdr:col>
      <xdr:colOff>521398</xdr:colOff>
      <xdr:row>44</xdr:row>
      <xdr:rowOff>412940</xdr:rowOff>
    </xdr:to>
    <xdr:grpSp>
      <xdr:nvGrpSpPr>
        <xdr:cNvPr id="86" name="Группа 85">
          <a:extLst>
            <a:ext uri="{FF2B5EF4-FFF2-40B4-BE49-F238E27FC236}">
              <a16:creationId xmlns:a16="http://schemas.microsoft.com/office/drawing/2014/main" id="{732443DB-E230-474A-8A7C-F1D6945F70F3}"/>
            </a:ext>
          </a:extLst>
        </xdr:cNvPr>
        <xdr:cNvGrpSpPr/>
      </xdr:nvGrpSpPr>
      <xdr:grpSpPr>
        <a:xfrm rot="21291818">
          <a:off x="11565159" y="19637533"/>
          <a:ext cx="268129" cy="194977"/>
          <a:chOff x="6140123" y="3967975"/>
          <a:chExt cx="183548" cy="109952"/>
        </a:xfrm>
      </xdr:grpSpPr>
      <xdr:cxnSp macro="">
        <xdr:nvCxnSpPr>
          <xdr:cNvPr id="87" name="Прямая соединительная линия 86">
            <a:extLst>
              <a:ext uri="{FF2B5EF4-FFF2-40B4-BE49-F238E27FC236}">
                <a16:creationId xmlns:a16="http://schemas.microsoft.com/office/drawing/2014/main" id="{ED16B65B-C0FC-35C6-5FF7-35A3F44E3C6C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Прямая соединительная линия 87">
            <a:extLst>
              <a:ext uri="{FF2B5EF4-FFF2-40B4-BE49-F238E27FC236}">
                <a16:creationId xmlns:a16="http://schemas.microsoft.com/office/drawing/2014/main" id="{99E09021-F879-9072-C2CE-B1BFA22F44F0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79900</xdr:colOff>
      <xdr:row>36</xdr:row>
      <xdr:rowOff>171221</xdr:rowOff>
    </xdr:from>
    <xdr:to>
      <xdr:col>12</xdr:col>
      <xdr:colOff>305011</xdr:colOff>
      <xdr:row>36</xdr:row>
      <xdr:rowOff>238857</xdr:rowOff>
    </xdr:to>
    <xdr:grpSp>
      <xdr:nvGrpSpPr>
        <xdr:cNvPr id="89" name="Группа 88">
          <a:extLst>
            <a:ext uri="{FF2B5EF4-FFF2-40B4-BE49-F238E27FC236}">
              <a16:creationId xmlns:a16="http://schemas.microsoft.com/office/drawing/2014/main" id="{4DEEC7BD-A6BE-4368-91B2-28FAD2D33B74}"/>
            </a:ext>
          </a:extLst>
        </xdr:cNvPr>
        <xdr:cNvGrpSpPr/>
      </xdr:nvGrpSpPr>
      <xdr:grpSpPr>
        <a:xfrm rot="21291818">
          <a:off x="7718950" y="16091306"/>
          <a:ext cx="225111" cy="65731"/>
          <a:chOff x="6140123" y="3967975"/>
          <a:chExt cx="183548" cy="109952"/>
        </a:xfrm>
      </xdr:grpSpPr>
      <xdr:cxnSp macro="">
        <xdr:nvCxnSpPr>
          <xdr:cNvPr id="90" name="Прямая соединительная линия 89">
            <a:extLst>
              <a:ext uri="{FF2B5EF4-FFF2-40B4-BE49-F238E27FC236}">
                <a16:creationId xmlns:a16="http://schemas.microsoft.com/office/drawing/2014/main" id="{4588D984-A904-4264-03B8-6855D6625085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Прямая соединительная линия 90">
            <a:extLst>
              <a:ext uri="{FF2B5EF4-FFF2-40B4-BE49-F238E27FC236}">
                <a16:creationId xmlns:a16="http://schemas.microsoft.com/office/drawing/2014/main" id="{439909B3-75C9-C6CF-B868-5ED9938E4021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84018</xdr:colOff>
      <xdr:row>41</xdr:row>
      <xdr:rowOff>331469</xdr:rowOff>
    </xdr:from>
    <xdr:to>
      <xdr:col>11</xdr:col>
      <xdr:colOff>303414</xdr:colOff>
      <xdr:row>41</xdr:row>
      <xdr:rowOff>331469</xdr:rowOff>
    </xdr:to>
    <xdr:grpSp>
      <xdr:nvGrpSpPr>
        <xdr:cNvPr id="95" name="Группа 94">
          <a:extLst>
            <a:ext uri="{FF2B5EF4-FFF2-40B4-BE49-F238E27FC236}">
              <a16:creationId xmlns:a16="http://schemas.microsoft.com/office/drawing/2014/main" id="{86A2F556-4306-4C57-837B-3AF24559FF4E}"/>
            </a:ext>
          </a:extLst>
        </xdr:cNvPr>
        <xdr:cNvGrpSpPr/>
      </xdr:nvGrpSpPr>
      <xdr:grpSpPr>
        <a:xfrm rot="21291818">
          <a:off x="7324923" y="18434684"/>
          <a:ext cx="217491" cy="0"/>
          <a:chOff x="6140123" y="3967975"/>
          <a:chExt cx="183548" cy="109952"/>
        </a:xfrm>
      </xdr:grpSpPr>
      <xdr:cxnSp macro="">
        <xdr:nvCxnSpPr>
          <xdr:cNvPr id="96" name="Прямая соединительная линия 95">
            <a:extLst>
              <a:ext uri="{FF2B5EF4-FFF2-40B4-BE49-F238E27FC236}">
                <a16:creationId xmlns:a16="http://schemas.microsoft.com/office/drawing/2014/main" id="{4BEA1357-FCF8-A0AE-9E4B-BDF52A6CBD6B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Прямая соединительная линия 96">
            <a:extLst>
              <a:ext uri="{FF2B5EF4-FFF2-40B4-BE49-F238E27FC236}">
                <a16:creationId xmlns:a16="http://schemas.microsoft.com/office/drawing/2014/main" id="{D71310E6-D657-38BF-238F-8B769A10A828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110896</xdr:colOff>
      <xdr:row>36</xdr:row>
      <xdr:rowOff>326554</xdr:rowOff>
    </xdr:from>
    <xdr:to>
      <xdr:col>4</xdr:col>
      <xdr:colOff>340937</xdr:colOff>
      <xdr:row>36</xdr:row>
      <xdr:rowOff>360368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9233C9EA-7ABD-4F0F-8DE7-DD44B4A7EA80}"/>
            </a:ext>
          </a:extLst>
        </xdr:cNvPr>
        <xdr:cNvCxnSpPr/>
      </xdr:nvCxnSpPr>
      <xdr:spPr>
        <a:xfrm flipV="1">
          <a:off x="4549546" y="16242829"/>
          <a:ext cx="230041" cy="33814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5</xdr:col>
      <xdr:colOff>60851</xdr:colOff>
      <xdr:row>36</xdr:row>
      <xdr:rowOff>165507</xdr:rowOff>
    </xdr:from>
    <xdr:to>
      <xdr:col>5</xdr:col>
      <xdr:colOff>285962</xdr:colOff>
      <xdr:row>36</xdr:row>
      <xdr:rowOff>231238</xdr:rowOff>
    </xdr:to>
    <xdr:grpSp>
      <xdr:nvGrpSpPr>
        <xdr:cNvPr id="117" name="Группа 116">
          <a:extLst>
            <a:ext uri="{FF2B5EF4-FFF2-40B4-BE49-F238E27FC236}">
              <a16:creationId xmlns:a16="http://schemas.microsoft.com/office/drawing/2014/main" id="{EB308035-6B96-A205-D7C9-B44E3F911B60}"/>
            </a:ext>
          </a:extLst>
        </xdr:cNvPr>
        <xdr:cNvGrpSpPr/>
      </xdr:nvGrpSpPr>
      <xdr:grpSpPr>
        <a:xfrm rot="21291818">
          <a:off x="4895741" y="16085592"/>
          <a:ext cx="225111" cy="61921"/>
          <a:chOff x="6140123" y="3967975"/>
          <a:chExt cx="183548" cy="109952"/>
        </a:xfrm>
      </xdr:grpSpPr>
      <xdr:cxnSp macro="">
        <xdr:nvCxnSpPr>
          <xdr:cNvPr id="118" name="Прямая соединительная линия 117">
            <a:extLst>
              <a:ext uri="{FF2B5EF4-FFF2-40B4-BE49-F238E27FC236}">
                <a16:creationId xmlns:a16="http://schemas.microsoft.com/office/drawing/2014/main" id="{0520472D-8FF9-8B92-C289-9E08BD5C9FFD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Прямая соединительная линия 118">
            <a:extLst>
              <a:ext uri="{FF2B5EF4-FFF2-40B4-BE49-F238E27FC236}">
                <a16:creationId xmlns:a16="http://schemas.microsoft.com/office/drawing/2014/main" id="{DA165E27-CEFB-AA4C-3D06-29C189AF0CDB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95252</xdr:rowOff>
    </xdr:from>
    <xdr:to>
      <xdr:col>5</xdr:col>
      <xdr:colOff>144780</xdr:colOff>
      <xdr:row>0</xdr:row>
      <xdr:rowOff>427902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F13615-E9A4-4B8E-A5B7-10943BA6B9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95252"/>
          <a:ext cx="1059180" cy="33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90963</xdr:colOff>
      <xdr:row>18</xdr:row>
      <xdr:rowOff>53158</xdr:rowOff>
    </xdr:from>
    <xdr:to>
      <xdr:col>17</xdr:col>
      <xdr:colOff>179069</xdr:colOff>
      <xdr:row>18</xdr:row>
      <xdr:rowOff>73400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7E1EDD76-F283-46C7-8472-CE9462B4963D}"/>
            </a:ext>
          </a:extLst>
        </xdr:cNvPr>
        <xdr:cNvCxnSpPr/>
      </xdr:nvCxnSpPr>
      <xdr:spPr>
        <a:xfrm flipV="1">
          <a:off x="3017043" y="3863158"/>
          <a:ext cx="270986" cy="20242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24</xdr:col>
      <xdr:colOff>159543</xdr:colOff>
      <xdr:row>10</xdr:row>
      <xdr:rowOff>114118</xdr:rowOff>
    </xdr:from>
    <xdr:to>
      <xdr:col>26</xdr:col>
      <xdr:colOff>64769</xdr:colOff>
      <xdr:row>10</xdr:row>
      <xdr:rowOff>134360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E94F4356-1627-4EA2-A838-44928661A59B}"/>
            </a:ext>
          </a:extLst>
        </xdr:cNvPr>
        <xdr:cNvCxnSpPr/>
      </xdr:nvCxnSpPr>
      <xdr:spPr>
        <a:xfrm flipV="1">
          <a:off x="4548663" y="2400118"/>
          <a:ext cx="270986" cy="20242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29</xdr:col>
      <xdr:colOff>75723</xdr:colOff>
      <xdr:row>12</xdr:row>
      <xdr:rowOff>129358</xdr:rowOff>
    </xdr:from>
    <xdr:to>
      <xdr:col>30</xdr:col>
      <xdr:colOff>163829</xdr:colOff>
      <xdr:row>12</xdr:row>
      <xdr:rowOff>149600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9120E50C-5276-4F4E-8DDE-761D7716CE98}"/>
            </a:ext>
          </a:extLst>
        </xdr:cNvPr>
        <xdr:cNvCxnSpPr/>
      </xdr:nvCxnSpPr>
      <xdr:spPr>
        <a:xfrm flipV="1">
          <a:off x="5379243" y="2796358"/>
          <a:ext cx="270986" cy="20242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406174</xdr:colOff>
      <xdr:row>6</xdr:row>
      <xdr:rowOff>243568</xdr:rowOff>
    </xdr:from>
    <xdr:to>
      <xdr:col>11</xdr:col>
      <xdr:colOff>1353911</xdr:colOff>
      <xdr:row>6</xdr:row>
      <xdr:rowOff>243568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69D26CF-5191-473B-89F4-1761B47B6902}"/>
            </a:ext>
          </a:extLst>
        </xdr:cNvPr>
        <xdr:cNvCxnSpPr/>
      </xdr:nvCxnSpPr>
      <xdr:spPr>
        <a:xfrm>
          <a:off x="7911874" y="1996168"/>
          <a:ext cx="94773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471488</xdr:colOff>
      <xdr:row>5</xdr:row>
      <xdr:rowOff>446314</xdr:rowOff>
    </xdr:from>
    <xdr:to>
      <xdr:col>11</xdr:col>
      <xdr:colOff>1419225</xdr:colOff>
      <xdr:row>5</xdr:row>
      <xdr:rowOff>446314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E80B33A-B132-4613-A07B-5923E53682FA}"/>
            </a:ext>
          </a:extLst>
        </xdr:cNvPr>
        <xdr:cNvCxnSpPr/>
      </xdr:nvCxnSpPr>
      <xdr:spPr>
        <a:xfrm>
          <a:off x="7977188" y="1713139"/>
          <a:ext cx="947737" cy="0"/>
        </a:xfrm>
        <a:prstGeom prst="line">
          <a:avLst/>
        </a:prstGeom>
        <a:ln w="285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</xdr:colOff>
      <xdr:row>5</xdr:row>
      <xdr:rowOff>357187</xdr:rowOff>
    </xdr:from>
    <xdr:ext cx="1781174" cy="3492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ФРВ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Г+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Е/Д</m:t>
                            </m:r>
                          </m:e>
                        </m:nary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ФРВ/(Г+∑▒〖Е/Д〗)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109904</xdr:colOff>
      <xdr:row>0</xdr:row>
      <xdr:rowOff>36635</xdr:rowOff>
    </xdr:from>
    <xdr:to>
      <xdr:col>2</xdr:col>
      <xdr:colOff>694306</xdr:colOff>
      <xdr:row>2</xdr:row>
      <xdr:rowOff>21418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A50DFC4-82AE-4317-8554-9D33953A4D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109904" y="36635"/>
          <a:ext cx="1197959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180</xdr:col>
      <xdr:colOff>15544</xdr:colOff>
      <xdr:row>2</xdr:row>
      <xdr:rowOff>54998</xdr:rowOff>
    </xdr:from>
    <xdr:to>
      <xdr:col>187</xdr:col>
      <xdr:colOff>1093</xdr:colOff>
      <xdr:row>2</xdr:row>
      <xdr:rowOff>113072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57E2EFA4-0262-438E-8C2E-C16EF747722E}"/>
            </a:ext>
          </a:extLst>
        </xdr:cNvPr>
        <xdr:cNvSpPr/>
      </xdr:nvSpPr>
      <xdr:spPr>
        <a:xfrm>
          <a:off x="10992154" y="439808"/>
          <a:ext cx="408459" cy="54264"/>
        </a:xfrm>
        <a:prstGeom prst="rect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21867</xdr:colOff>
      <xdr:row>4</xdr:row>
      <xdr:rowOff>56013</xdr:rowOff>
    </xdr:from>
    <xdr:to>
      <xdr:col>187</xdr:col>
      <xdr:colOff>16503</xdr:colOff>
      <xdr:row>4</xdr:row>
      <xdr:rowOff>134583</xdr:rowOff>
    </xdr:to>
    <xdr:sp macro="" textlink="">
      <xdr:nvSpPr>
        <xdr:cNvPr id="3" name="Полилиния 18">
          <a:extLst>
            <a:ext uri="{FF2B5EF4-FFF2-40B4-BE49-F238E27FC236}">
              <a16:creationId xmlns:a16="http://schemas.microsoft.com/office/drawing/2014/main" id="{8052E812-4BCE-4C77-BEF6-3E85987EC86F}"/>
            </a:ext>
          </a:extLst>
        </xdr:cNvPr>
        <xdr:cNvSpPr/>
      </xdr:nvSpPr>
      <xdr:spPr>
        <a:xfrm>
          <a:off x="10990857" y="821823"/>
          <a:ext cx="428976" cy="70950"/>
        </a:xfrm>
        <a:custGeom>
          <a:avLst/>
          <a:gdLst>
            <a:gd name="connsiteX0" fmla="*/ 0 w 535781"/>
            <a:gd name="connsiteY0" fmla="*/ 55008 h 74064"/>
            <a:gd name="connsiteX1" fmla="*/ 90488 w 535781"/>
            <a:gd name="connsiteY1" fmla="*/ 239 h 74064"/>
            <a:gd name="connsiteX2" fmla="*/ 173831 w 535781"/>
            <a:gd name="connsiteY2" fmla="*/ 74058 h 74064"/>
            <a:gd name="connsiteX3" fmla="*/ 276225 w 535781"/>
            <a:gd name="connsiteY3" fmla="*/ 5002 h 74064"/>
            <a:gd name="connsiteX4" fmla="*/ 352425 w 535781"/>
            <a:gd name="connsiteY4" fmla="*/ 71677 h 74064"/>
            <a:gd name="connsiteX5" fmla="*/ 440531 w 535781"/>
            <a:gd name="connsiteY5" fmla="*/ 5002 h 74064"/>
            <a:gd name="connsiteX6" fmla="*/ 535781 w 535781"/>
            <a:gd name="connsiteY6" fmla="*/ 74058 h 74064"/>
            <a:gd name="connsiteX7" fmla="*/ 535781 w 535781"/>
            <a:gd name="connsiteY7" fmla="*/ 74058 h 74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535781" h="74064">
              <a:moveTo>
                <a:pt x="0" y="55008"/>
              </a:moveTo>
              <a:cubicBezTo>
                <a:pt x="30758" y="26036"/>
                <a:pt x="61516" y="-2936"/>
                <a:pt x="90488" y="239"/>
              </a:cubicBezTo>
              <a:cubicBezTo>
                <a:pt x="119460" y="3414"/>
                <a:pt x="142875" y="73264"/>
                <a:pt x="173831" y="74058"/>
              </a:cubicBezTo>
              <a:cubicBezTo>
                <a:pt x="204787" y="74852"/>
                <a:pt x="246459" y="5399"/>
                <a:pt x="276225" y="5002"/>
              </a:cubicBezTo>
              <a:cubicBezTo>
                <a:pt x="305991" y="4605"/>
                <a:pt x="325041" y="71677"/>
                <a:pt x="352425" y="71677"/>
              </a:cubicBezTo>
              <a:cubicBezTo>
                <a:pt x="379809" y="71677"/>
                <a:pt x="409972" y="4605"/>
                <a:pt x="440531" y="5002"/>
              </a:cubicBezTo>
              <a:cubicBezTo>
                <a:pt x="471090" y="5399"/>
                <a:pt x="535781" y="74058"/>
                <a:pt x="535781" y="74058"/>
              </a:cubicBezTo>
              <a:lnTo>
                <a:pt x="535781" y="74058"/>
              </a:lnTo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21289</xdr:colOff>
      <xdr:row>5</xdr:row>
      <xdr:rowOff>38873</xdr:rowOff>
    </xdr:from>
    <xdr:to>
      <xdr:col>187</xdr:col>
      <xdr:colOff>16662</xdr:colOff>
      <xdr:row>5</xdr:row>
      <xdr:rowOff>131949</xdr:rowOff>
    </xdr:to>
    <xdr:sp macro="" textlink="">
      <xdr:nvSpPr>
        <xdr:cNvPr id="4" name="Двойная стрелка влево/вправо 19">
          <a:extLst>
            <a:ext uri="{FF2B5EF4-FFF2-40B4-BE49-F238E27FC236}">
              <a16:creationId xmlns:a16="http://schemas.microsoft.com/office/drawing/2014/main" id="{04E80691-3F93-4DBE-93D8-DF55CA3C259C}"/>
            </a:ext>
          </a:extLst>
        </xdr:cNvPr>
        <xdr:cNvSpPr/>
      </xdr:nvSpPr>
      <xdr:spPr>
        <a:xfrm>
          <a:off x="10990279" y="991373"/>
          <a:ext cx="429713" cy="96886"/>
        </a:xfrm>
        <a:prstGeom prst="leftRightArrow">
          <a:avLst>
            <a:gd name="adj1" fmla="val 50000"/>
            <a:gd name="adj2" fmla="val 101021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181</xdr:col>
      <xdr:colOff>16251</xdr:colOff>
      <xdr:row>3</xdr:row>
      <xdr:rowOff>57058</xdr:rowOff>
    </xdr:from>
    <xdr:to>
      <xdr:col>186</xdr:col>
      <xdr:colOff>54620</xdr:colOff>
      <xdr:row>3</xdr:row>
      <xdr:rowOff>103672</xdr:rowOff>
    </xdr:to>
    <xdr:grpSp>
      <xdr:nvGrpSpPr>
        <xdr:cNvPr id="5" name="Group 6">
          <a:extLst>
            <a:ext uri="{FF2B5EF4-FFF2-40B4-BE49-F238E27FC236}">
              <a16:creationId xmlns:a16="http://schemas.microsoft.com/office/drawing/2014/main" id="{78771453-8019-4842-9F56-0A5E9EE95CD1}"/>
            </a:ext>
          </a:extLst>
        </xdr:cNvPr>
        <xdr:cNvGrpSpPr/>
      </xdr:nvGrpSpPr>
      <xdr:grpSpPr>
        <a:xfrm>
          <a:off x="10364211" y="632368"/>
          <a:ext cx="324119" cy="40899"/>
          <a:chOff x="8467417" y="574416"/>
          <a:chExt cx="379202" cy="46614"/>
        </a:xfrm>
      </xdr:grpSpPr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415622C7-7389-4381-84C2-1A61D58B6C68}"/>
              </a:ext>
            </a:extLst>
          </xdr:cNvPr>
          <xdr:cNvCxnSpPr/>
        </xdr:nvCxnSpPr>
        <xdr:spPr>
          <a:xfrm>
            <a:off x="8467417" y="597276"/>
            <a:ext cx="368720" cy="0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3">
            <a:extLst>
              <a:ext uri="{FF2B5EF4-FFF2-40B4-BE49-F238E27FC236}">
                <a16:creationId xmlns:a16="http://schemas.microsoft.com/office/drawing/2014/main" id="{DAD1CA7E-A6E5-46A1-A73B-36029EF25120}"/>
              </a:ext>
            </a:extLst>
          </xdr:cNvPr>
          <xdr:cNvCxnSpPr/>
        </xdr:nvCxnSpPr>
        <xdr:spPr>
          <a:xfrm flipV="1">
            <a:off x="8846619" y="574416"/>
            <a:ext cx="0" cy="46614"/>
          </a:xfrm>
          <a:prstGeom prst="line">
            <a:avLst/>
          </a:prstGeom>
          <a:ln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20844</xdr:colOff>
      <xdr:row>1</xdr:row>
      <xdr:rowOff>171180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C9E3EA5-3A80-4C2D-9C83-BFE255F0F3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0"/>
          <a:ext cx="1297194" cy="365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80</xdr:col>
      <xdr:colOff>8918</xdr:colOff>
      <xdr:row>13</xdr:row>
      <xdr:rowOff>108007</xdr:rowOff>
    </xdr:from>
    <xdr:to>
      <xdr:col>83</xdr:col>
      <xdr:colOff>0</xdr:colOff>
      <xdr:row>14</xdr:row>
      <xdr:rowOff>46383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AC24316B-E970-4AD5-B035-5AA1D538CEE0}"/>
            </a:ext>
          </a:extLst>
        </xdr:cNvPr>
        <xdr:cNvSpPr/>
      </xdr:nvSpPr>
      <xdr:spPr>
        <a:xfrm>
          <a:off x="4779701" y="1731398"/>
          <a:ext cx="169986" cy="77524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82</xdr:col>
      <xdr:colOff>54625</xdr:colOff>
      <xdr:row>13</xdr:row>
      <xdr:rowOff>136077</xdr:rowOff>
    </xdr:from>
    <xdr:to>
      <xdr:col>85</xdr:col>
      <xdr:colOff>59472</xdr:colOff>
      <xdr:row>15</xdr:row>
      <xdr:rowOff>137530</xdr:rowOff>
    </xdr:to>
    <xdr:sp macro="" textlink="">
      <xdr:nvSpPr>
        <xdr:cNvPr id="11" name="Полилиния: фигура 10">
          <a:extLst>
            <a:ext uri="{FF2B5EF4-FFF2-40B4-BE49-F238E27FC236}">
              <a16:creationId xmlns:a16="http://schemas.microsoft.com/office/drawing/2014/main" id="{ECFFF297-9B36-4A1A-955E-69DE2C8EDCA7}"/>
            </a:ext>
          </a:extLst>
        </xdr:cNvPr>
        <xdr:cNvSpPr/>
      </xdr:nvSpPr>
      <xdr:spPr>
        <a:xfrm>
          <a:off x="4931425" y="1730701"/>
          <a:ext cx="183267" cy="276517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90</xdr:col>
      <xdr:colOff>8919</xdr:colOff>
      <xdr:row>15</xdr:row>
      <xdr:rowOff>92242</xdr:rowOff>
    </xdr:from>
    <xdr:to>
      <xdr:col>96</xdr:col>
      <xdr:colOff>10510</xdr:colOff>
      <xdr:row>16</xdr:row>
      <xdr:rowOff>52552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C71BD336-186E-4545-B95A-E02EABB0B1C6}"/>
            </a:ext>
          </a:extLst>
        </xdr:cNvPr>
        <xdr:cNvSpPr/>
      </xdr:nvSpPr>
      <xdr:spPr>
        <a:xfrm>
          <a:off x="5684505" y="1973594"/>
          <a:ext cx="379964" cy="96944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96</xdr:col>
      <xdr:colOff>11763</xdr:colOff>
      <xdr:row>15</xdr:row>
      <xdr:rowOff>131315</xdr:rowOff>
    </xdr:from>
    <xdr:to>
      <xdr:col>99</xdr:col>
      <xdr:colOff>16610</xdr:colOff>
      <xdr:row>17</xdr:row>
      <xdr:rowOff>132768</xdr:rowOff>
    </xdr:to>
    <xdr:sp macro="" textlink="">
      <xdr:nvSpPr>
        <xdr:cNvPr id="14" name="Полилиния: фигура 13">
          <a:extLst>
            <a:ext uri="{FF2B5EF4-FFF2-40B4-BE49-F238E27FC236}">
              <a16:creationId xmlns:a16="http://schemas.microsoft.com/office/drawing/2014/main" id="{1FA8BEC7-7204-48F9-B079-F5091D50509A}"/>
            </a:ext>
          </a:extLst>
        </xdr:cNvPr>
        <xdr:cNvSpPr/>
      </xdr:nvSpPr>
      <xdr:spPr>
        <a:xfrm>
          <a:off x="5955363" y="2026790"/>
          <a:ext cx="190585" cy="277678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99</xdr:col>
      <xdr:colOff>8918</xdr:colOff>
      <xdr:row>17</xdr:row>
      <xdr:rowOff>92242</xdr:rowOff>
    </xdr:from>
    <xdr:to>
      <xdr:col>109</xdr:col>
      <xdr:colOff>9524</xdr:colOff>
      <xdr:row>18</xdr:row>
      <xdr:rowOff>57150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12BB4E22-EC14-4C1A-9792-68B9E8F01616}"/>
            </a:ext>
          </a:extLst>
        </xdr:cNvPr>
        <xdr:cNvSpPr/>
      </xdr:nvSpPr>
      <xdr:spPr>
        <a:xfrm>
          <a:off x="6138256" y="2263942"/>
          <a:ext cx="619731" cy="103021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109</xdr:col>
      <xdr:colOff>7000</xdr:colOff>
      <xdr:row>17</xdr:row>
      <xdr:rowOff>131315</xdr:rowOff>
    </xdr:from>
    <xdr:to>
      <xdr:col>112</xdr:col>
      <xdr:colOff>11848</xdr:colOff>
      <xdr:row>19</xdr:row>
      <xdr:rowOff>132768</xdr:rowOff>
    </xdr:to>
    <xdr:sp macro="" textlink="">
      <xdr:nvSpPr>
        <xdr:cNvPr id="16" name="Полилиния: фигура 15">
          <a:extLst>
            <a:ext uri="{FF2B5EF4-FFF2-40B4-BE49-F238E27FC236}">
              <a16:creationId xmlns:a16="http://schemas.microsoft.com/office/drawing/2014/main" id="{7017F16D-53F4-484A-A696-A41575AE6273}"/>
            </a:ext>
          </a:extLst>
        </xdr:cNvPr>
        <xdr:cNvSpPr/>
      </xdr:nvSpPr>
      <xdr:spPr>
        <a:xfrm>
          <a:off x="6755463" y="2303015"/>
          <a:ext cx="190585" cy="277678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112</xdr:col>
      <xdr:colOff>4156</xdr:colOff>
      <xdr:row>19</xdr:row>
      <xdr:rowOff>101768</xdr:rowOff>
    </xdr:from>
    <xdr:to>
      <xdr:col>124</xdr:col>
      <xdr:colOff>0</xdr:colOff>
      <xdr:row>20</xdr:row>
      <xdr:rowOff>52389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A4A99F79-0BD9-4BE2-9F1F-0264258B9F5D}"/>
            </a:ext>
          </a:extLst>
        </xdr:cNvPr>
        <xdr:cNvSpPr/>
      </xdr:nvSpPr>
      <xdr:spPr>
        <a:xfrm>
          <a:off x="6938356" y="2549693"/>
          <a:ext cx="738794" cy="88734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127</xdr:col>
      <xdr:colOff>5255</xdr:colOff>
      <xdr:row>13</xdr:row>
      <xdr:rowOff>0</xdr:rowOff>
    </xdr:from>
    <xdr:to>
      <xdr:col>127</xdr:col>
      <xdr:colOff>13252</xdr:colOff>
      <xdr:row>31</xdr:row>
      <xdr:rowOff>89338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743991F9-61B7-4DAD-A995-5657719F4956}"/>
            </a:ext>
          </a:extLst>
        </xdr:cNvPr>
        <xdr:cNvCxnSpPr/>
      </xdr:nvCxnSpPr>
      <xdr:spPr>
        <a:xfrm flipH="1">
          <a:off x="8014138" y="1608083"/>
          <a:ext cx="7997" cy="254875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21519</xdr:colOff>
      <xdr:row>13</xdr:row>
      <xdr:rowOff>125279</xdr:rowOff>
    </xdr:from>
    <xdr:to>
      <xdr:col>126</xdr:col>
      <xdr:colOff>26736</xdr:colOff>
      <xdr:row>20</xdr:row>
      <xdr:rowOff>18492</xdr:rowOff>
    </xdr:to>
    <xdr:sp macro="" textlink="">
      <xdr:nvSpPr>
        <xdr:cNvPr id="19" name="Полилиния: фигура 18">
          <a:extLst>
            <a:ext uri="{FF2B5EF4-FFF2-40B4-BE49-F238E27FC236}">
              <a16:creationId xmlns:a16="http://schemas.microsoft.com/office/drawing/2014/main" id="{D500FC71-3014-4CD4-9B03-E0704F6A11D0}"/>
            </a:ext>
          </a:extLst>
        </xdr:cNvPr>
        <xdr:cNvSpPr/>
      </xdr:nvSpPr>
      <xdr:spPr>
        <a:xfrm rot="202209" flipH="1">
          <a:off x="7698669" y="1744529"/>
          <a:ext cx="129042" cy="860001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99</xdr:col>
      <xdr:colOff>0</xdr:colOff>
      <xdr:row>17</xdr:row>
      <xdr:rowOff>133564</xdr:rowOff>
    </xdr:from>
    <xdr:to>
      <xdr:col>99</xdr:col>
      <xdr:colOff>8918</xdr:colOff>
      <xdr:row>26</xdr:row>
      <xdr:rowOff>4762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65B4CBAD-5E5F-491C-AF34-8632EDE5D909}"/>
            </a:ext>
          </a:extLst>
        </xdr:cNvPr>
        <xdr:cNvCxnSpPr/>
      </xdr:nvCxnSpPr>
      <xdr:spPr>
        <a:xfrm flipH="1">
          <a:off x="6129338" y="2305264"/>
          <a:ext cx="8918" cy="1114211"/>
        </a:xfrm>
        <a:prstGeom prst="lin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79</xdr:col>
      <xdr:colOff>53287</xdr:colOff>
      <xdr:row>25</xdr:row>
      <xdr:rowOff>89335</xdr:rowOff>
    </xdr:from>
    <xdr:to>
      <xdr:col>98</xdr:col>
      <xdr:colOff>51434</xdr:colOff>
      <xdr:row>26</xdr:row>
      <xdr:rowOff>60959</xdr:rowOff>
    </xdr:to>
    <xdr:sp macro="" textlink="">
      <xdr:nvSpPr>
        <xdr:cNvPr id="23" name="Стрелка: влево-вправо 22">
          <a:extLst>
            <a:ext uri="{FF2B5EF4-FFF2-40B4-BE49-F238E27FC236}">
              <a16:creationId xmlns:a16="http://schemas.microsoft.com/office/drawing/2014/main" id="{5C86952E-E3D1-4ABE-AD33-8E493D519352}"/>
            </a:ext>
          </a:extLst>
        </xdr:cNvPr>
        <xdr:cNvSpPr/>
      </xdr:nvSpPr>
      <xdr:spPr>
        <a:xfrm>
          <a:off x="4944375" y="3365935"/>
          <a:ext cx="1174484" cy="109737"/>
        </a:xfrm>
        <a:prstGeom prst="leftRightArrow">
          <a:avLst>
            <a:gd name="adj1" fmla="val 56713"/>
            <a:gd name="adj2" fmla="val 3993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98</xdr:col>
      <xdr:colOff>55810</xdr:colOff>
      <xdr:row>25</xdr:row>
      <xdr:rowOff>98103</xdr:rowOff>
    </xdr:from>
    <xdr:to>
      <xdr:col>108</xdr:col>
      <xdr:colOff>56416</xdr:colOff>
      <xdr:row>26</xdr:row>
      <xdr:rowOff>63011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05BF6C34-223C-4445-965D-EEB34802AC94}"/>
            </a:ext>
          </a:extLst>
        </xdr:cNvPr>
        <xdr:cNvSpPr/>
      </xdr:nvSpPr>
      <xdr:spPr>
        <a:xfrm>
          <a:off x="6123235" y="3374703"/>
          <a:ext cx="619731" cy="103021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112</xdr:col>
      <xdr:colOff>1715</xdr:colOff>
      <xdr:row>27</xdr:row>
      <xdr:rowOff>111166</xdr:rowOff>
    </xdr:from>
    <xdr:to>
      <xdr:col>118</xdr:col>
      <xdr:colOff>13063</xdr:colOff>
      <xdr:row>28</xdr:row>
      <xdr:rowOff>56606</xdr:rowOff>
    </xdr:to>
    <xdr:sp macro="" textlink="">
      <xdr:nvSpPr>
        <xdr:cNvPr id="26" name="Прямоугольник 25">
          <a:extLst>
            <a:ext uri="{FF2B5EF4-FFF2-40B4-BE49-F238E27FC236}">
              <a16:creationId xmlns:a16="http://schemas.microsoft.com/office/drawing/2014/main" id="{0221FA22-BA8B-4E6E-B5C4-7353DFBE299D}"/>
            </a:ext>
          </a:extLst>
        </xdr:cNvPr>
        <xdr:cNvSpPr/>
      </xdr:nvSpPr>
      <xdr:spPr>
        <a:xfrm>
          <a:off x="6829235" y="3690389"/>
          <a:ext cx="377108" cy="84777"/>
        </a:xfrm>
        <a:prstGeom prst="rect">
          <a:avLst/>
        </a:prstGeom>
        <a:solidFill>
          <a:schemeClr val="accent1">
            <a:lumMod val="75000"/>
          </a:schemeClr>
        </a:soli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109</xdr:col>
      <xdr:colOff>7000</xdr:colOff>
      <xdr:row>26</xdr:row>
      <xdr:rowOff>14084</xdr:rowOff>
    </xdr:from>
    <xdr:to>
      <xdr:col>112</xdr:col>
      <xdr:colOff>4354</xdr:colOff>
      <xdr:row>28</xdr:row>
      <xdr:rowOff>15537</xdr:rowOff>
    </xdr:to>
    <xdr:sp macro="" textlink="">
      <xdr:nvSpPr>
        <xdr:cNvPr id="27" name="Полилиния: фигура 26">
          <a:extLst>
            <a:ext uri="{FF2B5EF4-FFF2-40B4-BE49-F238E27FC236}">
              <a16:creationId xmlns:a16="http://schemas.microsoft.com/office/drawing/2014/main" id="{01B499BD-3AFA-4803-96E1-8550262B7221}"/>
            </a:ext>
          </a:extLst>
        </xdr:cNvPr>
        <xdr:cNvSpPr/>
      </xdr:nvSpPr>
      <xdr:spPr>
        <a:xfrm>
          <a:off x="6651640" y="3453970"/>
          <a:ext cx="180234" cy="280127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118</xdr:col>
      <xdr:colOff>12910</xdr:colOff>
      <xdr:row>25</xdr:row>
      <xdr:rowOff>110378</xdr:rowOff>
    </xdr:from>
    <xdr:to>
      <xdr:col>120</xdr:col>
      <xdr:colOff>52850</xdr:colOff>
      <xdr:row>28</xdr:row>
      <xdr:rowOff>21739</xdr:rowOff>
    </xdr:to>
    <xdr:sp macro="" textlink="">
      <xdr:nvSpPr>
        <xdr:cNvPr id="31" name="Полилиния: фигура 30">
          <a:extLst>
            <a:ext uri="{FF2B5EF4-FFF2-40B4-BE49-F238E27FC236}">
              <a16:creationId xmlns:a16="http://schemas.microsoft.com/office/drawing/2014/main" id="{68FF5047-323D-4588-8C7E-F5A3CF39B160}"/>
            </a:ext>
          </a:extLst>
        </xdr:cNvPr>
        <xdr:cNvSpPr/>
      </xdr:nvSpPr>
      <xdr:spPr>
        <a:xfrm rot="202209" flipH="1">
          <a:off x="7454234" y="3358075"/>
          <a:ext cx="166064" cy="321264"/>
        </a:xfrm>
        <a:custGeom>
          <a:avLst/>
          <a:gdLst>
            <a:gd name="connsiteX0" fmla="*/ 0 w 178777"/>
            <a:gd name="connsiteY0" fmla="*/ 0 h 254977"/>
            <a:gd name="connsiteX1" fmla="*/ 55685 w 178777"/>
            <a:gd name="connsiteY1" fmla="*/ 38100 h 254977"/>
            <a:gd name="connsiteX2" fmla="*/ 38100 w 178777"/>
            <a:gd name="connsiteY2" fmla="*/ 84993 h 254977"/>
            <a:gd name="connsiteX3" fmla="*/ 82061 w 178777"/>
            <a:gd name="connsiteY3" fmla="*/ 111370 h 254977"/>
            <a:gd name="connsiteX4" fmla="*/ 67408 w 178777"/>
            <a:gd name="connsiteY4" fmla="*/ 146539 h 254977"/>
            <a:gd name="connsiteX5" fmla="*/ 137746 w 178777"/>
            <a:gd name="connsiteY5" fmla="*/ 190500 h 254977"/>
            <a:gd name="connsiteX6" fmla="*/ 108438 w 178777"/>
            <a:gd name="connsiteY6" fmla="*/ 211016 h 254977"/>
            <a:gd name="connsiteX7" fmla="*/ 178777 w 178777"/>
            <a:gd name="connsiteY7" fmla="*/ 254977 h 2549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78777" h="254977">
              <a:moveTo>
                <a:pt x="0" y="0"/>
              </a:moveTo>
              <a:cubicBezTo>
                <a:pt x="24667" y="11967"/>
                <a:pt x="49335" y="23935"/>
                <a:pt x="55685" y="38100"/>
              </a:cubicBezTo>
              <a:cubicBezTo>
                <a:pt x="62035" y="52265"/>
                <a:pt x="33704" y="72781"/>
                <a:pt x="38100" y="84993"/>
              </a:cubicBezTo>
              <a:cubicBezTo>
                <a:pt x="42496" y="97205"/>
                <a:pt x="77176" y="101112"/>
                <a:pt x="82061" y="111370"/>
              </a:cubicBezTo>
              <a:cubicBezTo>
                <a:pt x="86946" y="121628"/>
                <a:pt x="58127" y="133351"/>
                <a:pt x="67408" y="146539"/>
              </a:cubicBezTo>
              <a:cubicBezTo>
                <a:pt x="76689" y="159727"/>
                <a:pt x="130908" y="179754"/>
                <a:pt x="137746" y="190500"/>
              </a:cubicBezTo>
              <a:cubicBezTo>
                <a:pt x="144584" y="201246"/>
                <a:pt x="101600" y="200270"/>
                <a:pt x="108438" y="211016"/>
              </a:cubicBezTo>
              <a:cubicBezTo>
                <a:pt x="115276" y="221762"/>
                <a:pt x="147026" y="238369"/>
                <a:pt x="178777" y="25497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120</xdr:col>
      <xdr:colOff>57807</xdr:colOff>
      <xdr:row>25</xdr:row>
      <xdr:rowOff>84080</xdr:rowOff>
    </xdr:from>
    <xdr:to>
      <xdr:col>126</xdr:col>
      <xdr:colOff>61944</xdr:colOff>
      <xdr:row>26</xdr:row>
      <xdr:rowOff>31531</xdr:rowOff>
    </xdr:to>
    <xdr:sp macro="" textlink="">
      <xdr:nvSpPr>
        <xdr:cNvPr id="32" name="Стрелка: влево-вправо 31">
          <a:extLst>
            <a:ext uri="{FF2B5EF4-FFF2-40B4-BE49-F238E27FC236}">
              <a16:creationId xmlns:a16="http://schemas.microsoft.com/office/drawing/2014/main" id="{02055F6C-6CAD-412D-AAF0-299D471B306C}"/>
            </a:ext>
          </a:extLst>
        </xdr:cNvPr>
        <xdr:cNvSpPr/>
      </xdr:nvSpPr>
      <xdr:spPr>
        <a:xfrm>
          <a:off x="7625255" y="3331777"/>
          <a:ext cx="382510" cy="84085"/>
        </a:xfrm>
        <a:prstGeom prst="leftRightArrow">
          <a:avLst>
            <a:gd name="adj1" fmla="val 56713"/>
            <a:gd name="adj2" fmla="val 3993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85</xdr:col>
      <xdr:colOff>54864</xdr:colOff>
      <xdr:row>15</xdr:row>
      <xdr:rowOff>116494</xdr:rowOff>
    </xdr:from>
    <xdr:to>
      <xdr:col>90</xdr:col>
      <xdr:colOff>8900</xdr:colOff>
      <xdr:row>16</xdr:row>
      <xdr:rowOff>30480</xdr:rowOff>
    </xdr:to>
    <xdr:grpSp>
      <xdr:nvGrpSpPr>
        <xdr:cNvPr id="33" name="Group 6">
          <a:extLst>
            <a:ext uri="{FF2B5EF4-FFF2-40B4-BE49-F238E27FC236}">
              <a16:creationId xmlns:a16="http://schemas.microsoft.com/office/drawing/2014/main" id="{5DE5F16D-8146-4B74-8E97-D0DAF53061DF}"/>
            </a:ext>
          </a:extLst>
        </xdr:cNvPr>
        <xdr:cNvGrpSpPr/>
      </xdr:nvGrpSpPr>
      <xdr:grpSpPr>
        <a:xfrm>
          <a:off x="4916424" y="2002444"/>
          <a:ext cx="237881" cy="45431"/>
          <a:chOff x="8467417" y="574416"/>
          <a:chExt cx="379202" cy="46614"/>
        </a:xfrm>
      </xdr:grpSpPr>
      <xdr:cxnSp macro="">
        <xdr:nvCxnSpPr>
          <xdr:cNvPr id="34" name="Прямая соединительная линия 33">
            <a:extLst>
              <a:ext uri="{FF2B5EF4-FFF2-40B4-BE49-F238E27FC236}">
                <a16:creationId xmlns:a16="http://schemas.microsoft.com/office/drawing/2014/main" id="{6BDFB222-1B53-4FEB-9ED1-522598907C08}"/>
              </a:ext>
            </a:extLst>
          </xdr:cNvPr>
          <xdr:cNvCxnSpPr/>
        </xdr:nvCxnSpPr>
        <xdr:spPr>
          <a:xfrm>
            <a:off x="8467417" y="597276"/>
            <a:ext cx="368720" cy="0"/>
          </a:xfrm>
          <a:prstGeom prst="line">
            <a:avLst/>
          </a:prstGeom>
          <a:ln w="28575">
            <a:solidFill>
              <a:schemeClr val="tx2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Прямая соединительная линия 3">
            <a:extLst>
              <a:ext uri="{FF2B5EF4-FFF2-40B4-BE49-F238E27FC236}">
                <a16:creationId xmlns:a16="http://schemas.microsoft.com/office/drawing/2014/main" id="{56699956-D678-43E1-9ED7-A4C3DC9C95AA}"/>
              </a:ext>
            </a:extLst>
          </xdr:cNvPr>
          <xdr:cNvCxnSpPr/>
        </xdr:nvCxnSpPr>
        <xdr:spPr>
          <a:xfrm flipV="1">
            <a:off x="8846619" y="574416"/>
            <a:ext cx="0" cy="46614"/>
          </a:xfrm>
          <a:prstGeom prst="line">
            <a:avLst/>
          </a:prstGeom>
          <a:ln w="28575">
            <a:solidFill>
              <a:schemeClr val="tx2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22862</xdr:rowOff>
    </xdr:from>
    <xdr:ext cx="655885" cy="25791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58EB51-2AD4-4C94-85CB-8A82EB33BC18}"/>
            </a:ext>
          </a:extLst>
        </xdr:cNvPr>
        <xdr:cNvSpPr txBox="1"/>
      </xdr:nvSpPr>
      <xdr:spPr>
        <a:xfrm rot="16200000">
          <a:off x="-961609" y="4222971"/>
          <a:ext cx="257910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3600"/>
            <a:t>Время</a:t>
          </a:r>
          <a:r>
            <a:rPr lang="ru-RU" sz="3600" baseline="0"/>
            <a:t> (сек.)</a:t>
          </a:r>
          <a:endParaRPr lang="ru-RU" sz="3600"/>
        </a:p>
      </xdr:txBody>
    </xdr:sp>
    <xdr:clientData/>
  </xdr:oneCellAnchor>
  <xdr:oneCellAnchor>
    <xdr:from>
      <xdr:col>5</xdr:col>
      <xdr:colOff>57069</xdr:colOff>
      <xdr:row>85</xdr:row>
      <xdr:rowOff>53140</xdr:rowOff>
    </xdr:from>
    <xdr:ext cx="1612704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F0F320-9F89-48C8-8973-9A4D9CEC1B9E}"/>
            </a:ext>
          </a:extLst>
        </xdr:cNvPr>
        <xdr:cNvSpPr txBox="1"/>
      </xdr:nvSpPr>
      <xdr:spPr>
        <a:xfrm>
          <a:off x="1316026" y="6427436"/>
          <a:ext cx="161270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i="1">
              <a:solidFill>
                <a:schemeClr val="accent1"/>
              </a:solidFill>
            </a:rPr>
            <a:t>Навешивание рамы на подвесы</a:t>
          </a:r>
        </a:p>
      </xdr:txBody>
    </xdr:sp>
    <xdr:clientData/>
  </xdr:oneCellAnchor>
  <xdr:twoCellAnchor>
    <xdr:from>
      <xdr:col>5</xdr:col>
      <xdr:colOff>12286</xdr:colOff>
      <xdr:row>12</xdr:row>
      <xdr:rowOff>4954</xdr:rowOff>
    </xdr:from>
    <xdr:to>
      <xdr:col>5</xdr:col>
      <xdr:colOff>17128</xdr:colOff>
      <xdr:row>86</xdr:row>
      <xdr:rowOff>24069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53F4279A-2737-4659-89D8-22B1631DF990}"/>
            </a:ext>
          </a:extLst>
        </xdr:cNvPr>
        <xdr:cNvCxnSpPr/>
      </xdr:nvCxnSpPr>
      <xdr:spPr>
        <a:xfrm flipH="1" flipV="1">
          <a:off x="1259195" y="2000009"/>
          <a:ext cx="4842" cy="7057224"/>
        </a:xfrm>
        <a:prstGeom prst="straightConnector1">
          <a:avLst/>
        </a:prstGeom>
        <a:ln w="571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41413</xdr:rowOff>
    </xdr:from>
    <xdr:to>
      <xdr:col>4</xdr:col>
      <xdr:colOff>208031</xdr:colOff>
      <xdr:row>0</xdr:row>
      <xdr:rowOff>403093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F5E3C00-D725-417E-9CFC-A225DD12A0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41413"/>
          <a:ext cx="1205754" cy="36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10</xdr:col>
      <xdr:colOff>0</xdr:colOff>
      <xdr:row>86</xdr:row>
      <xdr:rowOff>7620</xdr:rowOff>
    </xdr:to>
    <xdr:sp macro="" textlink="">
      <xdr:nvSpPr>
        <xdr:cNvPr id="36" name="Прямоугольник 35">
          <a:extLst>
            <a:ext uri="{FF2B5EF4-FFF2-40B4-BE49-F238E27FC236}">
              <a16:creationId xmlns:a16="http://schemas.microsoft.com/office/drawing/2014/main" id="{948D36C0-D94F-4616-8DE1-B7032B7C958C}"/>
            </a:ext>
          </a:extLst>
        </xdr:cNvPr>
        <xdr:cNvSpPr/>
      </xdr:nvSpPr>
      <xdr:spPr>
        <a:xfrm>
          <a:off x="1760220" y="6469380"/>
          <a:ext cx="754380" cy="68580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10</xdr:col>
      <xdr:colOff>0</xdr:colOff>
      <xdr:row>59</xdr:row>
      <xdr:rowOff>55746</xdr:rowOff>
    </xdr:to>
    <xdr:sp macro="" textlink="">
      <xdr:nvSpPr>
        <xdr:cNvPr id="37" name="Прямоугольник 36">
          <a:extLst>
            <a:ext uri="{FF2B5EF4-FFF2-40B4-BE49-F238E27FC236}">
              <a16:creationId xmlns:a16="http://schemas.microsoft.com/office/drawing/2014/main" id="{D39BDCE2-77D7-490D-A6E8-BECB519B3DD4}"/>
            </a:ext>
          </a:extLst>
        </xdr:cNvPr>
        <xdr:cNvSpPr/>
      </xdr:nvSpPr>
      <xdr:spPr>
        <a:xfrm>
          <a:off x="1768642" y="4303295"/>
          <a:ext cx="757990" cy="597167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79</xdr:row>
      <xdr:rowOff>16042</xdr:rowOff>
    </xdr:from>
    <xdr:to>
      <xdr:col>10</xdr:col>
      <xdr:colOff>0</xdr:colOff>
      <xdr:row>84</xdr:row>
      <xdr:rowOff>52137</xdr:rowOff>
    </xdr:to>
    <xdr:sp macro="" textlink="">
      <xdr:nvSpPr>
        <xdr:cNvPr id="38" name="Прямоугольник 37">
          <a:extLst>
            <a:ext uri="{FF2B5EF4-FFF2-40B4-BE49-F238E27FC236}">
              <a16:creationId xmlns:a16="http://schemas.microsoft.com/office/drawing/2014/main" id="{A41A2363-6FED-43AC-BC25-B2EA394DE36B}"/>
            </a:ext>
          </a:extLst>
        </xdr:cNvPr>
        <xdr:cNvSpPr/>
      </xdr:nvSpPr>
      <xdr:spPr>
        <a:xfrm>
          <a:off x="1768642" y="6063916"/>
          <a:ext cx="757990" cy="336884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75</xdr:row>
      <xdr:rowOff>4012</xdr:rowOff>
    </xdr:from>
    <xdr:to>
      <xdr:col>10</xdr:col>
      <xdr:colOff>0</xdr:colOff>
      <xdr:row>79</xdr:row>
      <xdr:rowOff>7621</xdr:rowOff>
    </xdr:to>
    <xdr:sp macro="" textlink="">
      <xdr:nvSpPr>
        <xdr:cNvPr id="39" name="Прямоугольник 38">
          <a:extLst>
            <a:ext uri="{FF2B5EF4-FFF2-40B4-BE49-F238E27FC236}">
              <a16:creationId xmlns:a16="http://schemas.microsoft.com/office/drawing/2014/main" id="{4BA28D8F-7669-4473-90C9-84CA8D5974D2}"/>
            </a:ext>
          </a:extLst>
        </xdr:cNvPr>
        <xdr:cNvSpPr/>
      </xdr:nvSpPr>
      <xdr:spPr>
        <a:xfrm>
          <a:off x="1768642" y="5811254"/>
          <a:ext cx="757990" cy="244241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248652</xdr:colOff>
      <xdr:row>73</xdr:row>
      <xdr:rowOff>1</xdr:rowOff>
    </xdr:from>
    <xdr:to>
      <xdr:col>9</xdr:col>
      <xdr:colOff>248653</xdr:colOff>
      <xdr:row>74</xdr:row>
      <xdr:rowOff>51737</xdr:rowOff>
    </xdr:to>
    <xdr:sp macro="" textlink="">
      <xdr:nvSpPr>
        <xdr:cNvPr id="40" name="Прямоугольник 39">
          <a:extLst>
            <a:ext uri="{FF2B5EF4-FFF2-40B4-BE49-F238E27FC236}">
              <a16:creationId xmlns:a16="http://schemas.microsoft.com/office/drawing/2014/main" id="{C68C9EFF-2F7F-49C6-B31A-542FE10FAA0A}"/>
            </a:ext>
          </a:extLst>
        </xdr:cNvPr>
        <xdr:cNvSpPr/>
      </xdr:nvSpPr>
      <xdr:spPr>
        <a:xfrm>
          <a:off x="1764631" y="5686927"/>
          <a:ext cx="757990" cy="111894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248653</xdr:colOff>
      <xdr:row>64</xdr:row>
      <xdr:rowOff>4010</xdr:rowOff>
    </xdr:from>
    <xdr:to>
      <xdr:col>9</xdr:col>
      <xdr:colOff>248654</xdr:colOff>
      <xdr:row>72</xdr:row>
      <xdr:rowOff>55747</xdr:rowOff>
    </xdr:to>
    <xdr:sp macro="" textlink="">
      <xdr:nvSpPr>
        <xdr:cNvPr id="41" name="Прямоугольник 40">
          <a:extLst>
            <a:ext uri="{FF2B5EF4-FFF2-40B4-BE49-F238E27FC236}">
              <a16:creationId xmlns:a16="http://schemas.microsoft.com/office/drawing/2014/main" id="{56520CD4-2BE2-4507-AEBE-CB4DEA292C1F}"/>
            </a:ext>
          </a:extLst>
        </xdr:cNvPr>
        <xdr:cNvSpPr/>
      </xdr:nvSpPr>
      <xdr:spPr>
        <a:xfrm>
          <a:off x="1764632" y="5149515"/>
          <a:ext cx="757990" cy="533000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244642</xdr:colOff>
      <xdr:row>60</xdr:row>
      <xdr:rowOff>0</xdr:rowOff>
    </xdr:from>
    <xdr:to>
      <xdr:col>9</xdr:col>
      <xdr:colOff>244643</xdr:colOff>
      <xdr:row>64</xdr:row>
      <xdr:rowOff>3611</xdr:rowOff>
    </xdr:to>
    <xdr:sp macro="" textlink="">
      <xdr:nvSpPr>
        <xdr:cNvPr id="42" name="Прямоугольник 41">
          <a:extLst>
            <a:ext uri="{FF2B5EF4-FFF2-40B4-BE49-F238E27FC236}">
              <a16:creationId xmlns:a16="http://schemas.microsoft.com/office/drawing/2014/main" id="{7018C6D9-19C7-4765-AA5B-8C6AFBCBACA0}"/>
            </a:ext>
          </a:extLst>
        </xdr:cNvPr>
        <xdr:cNvSpPr/>
      </xdr:nvSpPr>
      <xdr:spPr>
        <a:xfrm>
          <a:off x="1760621" y="4904874"/>
          <a:ext cx="757990" cy="244242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248652</xdr:colOff>
      <xdr:row>45</xdr:row>
      <xdr:rowOff>48127</xdr:rowOff>
    </xdr:from>
    <xdr:to>
      <xdr:col>9</xdr:col>
      <xdr:colOff>248653</xdr:colOff>
      <xdr:row>49</xdr:row>
      <xdr:rowOff>51737</xdr:rowOff>
    </xdr:to>
    <xdr:sp macro="" textlink="">
      <xdr:nvSpPr>
        <xdr:cNvPr id="43" name="Прямоугольник 42">
          <a:extLst>
            <a:ext uri="{FF2B5EF4-FFF2-40B4-BE49-F238E27FC236}">
              <a16:creationId xmlns:a16="http://schemas.microsoft.com/office/drawing/2014/main" id="{6DA97703-B43B-47C9-A786-9DB722154ADB}"/>
            </a:ext>
          </a:extLst>
        </xdr:cNvPr>
        <xdr:cNvSpPr/>
      </xdr:nvSpPr>
      <xdr:spPr>
        <a:xfrm>
          <a:off x="1764631" y="4050632"/>
          <a:ext cx="757990" cy="244242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92765</xdr:colOff>
      <xdr:row>27</xdr:row>
      <xdr:rowOff>13253</xdr:rowOff>
    </xdr:from>
    <xdr:to>
      <xdr:col>9</xdr:col>
      <xdr:colOff>248652</xdr:colOff>
      <xdr:row>45</xdr:row>
      <xdr:rowOff>39757</xdr:rowOff>
    </xdr:to>
    <xdr:sp macro="" textlink="">
      <xdr:nvSpPr>
        <xdr:cNvPr id="44" name="Прямоугольник 43">
          <a:extLst>
            <a:ext uri="{FF2B5EF4-FFF2-40B4-BE49-F238E27FC236}">
              <a16:creationId xmlns:a16="http://schemas.microsoft.com/office/drawing/2014/main" id="{91716F67-0EE4-44A2-B4CF-D35A1F7AF3CB}"/>
            </a:ext>
          </a:extLst>
        </xdr:cNvPr>
        <xdr:cNvSpPr/>
      </xdr:nvSpPr>
      <xdr:spPr>
        <a:xfrm>
          <a:off x="2107095" y="2928731"/>
          <a:ext cx="407679" cy="109993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246301</xdr:colOff>
      <xdr:row>83</xdr:row>
      <xdr:rowOff>758</xdr:rowOff>
    </xdr:from>
    <xdr:to>
      <xdr:col>16</xdr:col>
      <xdr:colOff>246301</xdr:colOff>
      <xdr:row>86</xdr:row>
      <xdr:rowOff>22955</xdr:rowOff>
    </xdr:to>
    <xdr:sp macro="" textlink="">
      <xdr:nvSpPr>
        <xdr:cNvPr id="47" name="Прямоугольник 46">
          <a:extLst>
            <a:ext uri="{FF2B5EF4-FFF2-40B4-BE49-F238E27FC236}">
              <a16:creationId xmlns:a16="http://schemas.microsoft.com/office/drawing/2014/main" id="{FA9CE2FA-D657-4115-967C-4BD1BB4FFEF0}"/>
            </a:ext>
          </a:extLst>
        </xdr:cNvPr>
        <xdr:cNvSpPr/>
      </xdr:nvSpPr>
      <xdr:spPr>
        <a:xfrm>
          <a:off x="3529432" y="6358015"/>
          <a:ext cx="757646" cy="205077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248194</xdr:colOff>
      <xdr:row>80</xdr:row>
      <xdr:rowOff>0</xdr:rowOff>
    </xdr:from>
    <xdr:to>
      <xdr:col>16</xdr:col>
      <xdr:colOff>248194</xdr:colOff>
      <xdr:row>82</xdr:row>
      <xdr:rowOff>52137</xdr:rowOff>
    </xdr:to>
    <xdr:sp macro="" textlink="">
      <xdr:nvSpPr>
        <xdr:cNvPr id="48" name="Прямоугольник 47">
          <a:extLst>
            <a:ext uri="{FF2B5EF4-FFF2-40B4-BE49-F238E27FC236}">
              <a16:creationId xmlns:a16="http://schemas.microsoft.com/office/drawing/2014/main" id="{1CBCC532-2011-45EA-BCC9-8210131B3B0C}"/>
            </a:ext>
          </a:extLst>
        </xdr:cNvPr>
        <xdr:cNvSpPr/>
      </xdr:nvSpPr>
      <xdr:spPr>
        <a:xfrm>
          <a:off x="3531325" y="6174377"/>
          <a:ext cx="757646" cy="174057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248194</xdr:colOff>
      <xdr:row>76</xdr:row>
      <xdr:rowOff>8709</xdr:rowOff>
    </xdr:from>
    <xdr:to>
      <xdr:col>16</xdr:col>
      <xdr:colOff>248194</xdr:colOff>
      <xdr:row>79</xdr:row>
      <xdr:rowOff>39076</xdr:rowOff>
    </xdr:to>
    <xdr:sp macro="" textlink="">
      <xdr:nvSpPr>
        <xdr:cNvPr id="49" name="Прямоугольник 48">
          <a:extLst>
            <a:ext uri="{FF2B5EF4-FFF2-40B4-BE49-F238E27FC236}">
              <a16:creationId xmlns:a16="http://schemas.microsoft.com/office/drawing/2014/main" id="{A8C0BB43-52FF-47C2-BE8E-AB75178FDB19}"/>
            </a:ext>
          </a:extLst>
        </xdr:cNvPr>
        <xdr:cNvSpPr/>
      </xdr:nvSpPr>
      <xdr:spPr>
        <a:xfrm>
          <a:off x="3531325" y="5939246"/>
          <a:ext cx="757646" cy="213247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248653</xdr:colOff>
      <xdr:row>70</xdr:row>
      <xdr:rowOff>8709</xdr:rowOff>
    </xdr:from>
    <xdr:to>
      <xdr:col>16</xdr:col>
      <xdr:colOff>248654</xdr:colOff>
      <xdr:row>75</xdr:row>
      <xdr:rowOff>51393</xdr:rowOff>
    </xdr:to>
    <xdr:sp macro="" textlink="">
      <xdr:nvSpPr>
        <xdr:cNvPr id="50" name="Прямоугольник 49">
          <a:extLst>
            <a:ext uri="{FF2B5EF4-FFF2-40B4-BE49-F238E27FC236}">
              <a16:creationId xmlns:a16="http://schemas.microsoft.com/office/drawing/2014/main" id="{B33BC903-58E5-44CD-81B2-97ACF21BE9E1}"/>
            </a:ext>
          </a:extLst>
        </xdr:cNvPr>
        <xdr:cNvSpPr/>
      </xdr:nvSpPr>
      <xdr:spPr>
        <a:xfrm>
          <a:off x="3531784" y="5573486"/>
          <a:ext cx="757647" cy="347484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243839</xdr:colOff>
      <xdr:row>67</xdr:row>
      <xdr:rowOff>0</xdr:rowOff>
    </xdr:from>
    <xdr:to>
      <xdr:col>16</xdr:col>
      <xdr:colOff>243839</xdr:colOff>
      <xdr:row>69</xdr:row>
      <xdr:rowOff>60847</xdr:rowOff>
    </xdr:to>
    <xdr:sp macro="" textlink="">
      <xdr:nvSpPr>
        <xdr:cNvPr id="51" name="Прямоугольник 50">
          <a:extLst>
            <a:ext uri="{FF2B5EF4-FFF2-40B4-BE49-F238E27FC236}">
              <a16:creationId xmlns:a16="http://schemas.microsoft.com/office/drawing/2014/main" id="{EC14892A-C5B7-4D3C-B470-A0FB607CD6E6}"/>
            </a:ext>
          </a:extLst>
        </xdr:cNvPr>
        <xdr:cNvSpPr/>
      </xdr:nvSpPr>
      <xdr:spPr>
        <a:xfrm>
          <a:off x="3526970" y="5381897"/>
          <a:ext cx="757646" cy="182767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237592</xdr:colOff>
      <xdr:row>57</xdr:row>
      <xdr:rowOff>1</xdr:rowOff>
    </xdr:from>
    <xdr:to>
      <xdr:col>16</xdr:col>
      <xdr:colOff>237592</xdr:colOff>
      <xdr:row>66</xdr:row>
      <xdr:rowOff>49081</xdr:rowOff>
    </xdr:to>
    <xdr:sp macro="" textlink="">
      <xdr:nvSpPr>
        <xdr:cNvPr id="52" name="Прямоугольник 51">
          <a:extLst>
            <a:ext uri="{FF2B5EF4-FFF2-40B4-BE49-F238E27FC236}">
              <a16:creationId xmlns:a16="http://schemas.microsoft.com/office/drawing/2014/main" id="{F8D7EF3F-B995-4125-A6A2-B5BED93C1E04}"/>
            </a:ext>
          </a:extLst>
        </xdr:cNvPr>
        <xdr:cNvSpPr/>
      </xdr:nvSpPr>
      <xdr:spPr>
        <a:xfrm>
          <a:off x="3520723" y="4772298"/>
          <a:ext cx="757646" cy="597720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239485</xdr:colOff>
      <xdr:row>54</xdr:row>
      <xdr:rowOff>4354</xdr:rowOff>
    </xdr:from>
    <xdr:to>
      <xdr:col>16</xdr:col>
      <xdr:colOff>239485</xdr:colOff>
      <xdr:row>56</xdr:row>
      <xdr:rowOff>47784</xdr:rowOff>
    </xdr:to>
    <xdr:sp macro="" textlink="">
      <xdr:nvSpPr>
        <xdr:cNvPr id="53" name="Прямоугольник 52">
          <a:extLst>
            <a:ext uri="{FF2B5EF4-FFF2-40B4-BE49-F238E27FC236}">
              <a16:creationId xmlns:a16="http://schemas.microsoft.com/office/drawing/2014/main" id="{F215AAEA-A809-45F3-92DE-90499197E122}"/>
            </a:ext>
          </a:extLst>
        </xdr:cNvPr>
        <xdr:cNvSpPr/>
      </xdr:nvSpPr>
      <xdr:spPr>
        <a:xfrm>
          <a:off x="3522616" y="4593771"/>
          <a:ext cx="757646" cy="16535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238807</xdr:colOff>
      <xdr:row>42</xdr:row>
      <xdr:rowOff>6626</xdr:rowOff>
    </xdr:from>
    <xdr:to>
      <xdr:col>16</xdr:col>
      <xdr:colOff>238809</xdr:colOff>
      <xdr:row>54</xdr:row>
      <xdr:rowOff>466</xdr:rowOff>
    </xdr:to>
    <xdr:sp macro="" textlink="">
      <xdr:nvSpPr>
        <xdr:cNvPr id="54" name="Прямоугольник 53">
          <a:extLst>
            <a:ext uri="{FF2B5EF4-FFF2-40B4-BE49-F238E27FC236}">
              <a16:creationId xmlns:a16="http://schemas.microsoft.com/office/drawing/2014/main" id="{535A9CED-CB8C-4F84-99F3-6AE6307C685F}"/>
            </a:ext>
          </a:extLst>
        </xdr:cNvPr>
        <xdr:cNvSpPr/>
      </xdr:nvSpPr>
      <xdr:spPr>
        <a:xfrm>
          <a:off x="3512094" y="3816626"/>
          <a:ext cx="755376" cy="709457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239485</xdr:colOff>
      <xdr:row>39</xdr:row>
      <xdr:rowOff>20396</xdr:rowOff>
    </xdr:from>
    <xdr:to>
      <xdr:col>16</xdr:col>
      <xdr:colOff>239485</xdr:colOff>
      <xdr:row>42</xdr:row>
      <xdr:rowOff>3668</xdr:rowOff>
    </xdr:to>
    <xdr:sp macro="" textlink="">
      <xdr:nvSpPr>
        <xdr:cNvPr id="55" name="Прямоугольник 54">
          <a:extLst>
            <a:ext uri="{FF2B5EF4-FFF2-40B4-BE49-F238E27FC236}">
              <a16:creationId xmlns:a16="http://schemas.microsoft.com/office/drawing/2014/main" id="{F22FF532-62FC-4B63-8FF3-DA6C31D4A176}"/>
            </a:ext>
          </a:extLst>
        </xdr:cNvPr>
        <xdr:cNvSpPr/>
      </xdr:nvSpPr>
      <xdr:spPr>
        <a:xfrm>
          <a:off x="3524106" y="3661954"/>
          <a:ext cx="757990" cy="163746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80382</xdr:colOff>
      <xdr:row>16</xdr:row>
      <xdr:rowOff>45720</xdr:rowOff>
    </xdr:from>
    <xdr:to>
      <xdr:col>16</xdr:col>
      <xdr:colOff>236270</xdr:colOff>
      <xdr:row>39</xdr:row>
      <xdr:rowOff>706</xdr:rowOff>
    </xdr:to>
    <xdr:sp macro="" textlink="">
      <xdr:nvSpPr>
        <xdr:cNvPr id="56" name="Прямоугольник 55">
          <a:extLst>
            <a:ext uri="{FF2B5EF4-FFF2-40B4-BE49-F238E27FC236}">
              <a16:creationId xmlns:a16="http://schemas.microsoft.com/office/drawing/2014/main" id="{8A8221EA-A6F0-42D1-B9BA-ABC6E499E293}"/>
            </a:ext>
          </a:extLst>
        </xdr:cNvPr>
        <xdr:cNvSpPr/>
      </xdr:nvSpPr>
      <xdr:spPr>
        <a:xfrm>
          <a:off x="3852282" y="2308860"/>
          <a:ext cx="407348" cy="1357066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163748</xdr:colOff>
      <xdr:row>86</xdr:row>
      <xdr:rowOff>45520</xdr:rowOff>
    </xdr:from>
    <xdr:ext cx="1931751" cy="74982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EC5D170-50EC-45FE-A1F5-9298DD0CAB2F}"/>
            </a:ext>
          </a:extLst>
        </xdr:cNvPr>
        <xdr:cNvSpPr txBox="1"/>
      </xdr:nvSpPr>
      <xdr:spPr>
        <a:xfrm>
          <a:off x="3181268" y="6575860"/>
          <a:ext cx="1931751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i="1">
              <a:solidFill>
                <a:schemeClr val="accent1"/>
              </a:solidFill>
            </a:rPr>
            <a:t>Навешивание фронтальной</a:t>
          </a:r>
          <a:r>
            <a:rPr lang="ru-RU" sz="1400" i="1" baseline="0">
              <a:solidFill>
                <a:schemeClr val="accent1"/>
              </a:solidFill>
            </a:rPr>
            <a:t> стенки</a:t>
          </a:r>
          <a:r>
            <a:rPr lang="ru-RU" sz="1400" i="1">
              <a:solidFill>
                <a:schemeClr val="accent1"/>
              </a:solidFill>
            </a:rPr>
            <a:t> на подвесы</a:t>
          </a:r>
        </a:p>
      </xdr:txBody>
    </xdr:sp>
    <xdr:clientData/>
  </xdr:oneCellAnchor>
  <xdr:twoCellAnchor>
    <xdr:from>
      <xdr:col>21</xdr:col>
      <xdr:colOff>11839</xdr:colOff>
      <xdr:row>72</xdr:row>
      <xdr:rowOff>52754</xdr:rowOff>
    </xdr:from>
    <xdr:to>
      <xdr:col>24</xdr:col>
      <xdr:colOff>11838</xdr:colOff>
      <xdr:row>86</xdr:row>
      <xdr:rowOff>5370</xdr:rowOff>
    </xdr:to>
    <xdr:sp macro="" textlink="">
      <xdr:nvSpPr>
        <xdr:cNvPr id="58" name="Прямоугольник 57">
          <a:extLst>
            <a:ext uri="{FF2B5EF4-FFF2-40B4-BE49-F238E27FC236}">
              <a16:creationId xmlns:a16="http://schemas.microsoft.com/office/drawing/2014/main" id="{28D69848-F591-4549-A23A-D78BAC3B50BF}"/>
            </a:ext>
          </a:extLst>
        </xdr:cNvPr>
        <xdr:cNvSpPr/>
      </xdr:nvSpPr>
      <xdr:spPr>
        <a:xfrm>
          <a:off x="5304808" y="5591908"/>
          <a:ext cx="756138" cy="773231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238314</xdr:colOff>
      <xdr:row>86</xdr:row>
      <xdr:rowOff>16298</xdr:rowOff>
    </xdr:from>
    <xdr:to>
      <xdr:col>41</xdr:col>
      <xdr:colOff>18956</xdr:colOff>
      <xdr:row>86</xdr:row>
      <xdr:rowOff>22060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55D86736-8861-4CB2-BCE0-42236DB1F0EE}"/>
            </a:ext>
          </a:extLst>
        </xdr:cNvPr>
        <xdr:cNvCxnSpPr/>
      </xdr:nvCxnSpPr>
      <xdr:spPr>
        <a:xfrm>
          <a:off x="1244154" y="6546638"/>
          <a:ext cx="9084662" cy="5762"/>
        </a:xfrm>
        <a:prstGeom prst="straightConnector1">
          <a:avLst/>
        </a:prstGeom>
        <a:ln w="571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13733</xdr:colOff>
      <xdr:row>68</xdr:row>
      <xdr:rowOff>5863</xdr:rowOff>
    </xdr:from>
    <xdr:to>
      <xdr:col>24</xdr:col>
      <xdr:colOff>13732</xdr:colOff>
      <xdr:row>72</xdr:row>
      <xdr:rowOff>56662</xdr:rowOff>
    </xdr:to>
    <xdr:sp macro="" textlink="">
      <xdr:nvSpPr>
        <xdr:cNvPr id="59" name="Прямоугольник 58">
          <a:extLst>
            <a:ext uri="{FF2B5EF4-FFF2-40B4-BE49-F238E27FC236}">
              <a16:creationId xmlns:a16="http://schemas.microsoft.com/office/drawing/2014/main" id="{26B838D9-8811-40A1-B402-36C8D843862E}"/>
            </a:ext>
          </a:extLst>
        </xdr:cNvPr>
        <xdr:cNvSpPr/>
      </xdr:nvSpPr>
      <xdr:spPr>
        <a:xfrm>
          <a:off x="5306702" y="5310555"/>
          <a:ext cx="756138" cy="285261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14192</xdr:colOff>
      <xdr:row>62</xdr:row>
      <xdr:rowOff>11723</xdr:rowOff>
    </xdr:from>
    <xdr:to>
      <xdr:col>24</xdr:col>
      <xdr:colOff>14192</xdr:colOff>
      <xdr:row>68</xdr:row>
      <xdr:rowOff>10362</xdr:rowOff>
    </xdr:to>
    <xdr:sp macro="" textlink="">
      <xdr:nvSpPr>
        <xdr:cNvPr id="60" name="Прямоугольник 59">
          <a:extLst>
            <a:ext uri="{FF2B5EF4-FFF2-40B4-BE49-F238E27FC236}">
              <a16:creationId xmlns:a16="http://schemas.microsoft.com/office/drawing/2014/main" id="{5EBB250A-BFA8-4752-B2D1-494E6575CC0E}"/>
            </a:ext>
          </a:extLst>
        </xdr:cNvPr>
        <xdr:cNvSpPr/>
      </xdr:nvSpPr>
      <xdr:spPr>
        <a:xfrm>
          <a:off x="5307161" y="4964723"/>
          <a:ext cx="756139" cy="350331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7871</xdr:colOff>
      <xdr:row>59</xdr:row>
      <xdr:rowOff>5861</xdr:rowOff>
    </xdr:from>
    <xdr:to>
      <xdr:col>24</xdr:col>
      <xdr:colOff>7870</xdr:colOff>
      <xdr:row>61</xdr:row>
      <xdr:rowOff>50800</xdr:rowOff>
    </xdr:to>
    <xdr:sp macro="" textlink="">
      <xdr:nvSpPr>
        <xdr:cNvPr id="61" name="Прямоугольник 60">
          <a:extLst>
            <a:ext uri="{FF2B5EF4-FFF2-40B4-BE49-F238E27FC236}">
              <a16:creationId xmlns:a16="http://schemas.microsoft.com/office/drawing/2014/main" id="{18304920-2076-4896-A36F-62D3B214D698}"/>
            </a:ext>
          </a:extLst>
        </xdr:cNvPr>
        <xdr:cNvSpPr/>
      </xdr:nvSpPr>
      <xdr:spPr>
        <a:xfrm>
          <a:off x="5300840" y="4783015"/>
          <a:ext cx="756138" cy="16217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11839</xdr:colOff>
      <xdr:row>48</xdr:row>
      <xdr:rowOff>11722</xdr:rowOff>
    </xdr:from>
    <xdr:to>
      <xdr:col>24</xdr:col>
      <xdr:colOff>11838</xdr:colOff>
      <xdr:row>59</xdr:row>
      <xdr:rowOff>11231</xdr:rowOff>
    </xdr:to>
    <xdr:sp macro="" textlink="">
      <xdr:nvSpPr>
        <xdr:cNvPr id="62" name="Прямоугольник 61">
          <a:extLst>
            <a:ext uri="{FF2B5EF4-FFF2-40B4-BE49-F238E27FC236}">
              <a16:creationId xmlns:a16="http://schemas.microsoft.com/office/drawing/2014/main" id="{ADB2CDC2-C3A6-4AA8-B85E-108964C4B2C8}"/>
            </a:ext>
          </a:extLst>
        </xdr:cNvPr>
        <xdr:cNvSpPr/>
      </xdr:nvSpPr>
      <xdr:spPr>
        <a:xfrm>
          <a:off x="5304808" y="4144107"/>
          <a:ext cx="756138" cy="644278"/>
        </a:xfrm>
        <a:prstGeom prst="rect">
          <a:avLst/>
        </a:prstGeom>
        <a:pattFill prst="wdDn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22</xdr:col>
      <xdr:colOff>103242</xdr:colOff>
      <xdr:row>27</xdr:row>
      <xdr:rowOff>59825</xdr:rowOff>
    </xdr:from>
    <xdr:to>
      <xdr:col>24</xdr:col>
      <xdr:colOff>7670</xdr:colOff>
      <xdr:row>44</xdr:row>
      <xdr:rowOff>22431</xdr:rowOff>
    </xdr:to>
    <xdr:sp macro="" textlink="">
      <xdr:nvSpPr>
        <xdr:cNvPr id="64" name="Прямоугольник 63">
          <a:extLst>
            <a:ext uri="{FF2B5EF4-FFF2-40B4-BE49-F238E27FC236}">
              <a16:creationId xmlns:a16="http://schemas.microsoft.com/office/drawing/2014/main" id="{96EDFC99-2FB3-49D1-81B4-7C7984F5B164}"/>
            </a:ext>
          </a:extLst>
        </xdr:cNvPr>
        <xdr:cNvSpPr/>
      </xdr:nvSpPr>
      <xdr:spPr>
        <a:xfrm>
          <a:off x="5667463" y="3007306"/>
          <a:ext cx="410267" cy="1009951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66260</xdr:colOff>
      <xdr:row>38</xdr:row>
      <xdr:rowOff>53009</xdr:rowOff>
    </xdr:from>
    <xdr:to>
      <xdr:col>40</xdr:col>
      <xdr:colOff>33131</xdr:colOff>
      <xdr:row>38</xdr:row>
      <xdr:rowOff>53009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4066DE6-DAC9-4B6D-91D6-F6D5FDA56A8F}"/>
            </a:ext>
          </a:extLst>
        </xdr:cNvPr>
        <xdr:cNvCxnSpPr/>
      </xdr:nvCxnSpPr>
      <xdr:spPr>
        <a:xfrm>
          <a:off x="1325217" y="3624470"/>
          <a:ext cx="8779566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7871</xdr:colOff>
      <xdr:row>44</xdr:row>
      <xdr:rowOff>5862</xdr:rowOff>
    </xdr:from>
    <xdr:to>
      <xdr:col>24</xdr:col>
      <xdr:colOff>7870</xdr:colOff>
      <xdr:row>47</xdr:row>
      <xdr:rowOff>50800</xdr:rowOff>
    </xdr:to>
    <xdr:sp macro="" textlink="">
      <xdr:nvSpPr>
        <xdr:cNvPr id="63" name="Прямоугольник 62">
          <a:extLst>
            <a:ext uri="{FF2B5EF4-FFF2-40B4-BE49-F238E27FC236}">
              <a16:creationId xmlns:a16="http://schemas.microsoft.com/office/drawing/2014/main" id="{DA47125E-3B62-49C4-A236-3DDC5405A41B}"/>
            </a:ext>
          </a:extLst>
        </xdr:cNvPr>
        <xdr:cNvSpPr/>
      </xdr:nvSpPr>
      <xdr:spPr>
        <a:xfrm>
          <a:off x="5300840" y="3903785"/>
          <a:ext cx="756138" cy="220784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20</xdr:col>
      <xdr:colOff>209469</xdr:colOff>
      <xdr:row>86</xdr:row>
      <xdr:rowOff>30280</xdr:rowOff>
    </xdr:from>
    <xdr:ext cx="1520272" cy="749821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69A8FCE-50A8-42A9-AAF7-162062AC7FC6}"/>
            </a:ext>
          </a:extLst>
        </xdr:cNvPr>
        <xdr:cNvSpPr txBox="1"/>
      </xdr:nvSpPr>
      <xdr:spPr>
        <a:xfrm>
          <a:off x="5238669" y="6560620"/>
          <a:ext cx="1520272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i="1">
              <a:solidFill>
                <a:schemeClr val="accent1"/>
              </a:solidFill>
            </a:rPr>
            <a:t>Навешивание задней</a:t>
          </a:r>
          <a:r>
            <a:rPr lang="ru-RU" sz="1400" i="1" baseline="0">
              <a:solidFill>
                <a:schemeClr val="accent1"/>
              </a:solidFill>
            </a:rPr>
            <a:t> стенки</a:t>
          </a:r>
          <a:r>
            <a:rPr lang="ru-RU" sz="1400" i="1">
              <a:solidFill>
                <a:schemeClr val="accent1"/>
              </a:solidFill>
            </a:rPr>
            <a:t> на подвесы</a:t>
          </a:r>
        </a:p>
      </xdr:txBody>
    </xdr:sp>
    <xdr:clientData/>
  </xdr:oneCellAnchor>
  <xdr:twoCellAnchor>
    <xdr:from>
      <xdr:col>32</xdr:col>
      <xdr:colOff>163285</xdr:colOff>
      <xdr:row>30</xdr:row>
      <xdr:rowOff>10886</xdr:rowOff>
    </xdr:from>
    <xdr:to>
      <xdr:col>34</xdr:col>
      <xdr:colOff>195942</xdr:colOff>
      <xdr:row>37</xdr:row>
      <xdr:rowOff>54429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4C22A3C-7BA0-4F21-8122-00160B461676}"/>
            </a:ext>
          </a:extLst>
        </xdr:cNvPr>
        <xdr:cNvSpPr txBox="1"/>
      </xdr:nvSpPr>
      <xdr:spPr>
        <a:xfrm>
          <a:off x="8175171" y="3233057"/>
          <a:ext cx="533400" cy="5007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2800">
              <a:solidFill>
                <a:srgbClr val="FF0000"/>
              </a:solidFill>
            </a:rPr>
            <a:t>Тт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369599</xdr:colOff>
      <xdr:row>2</xdr:row>
      <xdr:rowOff>55764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FC538C8-022B-450E-A031-9E639AD712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0"/>
          <a:ext cx="2701319" cy="8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369599</xdr:colOff>
      <xdr:row>2</xdr:row>
      <xdr:rowOff>55764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9D42D-F0E6-4946-9471-D23652AEB4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0"/>
          <a:ext cx="2701319" cy="81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203200</xdr:colOff>
      <xdr:row>6</xdr:row>
      <xdr:rowOff>228600</xdr:rowOff>
    </xdr:from>
    <xdr:to>
      <xdr:col>22</xdr:col>
      <xdr:colOff>26557</xdr:colOff>
      <xdr:row>17</xdr:row>
      <xdr:rowOff>47098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FDB0120-D8CD-4D13-A712-048948B1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10" y="2514600"/>
          <a:ext cx="8372997" cy="4009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183220</xdr:colOff>
      <xdr:row>5</xdr:row>
      <xdr:rowOff>285750</xdr:rowOff>
    </xdr:from>
    <xdr:to>
      <xdr:col>44</xdr:col>
      <xdr:colOff>232695</xdr:colOff>
      <xdr:row>18</xdr:row>
      <xdr:rowOff>224155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845FD3A-4D1F-4599-9AAF-95F28A7DA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865" y="2186940"/>
          <a:ext cx="8599115" cy="4891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87923</xdr:colOff>
      <xdr:row>0</xdr:row>
      <xdr:rowOff>0</xdr:rowOff>
    </xdr:from>
    <xdr:to>
      <xdr:col>1</xdr:col>
      <xdr:colOff>1461428</xdr:colOff>
      <xdr:row>2</xdr:row>
      <xdr:rowOff>46670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9E589F-D241-48F7-B625-8A871D6654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301283" y="0"/>
          <a:ext cx="1373505" cy="427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68031</xdr:colOff>
      <xdr:row>9</xdr:row>
      <xdr:rowOff>42182</xdr:rowOff>
    </xdr:from>
    <xdr:to>
      <xdr:col>8</xdr:col>
      <xdr:colOff>631038</xdr:colOff>
      <xdr:row>11</xdr:row>
      <xdr:rowOff>94231</xdr:rowOff>
    </xdr:to>
    <xdr:pic>
      <xdr:nvPicPr>
        <xdr:cNvPr id="2" name="Рисунок 11">
          <a:extLst>
            <a:ext uri="{FF2B5EF4-FFF2-40B4-BE49-F238E27FC236}">
              <a16:creationId xmlns:a16="http://schemas.microsoft.com/office/drawing/2014/main" id="{0706127C-8054-4AD4-8445-04EF2486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543626" y="2311037"/>
          <a:ext cx="563007" cy="509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1853721</xdr:colOff>
      <xdr:row>9</xdr:row>
      <xdr:rowOff>61233</xdr:rowOff>
    </xdr:from>
    <xdr:to>
      <xdr:col>9</xdr:col>
      <xdr:colOff>426401</xdr:colOff>
      <xdr:row>11</xdr:row>
      <xdr:rowOff>115187</xdr:rowOff>
    </xdr:to>
    <xdr:pic>
      <xdr:nvPicPr>
        <xdr:cNvPr id="3" name="Рисунок 14">
          <a:extLst>
            <a:ext uri="{FF2B5EF4-FFF2-40B4-BE49-F238E27FC236}">
              <a16:creationId xmlns:a16="http://schemas.microsoft.com/office/drawing/2014/main" id="{5CAECDE1-5A64-4CA4-9F81-5235249C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27411" y="2324373"/>
          <a:ext cx="599600" cy="511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1641466</xdr:colOff>
      <xdr:row>9</xdr:row>
      <xdr:rowOff>74841</xdr:rowOff>
    </xdr:from>
    <xdr:to>
      <xdr:col>9</xdr:col>
      <xdr:colOff>2183369</xdr:colOff>
      <xdr:row>11</xdr:row>
      <xdr:rowOff>126887</xdr:rowOff>
    </xdr:to>
    <xdr:pic>
      <xdr:nvPicPr>
        <xdr:cNvPr id="4" name="Рисунок 16">
          <a:extLst>
            <a:ext uri="{FF2B5EF4-FFF2-40B4-BE49-F238E27FC236}">
              <a16:creationId xmlns:a16="http://schemas.microsoft.com/office/drawing/2014/main" id="{DBF7E470-4542-480D-808A-E041396AC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47791" y="2341791"/>
          <a:ext cx="541903" cy="5092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108858</xdr:rowOff>
    </xdr:from>
    <xdr:to>
      <xdr:col>1</xdr:col>
      <xdr:colOff>1622786</xdr:colOff>
      <xdr:row>2</xdr:row>
      <xdr:rowOff>44632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4D4E037-C02F-4EAE-9FF1-4D65D17F5A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709" b="88350" l="1749" r="50238">
                      <a14:foregroundMark x1="35771" y1="90291" x2="35771" y2="90291"/>
                      <a14:foregroundMark x1="40223" y1="47573" x2="40223" y2="47573"/>
                      <a14:foregroundMark x1="48013" y1="21359" x2="48013" y2="21359"/>
                      <a14:foregroundMark x1="47695" y1="50485" x2="48808" y2="61165"/>
                      <a14:foregroundMark x1="50556" y1="13592" x2="50556" y2="13592"/>
                      <a14:foregroundMark x1="18124" y1="21359" x2="20668" y2="43689"/>
                      <a14:foregroundMark x1="12560" y1="12621" x2="12719" y2="71845"/>
                      <a14:foregroundMark x1="4293" y1="24272" x2="5405" y2="48544"/>
                      <a14:foregroundMark x1="1749" y1="42718" x2="1749" y2="427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7500"/>
        <a:stretch/>
      </xdr:blipFill>
      <xdr:spPr bwMode="auto">
        <a:xfrm>
          <a:off x="0" y="106953"/>
          <a:ext cx="1897106" cy="591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1835728</xdr:colOff>
      <xdr:row>14</xdr:row>
      <xdr:rowOff>103232</xdr:rowOff>
    </xdr:from>
    <xdr:to>
      <xdr:col>9</xdr:col>
      <xdr:colOff>1373910</xdr:colOff>
      <xdr:row>14</xdr:row>
      <xdr:rowOff>1805023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864202C-BA80-4CBB-A778-A380A1F5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133" y="6787877"/>
          <a:ext cx="1565102" cy="1701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1812635</xdr:colOff>
      <xdr:row>13</xdr:row>
      <xdr:rowOff>230909</xdr:rowOff>
    </xdr:from>
    <xdr:to>
      <xdr:col>9</xdr:col>
      <xdr:colOff>1346892</xdr:colOff>
      <xdr:row>13</xdr:row>
      <xdr:rowOff>2445941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684147D-7B55-4A31-8ACC-7053C4AC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6325" y="4193309"/>
          <a:ext cx="1561177" cy="22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2032000</xdr:colOff>
      <xdr:row>15</xdr:row>
      <xdr:rowOff>288637</xdr:rowOff>
    </xdr:from>
    <xdr:to>
      <xdr:col>9</xdr:col>
      <xdr:colOff>1045095</xdr:colOff>
      <xdr:row>15</xdr:row>
      <xdr:rowOff>2191328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155D4E2-B755-499F-A755-5702EC63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3785" y="8857327"/>
          <a:ext cx="1047635" cy="190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1801933</xdr:colOff>
      <xdr:row>16</xdr:row>
      <xdr:rowOff>381000</xdr:rowOff>
    </xdr:from>
    <xdr:to>
      <xdr:col>9</xdr:col>
      <xdr:colOff>1111716</xdr:colOff>
      <xdr:row>16</xdr:row>
      <xdr:rowOff>2270644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D54A0A9-4CA8-421D-8E98-319A5B271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1338" y="11487150"/>
          <a:ext cx="1336703" cy="1889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57;&#1056;%203.0\II%20&#1090;&#1080;&#108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ремя такта"/>
      <sheetName val="Листы наблюдений"/>
      <sheetName val="Сводная таблица работ"/>
      <sheetName val="Загрузка операторов"/>
      <sheetName val="Диаграмма на поток"/>
    </sheetNames>
    <sheetDataSet>
      <sheetData sheetId="0">
        <row r="6">
          <cell r="T6">
            <v>25800</v>
          </cell>
        </row>
        <row r="13">
          <cell r="T13">
            <v>90.526315789473685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  <a:headEnd type="none" w="med" len="med"/>
          <a:tailEnd type="triangle" w="med" len="med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FBF6-3FF3-4957-8370-48413F5D2730}">
  <sheetPr codeName="Лист1"/>
  <dimension ref="A1:V8"/>
  <sheetViews>
    <sheetView showGridLines="0" view="pageBreakPreview" topLeftCell="B1" zoomScale="115" zoomScaleNormal="130" zoomScaleSheetLayoutView="115" workbookViewId="0">
      <selection activeCell="Z8" sqref="Z8"/>
    </sheetView>
  </sheetViews>
  <sheetFormatPr defaultColWidth="3.6640625" defaultRowHeight="15.6" x14ac:dyDescent="0.3"/>
  <cols>
    <col min="1" max="21" width="3.6640625" style="5"/>
    <col min="22" max="22" width="48.44140625" style="5" customWidth="1"/>
    <col min="23" max="16384" width="3.6640625" style="3"/>
  </cols>
  <sheetData>
    <row r="1" spans="1:22" ht="31.5" customHeight="1" x14ac:dyDescent="0.3">
      <c r="A1" s="1"/>
      <c r="B1" s="2"/>
      <c r="C1" s="2"/>
      <c r="D1" s="2"/>
      <c r="E1" s="2"/>
      <c r="F1" s="174" t="s">
        <v>0</v>
      </c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5"/>
    </row>
    <row r="2" spans="1:22" ht="30" customHeight="1" x14ac:dyDescent="0.3">
      <c r="A2" s="176" t="s">
        <v>1</v>
      </c>
      <c r="B2" s="177"/>
      <c r="C2" s="177"/>
      <c r="D2" s="177"/>
      <c r="E2" s="178"/>
      <c r="F2" s="162" t="s">
        <v>132</v>
      </c>
      <c r="G2" s="163"/>
      <c r="H2" s="163"/>
      <c r="I2" s="163"/>
      <c r="J2" s="163"/>
      <c r="K2" s="163"/>
      <c r="L2" s="164"/>
      <c r="M2" s="179" t="s">
        <v>2</v>
      </c>
      <c r="N2" s="179"/>
      <c r="O2" s="179"/>
      <c r="P2" s="179"/>
      <c r="Q2" s="179"/>
      <c r="R2" s="181">
        <v>44418</v>
      </c>
      <c r="S2" s="182"/>
      <c r="T2" s="182"/>
      <c r="U2" s="182"/>
      <c r="V2" s="183"/>
    </row>
    <row r="3" spans="1:22" ht="30" customHeight="1" x14ac:dyDescent="0.3">
      <c r="A3" s="176" t="s">
        <v>3</v>
      </c>
      <c r="B3" s="177"/>
      <c r="C3" s="177"/>
      <c r="D3" s="177"/>
      <c r="E3" s="178"/>
      <c r="F3" s="162" t="s">
        <v>133</v>
      </c>
      <c r="G3" s="163"/>
      <c r="H3" s="163"/>
      <c r="I3" s="163"/>
      <c r="J3" s="163"/>
      <c r="K3" s="163"/>
      <c r="L3" s="164"/>
      <c r="M3" s="179" t="s">
        <v>4</v>
      </c>
      <c r="N3" s="179"/>
      <c r="O3" s="179"/>
      <c r="P3" s="179"/>
      <c r="Q3" s="179"/>
      <c r="R3" s="180" t="s">
        <v>134</v>
      </c>
      <c r="S3" s="180"/>
      <c r="T3" s="180"/>
      <c r="U3" s="180"/>
      <c r="V3" s="180"/>
    </row>
    <row r="4" spans="1:22" ht="30" customHeight="1" x14ac:dyDescent="0.3">
      <c r="A4" s="4" t="s">
        <v>5</v>
      </c>
      <c r="B4" s="190" t="s">
        <v>6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2"/>
      <c r="T4" s="185" t="s">
        <v>135</v>
      </c>
      <c r="U4" s="185"/>
      <c r="V4" s="185"/>
    </row>
    <row r="5" spans="1:22" ht="30" customHeight="1" x14ac:dyDescent="0.3">
      <c r="A5" s="4" t="s">
        <v>7</v>
      </c>
      <c r="B5" s="186" t="s">
        <v>8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8"/>
      <c r="T5" s="189" t="s">
        <v>136</v>
      </c>
      <c r="U5" s="189"/>
      <c r="V5" s="189"/>
    </row>
    <row r="6" spans="1:22" ht="30" customHeight="1" x14ac:dyDescent="0.3">
      <c r="A6" s="4" t="s">
        <v>9</v>
      </c>
      <c r="B6" s="190" t="s">
        <v>10</v>
      </c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2"/>
      <c r="T6" s="185" t="s">
        <v>137</v>
      </c>
      <c r="U6" s="185"/>
      <c r="V6" s="185"/>
    </row>
    <row r="7" spans="1:22" ht="67.2" customHeight="1" x14ac:dyDescent="0.3">
      <c r="A7" s="4" t="s">
        <v>11</v>
      </c>
      <c r="B7" s="186" t="s">
        <v>12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8"/>
      <c r="T7" s="189" t="s">
        <v>138</v>
      </c>
      <c r="U7" s="189"/>
      <c r="V7" s="189"/>
    </row>
    <row r="8" spans="1:22" ht="30" customHeight="1" x14ac:dyDescent="0.3">
      <c r="A8" s="4" t="s">
        <v>13</v>
      </c>
      <c r="B8" s="184" t="s">
        <v>14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5" t="s">
        <v>139</v>
      </c>
      <c r="U8" s="185"/>
      <c r="V8" s="185"/>
    </row>
  </sheetData>
  <mergeCells count="17">
    <mergeCell ref="B8:S8"/>
    <mergeCell ref="T8:V8"/>
    <mergeCell ref="B7:S7"/>
    <mergeCell ref="T7:V7"/>
    <mergeCell ref="B4:S4"/>
    <mergeCell ref="T4:V4"/>
    <mergeCell ref="B5:S5"/>
    <mergeCell ref="T5:V5"/>
    <mergeCell ref="B6:S6"/>
    <mergeCell ref="T6:V6"/>
    <mergeCell ref="F1:V1"/>
    <mergeCell ref="A3:E3"/>
    <mergeCell ref="M3:Q3"/>
    <mergeCell ref="R3:V3"/>
    <mergeCell ref="A2:E2"/>
    <mergeCell ref="M2:Q2"/>
    <mergeCell ref="R2:V2"/>
  </mergeCells>
  <pageMargins left="0.7" right="0.7" top="0.75" bottom="0.75" header="0.3" footer="0.3"/>
  <pageSetup paperSize="9" scale="68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D8DC-160E-4CB1-A649-AF3A84267948}">
  <sheetPr codeName="Лист2"/>
  <dimension ref="A1:AW54"/>
  <sheetViews>
    <sheetView showGridLines="0" view="pageBreakPreview" zoomScale="115" zoomScaleNormal="115" zoomScaleSheetLayoutView="115" workbookViewId="0">
      <selection activeCell="G1" sqref="A1:AW54"/>
    </sheetView>
  </sheetViews>
  <sheetFormatPr defaultColWidth="2.6640625" defaultRowHeight="15.6" x14ac:dyDescent="0.3"/>
  <cols>
    <col min="1" max="1" width="3.77734375" style="7" customWidth="1"/>
    <col min="2" max="4" width="2.6640625" style="7" customWidth="1"/>
    <col min="5" max="16384" width="2.6640625" style="7"/>
  </cols>
  <sheetData>
    <row r="1" spans="1:49" ht="31.8" customHeight="1" x14ac:dyDescent="0.3">
      <c r="A1" s="196"/>
      <c r="B1" s="197"/>
      <c r="C1" s="197"/>
      <c r="D1" s="197"/>
      <c r="E1" s="197"/>
      <c r="F1" s="198"/>
      <c r="G1" s="253" t="s">
        <v>15</v>
      </c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4"/>
    </row>
    <row r="2" spans="1:49" ht="15" customHeight="1" x14ac:dyDescent="0.3">
      <c r="A2" s="255" t="s">
        <v>1</v>
      </c>
      <c r="B2" s="256"/>
      <c r="C2" s="256"/>
      <c r="D2" s="256"/>
      <c r="E2" s="256"/>
      <c r="F2" s="257"/>
      <c r="G2" s="258" t="s">
        <v>132</v>
      </c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39" t="s">
        <v>25</v>
      </c>
      <c r="U2" s="240"/>
      <c r="V2" s="240"/>
      <c r="W2" s="240"/>
      <c r="X2" s="241"/>
      <c r="Y2" s="260" t="s">
        <v>140</v>
      </c>
      <c r="Z2" s="261"/>
      <c r="AA2" s="261"/>
      <c r="AB2" s="261"/>
      <c r="AC2" s="261"/>
      <c r="AD2" s="261"/>
      <c r="AE2" s="261"/>
      <c r="AF2" s="261"/>
      <c r="AG2" s="261"/>
      <c r="AH2" s="262"/>
      <c r="AI2" s="223" t="s">
        <v>26</v>
      </c>
      <c r="AJ2" s="224"/>
      <c r="AK2" s="224"/>
      <c r="AL2" s="224"/>
      <c r="AM2" s="224"/>
      <c r="AN2" s="225"/>
      <c r="AO2" s="266">
        <v>44418</v>
      </c>
      <c r="AP2" s="267"/>
      <c r="AQ2" s="267"/>
      <c r="AR2" s="267"/>
      <c r="AS2" s="267"/>
      <c r="AT2" s="267"/>
      <c r="AU2" s="267"/>
      <c r="AV2" s="267"/>
      <c r="AW2" s="268"/>
    </row>
    <row r="3" spans="1:49" ht="15" customHeight="1" x14ac:dyDescent="0.3">
      <c r="A3" s="255" t="s">
        <v>27</v>
      </c>
      <c r="B3" s="256"/>
      <c r="C3" s="256"/>
      <c r="D3" s="256"/>
      <c r="E3" s="256"/>
      <c r="F3" s="257"/>
      <c r="G3" s="258" t="s">
        <v>165</v>
      </c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42"/>
      <c r="U3" s="243"/>
      <c r="V3" s="243"/>
      <c r="W3" s="243"/>
      <c r="X3" s="244"/>
      <c r="Y3" s="263"/>
      <c r="Z3" s="264"/>
      <c r="AA3" s="264"/>
      <c r="AB3" s="264"/>
      <c r="AC3" s="264"/>
      <c r="AD3" s="264"/>
      <c r="AE3" s="264"/>
      <c r="AF3" s="264"/>
      <c r="AG3" s="264"/>
      <c r="AH3" s="265"/>
      <c r="AI3" s="226"/>
      <c r="AJ3" s="227"/>
      <c r="AK3" s="227"/>
      <c r="AL3" s="227"/>
      <c r="AM3" s="227"/>
      <c r="AN3" s="228"/>
      <c r="AO3" s="269"/>
      <c r="AP3" s="270"/>
      <c r="AQ3" s="270"/>
      <c r="AR3" s="270"/>
      <c r="AS3" s="270"/>
      <c r="AT3" s="270"/>
      <c r="AU3" s="270"/>
      <c r="AV3" s="270"/>
      <c r="AW3" s="271"/>
    </row>
    <row r="4" spans="1:49" ht="15" customHeight="1" x14ac:dyDescent="0.3">
      <c r="A4" s="239" t="s">
        <v>28</v>
      </c>
      <c r="B4" s="240"/>
      <c r="C4" s="240"/>
      <c r="D4" s="241"/>
      <c r="E4" s="245" t="s">
        <v>16</v>
      </c>
      <c r="F4" s="246"/>
      <c r="G4" s="258" t="s">
        <v>166</v>
      </c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39" t="s">
        <v>18</v>
      </c>
      <c r="U4" s="240"/>
      <c r="V4" s="240"/>
      <c r="W4" s="240"/>
      <c r="X4" s="241"/>
      <c r="Y4" s="247" t="s">
        <v>141</v>
      </c>
      <c r="Z4" s="248"/>
      <c r="AA4" s="248"/>
      <c r="AB4" s="248"/>
      <c r="AC4" s="248"/>
      <c r="AD4" s="248"/>
      <c r="AE4" s="248"/>
      <c r="AF4" s="248"/>
      <c r="AG4" s="248"/>
      <c r="AH4" s="249"/>
      <c r="AI4" s="223" t="s">
        <v>19</v>
      </c>
      <c r="AJ4" s="224"/>
      <c r="AK4" s="224"/>
      <c r="AL4" s="224"/>
      <c r="AM4" s="224"/>
      <c r="AN4" s="225"/>
      <c r="AO4" s="229" t="s">
        <v>134</v>
      </c>
      <c r="AP4" s="230"/>
      <c r="AQ4" s="230"/>
      <c r="AR4" s="230"/>
      <c r="AS4" s="230"/>
      <c r="AT4" s="230"/>
      <c r="AU4" s="230"/>
      <c r="AV4" s="230"/>
      <c r="AW4" s="231"/>
    </row>
    <row r="5" spans="1:49" ht="23.4" customHeight="1" x14ac:dyDescent="0.3">
      <c r="A5" s="242"/>
      <c r="B5" s="243"/>
      <c r="C5" s="243"/>
      <c r="D5" s="244"/>
      <c r="E5" s="206" t="s">
        <v>17</v>
      </c>
      <c r="F5" s="208"/>
      <c r="G5" s="258" t="s">
        <v>167</v>
      </c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42"/>
      <c r="U5" s="243"/>
      <c r="V5" s="243"/>
      <c r="W5" s="243"/>
      <c r="X5" s="244"/>
      <c r="Y5" s="250"/>
      <c r="Z5" s="251"/>
      <c r="AA5" s="251"/>
      <c r="AB5" s="251"/>
      <c r="AC5" s="251"/>
      <c r="AD5" s="251"/>
      <c r="AE5" s="251"/>
      <c r="AF5" s="251"/>
      <c r="AG5" s="251"/>
      <c r="AH5" s="252"/>
      <c r="AI5" s="226"/>
      <c r="AJ5" s="227"/>
      <c r="AK5" s="227"/>
      <c r="AL5" s="227"/>
      <c r="AM5" s="227"/>
      <c r="AN5" s="228"/>
      <c r="AO5" s="232"/>
      <c r="AP5" s="233"/>
      <c r="AQ5" s="233"/>
      <c r="AR5" s="233"/>
      <c r="AS5" s="233"/>
      <c r="AT5" s="233"/>
      <c r="AU5" s="233"/>
      <c r="AV5" s="233"/>
      <c r="AW5" s="234"/>
    </row>
    <row r="6" spans="1:49" x14ac:dyDescent="0.3">
      <c r="A6" s="147" t="s">
        <v>20</v>
      </c>
      <c r="B6" s="238" t="s">
        <v>21</v>
      </c>
      <c r="C6" s="238"/>
      <c r="D6" s="238"/>
      <c r="E6" s="238"/>
      <c r="F6" s="238"/>
      <c r="G6" s="238"/>
      <c r="H6" s="238"/>
      <c r="I6" s="238"/>
      <c r="J6" s="238"/>
      <c r="K6" s="238" t="s">
        <v>22</v>
      </c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 t="s">
        <v>23</v>
      </c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</row>
    <row r="7" spans="1:49" ht="20.100000000000001" customHeight="1" x14ac:dyDescent="0.3">
      <c r="A7" s="8">
        <v>1</v>
      </c>
      <c r="B7" s="211" t="s">
        <v>142</v>
      </c>
      <c r="C7" s="211"/>
      <c r="D7" s="211"/>
      <c r="E7" s="211"/>
      <c r="F7" s="211"/>
      <c r="G7" s="211"/>
      <c r="H7" s="211"/>
      <c r="I7" s="211"/>
      <c r="J7" s="211"/>
      <c r="K7" s="212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4"/>
      <c r="Y7" s="218" t="s">
        <v>152</v>
      </c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</row>
    <row r="8" spans="1:49" ht="20.100000000000001" customHeight="1" x14ac:dyDescent="0.3">
      <c r="A8" s="8">
        <v>2</v>
      </c>
      <c r="B8" s="211" t="s">
        <v>143</v>
      </c>
      <c r="C8" s="211"/>
      <c r="D8" s="211"/>
      <c r="E8" s="211"/>
      <c r="F8" s="211"/>
      <c r="G8" s="211"/>
      <c r="H8" s="211"/>
      <c r="I8" s="211"/>
      <c r="J8" s="211"/>
      <c r="K8" s="212" t="s">
        <v>150</v>
      </c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4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</row>
    <row r="9" spans="1:49" ht="20.100000000000001" customHeight="1" x14ac:dyDescent="0.3">
      <c r="A9" s="8">
        <v>3</v>
      </c>
      <c r="B9" s="211" t="s">
        <v>144</v>
      </c>
      <c r="C9" s="211"/>
      <c r="D9" s="211"/>
      <c r="E9" s="211"/>
      <c r="F9" s="211"/>
      <c r="G9" s="211"/>
      <c r="H9" s="211"/>
      <c r="I9" s="211"/>
      <c r="J9" s="211"/>
      <c r="K9" s="212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4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219"/>
      <c r="AU9" s="219"/>
      <c r="AV9" s="219"/>
      <c r="AW9" s="219"/>
    </row>
    <row r="10" spans="1:49" ht="33.6" customHeight="1" x14ac:dyDescent="0.3">
      <c r="A10" s="8">
        <v>4</v>
      </c>
      <c r="B10" s="211" t="s">
        <v>145</v>
      </c>
      <c r="C10" s="211"/>
      <c r="D10" s="211"/>
      <c r="E10" s="211"/>
      <c r="F10" s="211"/>
      <c r="G10" s="211"/>
      <c r="H10" s="211"/>
      <c r="I10" s="211"/>
      <c r="J10" s="211"/>
      <c r="K10" s="193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5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</row>
    <row r="11" spans="1:49" ht="32.4" customHeight="1" x14ac:dyDescent="0.3">
      <c r="A11" s="8">
        <v>5</v>
      </c>
      <c r="B11" s="211" t="s">
        <v>146</v>
      </c>
      <c r="C11" s="211"/>
      <c r="D11" s="211"/>
      <c r="E11" s="211"/>
      <c r="F11" s="211"/>
      <c r="G11" s="211"/>
      <c r="H11" s="211"/>
      <c r="I11" s="211"/>
      <c r="J11" s="211"/>
      <c r="K11" s="220" t="s">
        <v>151</v>
      </c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2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</row>
    <row r="12" spans="1:49" ht="20.100000000000001" customHeight="1" x14ac:dyDescent="0.3">
      <c r="A12" s="8">
        <v>6</v>
      </c>
      <c r="B12" s="211" t="s">
        <v>142</v>
      </c>
      <c r="C12" s="211"/>
      <c r="D12" s="211"/>
      <c r="E12" s="211"/>
      <c r="F12" s="211"/>
      <c r="G12" s="211"/>
      <c r="H12" s="211"/>
      <c r="I12" s="211"/>
      <c r="J12" s="211"/>
      <c r="K12" s="212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4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</row>
    <row r="13" spans="1:49" ht="20.100000000000001" customHeight="1" x14ac:dyDescent="0.3">
      <c r="A13" s="8">
        <v>7</v>
      </c>
      <c r="B13" s="211" t="s">
        <v>141</v>
      </c>
      <c r="C13" s="211"/>
      <c r="D13" s="211"/>
      <c r="E13" s="211"/>
      <c r="F13" s="211"/>
      <c r="G13" s="211"/>
      <c r="H13" s="211"/>
      <c r="I13" s="211"/>
      <c r="J13" s="211"/>
      <c r="K13" s="212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4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19"/>
    </row>
    <row r="14" spans="1:49" ht="20.100000000000001" customHeight="1" x14ac:dyDescent="0.3">
      <c r="A14" s="8">
        <v>8</v>
      </c>
      <c r="B14" s="211" t="s">
        <v>147</v>
      </c>
      <c r="C14" s="211"/>
      <c r="D14" s="211"/>
      <c r="E14" s="211"/>
      <c r="F14" s="211"/>
      <c r="G14" s="211"/>
      <c r="H14" s="211"/>
      <c r="I14" s="211"/>
      <c r="J14" s="211"/>
      <c r="K14" s="212" t="s">
        <v>150</v>
      </c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4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</row>
    <row r="15" spans="1:49" ht="20.100000000000001" customHeight="1" x14ac:dyDescent="0.3">
      <c r="A15" s="8">
        <v>9</v>
      </c>
      <c r="B15" s="211" t="s">
        <v>148</v>
      </c>
      <c r="C15" s="211"/>
      <c r="D15" s="211"/>
      <c r="E15" s="211"/>
      <c r="F15" s="211"/>
      <c r="G15" s="211"/>
      <c r="H15" s="211"/>
      <c r="I15" s="211"/>
      <c r="J15" s="211"/>
      <c r="K15" s="212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4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</row>
    <row r="16" spans="1:49" ht="20.100000000000001" customHeight="1" x14ac:dyDescent="0.3">
      <c r="A16" s="8">
        <v>10</v>
      </c>
      <c r="B16" s="211" t="s">
        <v>149</v>
      </c>
      <c r="C16" s="211"/>
      <c r="D16" s="211"/>
      <c r="E16" s="211"/>
      <c r="F16" s="211"/>
      <c r="G16" s="211"/>
      <c r="H16" s="211"/>
      <c r="I16" s="211"/>
      <c r="J16" s="211"/>
      <c r="K16" s="212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4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</row>
    <row r="17" spans="1:49" ht="15.75" customHeight="1" x14ac:dyDescent="0.3">
      <c r="A17" s="215" t="s">
        <v>30</v>
      </c>
      <c r="B17" s="216"/>
      <c r="C17" s="216"/>
      <c r="D17" s="216"/>
      <c r="E17" s="216"/>
      <c r="F17" s="216"/>
      <c r="G17" s="216"/>
      <c r="H17" s="216"/>
      <c r="I17" s="216"/>
      <c r="J17" s="217"/>
      <c r="K17" s="209" t="s">
        <v>153</v>
      </c>
      <c r="L17" s="209"/>
      <c r="M17" s="209"/>
      <c r="N17" s="209"/>
      <c r="O17" s="209"/>
      <c r="P17" s="209"/>
      <c r="Q17" s="209"/>
      <c r="R17" s="209"/>
      <c r="S17" s="209"/>
      <c r="T17" s="196"/>
      <c r="U17" s="197"/>
      <c r="V17" s="197"/>
      <c r="W17" s="197"/>
      <c r="X17" s="198"/>
      <c r="Y17" s="205" t="s">
        <v>129</v>
      </c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</row>
    <row r="18" spans="1:49" ht="52.8" customHeight="1" x14ac:dyDescent="0.3">
      <c r="A18" s="206" t="s">
        <v>31</v>
      </c>
      <c r="B18" s="207"/>
      <c r="C18" s="207"/>
      <c r="D18" s="207"/>
      <c r="E18" s="207"/>
      <c r="F18" s="207"/>
      <c r="G18" s="207"/>
      <c r="H18" s="207"/>
      <c r="I18" s="207"/>
      <c r="J18" s="208"/>
      <c r="K18" s="209" t="s">
        <v>160</v>
      </c>
      <c r="L18" s="209"/>
      <c r="M18" s="209"/>
      <c r="N18" s="209"/>
      <c r="O18" s="209"/>
      <c r="P18" s="209"/>
      <c r="Q18" s="209"/>
      <c r="R18" s="209"/>
      <c r="S18" s="209"/>
      <c r="T18" s="199"/>
      <c r="U18" s="200"/>
      <c r="V18" s="200"/>
      <c r="W18" s="200"/>
      <c r="X18" s="201"/>
      <c r="Y18" s="210"/>
      <c r="Z18" s="210"/>
      <c r="AA18" s="210"/>
      <c r="AB18" s="210"/>
      <c r="AC18" s="205" t="s">
        <v>130</v>
      </c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</row>
    <row r="19" spans="1:49" ht="31.8" customHeight="1" x14ac:dyDescent="0.3">
      <c r="A19" s="196"/>
      <c r="B19" s="197"/>
      <c r="C19" s="197"/>
      <c r="D19" s="197"/>
      <c r="E19" s="197"/>
      <c r="F19" s="198"/>
      <c r="G19" s="253" t="s">
        <v>15</v>
      </c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4"/>
    </row>
    <row r="20" spans="1:49" ht="15" customHeight="1" x14ac:dyDescent="0.3">
      <c r="A20" s="255" t="s">
        <v>1</v>
      </c>
      <c r="B20" s="256"/>
      <c r="C20" s="256"/>
      <c r="D20" s="256"/>
      <c r="E20" s="256"/>
      <c r="F20" s="257"/>
      <c r="G20" s="258" t="s">
        <v>132</v>
      </c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39" t="s">
        <v>25</v>
      </c>
      <c r="U20" s="240"/>
      <c r="V20" s="240"/>
      <c r="W20" s="240"/>
      <c r="X20" s="241"/>
      <c r="Y20" s="260" t="s">
        <v>140</v>
      </c>
      <c r="Z20" s="261"/>
      <c r="AA20" s="261"/>
      <c r="AB20" s="261"/>
      <c r="AC20" s="261"/>
      <c r="AD20" s="261"/>
      <c r="AE20" s="261"/>
      <c r="AF20" s="261"/>
      <c r="AG20" s="261"/>
      <c r="AH20" s="262"/>
      <c r="AI20" s="223" t="s">
        <v>26</v>
      </c>
      <c r="AJ20" s="224"/>
      <c r="AK20" s="224"/>
      <c r="AL20" s="224"/>
      <c r="AM20" s="224"/>
      <c r="AN20" s="225"/>
      <c r="AO20" s="266">
        <v>44418</v>
      </c>
      <c r="AP20" s="267"/>
      <c r="AQ20" s="267"/>
      <c r="AR20" s="267"/>
      <c r="AS20" s="267"/>
      <c r="AT20" s="267"/>
      <c r="AU20" s="267"/>
      <c r="AV20" s="267"/>
      <c r="AW20" s="268"/>
    </row>
    <row r="21" spans="1:49" ht="25.2" customHeight="1" x14ac:dyDescent="0.3">
      <c r="A21" s="255" t="s">
        <v>27</v>
      </c>
      <c r="B21" s="256"/>
      <c r="C21" s="256"/>
      <c r="D21" s="256"/>
      <c r="E21" s="256"/>
      <c r="F21" s="257"/>
      <c r="G21" s="272" t="s">
        <v>164</v>
      </c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42"/>
      <c r="U21" s="243"/>
      <c r="V21" s="243"/>
      <c r="W21" s="243"/>
      <c r="X21" s="244"/>
      <c r="Y21" s="263"/>
      <c r="Z21" s="264"/>
      <c r="AA21" s="264"/>
      <c r="AB21" s="264"/>
      <c r="AC21" s="264"/>
      <c r="AD21" s="264"/>
      <c r="AE21" s="264"/>
      <c r="AF21" s="264"/>
      <c r="AG21" s="264"/>
      <c r="AH21" s="265"/>
      <c r="AI21" s="226"/>
      <c r="AJ21" s="227"/>
      <c r="AK21" s="227"/>
      <c r="AL21" s="227"/>
      <c r="AM21" s="227"/>
      <c r="AN21" s="228"/>
      <c r="AO21" s="269"/>
      <c r="AP21" s="270"/>
      <c r="AQ21" s="270"/>
      <c r="AR21" s="270"/>
      <c r="AS21" s="270"/>
      <c r="AT21" s="270"/>
      <c r="AU21" s="270"/>
      <c r="AV21" s="270"/>
      <c r="AW21" s="271"/>
    </row>
    <row r="22" spans="1:49" ht="15" customHeight="1" x14ac:dyDescent="0.3">
      <c r="A22" s="239" t="s">
        <v>28</v>
      </c>
      <c r="B22" s="240"/>
      <c r="C22" s="240"/>
      <c r="D22" s="241"/>
      <c r="E22" s="245" t="s">
        <v>16</v>
      </c>
      <c r="F22" s="246"/>
      <c r="G22" s="272" t="s">
        <v>166</v>
      </c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39" t="s">
        <v>18</v>
      </c>
      <c r="U22" s="240"/>
      <c r="V22" s="240"/>
      <c r="W22" s="240"/>
      <c r="X22" s="241"/>
      <c r="Y22" s="247" t="s">
        <v>141</v>
      </c>
      <c r="Z22" s="248"/>
      <c r="AA22" s="248"/>
      <c r="AB22" s="248"/>
      <c r="AC22" s="248"/>
      <c r="AD22" s="248"/>
      <c r="AE22" s="248"/>
      <c r="AF22" s="248"/>
      <c r="AG22" s="248"/>
      <c r="AH22" s="249"/>
      <c r="AI22" s="223" t="s">
        <v>19</v>
      </c>
      <c r="AJ22" s="224"/>
      <c r="AK22" s="224"/>
      <c r="AL22" s="224"/>
      <c r="AM22" s="224"/>
      <c r="AN22" s="225"/>
      <c r="AO22" s="229" t="s">
        <v>134</v>
      </c>
      <c r="AP22" s="230"/>
      <c r="AQ22" s="230"/>
      <c r="AR22" s="230"/>
      <c r="AS22" s="230"/>
      <c r="AT22" s="230"/>
      <c r="AU22" s="230"/>
      <c r="AV22" s="230"/>
      <c r="AW22" s="231"/>
    </row>
    <row r="23" spans="1:49" ht="23.4" customHeight="1" x14ac:dyDescent="0.3">
      <c r="A23" s="242"/>
      <c r="B23" s="243"/>
      <c r="C23" s="243"/>
      <c r="D23" s="244"/>
      <c r="E23" s="206" t="s">
        <v>17</v>
      </c>
      <c r="F23" s="208"/>
      <c r="G23" s="272" t="s">
        <v>167</v>
      </c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42"/>
      <c r="U23" s="243"/>
      <c r="V23" s="243"/>
      <c r="W23" s="243"/>
      <c r="X23" s="244"/>
      <c r="Y23" s="250"/>
      <c r="Z23" s="251"/>
      <c r="AA23" s="251"/>
      <c r="AB23" s="251"/>
      <c r="AC23" s="251"/>
      <c r="AD23" s="251"/>
      <c r="AE23" s="251"/>
      <c r="AF23" s="251"/>
      <c r="AG23" s="251"/>
      <c r="AH23" s="252"/>
      <c r="AI23" s="226"/>
      <c r="AJ23" s="227"/>
      <c r="AK23" s="227"/>
      <c r="AL23" s="227"/>
      <c r="AM23" s="227"/>
      <c r="AN23" s="228"/>
      <c r="AO23" s="232"/>
      <c r="AP23" s="233"/>
      <c r="AQ23" s="233"/>
      <c r="AR23" s="233"/>
      <c r="AS23" s="233"/>
      <c r="AT23" s="233"/>
      <c r="AU23" s="233"/>
      <c r="AV23" s="233"/>
      <c r="AW23" s="234"/>
    </row>
    <row r="24" spans="1:49" x14ac:dyDescent="0.3">
      <c r="A24" s="147" t="s">
        <v>20</v>
      </c>
      <c r="B24" s="238" t="s">
        <v>21</v>
      </c>
      <c r="C24" s="238"/>
      <c r="D24" s="238"/>
      <c r="E24" s="238"/>
      <c r="F24" s="238"/>
      <c r="G24" s="238"/>
      <c r="H24" s="238"/>
      <c r="I24" s="238"/>
      <c r="J24" s="238"/>
      <c r="K24" s="238" t="s">
        <v>22</v>
      </c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 t="s">
        <v>23</v>
      </c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</row>
    <row r="25" spans="1:49" ht="20.100000000000001" customHeight="1" x14ac:dyDescent="0.3">
      <c r="A25" s="8">
        <v>1</v>
      </c>
      <c r="B25" s="211" t="s">
        <v>155</v>
      </c>
      <c r="C25" s="211"/>
      <c r="D25" s="211"/>
      <c r="E25" s="211"/>
      <c r="F25" s="211"/>
      <c r="G25" s="211"/>
      <c r="H25" s="211"/>
      <c r="I25" s="211"/>
      <c r="J25" s="211"/>
      <c r="K25" s="212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4"/>
      <c r="Y25" s="218" t="s">
        <v>154</v>
      </c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</row>
    <row r="26" spans="1:49" ht="20.100000000000001" customHeight="1" x14ac:dyDescent="0.3">
      <c r="A26" s="8">
        <v>2</v>
      </c>
      <c r="B26" s="211" t="s">
        <v>147</v>
      </c>
      <c r="C26" s="211"/>
      <c r="D26" s="211"/>
      <c r="E26" s="211"/>
      <c r="F26" s="211"/>
      <c r="G26" s="211"/>
      <c r="H26" s="211"/>
      <c r="I26" s="211"/>
      <c r="J26" s="211"/>
      <c r="K26" s="212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4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</row>
    <row r="27" spans="1:49" ht="20.100000000000001" customHeight="1" x14ac:dyDescent="0.3">
      <c r="A27" s="8">
        <v>3</v>
      </c>
      <c r="B27" s="211" t="s">
        <v>141</v>
      </c>
      <c r="C27" s="211"/>
      <c r="D27" s="211"/>
      <c r="E27" s="211"/>
      <c r="F27" s="211"/>
      <c r="G27" s="211"/>
      <c r="H27" s="211"/>
      <c r="I27" s="211"/>
      <c r="J27" s="211"/>
      <c r="K27" s="212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4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</row>
    <row r="28" spans="1:49" ht="33.6" customHeight="1" x14ac:dyDescent="0.3">
      <c r="A28" s="8">
        <v>4</v>
      </c>
      <c r="B28" s="211" t="s">
        <v>156</v>
      </c>
      <c r="C28" s="211"/>
      <c r="D28" s="211"/>
      <c r="E28" s="211"/>
      <c r="F28" s="211"/>
      <c r="G28" s="211"/>
      <c r="H28" s="211"/>
      <c r="I28" s="211"/>
      <c r="J28" s="211"/>
      <c r="K28" s="193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5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</row>
    <row r="29" spans="1:49" ht="20.100000000000001" customHeight="1" x14ac:dyDescent="0.3">
      <c r="A29" s="8">
        <v>5</v>
      </c>
      <c r="B29" s="211" t="s">
        <v>141</v>
      </c>
      <c r="C29" s="211"/>
      <c r="D29" s="211"/>
      <c r="E29" s="211"/>
      <c r="F29" s="211"/>
      <c r="G29" s="211"/>
      <c r="H29" s="211"/>
      <c r="I29" s="211"/>
      <c r="J29" s="211"/>
      <c r="K29" s="212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4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</row>
    <row r="30" spans="1:49" ht="20.100000000000001" customHeight="1" x14ac:dyDescent="0.3">
      <c r="A30" s="8">
        <v>6</v>
      </c>
      <c r="B30" s="211" t="s">
        <v>157</v>
      </c>
      <c r="C30" s="211"/>
      <c r="D30" s="211"/>
      <c r="E30" s="211"/>
      <c r="F30" s="211"/>
      <c r="G30" s="211"/>
      <c r="H30" s="211"/>
      <c r="I30" s="211"/>
      <c r="J30" s="211"/>
      <c r="K30" s="212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4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</row>
    <row r="31" spans="1:49" ht="27" customHeight="1" x14ac:dyDescent="0.3">
      <c r="A31" s="8">
        <v>7</v>
      </c>
      <c r="B31" s="211" t="s">
        <v>158</v>
      </c>
      <c r="C31" s="211"/>
      <c r="D31" s="211"/>
      <c r="E31" s="211"/>
      <c r="F31" s="211"/>
      <c r="G31" s="211"/>
      <c r="H31" s="211"/>
      <c r="I31" s="211"/>
      <c r="J31" s="211"/>
      <c r="K31" s="220" t="s">
        <v>151</v>
      </c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2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</row>
    <row r="32" spans="1:49" ht="20.100000000000001" customHeight="1" x14ac:dyDescent="0.3">
      <c r="A32" s="8">
        <v>8</v>
      </c>
      <c r="B32" s="211" t="s">
        <v>147</v>
      </c>
      <c r="C32" s="211"/>
      <c r="D32" s="211"/>
      <c r="E32" s="211"/>
      <c r="F32" s="211"/>
      <c r="G32" s="211"/>
      <c r="H32" s="211"/>
      <c r="I32" s="211"/>
      <c r="J32" s="211"/>
      <c r="K32" s="212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4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</row>
    <row r="33" spans="1:49" ht="20.100000000000001" customHeight="1" x14ac:dyDescent="0.3">
      <c r="A33" s="8">
        <v>9</v>
      </c>
      <c r="B33" s="211" t="s">
        <v>141</v>
      </c>
      <c r="C33" s="211"/>
      <c r="D33" s="211"/>
      <c r="E33" s="211"/>
      <c r="F33" s="211"/>
      <c r="G33" s="211"/>
      <c r="H33" s="211"/>
      <c r="I33" s="211"/>
      <c r="J33" s="211"/>
      <c r="K33" s="212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4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</row>
    <row r="34" spans="1:49" ht="20.100000000000001" customHeight="1" x14ac:dyDescent="0.3">
      <c r="A34" s="8">
        <v>10</v>
      </c>
      <c r="B34" s="211" t="s">
        <v>213</v>
      </c>
      <c r="C34" s="211"/>
      <c r="D34" s="211"/>
      <c r="E34" s="211"/>
      <c r="F34" s="211"/>
      <c r="G34" s="211"/>
      <c r="H34" s="211"/>
      <c r="I34" s="211"/>
      <c r="J34" s="211"/>
      <c r="K34" s="212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4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</row>
    <row r="35" spans="1:49" ht="15.75" customHeight="1" x14ac:dyDescent="0.3">
      <c r="A35" s="215" t="s">
        <v>30</v>
      </c>
      <c r="B35" s="216"/>
      <c r="C35" s="216"/>
      <c r="D35" s="216"/>
      <c r="E35" s="216"/>
      <c r="F35" s="216"/>
      <c r="G35" s="216"/>
      <c r="H35" s="216"/>
      <c r="I35" s="216"/>
      <c r="J35" s="217"/>
      <c r="K35" s="209" t="s">
        <v>159</v>
      </c>
      <c r="L35" s="209"/>
      <c r="M35" s="209"/>
      <c r="N35" s="209"/>
      <c r="O35" s="209"/>
      <c r="P35" s="209"/>
      <c r="Q35" s="209"/>
      <c r="R35" s="209"/>
      <c r="S35" s="209"/>
      <c r="T35" s="196"/>
      <c r="U35" s="197"/>
      <c r="V35" s="197"/>
      <c r="W35" s="197"/>
      <c r="X35" s="198"/>
      <c r="Y35" s="205" t="s">
        <v>129</v>
      </c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</row>
    <row r="36" spans="1:49" ht="52.8" customHeight="1" x14ac:dyDescent="0.3">
      <c r="A36" s="206" t="s">
        <v>31</v>
      </c>
      <c r="B36" s="207"/>
      <c r="C36" s="207"/>
      <c r="D36" s="207"/>
      <c r="E36" s="207"/>
      <c r="F36" s="207"/>
      <c r="G36" s="207"/>
      <c r="H36" s="207"/>
      <c r="I36" s="207"/>
      <c r="J36" s="208"/>
      <c r="K36" s="209" t="s">
        <v>161</v>
      </c>
      <c r="L36" s="209"/>
      <c r="M36" s="209"/>
      <c r="N36" s="209"/>
      <c r="O36" s="209"/>
      <c r="P36" s="209"/>
      <c r="Q36" s="209"/>
      <c r="R36" s="209"/>
      <c r="S36" s="209"/>
      <c r="T36" s="199"/>
      <c r="U36" s="200"/>
      <c r="V36" s="200"/>
      <c r="W36" s="200"/>
      <c r="X36" s="201"/>
      <c r="Y36" s="210"/>
      <c r="Z36" s="210"/>
      <c r="AA36" s="210"/>
      <c r="AB36" s="210"/>
      <c r="AC36" s="205" t="s">
        <v>130</v>
      </c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</row>
    <row r="37" spans="1:49" ht="31.8" customHeight="1" x14ac:dyDescent="0.3">
      <c r="A37" s="196"/>
      <c r="B37" s="197"/>
      <c r="C37" s="197"/>
      <c r="D37" s="197"/>
      <c r="E37" s="197"/>
      <c r="F37" s="198"/>
      <c r="G37" s="253" t="s">
        <v>15</v>
      </c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4"/>
    </row>
    <row r="38" spans="1:49" x14ac:dyDescent="0.3">
      <c r="A38" s="255" t="s">
        <v>1</v>
      </c>
      <c r="B38" s="256"/>
      <c r="C38" s="256"/>
      <c r="D38" s="256"/>
      <c r="E38" s="256"/>
      <c r="F38" s="257"/>
      <c r="G38" s="258" t="s">
        <v>132</v>
      </c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39" t="s">
        <v>25</v>
      </c>
      <c r="U38" s="240"/>
      <c r="V38" s="240"/>
      <c r="W38" s="240"/>
      <c r="X38" s="241"/>
      <c r="Y38" s="260" t="s">
        <v>140</v>
      </c>
      <c r="Z38" s="261"/>
      <c r="AA38" s="261"/>
      <c r="AB38" s="261"/>
      <c r="AC38" s="261"/>
      <c r="AD38" s="261"/>
      <c r="AE38" s="261"/>
      <c r="AF38" s="261"/>
      <c r="AG38" s="261"/>
      <c r="AH38" s="262"/>
      <c r="AI38" s="223" t="s">
        <v>26</v>
      </c>
      <c r="AJ38" s="224"/>
      <c r="AK38" s="224"/>
      <c r="AL38" s="224"/>
      <c r="AM38" s="224"/>
      <c r="AN38" s="225"/>
      <c r="AO38" s="266">
        <v>44418</v>
      </c>
      <c r="AP38" s="267"/>
      <c r="AQ38" s="267"/>
      <c r="AR38" s="267"/>
      <c r="AS38" s="267"/>
      <c r="AT38" s="267"/>
      <c r="AU38" s="267"/>
      <c r="AV38" s="267"/>
      <c r="AW38" s="268"/>
    </row>
    <row r="39" spans="1:49" x14ac:dyDescent="0.3">
      <c r="A39" s="255" t="s">
        <v>27</v>
      </c>
      <c r="B39" s="256"/>
      <c r="C39" s="256"/>
      <c r="D39" s="256"/>
      <c r="E39" s="256"/>
      <c r="F39" s="257"/>
      <c r="G39" s="258" t="s">
        <v>168</v>
      </c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42"/>
      <c r="U39" s="243"/>
      <c r="V39" s="243"/>
      <c r="W39" s="243"/>
      <c r="X39" s="244"/>
      <c r="Y39" s="263"/>
      <c r="Z39" s="264"/>
      <c r="AA39" s="264"/>
      <c r="AB39" s="264"/>
      <c r="AC39" s="264"/>
      <c r="AD39" s="264"/>
      <c r="AE39" s="264"/>
      <c r="AF39" s="264"/>
      <c r="AG39" s="264"/>
      <c r="AH39" s="265"/>
      <c r="AI39" s="226"/>
      <c r="AJ39" s="227"/>
      <c r="AK39" s="227"/>
      <c r="AL39" s="227"/>
      <c r="AM39" s="227"/>
      <c r="AN39" s="228"/>
      <c r="AO39" s="269"/>
      <c r="AP39" s="270"/>
      <c r="AQ39" s="270"/>
      <c r="AR39" s="270"/>
      <c r="AS39" s="270"/>
      <c r="AT39" s="270"/>
      <c r="AU39" s="270"/>
      <c r="AV39" s="270"/>
      <c r="AW39" s="271"/>
    </row>
    <row r="40" spans="1:49" ht="15.6" customHeight="1" x14ac:dyDescent="0.3">
      <c r="A40" s="239" t="s">
        <v>28</v>
      </c>
      <c r="B40" s="240"/>
      <c r="C40" s="240"/>
      <c r="D40" s="241"/>
      <c r="E40" s="245" t="s">
        <v>16</v>
      </c>
      <c r="F40" s="246"/>
      <c r="G40" s="235" t="s">
        <v>162</v>
      </c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7"/>
      <c r="T40" s="239" t="s">
        <v>18</v>
      </c>
      <c r="U40" s="240"/>
      <c r="V40" s="240"/>
      <c r="W40" s="240"/>
      <c r="X40" s="241"/>
      <c r="Y40" s="247" t="s">
        <v>141</v>
      </c>
      <c r="Z40" s="248"/>
      <c r="AA40" s="248"/>
      <c r="AB40" s="248"/>
      <c r="AC40" s="248"/>
      <c r="AD40" s="248"/>
      <c r="AE40" s="248"/>
      <c r="AF40" s="248"/>
      <c r="AG40" s="248"/>
      <c r="AH40" s="249"/>
      <c r="AI40" s="223" t="s">
        <v>19</v>
      </c>
      <c r="AJ40" s="224"/>
      <c r="AK40" s="224"/>
      <c r="AL40" s="224"/>
      <c r="AM40" s="224"/>
      <c r="AN40" s="225"/>
      <c r="AO40" s="229" t="s">
        <v>134</v>
      </c>
      <c r="AP40" s="230"/>
      <c r="AQ40" s="230"/>
      <c r="AR40" s="230"/>
      <c r="AS40" s="230"/>
      <c r="AT40" s="230"/>
      <c r="AU40" s="230"/>
      <c r="AV40" s="230"/>
      <c r="AW40" s="231"/>
    </row>
    <row r="41" spans="1:49" ht="15.6" customHeight="1" x14ac:dyDescent="0.3">
      <c r="A41" s="242"/>
      <c r="B41" s="243"/>
      <c r="C41" s="243"/>
      <c r="D41" s="244"/>
      <c r="E41" s="206" t="s">
        <v>17</v>
      </c>
      <c r="F41" s="208"/>
      <c r="G41" s="235" t="s">
        <v>163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7"/>
      <c r="T41" s="242"/>
      <c r="U41" s="243"/>
      <c r="V41" s="243"/>
      <c r="W41" s="243"/>
      <c r="X41" s="244"/>
      <c r="Y41" s="250"/>
      <c r="Z41" s="251"/>
      <c r="AA41" s="251"/>
      <c r="AB41" s="251"/>
      <c r="AC41" s="251"/>
      <c r="AD41" s="251"/>
      <c r="AE41" s="251"/>
      <c r="AF41" s="251"/>
      <c r="AG41" s="251"/>
      <c r="AH41" s="252"/>
      <c r="AI41" s="226"/>
      <c r="AJ41" s="227"/>
      <c r="AK41" s="227"/>
      <c r="AL41" s="227"/>
      <c r="AM41" s="227"/>
      <c r="AN41" s="228"/>
      <c r="AO41" s="232"/>
      <c r="AP41" s="233"/>
      <c r="AQ41" s="233"/>
      <c r="AR41" s="233"/>
      <c r="AS41" s="233"/>
      <c r="AT41" s="233"/>
      <c r="AU41" s="233"/>
      <c r="AV41" s="233"/>
      <c r="AW41" s="234"/>
    </row>
    <row r="42" spans="1:49" x14ac:dyDescent="0.3">
      <c r="A42" s="147" t="s">
        <v>20</v>
      </c>
      <c r="B42" s="238" t="s">
        <v>21</v>
      </c>
      <c r="C42" s="238"/>
      <c r="D42" s="238"/>
      <c r="E42" s="238"/>
      <c r="F42" s="238"/>
      <c r="G42" s="238"/>
      <c r="H42" s="238"/>
      <c r="I42" s="238"/>
      <c r="J42" s="238"/>
      <c r="K42" s="238" t="s">
        <v>22</v>
      </c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 t="s">
        <v>23</v>
      </c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</row>
    <row r="43" spans="1:49" x14ac:dyDescent="0.3">
      <c r="A43" s="8">
        <v>1</v>
      </c>
      <c r="B43" s="211" t="s">
        <v>170</v>
      </c>
      <c r="C43" s="211"/>
      <c r="D43" s="211"/>
      <c r="E43" s="211"/>
      <c r="F43" s="211"/>
      <c r="G43" s="211"/>
      <c r="H43" s="211"/>
      <c r="I43" s="211"/>
      <c r="J43" s="211"/>
      <c r="K43" s="212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4"/>
      <c r="Y43" s="218" t="s">
        <v>169</v>
      </c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</row>
    <row r="44" spans="1:49" x14ac:dyDescent="0.3">
      <c r="A44" s="8">
        <v>2</v>
      </c>
      <c r="B44" s="211" t="s">
        <v>171</v>
      </c>
      <c r="C44" s="211"/>
      <c r="D44" s="211"/>
      <c r="E44" s="211"/>
      <c r="F44" s="211"/>
      <c r="G44" s="211"/>
      <c r="H44" s="211"/>
      <c r="I44" s="211"/>
      <c r="J44" s="211"/>
      <c r="K44" s="212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4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19"/>
    </row>
    <row r="45" spans="1:49" x14ac:dyDescent="0.3">
      <c r="A45" s="8">
        <v>3</v>
      </c>
      <c r="B45" s="211" t="s">
        <v>172</v>
      </c>
      <c r="C45" s="211"/>
      <c r="D45" s="211"/>
      <c r="E45" s="211"/>
      <c r="F45" s="211"/>
      <c r="G45" s="211"/>
      <c r="H45" s="211"/>
      <c r="I45" s="211"/>
      <c r="J45" s="211"/>
      <c r="K45" s="212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4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19"/>
      <c r="AU45" s="219"/>
      <c r="AV45" s="219"/>
      <c r="AW45" s="219"/>
    </row>
    <row r="46" spans="1:49" x14ac:dyDescent="0.3">
      <c r="A46" s="8">
        <v>4</v>
      </c>
      <c r="B46" s="211" t="s">
        <v>172</v>
      </c>
      <c r="C46" s="211"/>
      <c r="D46" s="211"/>
      <c r="E46" s="211"/>
      <c r="F46" s="211"/>
      <c r="G46" s="211"/>
      <c r="H46" s="211"/>
      <c r="I46" s="211"/>
      <c r="J46" s="211"/>
      <c r="K46" s="193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5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19"/>
      <c r="AT46" s="219"/>
      <c r="AU46" s="219"/>
      <c r="AV46" s="219"/>
      <c r="AW46" s="219"/>
    </row>
    <row r="47" spans="1:49" x14ac:dyDescent="0.3">
      <c r="A47" s="8">
        <v>5</v>
      </c>
      <c r="B47" s="211" t="s">
        <v>173</v>
      </c>
      <c r="C47" s="211"/>
      <c r="D47" s="211"/>
      <c r="E47" s="211"/>
      <c r="F47" s="211"/>
      <c r="G47" s="211"/>
      <c r="H47" s="211"/>
      <c r="I47" s="211"/>
      <c r="J47" s="211"/>
      <c r="K47" s="212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4"/>
      <c r="Y47" s="219"/>
      <c r="Z47" s="219"/>
      <c r="AA47" s="219"/>
      <c r="AB47" s="219"/>
      <c r="AC47" s="219"/>
      <c r="AD47" s="219"/>
      <c r="AE47" s="219"/>
      <c r="AF47" s="219"/>
      <c r="AG47" s="219"/>
      <c r="AH47" s="219"/>
      <c r="AI47" s="219"/>
      <c r="AJ47" s="219"/>
      <c r="AK47" s="219"/>
      <c r="AL47" s="219"/>
      <c r="AM47" s="219"/>
      <c r="AN47" s="219"/>
      <c r="AO47" s="219"/>
      <c r="AP47" s="219"/>
      <c r="AQ47" s="219"/>
      <c r="AR47" s="219"/>
      <c r="AS47" s="219"/>
      <c r="AT47" s="219"/>
      <c r="AU47" s="219"/>
      <c r="AV47" s="219"/>
      <c r="AW47" s="219"/>
    </row>
    <row r="48" spans="1:49" x14ac:dyDescent="0.3">
      <c r="A48" s="8">
        <v>6</v>
      </c>
      <c r="B48" s="211" t="s">
        <v>170</v>
      </c>
      <c r="C48" s="211"/>
      <c r="D48" s="211"/>
      <c r="E48" s="211"/>
      <c r="F48" s="211"/>
      <c r="G48" s="211"/>
      <c r="H48" s="211"/>
      <c r="I48" s="211"/>
      <c r="J48" s="211"/>
      <c r="K48" s="212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4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219"/>
      <c r="AU48" s="219"/>
      <c r="AV48" s="219"/>
      <c r="AW48" s="219"/>
    </row>
    <row r="49" spans="1:49" x14ac:dyDescent="0.3">
      <c r="A49" s="8">
        <v>7</v>
      </c>
      <c r="B49" s="211" t="s">
        <v>174</v>
      </c>
      <c r="C49" s="211"/>
      <c r="D49" s="211"/>
      <c r="E49" s="211"/>
      <c r="F49" s="211"/>
      <c r="G49" s="211"/>
      <c r="H49" s="211"/>
      <c r="I49" s="211"/>
      <c r="J49" s="211"/>
      <c r="K49" s="220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2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219"/>
      <c r="AU49" s="219"/>
      <c r="AV49" s="219"/>
      <c r="AW49" s="219"/>
    </row>
    <row r="50" spans="1:49" x14ac:dyDescent="0.3">
      <c r="A50" s="8">
        <v>8</v>
      </c>
      <c r="B50" s="211" t="s">
        <v>175</v>
      </c>
      <c r="C50" s="211"/>
      <c r="D50" s="211"/>
      <c r="E50" s="211"/>
      <c r="F50" s="211"/>
      <c r="G50" s="211"/>
      <c r="H50" s="211"/>
      <c r="I50" s="211"/>
      <c r="J50" s="211"/>
      <c r="K50" s="212" t="s">
        <v>176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4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219"/>
      <c r="AU50" s="219"/>
      <c r="AV50" s="219"/>
      <c r="AW50" s="219"/>
    </row>
    <row r="51" spans="1:49" x14ac:dyDescent="0.3">
      <c r="A51" s="8">
        <v>9</v>
      </c>
      <c r="B51" s="211" t="s">
        <v>171</v>
      </c>
      <c r="C51" s="211"/>
      <c r="D51" s="211"/>
      <c r="E51" s="211"/>
      <c r="F51" s="211"/>
      <c r="G51" s="211"/>
      <c r="H51" s="211"/>
      <c r="I51" s="211"/>
      <c r="J51" s="211"/>
      <c r="K51" s="212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4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</row>
    <row r="52" spans="1:49" x14ac:dyDescent="0.3">
      <c r="A52" s="8">
        <v>10</v>
      </c>
      <c r="B52" s="211" t="s">
        <v>172</v>
      </c>
      <c r="C52" s="211"/>
      <c r="D52" s="211"/>
      <c r="E52" s="211"/>
      <c r="F52" s="211"/>
      <c r="G52" s="211"/>
      <c r="H52" s="211"/>
      <c r="I52" s="211"/>
      <c r="J52" s="211"/>
      <c r="K52" s="212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4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  <c r="AU52" s="219"/>
      <c r="AV52" s="219"/>
      <c r="AW52" s="219"/>
    </row>
    <row r="53" spans="1:49" x14ac:dyDescent="0.3">
      <c r="A53" s="215" t="s">
        <v>30</v>
      </c>
      <c r="B53" s="216"/>
      <c r="C53" s="216"/>
      <c r="D53" s="216"/>
      <c r="E53" s="216"/>
      <c r="F53" s="216"/>
      <c r="G53" s="216"/>
      <c r="H53" s="216"/>
      <c r="I53" s="216"/>
      <c r="J53" s="217"/>
      <c r="K53" s="209" t="s">
        <v>177</v>
      </c>
      <c r="L53" s="209"/>
      <c r="M53" s="209"/>
      <c r="N53" s="209"/>
      <c r="O53" s="209"/>
      <c r="P53" s="209"/>
      <c r="Q53" s="209"/>
      <c r="R53" s="209"/>
      <c r="S53" s="209"/>
      <c r="T53" s="196"/>
      <c r="U53" s="197"/>
      <c r="V53" s="197"/>
      <c r="W53" s="197"/>
      <c r="X53" s="198"/>
      <c r="Y53" s="205" t="s">
        <v>129</v>
      </c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</row>
    <row r="54" spans="1:49" ht="53.4" customHeight="1" x14ac:dyDescent="0.3">
      <c r="A54" s="206" t="s">
        <v>31</v>
      </c>
      <c r="B54" s="207"/>
      <c r="C54" s="207"/>
      <c r="D54" s="207"/>
      <c r="E54" s="207"/>
      <c r="F54" s="207"/>
      <c r="G54" s="207"/>
      <c r="H54" s="207"/>
      <c r="I54" s="207"/>
      <c r="J54" s="208"/>
      <c r="K54" s="209" t="s">
        <v>178</v>
      </c>
      <c r="L54" s="209"/>
      <c r="M54" s="209"/>
      <c r="N54" s="209"/>
      <c r="O54" s="209"/>
      <c r="P54" s="209"/>
      <c r="Q54" s="209"/>
      <c r="R54" s="209"/>
      <c r="S54" s="209"/>
      <c r="T54" s="202"/>
      <c r="U54" s="203"/>
      <c r="V54" s="203"/>
      <c r="W54" s="203"/>
      <c r="X54" s="204"/>
      <c r="Y54" s="210"/>
      <c r="Z54" s="210"/>
      <c r="AA54" s="210"/>
      <c r="AB54" s="210"/>
      <c r="AC54" s="205" t="s">
        <v>130</v>
      </c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</row>
  </sheetData>
  <mergeCells count="153">
    <mergeCell ref="Y6:AW6"/>
    <mergeCell ref="K16:X16"/>
    <mergeCell ref="G1:AW1"/>
    <mergeCell ref="A1:F1"/>
    <mergeCell ref="Y7:AW16"/>
    <mergeCell ref="B8:J8"/>
    <mergeCell ref="K8:X8"/>
    <mergeCell ref="B9:J9"/>
    <mergeCell ref="K9:X9"/>
    <mergeCell ref="B10:J10"/>
    <mergeCell ref="K11:X11"/>
    <mergeCell ref="B12:J12"/>
    <mergeCell ref="K12:X12"/>
    <mergeCell ref="B13:J13"/>
    <mergeCell ref="K13:X13"/>
    <mergeCell ref="B7:J7"/>
    <mergeCell ref="B11:J11"/>
    <mergeCell ref="Y4:AH5"/>
    <mergeCell ref="K14:X14"/>
    <mergeCell ref="B15:J15"/>
    <mergeCell ref="K15:X15"/>
    <mergeCell ref="K7:X7"/>
    <mergeCell ref="B14:J14"/>
    <mergeCell ref="B6:J6"/>
    <mergeCell ref="K6:X6"/>
    <mergeCell ref="A17:J17"/>
    <mergeCell ref="A18:J18"/>
    <mergeCell ref="AC18:AW18"/>
    <mergeCell ref="Y18:AB18"/>
    <mergeCell ref="Y17:AW17"/>
    <mergeCell ref="K17:S17"/>
    <mergeCell ref="K18:S18"/>
    <mergeCell ref="AI2:AN3"/>
    <mergeCell ref="AO2:AW3"/>
    <mergeCell ref="A3:F3"/>
    <mergeCell ref="A4:D5"/>
    <mergeCell ref="E4:F4"/>
    <mergeCell ref="G4:S4"/>
    <mergeCell ref="T4:X5"/>
    <mergeCell ref="AI4:AN5"/>
    <mergeCell ref="AO4:AW5"/>
    <mergeCell ref="E5:F5"/>
    <mergeCell ref="G5:S5"/>
    <mergeCell ref="A2:F2"/>
    <mergeCell ref="G2:S2"/>
    <mergeCell ref="T2:X3"/>
    <mergeCell ref="Y2:AH3"/>
    <mergeCell ref="G3:S3"/>
    <mergeCell ref="B16:J16"/>
    <mergeCell ref="A19:F19"/>
    <mergeCell ref="G19:AW19"/>
    <mergeCell ref="A20:F20"/>
    <mergeCell ref="G20:S20"/>
    <mergeCell ref="T20:X21"/>
    <mergeCell ref="Y20:AH21"/>
    <mergeCell ref="AI20:AN21"/>
    <mergeCell ref="AO20:AW21"/>
    <mergeCell ref="A21:F21"/>
    <mergeCell ref="G21:S21"/>
    <mergeCell ref="AI22:AN23"/>
    <mergeCell ref="AO22:AW23"/>
    <mergeCell ref="E23:F23"/>
    <mergeCell ref="G23:S23"/>
    <mergeCell ref="B24:J24"/>
    <mergeCell ref="K24:X24"/>
    <mergeCell ref="Y24:AW24"/>
    <mergeCell ref="A22:D23"/>
    <mergeCell ref="E22:F22"/>
    <mergeCell ref="G22:S22"/>
    <mergeCell ref="T22:X23"/>
    <mergeCell ref="Y22:AH23"/>
    <mergeCell ref="B25:J25"/>
    <mergeCell ref="K25:X25"/>
    <mergeCell ref="Y25:AW34"/>
    <mergeCell ref="B26:J26"/>
    <mergeCell ref="K26:X26"/>
    <mergeCell ref="B27:J27"/>
    <mergeCell ref="K27:X27"/>
    <mergeCell ref="B28:J28"/>
    <mergeCell ref="K31:X31"/>
    <mergeCell ref="B29:J29"/>
    <mergeCell ref="K29:X29"/>
    <mergeCell ref="B30:J30"/>
    <mergeCell ref="K30:X30"/>
    <mergeCell ref="B31:J31"/>
    <mergeCell ref="B32:J32"/>
    <mergeCell ref="K28:X28"/>
    <mergeCell ref="A35:J35"/>
    <mergeCell ref="K35:S35"/>
    <mergeCell ref="Y35:AW35"/>
    <mergeCell ref="A36:J36"/>
    <mergeCell ref="K36:S36"/>
    <mergeCell ref="Y36:AB36"/>
    <mergeCell ref="AC36:AW36"/>
    <mergeCell ref="K32:X32"/>
    <mergeCell ref="B33:J33"/>
    <mergeCell ref="K33:X33"/>
    <mergeCell ref="B34:J34"/>
    <mergeCell ref="K34:X34"/>
    <mergeCell ref="A37:F37"/>
    <mergeCell ref="G37:AW37"/>
    <mergeCell ref="A38:F38"/>
    <mergeCell ref="G38:S38"/>
    <mergeCell ref="T38:X39"/>
    <mergeCell ref="Y38:AH39"/>
    <mergeCell ref="AI38:AN39"/>
    <mergeCell ref="AO38:AW39"/>
    <mergeCell ref="A39:F39"/>
    <mergeCell ref="G39:S39"/>
    <mergeCell ref="AO40:AW41"/>
    <mergeCell ref="E41:F41"/>
    <mergeCell ref="G41:S41"/>
    <mergeCell ref="B42:J42"/>
    <mergeCell ref="K42:X42"/>
    <mergeCell ref="Y42:AW42"/>
    <mergeCell ref="A40:D41"/>
    <mergeCell ref="E40:F40"/>
    <mergeCell ref="G40:S40"/>
    <mergeCell ref="T40:X41"/>
    <mergeCell ref="Y40:AH41"/>
    <mergeCell ref="B47:J47"/>
    <mergeCell ref="K47:X47"/>
    <mergeCell ref="B48:J48"/>
    <mergeCell ref="K48:X48"/>
    <mergeCell ref="B49:J49"/>
    <mergeCell ref="K49:X49"/>
    <mergeCell ref="B50:J50"/>
    <mergeCell ref="K50:X50"/>
    <mergeCell ref="AI40:AN41"/>
    <mergeCell ref="K10:X10"/>
    <mergeCell ref="T35:X36"/>
    <mergeCell ref="T53:X54"/>
    <mergeCell ref="T17:X18"/>
    <mergeCell ref="K46:X46"/>
    <mergeCell ref="Y53:AW53"/>
    <mergeCell ref="A54:J54"/>
    <mergeCell ref="K54:S54"/>
    <mergeCell ref="Y54:AB54"/>
    <mergeCell ref="AC54:AW54"/>
    <mergeCell ref="B51:J51"/>
    <mergeCell ref="K51:X51"/>
    <mergeCell ref="B52:J52"/>
    <mergeCell ref="K52:X52"/>
    <mergeCell ref="A53:J53"/>
    <mergeCell ref="K53:S53"/>
    <mergeCell ref="B43:J43"/>
    <mergeCell ref="K43:X43"/>
    <mergeCell ref="Y43:AW52"/>
    <mergeCell ref="B44:J44"/>
    <mergeCell ref="K44:X44"/>
    <mergeCell ref="B45:J45"/>
    <mergeCell ref="K45:X45"/>
    <mergeCell ref="B46:J46"/>
  </mergeCells>
  <pageMargins left="0.7" right="0.7" top="0.75" bottom="0.75" header="0.3" footer="0.3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9156-7288-49D6-91F9-E4F076BD631A}">
  <sheetPr codeName="Лист3">
    <pageSetUpPr fitToPage="1"/>
  </sheetPr>
  <dimension ref="A1:AX44"/>
  <sheetViews>
    <sheetView showGridLines="0" view="pageBreakPreview" zoomScaleNormal="70" zoomScaleSheetLayoutView="100" workbookViewId="0">
      <selection activeCell="BT17" sqref="BT17"/>
    </sheetView>
  </sheetViews>
  <sheetFormatPr defaultColWidth="2.6640625" defaultRowHeight="14.25" customHeight="1" x14ac:dyDescent="0.25"/>
  <cols>
    <col min="1" max="16384" width="2.6640625" style="9"/>
  </cols>
  <sheetData>
    <row r="1" spans="1:50" ht="34.799999999999997" customHeight="1" x14ac:dyDescent="0.25">
      <c r="A1" s="274"/>
      <c r="B1" s="275"/>
      <c r="C1" s="275"/>
      <c r="D1" s="275"/>
      <c r="E1" s="275"/>
      <c r="F1" s="276"/>
      <c r="G1" s="277" t="s">
        <v>32</v>
      </c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  <c r="AR1" s="278"/>
      <c r="AS1" s="278"/>
      <c r="AT1" s="278"/>
      <c r="AU1" s="279"/>
    </row>
    <row r="2" spans="1:50" ht="14.25" customHeight="1" x14ac:dyDescent="0.25">
      <c r="A2" s="255" t="s">
        <v>1</v>
      </c>
      <c r="B2" s="256"/>
      <c r="C2" s="256"/>
      <c r="D2" s="256"/>
      <c r="E2" s="256"/>
      <c r="F2" s="257"/>
      <c r="G2" s="286" t="s">
        <v>132</v>
      </c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8"/>
      <c r="U2" s="239" t="s">
        <v>25</v>
      </c>
      <c r="V2" s="240"/>
      <c r="W2" s="240"/>
      <c r="X2" s="240"/>
      <c r="Y2" s="241"/>
      <c r="Z2" s="260" t="s">
        <v>140</v>
      </c>
      <c r="AA2" s="261"/>
      <c r="AB2" s="261"/>
      <c r="AC2" s="261"/>
      <c r="AD2" s="261"/>
      <c r="AE2" s="261"/>
      <c r="AF2" s="261"/>
      <c r="AG2" s="261"/>
      <c r="AH2" s="261"/>
      <c r="AI2" s="262"/>
      <c r="AJ2" s="223" t="s">
        <v>26</v>
      </c>
      <c r="AK2" s="224"/>
      <c r="AL2" s="224"/>
      <c r="AM2" s="224"/>
      <c r="AN2" s="224"/>
      <c r="AO2" s="225"/>
      <c r="AP2" s="295">
        <v>44418</v>
      </c>
      <c r="AQ2" s="296"/>
      <c r="AR2" s="296"/>
      <c r="AS2" s="296"/>
      <c r="AT2" s="296"/>
      <c r="AU2" s="297"/>
    </row>
    <row r="3" spans="1:50" ht="14.25" customHeight="1" x14ac:dyDescent="0.25">
      <c r="A3" s="255" t="s">
        <v>27</v>
      </c>
      <c r="B3" s="256"/>
      <c r="C3" s="256"/>
      <c r="D3" s="256"/>
      <c r="E3" s="256"/>
      <c r="F3" s="257"/>
      <c r="G3" s="286" t="s">
        <v>179</v>
      </c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8"/>
      <c r="U3" s="242"/>
      <c r="V3" s="243"/>
      <c r="W3" s="243"/>
      <c r="X3" s="243"/>
      <c r="Y3" s="244"/>
      <c r="Z3" s="263"/>
      <c r="AA3" s="264"/>
      <c r="AB3" s="264"/>
      <c r="AC3" s="264"/>
      <c r="AD3" s="264"/>
      <c r="AE3" s="264"/>
      <c r="AF3" s="264"/>
      <c r="AG3" s="264"/>
      <c r="AH3" s="264"/>
      <c r="AI3" s="265"/>
      <c r="AJ3" s="226"/>
      <c r="AK3" s="227"/>
      <c r="AL3" s="227"/>
      <c r="AM3" s="227"/>
      <c r="AN3" s="227"/>
      <c r="AO3" s="228"/>
      <c r="AP3" s="298"/>
      <c r="AQ3" s="299"/>
      <c r="AR3" s="299"/>
      <c r="AS3" s="299"/>
      <c r="AT3" s="299"/>
      <c r="AU3" s="300"/>
    </row>
    <row r="4" spans="1:50" ht="14.25" customHeight="1" x14ac:dyDescent="0.25">
      <c r="A4" s="239" t="s">
        <v>28</v>
      </c>
      <c r="B4" s="240"/>
      <c r="C4" s="240"/>
      <c r="D4" s="241"/>
      <c r="E4" s="206" t="s">
        <v>16</v>
      </c>
      <c r="F4" s="208"/>
      <c r="G4" s="286" t="s">
        <v>166</v>
      </c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8"/>
      <c r="U4" s="239" t="s">
        <v>18</v>
      </c>
      <c r="V4" s="240"/>
      <c r="W4" s="240"/>
      <c r="X4" s="240"/>
      <c r="Y4" s="241"/>
      <c r="Z4" s="301" t="s">
        <v>141</v>
      </c>
      <c r="AA4" s="302"/>
      <c r="AB4" s="302"/>
      <c r="AC4" s="302"/>
      <c r="AD4" s="302"/>
      <c r="AE4" s="302"/>
      <c r="AF4" s="302"/>
      <c r="AG4" s="302"/>
      <c r="AH4" s="302"/>
      <c r="AI4" s="303"/>
      <c r="AJ4" s="223" t="s">
        <v>19</v>
      </c>
      <c r="AK4" s="224"/>
      <c r="AL4" s="224"/>
      <c r="AM4" s="224"/>
      <c r="AN4" s="224"/>
      <c r="AO4" s="225"/>
      <c r="AP4" s="295" t="s">
        <v>134</v>
      </c>
      <c r="AQ4" s="296"/>
      <c r="AR4" s="296"/>
      <c r="AS4" s="296"/>
      <c r="AT4" s="296"/>
      <c r="AU4" s="297"/>
    </row>
    <row r="5" spans="1:50" ht="31.5" customHeight="1" x14ac:dyDescent="0.25">
      <c r="A5" s="242"/>
      <c r="B5" s="243"/>
      <c r="C5" s="243"/>
      <c r="D5" s="244"/>
      <c r="E5" s="206" t="s">
        <v>17</v>
      </c>
      <c r="F5" s="208"/>
      <c r="G5" s="220" t="s">
        <v>167</v>
      </c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2"/>
      <c r="U5" s="242"/>
      <c r="V5" s="243"/>
      <c r="W5" s="243"/>
      <c r="X5" s="243"/>
      <c r="Y5" s="244"/>
      <c r="Z5" s="304"/>
      <c r="AA5" s="305"/>
      <c r="AB5" s="305"/>
      <c r="AC5" s="305"/>
      <c r="AD5" s="305"/>
      <c r="AE5" s="305"/>
      <c r="AF5" s="305"/>
      <c r="AG5" s="305"/>
      <c r="AH5" s="305"/>
      <c r="AI5" s="306"/>
      <c r="AJ5" s="226"/>
      <c r="AK5" s="227"/>
      <c r="AL5" s="227"/>
      <c r="AM5" s="227"/>
      <c r="AN5" s="227"/>
      <c r="AO5" s="228"/>
      <c r="AP5" s="298"/>
      <c r="AQ5" s="299"/>
      <c r="AR5" s="299"/>
      <c r="AS5" s="299"/>
      <c r="AT5" s="299"/>
      <c r="AU5" s="300"/>
    </row>
    <row r="6" spans="1:50" ht="14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ht="14.2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ht="14.2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ht="14.2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ht="14.25" customHeight="1" x14ac:dyDescent="0.25">
      <c r="A10" s="10"/>
      <c r="B10" s="10"/>
      <c r="C10" s="10"/>
      <c r="D10" s="10"/>
      <c r="E10" s="10"/>
      <c r="F10" s="10"/>
      <c r="G10" s="10"/>
      <c r="H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ht="14.2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65" t="s">
        <v>180</v>
      </c>
      <c r="AG11" s="165"/>
      <c r="AH11" s="165"/>
      <c r="AI11" s="165" t="s">
        <v>181</v>
      </c>
      <c r="AJ11" s="165"/>
      <c r="AK11" s="165"/>
      <c r="AL11" s="165"/>
      <c r="AU11" s="10"/>
      <c r="AV11" s="10"/>
      <c r="AW11" s="10"/>
      <c r="AX11" s="10"/>
    </row>
    <row r="12" spans="1:50" ht="14.2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66" t="s">
        <v>182</v>
      </c>
      <c r="AG12" s="166"/>
      <c r="AH12" s="166"/>
      <c r="AI12" s="166"/>
      <c r="AJ12" s="166"/>
      <c r="AK12" s="166" t="s">
        <v>179</v>
      </c>
      <c r="AL12" s="166" t="s">
        <v>183</v>
      </c>
      <c r="AM12" s="166"/>
      <c r="AN12" s="166"/>
      <c r="AO12" s="166"/>
      <c r="AP12" s="166"/>
      <c r="AQ12" s="166"/>
      <c r="AR12" s="166"/>
      <c r="AS12" s="166"/>
      <c r="AT12" s="166"/>
      <c r="AU12" s="10"/>
      <c r="AV12" s="10"/>
      <c r="AW12" s="10"/>
      <c r="AX12" s="10"/>
    </row>
    <row r="13" spans="1:50" ht="14.25" customHeight="1" x14ac:dyDescent="0.25">
      <c r="A13" s="10"/>
      <c r="B13" s="10"/>
      <c r="C13" s="10"/>
      <c r="D13" s="10" t="s">
        <v>184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9" t="s">
        <v>185</v>
      </c>
      <c r="AJ13" s="9" t="s">
        <v>186</v>
      </c>
      <c r="AK13" s="9" t="s">
        <v>187</v>
      </c>
      <c r="AU13" s="10"/>
      <c r="AV13" s="10"/>
      <c r="AW13" s="10"/>
      <c r="AX13" s="10"/>
    </row>
    <row r="14" spans="1:50" ht="14.25" customHeight="1" x14ac:dyDescent="0.25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ht="14.2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ht="14.2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ht="14.2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ht="14.2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ht="14.25" customHeight="1" x14ac:dyDescent="0.25">
      <c r="A19" s="10"/>
      <c r="B19" s="10"/>
      <c r="C19" s="10"/>
      <c r="D19" s="10" t="s">
        <v>188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ht="14.2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ht="14.2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 t="s">
        <v>186</v>
      </c>
      <c r="K21" s="10" t="s">
        <v>189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ht="14.25" customHeight="1" x14ac:dyDescent="0.25">
      <c r="A22" s="10"/>
      <c r="B22" s="10"/>
      <c r="C22" s="10"/>
      <c r="D22" s="10"/>
      <c r="E22" s="10" t="s">
        <v>190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ht="14.2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ht="14.2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ht="14.2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ht="14.2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1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ht="14.25" customHeight="1" x14ac:dyDescent="0.25">
      <c r="A27" s="10"/>
      <c r="B27" s="10"/>
      <c r="C27" s="10"/>
      <c r="D27" s="10"/>
      <c r="E27" s="10" t="s">
        <v>191</v>
      </c>
      <c r="F27" s="10"/>
      <c r="G27" s="10"/>
      <c r="H27" s="10"/>
      <c r="I27" s="10"/>
      <c r="J27" s="10"/>
      <c r="K27" s="10"/>
      <c r="L27" s="10"/>
      <c r="M27" s="10"/>
      <c r="N27" s="10" t="s">
        <v>192</v>
      </c>
      <c r="O27" s="10"/>
      <c r="P27" s="10"/>
      <c r="Q27" s="10"/>
      <c r="R27" s="10"/>
      <c r="S27" s="10"/>
      <c r="T27" s="10"/>
      <c r="U27" s="10"/>
      <c r="V27" s="10"/>
      <c r="W27" s="10"/>
      <c r="X27" s="10" t="s">
        <v>190</v>
      </c>
      <c r="Y27" s="10"/>
      <c r="Z27" s="10"/>
      <c r="AA27" s="10"/>
      <c r="AB27" s="10"/>
      <c r="AC27" s="10"/>
      <c r="AD27" s="10"/>
      <c r="AE27" s="10"/>
      <c r="AF27" s="10" t="s">
        <v>192</v>
      </c>
      <c r="AG27" s="10"/>
      <c r="AH27" s="10"/>
      <c r="AI27" s="10"/>
      <c r="AJ27" s="10"/>
      <c r="AK27" s="10"/>
      <c r="AL27" s="10"/>
      <c r="AM27" s="10"/>
      <c r="AN27" s="10" t="s">
        <v>190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ht="14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ht="14.2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ht="14.25" customHeight="1" x14ac:dyDescent="0.25">
      <c r="A30" s="113"/>
      <c r="AU30" s="114"/>
    </row>
    <row r="31" spans="1:50" ht="14.25" customHeight="1" x14ac:dyDescent="0.25">
      <c r="A31" s="113"/>
      <c r="W31" s="289" t="s">
        <v>33</v>
      </c>
      <c r="X31" s="290"/>
      <c r="Y31" s="290"/>
      <c r="Z31" s="290"/>
      <c r="AA31" s="291"/>
      <c r="AB31" s="289" t="s">
        <v>34</v>
      </c>
      <c r="AC31" s="290"/>
      <c r="AD31" s="290"/>
      <c r="AE31" s="290"/>
      <c r="AF31" s="291"/>
      <c r="AG31" s="289" t="s">
        <v>35</v>
      </c>
      <c r="AH31" s="290"/>
      <c r="AI31" s="290"/>
      <c r="AJ31" s="290"/>
      <c r="AK31" s="291"/>
      <c r="AL31" s="289" t="s">
        <v>36</v>
      </c>
      <c r="AM31" s="290"/>
      <c r="AN31" s="290"/>
      <c r="AO31" s="290"/>
      <c r="AP31" s="291"/>
      <c r="AQ31" s="289" t="s">
        <v>37</v>
      </c>
      <c r="AR31" s="290"/>
      <c r="AS31" s="290"/>
      <c r="AT31" s="290"/>
      <c r="AU31" s="291"/>
    </row>
    <row r="32" spans="1:50" ht="21" customHeight="1" x14ac:dyDescent="0.25">
      <c r="A32" s="113"/>
      <c r="W32" s="292"/>
      <c r="X32" s="293"/>
      <c r="Y32" s="293"/>
      <c r="Z32" s="293"/>
      <c r="AA32" s="294"/>
      <c r="AB32" s="292"/>
      <c r="AC32" s="293"/>
      <c r="AD32" s="293"/>
      <c r="AE32" s="293"/>
      <c r="AF32" s="294"/>
      <c r="AG32" s="292"/>
      <c r="AH32" s="293"/>
      <c r="AI32" s="293"/>
      <c r="AJ32" s="293"/>
      <c r="AK32" s="294"/>
      <c r="AL32" s="292"/>
      <c r="AM32" s="293"/>
      <c r="AN32" s="293"/>
      <c r="AO32" s="293"/>
      <c r="AP32" s="294"/>
      <c r="AQ32" s="292"/>
      <c r="AR32" s="293"/>
      <c r="AS32" s="293"/>
      <c r="AT32" s="293"/>
      <c r="AU32" s="294"/>
    </row>
    <row r="33" spans="1:47" ht="14.25" customHeight="1" x14ac:dyDescent="0.25">
      <c r="A33" s="113"/>
      <c r="W33" s="274"/>
      <c r="X33" s="275"/>
      <c r="Y33" s="275"/>
      <c r="Z33" s="275"/>
      <c r="AA33" s="276"/>
      <c r="AB33" s="274"/>
      <c r="AC33" s="275"/>
      <c r="AD33" s="275"/>
      <c r="AE33" s="275"/>
      <c r="AF33" s="276"/>
      <c r="AG33" s="274"/>
      <c r="AH33" s="275"/>
      <c r="AI33" s="275"/>
      <c r="AJ33" s="275"/>
      <c r="AK33" s="276"/>
      <c r="AL33" s="274"/>
      <c r="AM33" s="275"/>
      <c r="AN33" s="275"/>
      <c r="AO33" s="275"/>
      <c r="AP33" s="276"/>
      <c r="AQ33" s="12"/>
      <c r="AR33" s="13"/>
      <c r="AS33" s="13"/>
      <c r="AT33" s="13"/>
      <c r="AU33" s="14"/>
    </row>
    <row r="34" spans="1:47" ht="14.25" customHeight="1" x14ac:dyDescent="0.25">
      <c r="A34" s="113"/>
      <c r="W34" s="280"/>
      <c r="X34" s="281"/>
      <c r="Y34" s="281"/>
      <c r="Z34" s="281"/>
      <c r="AA34" s="282"/>
      <c r="AB34" s="280"/>
      <c r="AC34" s="281"/>
      <c r="AD34" s="281"/>
      <c r="AE34" s="281"/>
      <c r="AF34" s="282"/>
      <c r="AG34" s="280"/>
      <c r="AH34" s="281"/>
      <c r="AI34" s="281"/>
      <c r="AJ34" s="281"/>
      <c r="AK34" s="282"/>
      <c r="AL34" s="280"/>
      <c r="AM34" s="281"/>
      <c r="AN34" s="281"/>
      <c r="AO34" s="281"/>
      <c r="AP34" s="282"/>
      <c r="AQ34" s="15"/>
      <c r="AR34" s="115"/>
      <c r="AS34" s="115"/>
      <c r="AT34" s="115"/>
      <c r="AU34" s="16"/>
    </row>
    <row r="35" spans="1:47" ht="14.25" customHeight="1" x14ac:dyDescent="0.25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283"/>
      <c r="X35" s="284"/>
      <c r="Y35" s="284"/>
      <c r="Z35" s="284"/>
      <c r="AA35" s="285"/>
      <c r="AB35" s="283"/>
      <c r="AC35" s="284"/>
      <c r="AD35" s="284"/>
      <c r="AE35" s="284"/>
      <c r="AF35" s="285"/>
      <c r="AG35" s="283"/>
      <c r="AH35" s="284"/>
      <c r="AI35" s="284"/>
      <c r="AJ35" s="284"/>
      <c r="AK35" s="285"/>
      <c r="AL35" s="283"/>
      <c r="AM35" s="284"/>
      <c r="AN35" s="284"/>
      <c r="AO35" s="284"/>
      <c r="AP35" s="285"/>
      <c r="AQ35" s="17"/>
      <c r="AR35" s="18"/>
      <c r="AS35" s="18"/>
      <c r="AT35" s="18"/>
      <c r="AU35" s="19"/>
    </row>
    <row r="44" spans="1:47" ht="14.25" customHeight="1" x14ac:dyDescent="0.25">
      <c r="J44" s="20"/>
    </row>
  </sheetData>
  <mergeCells count="28">
    <mergeCell ref="G5:T5"/>
    <mergeCell ref="AP2:AU3"/>
    <mergeCell ref="A3:F3"/>
    <mergeCell ref="G3:T3"/>
    <mergeCell ref="A4:D5"/>
    <mergeCell ref="E4:F4"/>
    <mergeCell ref="G4:T4"/>
    <mergeCell ref="U4:Y5"/>
    <mergeCell ref="Z4:AI5"/>
    <mergeCell ref="AJ4:AO5"/>
    <mergeCell ref="AP4:AU5"/>
    <mergeCell ref="A2:F2"/>
    <mergeCell ref="A1:F1"/>
    <mergeCell ref="G1:AU1"/>
    <mergeCell ref="W33:AA35"/>
    <mergeCell ref="AB33:AF35"/>
    <mergeCell ref="AG33:AK35"/>
    <mergeCell ref="AL33:AP35"/>
    <mergeCell ref="G2:T2"/>
    <mergeCell ref="U2:Y3"/>
    <mergeCell ref="Z2:AI3"/>
    <mergeCell ref="AJ2:AO3"/>
    <mergeCell ref="W31:AA32"/>
    <mergeCell ref="AB31:AF32"/>
    <mergeCell ref="AG31:AK32"/>
    <mergeCell ref="AL31:AP32"/>
    <mergeCell ref="AQ31:AU32"/>
    <mergeCell ref="E5:F5"/>
  </mergeCells>
  <pageMargins left="0.23622047244094491" right="0.23622047244094491" top="0.35433070866141736" bottom="0.35433070866141736" header="0.31496062992125984" footer="0.31496062992125984"/>
  <pageSetup paperSize="9" scale="99" orientation="landscape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B024-E49E-4ECF-8F53-1A18540D2CF7}">
  <sheetPr>
    <pageSetUpPr fitToPage="1"/>
  </sheetPr>
  <dimension ref="A1:U45"/>
  <sheetViews>
    <sheetView showGridLines="0" tabSelected="1" topLeftCell="A32" zoomScaleNormal="100" workbookViewId="0">
      <selection activeCell="C33" sqref="A33:U45"/>
    </sheetView>
  </sheetViews>
  <sheetFormatPr defaultColWidth="2.88671875" defaultRowHeight="13.8" x14ac:dyDescent="0.25"/>
  <cols>
    <col min="1" max="1" width="3.6640625" style="21" customWidth="1"/>
    <col min="2" max="2" width="40.77734375" style="21" customWidth="1"/>
    <col min="3" max="3" width="14.44140625" style="21" customWidth="1"/>
    <col min="4" max="13" width="5.77734375" style="21" customWidth="1"/>
    <col min="14" max="15" width="8.77734375" style="21" customWidth="1"/>
    <col min="16" max="16" width="21.5546875" style="21" customWidth="1"/>
    <col min="17" max="20" width="8.77734375" style="21" customWidth="1"/>
    <col min="21" max="21" width="46" style="21" customWidth="1"/>
    <col min="22" max="16384" width="2.88671875" style="21"/>
  </cols>
  <sheetData>
    <row r="1" spans="1:21" ht="30.6" customHeight="1" x14ac:dyDescent="0.25">
      <c r="A1" s="600"/>
      <c r="B1" s="600"/>
      <c r="C1" s="601" t="s">
        <v>38</v>
      </c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</row>
    <row r="2" spans="1:21" ht="46.8" customHeight="1" x14ac:dyDescent="0.25">
      <c r="A2" s="600"/>
      <c r="B2" s="600"/>
      <c r="C2" s="313" t="s">
        <v>28</v>
      </c>
      <c r="D2" s="147" t="s">
        <v>16</v>
      </c>
      <c r="E2" s="189" t="s">
        <v>162</v>
      </c>
      <c r="F2" s="189"/>
      <c r="G2" s="189"/>
      <c r="H2" s="189"/>
      <c r="I2" s="313" t="s">
        <v>25</v>
      </c>
      <c r="J2" s="313"/>
      <c r="K2" s="637" t="s">
        <v>140</v>
      </c>
      <c r="L2" s="637"/>
      <c r="M2" s="637"/>
      <c r="N2" s="147" t="s">
        <v>1</v>
      </c>
      <c r="O2" s="147"/>
      <c r="P2" s="377" t="s">
        <v>304</v>
      </c>
      <c r="Q2" s="602"/>
      <c r="R2" s="378"/>
      <c r="S2" s="238" t="s">
        <v>128</v>
      </c>
      <c r="T2" s="238"/>
      <c r="U2" s="603">
        <f>'Карта СР '!AP2</f>
        <v>44418</v>
      </c>
    </row>
    <row r="3" spans="1:21" ht="30" customHeight="1" x14ac:dyDescent="0.25">
      <c r="A3" s="604"/>
      <c r="B3" s="604"/>
      <c r="C3" s="605"/>
      <c r="D3" s="606" t="s">
        <v>17</v>
      </c>
      <c r="E3" s="382" t="s">
        <v>163</v>
      </c>
      <c r="F3" s="382"/>
      <c r="G3" s="382"/>
      <c r="H3" s="382"/>
      <c r="I3" s="605" t="s">
        <v>18</v>
      </c>
      <c r="J3" s="605"/>
      <c r="K3" s="432">
        <v>47</v>
      </c>
      <c r="L3" s="433"/>
      <c r="M3" s="434"/>
      <c r="N3" s="606" t="s">
        <v>27</v>
      </c>
      <c r="O3" s="606"/>
      <c r="P3" s="607" t="s">
        <v>305</v>
      </c>
      <c r="Q3" s="608"/>
      <c r="R3" s="609"/>
      <c r="S3" s="605" t="s">
        <v>19</v>
      </c>
      <c r="T3" s="605"/>
      <c r="U3" s="603" t="s">
        <v>134</v>
      </c>
    </row>
    <row r="4" spans="1:21" s="22" customFormat="1" ht="34.799999999999997" customHeight="1" x14ac:dyDescent="0.25">
      <c r="A4" s="171" t="s">
        <v>20</v>
      </c>
      <c r="B4" s="171" t="s">
        <v>39</v>
      </c>
      <c r="C4" s="172" t="s">
        <v>40</v>
      </c>
      <c r="D4" s="171">
        <v>1</v>
      </c>
      <c r="E4" s="171">
        <v>2</v>
      </c>
      <c r="F4" s="171">
        <v>3</v>
      </c>
      <c r="G4" s="171">
        <v>4</v>
      </c>
      <c r="H4" s="171">
        <v>5</v>
      </c>
      <c r="I4" s="171">
        <v>6</v>
      </c>
      <c r="J4" s="171">
        <v>7</v>
      </c>
      <c r="K4" s="171">
        <v>8</v>
      </c>
      <c r="L4" s="171">
        <v>9</v>
      </c>
      <c r="M4" s="171">
        <v>10</v>
      </c>
      <c r="N4" s="610" t="s">
        <v>294</v>
      </c>
      <c r="O4" s="610" t="s">
        <v>295</v>
      </c>
      <c r="P4" s="610" t="s">
        <v>296</v>
      </c>
      <c r="Q4" s="610" t="s">
        <v>297</v>
      </c>
      <c r="R4" s="610" t="s">
        <v>24</v>
      </c>
      <c r="S4" s="307" t="s">
        <v>41</v>
      </c>
      <c r="T4" s="307"/>
      <c r="U4" s="307"/>
    </row>
    <row r="5" spans="1:21" ht="34.950000000000003" customHeight="1" x14ac:dyDescent="0.25">
      <c r="A5" s="169" t="s">
        <v>193</v>
      </c>
      <c r="B5" s="173" t="s">
        <v>194</v>
      </c>
      <c r="C5" s="169" t="s">
        <v>195</v>
      </c>
      <c r="D5" s="611">
        <v>1</v>
      </c>
      <c r="E5" s="611">
        <v>2</v>
      </c>
      <c r="F5" s="611">
        <v>1</v>
      </c>
      <c r="G5" s="611">
        <v>2</v>
      </c>
      <c r="H5" s="611">
        <v>1</v>
      </c>
      <c r="I5" s="611">
        <v>1</v>
      </c>
      <c r="J5" s="611">
        <v>1</v>
      </c>
      <c r="K5" s="611">
        <v>1</v>
      </c>
      <c r="L5" s="611">
        <v>3</v>
      </c>
      <c r="M5" s="611">
        <v>2</v>
      </c>
      <c r="N5" s="611">
        <f>MIN(D5:M5)</f>
        <v>1</v>
      </c>
      <c r="O5" s="170">
        <f>MAX(D5:M5)-N5</f>
        <v>2</v>
      </c>
      <c r="P5" s="612">
        <f>IF(A5&lt;&gt;"-",O5*$P$15,"")</f>
        <v>1</v>
      </c>
      <c r="Q5" s="170">
        <f>IF(A5&lt;&gt;"-",N5+P5,N5)</f>
        <v>2</v>
      </c>
      <c r="R5" s="611">
        <f>MAX(D5:M5)-Q5</f>
        <v>1</v>
      </c>
      <c r="S5" s="613"/>
      <c r="T5" s="613"/>
      <c r="U5" s="613"/>
    </row>
    <row r="6" spans="1:21" ht="34.950000000000003" customHeight="1" x14ac:dyDescent="0.25">
      <c r="A6" s="169" t="s">
        <v>179</v>
      </c>
      <c r="B6" s="173" t="s">
        <v>196</v>
      </c>
      <c r="C6" s="169" t="s">
        <v>197</v>
      </c>
      <c r="D6" s="611">
        <v>3</v>
      </c>
      <c r="E6" s="611">
        <v>2</v>
      </c>
      <c r="F6" s="611">
        <v>4</v>
      </c>
      <c r="G6" s="611">
        <v>2</v>
      </c>
      <c r="H6" s="611">
        <v>2</v>
      </c>
      <c r="I6" s="611">
        <v>3</v>
      </c>
      <c r="J6" s="611">
        <v>3</v>
      </c>
      <c r="K6" s="611">
        <v>2</v>
      </c>
      <c r="L6" s="611">
        <v>2</v>
      </c>
      <c r="M6" s="611">
        <v>2</v>
      </c>
      <c r="N6" s="611">
        <f t="shared" ref="N6:N13" si="0">MIN(D6:M6)</f>
        <v>2</v>
      </c>
      <c r="O6" s="170">
        <f t="shared" ref="O6:O13" si="1">MAX(D6:M6)-N6</f>
        <v>2</v>
      </c>
      <c r="P6" s="612" t="str">
        <f t="shared" ref="P6:P13" si="2">IF(A6&lt;&gt;"-",O6*$P$15,"")</f>
        <v/>
      </c>
      <c r="Q6" s="170">
        <f t="shared" ref="Q6:Q13" si="3">IF(A6&lt;&gt;"-",N6+P6,N6)</f>
        <v>2</v>
      </c>
      <c r="R6" s="611">
        <f t="shared" ref="R6:R13" si="4">MAX(D6:M6)-Q6</f>
        <v>2</v>
      </c>
      <c r="S6" s="613"/>
      <c r="T6" s="613"/>
      <c r="U6" s="613"/>
    </row>
    <row r="7" spans="1:21" ht="34.950000000000003" customHeight="1" x14ac:dyDescent="0.25">
      <c r="A7" s="169" t="s">
        <v>179</v>
      </c>
      <c r="B7" s="173" t="s">
        <v>198</v>
      </c>
      <c r="C7" s="169" t="s">
        <v>199</v>
      </c>
      <c r="D7" s="611">
        <v>3</v>
      </c>
      <c r="E7" s="611">
        <v>4</v>
      </c>
      <c r="F7" s="611">
        <v>2</v>
      </c>
      <c r="G7" s="611">
        <v>4</v>
      </c>
      <c r="H7" s="611">
        <v>5</v>
      </c>
      <c r="I7" s="611">
        <v>4</v>
      </c>
      <c r="J7" s="611">
        <v>4</v>
      </c>
      <c r="K7" s="611">
        <v>5</v>
      </c>
      <c r="L7" s="611">
        <v>5</v>
      </c>
      <c r="M7" s="611">
        <v>3</v>
      </c>
      <c r="N7" s="611">
        <f t="shared" si="0"/>
        <v>2</v>
      </c>
      <c r="O7" s="170">
        <f t="shared" si="1"/>
        <v>3</v>
      </c>
      <c r="P7" s="612" t="str">
        <f t="shared" si="2"/>
        <v/>
      </c>
      <c r="Q7" s="170">
        <f t="shared" si="3"/>
        <v>2</v>
      </c>
      <c r="R7" s="611">
        <f t="shared" si="4"/>
        <v>3</v>
      </c>
      <c r="S7" s="613"/>
      <c r="T7" s="613"/>
      <c r="U7" s="613"/>
    </row>
    <row r="8" spans="1:21" ht="34.950000000000003" customHeight="1" x14ac:dyDescent="0.25">
      <c r="A8" s="169" t="s">
        <v>200</v>
      </c>
      <c r="B8" s="173" t="s">
        <v>201</v>
      </c>
      <c r="C8" s="169" t="s">
        <v>202</v>
      </c>
      <c r="D8" s="611">
        <v>5</v>
      </c>
      <c r="E8" s="611">
        <v>6</v>
      </c>
      <c r="F8" s="611">
        <v>4</v>
      </c>
      <c r="G8" s="611">
        <v>6</v>
      </c>
      <c r="H8" s="611">
        <v>6</v>
      </c>
      <c r="I8" s="611">
        <v>6</v>
      </c>
      <c r="J8" s="611">
        <v>6</v>
      </c>
      <c r="K8" s="611">
        <v>6</v>
      </c>
      <c r="L8" s="611">
        <v>6</v>
      </c>
      <c r="M8" s="611">
        <v>5</v>
      </c>
      <c r="N8" s="611">
        <f t="shared" si="0"/>
        <v>4</v>
      </c>
      <c r="O8" s="170">
        <f t="shared" si="1"/>
        <v>2</v>
      </c>
      <c r="P8" s="612">
        <f t="shared" si="2"/>
        <v>1</v>
      </c>
      <c r="Q8" s="170">
        <f t="shared" si="3"/>
        <v>5</v>
      </c>
      <c r="R8" s="611">
        <f t="shared" si="4"/>
        <v>1</v>
      </c>
      <c r="S8" s="613"/>
      <c r="T8" s="613"/>
      <c r="U8" s="613"/>
    </row>
    <row r="9" spans="1:21" ht="34.950000000000003" customHeight="1" x14ac:dyDescent="0.25">
      <c r="A9" s="169" t="s">
        <v>179</v>
      </c>
      <c r="B9" s="173" t="s">
        <v>203</v>
      </c>
      <c r="C9" s="169" t="s">
        <v>197</v>
      </c>
      <c r="D9" s="611">
        <v>3</v>
      </c>
      <c r="E9" s="611">
        <v>3</v>
      </c>
      <c r="F9" s="611">
        <v>2</v>
      </c>
      <c r="G9" s="611">
        <v>2</v>
      </c>
      <c r="H9" s="611">
        <v>4</v>
      </c>
      <c r="I9" s="611">
        <v>4</v>
      </c>
      <c r="J9" s="611">
        <v>3</v>
      </c>
      <c r="K9" s="611">
        <v>3</v>
      </c>
      <c r="L9" s="611">
        <v>4</v>
      </c>
      <c r="M9" s="611">
        <v>4</v>
      </c>
      <c r="N9" s="611">
        <f t="shared" si="0"/>
        <v>2</v>
      </c>
      <c r="O9" s="170">
        <f t="shared" si="1"/>
        <v>2</v>
      </c>
      <c r="P9" s="612" t="str">
        <f t="shared" si="2"/>
        <v/>
      </c>
      <c r="Q9" s="170">
        <f t="shared" si="3"/>
        <v>2</v>
      </c>
      <c r="R9" s="611">
        <f t="shared" si="4"/>
        <v>2</v>
      </c>
      <c r="S9" s="613"/>
      <c r="T9" s="613"/>
      <c r="U9" s="613"/>
    </row>
    <row r="10" spans="1:21" ht="34.950000000000003" customHeight="1" x14ac:dyDescent="0.25">
      <c r="A10" s="169" t="s">
        <v>204</v>
      </c>
      <c r="B10" s="173" t="s">
        <v>216</v>
      </c>
      <c r="C10" s="169" t="s">
        <v>205</v>
      </c>
      <c r="D10" s="611">
        <v>10</v>
      </c>
      <c r="E10" s="611">
        <v>9</v>
      </c>
      <c r="F10" s="611">
        <v>9</v>
      </c>
      <c r="G10" s="611">
        <v>10</v>
      </c>
      <c r="H10" s="611">
        <v>11</v>
      </c>
      <c r="I10" s="611">
        <v>11</v>
      </c>
      <c r="J10" s="611">
        <v>10</v>
      </c>
      <c r="K10" s="611">
        <v>11</v>
      </c>
      <c r="L10" s="611">
        <v>11</v>
      </c>
      <c r="M10" s="611">
        <v>8</v>
      </c>
      <c r="N10" s="611">
        <f t="shared" si="0"/>
        <v>8</v>
      </c>
      <c r="O10" s="170">
        <f t="shared" si="1"/>
        <v>3</v>
      </c>
      <c r="P10" s="612">
        <f t="shared" si="2"/>
        <v>1.5</v>
      </c>
      <c r="Q10" s="170">
        <f t="shared" si="3"/>
        <v>9.5</v>
      </c>
      <c r="R10" s="611">
        <f t="shared" si="4"/>
        <v>1.5</v>
      </c>
      <c r="S10" s="613"/>
      <c r="T10" s="613"/>
      <c r="U10" s="613"/>
    </row>
    <row r="11" spans="1:21" ht="34.950000000000003" customHeight="1" x14ac:dyDescent="0.25">
      <c r="A11" s="169" t="s">
        <v>179</v>
      </c>
      <c r="B11" s="173" t="s">
        <v>196</v>
      </c>
      <c r="C11" s="169" t="s">
        <v>197</v>
      </c>
      <c r="D11" s="611">
        <v>4</v>
      </c>
      <c r="E11" s="611">
        <v>4</v>
      </c>
      <c r="F11" s="611">
        <v>4</v>
      </c>
      <c r="G11" s="611">
        <v>3</v>
      </c>
      <c r="H11" s="611">
        <v>3</v>
      </c>
      <c r="I11" s="611">
        <v>3</v>
      </c>
      <c r="J11" s="611">
        <v>3</v>
      </c>
      <c r="K11" s="611">
        <v>4</v>
      </c>
      <c r="L11" s="611">
        <v>3</v>
      </c>
      <c r="M11" s="611">
        <v>3</v>
      </c>
      <c r="N11" s="611">
        <f t="shared" si="0"/>
        <v>3</v>
      </c>
      <c r="O11" s="170">
        <f t="shared" si="1"/>
        <v>1</v>
      </c>
      <c r="P11" s="612" t="str">
        <f t="shared" si="2"/>
        <v/>
      </c>
      <c r="Q11" s="170">
        <f t="shared" si="3"/>
        <v>3</v>
      </c>
      <c r="R11" s="611">
        <f t="shared" si="4"/>
        <v>1</v>
      </c>
      <c r="S11" s="613"/>
      <c r="T11" s="613"/>
      <c r="U11" s="613"/>
    </row>
    <row r="12" spans="1:21" ht="34.950000000000003" customHeight="1" x14ac:dyDescent="0.25">
      <c r="A12" s="169" t="s">
        <v>206</v>
      </c>
      <c r="B12" s="173" t="s">
        <v>214</v>
      </c>
      <c r="C12" s="169" t="s">
        <v>202</v>
      </c>
      <c r="D12" s="611">
        <v>12</v>
      </c>
      <c r="E12" s="611">
        <v>12</v>
      </c>
      <c r="F12" s="611">
        <v>10</v>
      </c>
      <c r="G12" s="611">
        <v>13</v>
      </c>
      <c r="H12" s="611">
        <v>11</v>
      </c>
      <c r="I12" s="611">
        <v>10</v>
      </c>
      <c r="J12" s="611">
        <v>12</v>
      </c>
      <c r="K12" s="611">
        <v>11</v>
      </c>
      <c r="L12" s="611">
        <v>10</v>
      </c>
      <c r="M12" s="611">
        <v>11</v>
      </c>
      <c r="N12" s="611">
        <f t="shared" si="0"/>
        <v>10</v>
      </c>
      <c r="O12" s="170">
        <f t="shared" si="1"/>
        <v>3</v>
      </c>
      <c r="P12" s="612">
        <f t="shared" si="2"/>
        <v>1.5</v>
      </c>
      <c r="Q12" s="170">
        <f t="shared" si="3"/>
        <v>11.5</v>
      </c>
      <c r="R12" s="611">
        <f t="shared" si="4"/>
        <v>1.5</v>
      </c>
      <c r="S12" s="613"/>
      <c r="T12" s="613"/>
      <c r="U12" s="613"/>
    </row>
    <row r="13" spans="1:21" ht="34.950000000000003" customHeight="1" x14ac:dyDescent="0.25">
      <c r="A13" s="169" t="s">
        <v>179</v>
      </c>
      <c r="B13" s="173" t="s">
        <v>208</v>
      </c>
      <c r="C13" s="169" t="s">
        <v>197</v>
      </c>
      <c r="D13" s="611">
        <v>3</v>
      </c>
      <c r="E13" s="611">
        <v>3</v>
      </c>
      <c r="F13" s="611">
        <v>4</v>
      </c>
      <c r="G13" s="611">
        <v>4</v>
      </c>
      <c r="H13" s="611">
        <v>4</v>
      </c>
      <c r="I13" s="611">
        <v>4</v>
      </c>
      <c r="J13" s="611">
        <v>3</v>
      </c>
      <c r="K13" s="611">
        <v>4</v>
      </c>
      <c r="L13" s="611">
        <v>3</v>
      </c>
      <c r="M13" s="611">
        <v>3</v>
      </c>
      <c r="N13" s="611">
        <f t="shared" si="0"/>
        <v>3</v>
      </c>
      <c r="O13" s="170">
        <f t="shared" si="1"/>
        <v>1</v>
      </c>
      <c r="P13" s="612" t="str">
        <f t="shared" si="2"/>
        <v/>
      </c>
      <c r="Q13" s="170">
        <f t="shared" si="3"/>
        <v>3</v>
      </c>
      <c r="R13" s="611">
        <f t="shared" si="4"/>
        <v>1</v>
      </c>
      <c r="S13" s="613"/>
      <c r="T13" s="613"/>
      <c r="U13" s="613"/>
    </row>
    <row r="14" spans="1:21" ht="34.950000000000003" customHeight="1" x14ac:dyDescent="0.25">
      <c r="A14" s="614"/>
      <c r="B14" s="615"/>
      <c r="C14" s="616" t="s">
        <v>42</v>
      </c>
      <c r="D14" s="611">
        <f>SUM(D5:D13)</f>
        <v>44</v>
      </c>
      <c r="E14" s="611">
        <f t="shared" ref="E14:M14" si="5">SUM(E5:E13)</f>
        <v>45</v>
      </c>
      <c r="F14" s="611">
        <f t="shared" si="5"/>
        <v>40</v>
      </c>
      <c r="G14" s="611">
        <f t="shared" si="5"/>
        <v>46</v>
      </c>
      <c r="H14" s="611">
        <f t="shared" si="5"/>
        <v>47</v>
      </c>
      <c r="I14" s="611">
        <f t="shared" si="5"/>
        <v>46</v>
      </c>
      <c r="J14" s="611">
        <f t="shared" si="5"/>
        <v>45</v>
      </c>
      <c r="K14" s="611">
        <f t="shared" si="5"/>
        <v>47</v>
      </c>
      <c r="L14" s="611">
        <f t="shared" si="5"/>
        <v>47</v>
      </c>
      <c r="M14" s="611">
        <f t="shared" si="5"/>
        <v>41</v>
      </c>
      <c r="N14" s="611">
        <f>SUM(N4:N13)</f>
        <v>35</v>
      </c>
      <c r="O14" s="611"/>
      <c r="P14" s="611">
        <f>SUM(P5:P13)</f>
        <v>5</v>
      </c>
      <c r="Q14" s="170">
        <f>SUM(Q5:Q13)</f>
        <v>40</v>
      </c>
      <c r="R14" s="170">
        <f>SUM(R5:R13)</f>
        <v>14</v>
      </c>
      <c r="S14" s="617"/>
      <c r="T14" s="618"/>
      <c r="U14" s="619"/>
    </row>
    <row r="15" spans="1:21" ht="34.799999999999997" customHeight="1" x14ac:dyDescent="0.25">
      <c r="A15" s="614"/>
      <c r="C15" s="620" t="s">
        <v>298</v>
      </c>
      <c r="D15" s="620"/>
      <c r="E15" s="620"/>
      <c r="F15" s="621">
        <f>F14</f>
        <v>40</v>
      </c>
      <c r="G15" s="621"/>
      <c r="H15" s="621"/>
      <c r="I15" s="621"/>
      <c r="J15" s="622" t="s">
        <v>301</v>
      </c>
      <c r="K15" s="623"/>
      <c r="L15" s="623"/>
      <c r="M15" s="623"/>
      <c r="N15" s="623"/>
      <c r="O15" s="624"/>
      <c r="P15" s="625">
        <f>F16/SUMIF(A5:A13,"&lt;&gt;"&amp;"-",O5:O13)</f>
        <v>0.5</v>
      </c>
      <c r="Q15" s="626"/>
      <c r="R15" s="627"/>
      <c r="S15" s="628" t="s">
        <v>299</v>
      </c>
      <c r="T15" s="628"/>
      <c r="U15" s="628"/>
    </row>
    <row r="16" spans="1:21" ht="34.950000000000003" customHeight="1" x14ac:dyDescent="0.25">
      <c r="A16" s="629"/>
      <c r="B16" s="630"/>
      <c r="C16" s="620" t="s">
        <v>300</v>
      </c>
      <c r="D16" s="620"/>
      <c r="E16" s="620"/>
      <c r="F16" s="621">
        <f>F14-N14</f>
        <v>5</v>
      </c>
      <c r="G16" s="621"/>
      <c r="H16" s="621"/>
      <c r="I16" s="621"/>
      <c r="J16" s="631"/>
      <c r="K16" s="632"/>
      <c r="L16" s="632"/>
      <c r="M16" s="632"/>
      <c r="N16" s="632"/>
      <c r="O16" s="633"/>
      <c r="P16" s="634"/>
      <c r="Q16" s="635"/>
      <c r="R16" s="636"/>
      <c r="S16" s="628"/>
      <c r="T16" s="628"/>
      <c r="U16" s="628"/>
    </row>
    <row r="17" spans="1:21" ht="30.6" customHeight="1" x14ac:dyDescent="0.25">
      <c r="A17" s="600"/>
      <c r="B17" s="600"/>
      <c r="C17" s="601" t="s">
        <v>38</v>
      </c>
      <c r="D17" s="601"/>
      <c r="E17" s="601"/>
      <c r="F17" s="601"/>
      <c r="G17" s="601"/>
      <c r="H17" s="601"/>
      <c r="I17" s="601"/>
      <c r="J17" s="601"/>
      <c r="K17" s="601"/>
      <c r="L17" s="601"/>
      <c r="M17" s="601"/>
      <c r="N17" s="601"/>
      <c r="O17" s="601"/>
      <c r="P17" s="601"/>
      <c r="Q17" s="601"/>
      <c r="R17" s="601"/>
      <c r="S17" s="601"/>
      <c r="T17" s="601"/>
      <c r="U17" s="601"/>
    </row>
    <row r="18" spans="1:21" ht="46.8" customHeight="1" x14ac:dyDescent="0.25">
      <c r="A18" s="600"/>
      <c r="B18" s="600"/>
      <c r="C18" s="313" t="s">
        <v>28</v>
      </c>
      <c r="D18" s="147" t="s">
        <v>16</v>
      </c>
      <c r="E18" s="189" t="s">
        <v>162</v>
      </c>
      <c r="F18" s="189"/>
      <c r="G18" s="189"/>
      <c r="H18" s="189"/>
      <c r="I18" s="313" t="s">
        <v>25</v>
      </c>
      <c r="J18" s="313"/>
      <c r="K18" s="637" t="s">
        <v>140</v>
      </c>
      <c r="L18" s="637"/>
      <c r="M18" s="637"/>
      <c r="N18" s="147" t="s">
        <v>1</v>
      </c>
      <c r="O18" s="147"/>
      <c r="P18" s="377" t="s">
        <v>303</v>
      </c>
      <c r="Q18" s="602"/>
      <c r="R18" s="378"/>
      <c r="S18" s="238" t="s">
        <v>128</v>
      </c>
      <c r="T18" s="238"/>
      <c r="U18" s="603">
        <f>U2</f>
        <v>44418</v>
      </c>
    </row>
    <row r="19" spans="1:21" ht="30" customHeight="1" x14ac:dyDescent="0.25">
      <c r="A19" s="604"/>
      <c r="B19" s="604"/>
      <c r="C19" s="605"/>
      <c r="D19" s="606" t="s">
        <v>17</v>
      </c>
      <c r="E19" s="382" t="s">
        <v>163</v>
      </c>
      <c r="F19" s="382"/>
      <c r="G19" s="382"/>
      <c r="H19" s="382"/>
      <c r="I19" s="605" t="s">
        <v>18</v>
      </c>
      <c r="J19" s="605"/>
      <c r="K19" s="432">
        <v>47</v>
      </c>
      <c r="L19" s="433"/>
      <c r="M19" s="434"/>
      <c r="N19" s="606" t="s">
        <v>27</v>
      </c>
      <c r="O19" s="606"/>
      <c r="P19" s="607" t="s">
        <v>306</v>
      </c>
      <c r="Q19" s="608"/>
      <c r="R19" s="609"/>
      <c r="S19" s="605" t="s">
        <v>19</v>
      </c>
      <c r="T19" s="605"/>
      <c r="U19" s="603" t="s">
        <v>134</v>
      </c>
    </row>
    <row r="20" spans="1:21" s="22" customFormat="1" ht="34.799999999999997" customHeight="1" x14ac:dyDescent="0.25">
      <c r="A20" s="171" t="s">
        <v>20</v>
      </c>
      <c r="B20" s="171" t="s">
        <v>39</v>
      </c>
      <c r="C20" s="172" t="s">
        <v>40</v>
      </c>
      <c r="D20" s="171">
        <v>1</v>
      </c>
      <c r="E20" s="638">
        <v>2</v>
      </c>
      <c r="F20" s="171">
        <v>3</v>
      </c>
      <c r="G20" s="171">
        <v>4</v>
      </c>
      <c r="H20" s="171">
        <v>5</v>
      </c>
      <c r="I20" s="638">
        <v>6</v>
      </c>
      <c r="J20" s="171">
        <v>7</v>
      </c>
      <c r="K20" s="638">
        <v>8</v>
      </c>
      <c r="L20" s="171">
        <v>9</v>
      </c>
      <c r="M20" s="171">
        <v>10</v>
      </c>
      <c r="N20" s="610" t="s">
        <v>294</v>
      </c>
      <c r="O20" s="610" t="s">
        <v>295</v>
      </c>
      <c r="P20" s="610" t="s">
        <v>296</v>
      </c>
      <c r="Q20" s="610" t="s">
        <v>297</v>
      </c>
      <c r="R20" s="610" t="s">
        <v>24</v>
      </c>
      <c r="S20" s="307" t="s">
        <v>41</v>
      </c>
      <c r="T20" s="307"/>
      <c r="U20" s="307"/>
    </row>
    <row r="21" spans="1:21" ht="34.950000000000003" customHeight="1" x14ac:dyDescent="0.25">
      <c r="A21" s="169" t="s">
        <v>193</v>
      </c>
      <c r="B21" s="169" t="s">
        <v>209</v>
      </c>
      <c r="C21" s="169" t="s">
        <v>195</v>
      </c>
      <c r="D21" s="611">
        <v>3</v>
      </c>
      <c r="E21" s="639">
        <v>5</v>
      </c>
      <c r="F21" s="611">
        <v>5</v>
      </c>
      <c r="G21" s="611">
        <v>5</v>
      </c>
      <c r="H21" s="611">
        <v>3</v>
      </c>
      <c r="I21" s="639">
        <v>1</v>
      </c>
      <c r="J21" s="611">
        <v>3</v>
      </c>
      <c r="K21" s="639">
        <v>6</v>
      </c>
      <c r="L21" s="611">
        <v>3</v>
      </c>
      <c r="M21" s="611">
        <v>3</v>
      </c>
      <c r="N21" s="611">
        <f>H21</f>
        <v>3</v>
      </c>
      <c r="O21" s="170">
        <f>G21-N21</f>
        <v>2</v>
      </c>
      <c r="P21" s="612">
        <f>IF(A21&lt;&gt;"-",O21*$P$31,"")</f>
        <v>1</v>
      </c>
      <c r="Q21" s="170">
        <f>IF(A21&lt;&gt;"-",N21+P21,N21)</f>
        <v>4</v>
      </c>
      <c r="R21" s="611">
        <f>G21-Q21</f>
        <v>1</v>
      </c>
      <c r="S21" s="613"/>
      <c r="T21" s="613"/>
      <c r="U21" s="613"/>
    </row>
    <row r="22" spans="1:21" ht="34.950000000000003" customHeight="1" x14ac:dyDescent="0.25">
      <c r="A22" s="169" t="s">
        <v>179</v>
      </c>
      <c r="B22" s="169" t="s">
        <v>196</v>
      </c>
      <c r="C22" s="169" t="s">
        <v>197</v>
      </c>
      <c r="D22" s="611">
        <v>4</v>
      </c>
      <c r="E22" s="639">
        <v>2</v>
      </c>
      <c r="F22" s="611">
        <v>2</v>
      </c>
      <c r="G22" s="611">
        <v>2</v>
      </c>
      <c r="H22" s="611">
        <v>2</v>
      </c>
      <c r="I22" s="639">
        <v>7</v>
      </c>
      <c r="J22" s="611">
        <v>3</v>
      </c>
      <c r="K22" s="639">
        <v>2</v>
      </c>
      <c r="L22" s="611">
        <v>2</v>
      </c>
      <c r="M22" s="611">
        <v>2</v>
      </c>
      <c r="N22" s="611">
        <f>H22</f>
        <v>2</v>
      </c>
      <c r="O22" s="170">
        <f>D22-N22</f>
        <v>2</v>
      </c>
      <c r="P22" s="612" t="str">
        <f t="shared" ref="P22:P30" si="6">IF(A22&lt;&gt;"-",O22*$P$31,"")</f>
        <v/>
      </c>
      <c r="Q22" s="170">
        <f t="shared" ref="Q22:Q29" si="7">IF(A22&lt;&gt;"-",N22+P22,N22)</f>
        <v>2</v>
      </c>
      <c r="R22" s="611">
        <f>D22-Q22</f>
        <v>2</v>
      </c>
      <c r="S22" s="613"/>
      <c r="T22" s="613"/>
      <c r="U22" s="613"/>
    </row>
    <row r="23" spans="1:21" ht="34.950000000000003" customHeight="1" x14ac:dyDescent="0.25">
      <c r="A23" s="169" t="s">
        <v>179</v>
      </c>
      <c r="B23" s="169" t="s">
        <v>198</v>
      </c>
      <c r="C23" s="169" t="s">
        <v>199</v>
      </c>
      <c r="D23" s="611">
        <v>7</v>
      </c>
      <c r="E23" s="639">
        <v>4</v>
      </c>
      <c r="F23" s="611">
        <v>2</v>
      </c>
      <c r="G23" s="611">
        <v>4</v>
      </c>
      <c r="H23" s="611">
        <v>5</v>
      </c>
      <c r="I23" s="639">
        <v>6</v>
      </c>
      <c r="J23" s="611">
        <v>4</v>
      </c>
      <c r="K23" s="639">
        <v>5</v>
      </c>
      <c r="L23" s="611">
        <v>5</v>
      </c>
      <c r="M23" s="611">
        <v>3</v>
      </c>
      <c r="N23" s="611">
        <f>F23</f>
        <v>2</v>
      </c>
      <c r="O23" s="170">
        <f>D23-N23</f>
        <v>5</v>
      </c>
      <c r="P23" s="612" t="str">
        <f t="shared" si="6"/>
        <v/>
      </c>
      <c r="Q23" s="170">
        <f t="shared" si="7"/>
        <v>2</v>
      </c>
      <c r="R23" s="611">
        <f>D23-Q23</f>
        <v>5</v>
      </c>
      <c r="S23" s="613"/>
      <c r="T23" s="613"/>
      <c r="U23" s="613"/>
    </row>
    <row r="24" spans="1:21" ht="34.950000000000003" customHeight="1" x14ac:dyDescent="0.25">
      <c r="A24" s="169" t="s">
        <v>200</v>
      </c>
      <c r="B24" s="169" t="s">
        <v>201</v>
      </c>
      <c r="C24" s="169" t="s">
        <v>202</v>
      </c>
      <c r="D24" s="611">
        <v>3</v>
      </c>
      <c r="E24" s="639">
        <v>6</v>
      </c>
      <c r="F24" s="611">
        <v>5</v>
      </c>
      <c r="G24" s="611">
        <v>6</v>
      </c>
      <c r="H24" s="611">
        <v>6</v>
      </c>
      <c r="I24" s="639">
        <v>6</v>
      </c>
      <c r="J24" s="611">
        <v>6</v>
      </c>
      <c r="K24" s="639">
        <v>6</v>
      </c>
      <c r="L24" s="611">
        <v>6</v>
      </c>
      <c r="M24" s="611">
        <v>6</v>
      </c>
      <c r="N24" s="611">
        <f>F24</f>
        <v>5</v>
      </c>
      <c r="O24" s="170">
        <f>L24-N24</f>
        <v>1</v>
      </c>
      <c r="P24" s="612">
        <f t="shared" si="6"/>
        <v>0.5</v>
      </c>
      <c r="Q24" s="170">
        <f t="shared" si="7"/>
        <v>5.5</v>
      </c>
      <c r="R24" s="611">
        <f>L24-Q24</f>
        <v>0.5</v>
      </c>
      <c r="S24" s="613"/>
      <c r="T24" s="613"/>
      <c r="U24" s="613"/>
    </row>
    <row r="25" spans="1:21" ht="34.950000000000003" customHeight="1" x14ac:dyDescent="0.25">
      <c r="A25" s="169" t="s">
        <v>179</v>
      </c>
      <c r="B25" s="169" t="s">
        <v>210</v>
      </c>
      <c r="C25" s="169" t="s">
        <v>197</v>
      </c>
      <c r="D25" s="611">
        <v>1</v>
      </c>
      <c r="E25" s="639">
        <v>3</v>
      </c>
      <c r="F25" s="611">
        <v>2</v>
      </c>
      <c r="G25" s="611">
        <v>2</v>
      </c>
      <c r="H25" s="611">
        <v>4</v>
      </c>
      <c r="I25" s="639">
        <v>4</v>
      </c>
      <c r="J25" s="611">
        <v>3</v>
      </c>
      <c r="K25" s="639">
        <v>3</v>
      </c>
      <c r="L25" s="611">
        <v>4</v>
      </c>
      <c r="M25" s="611">
        <v>4</v>
      </c>
      <c r="N25" s="611">
        <f>G25</f>
        <v>2</v>
      </c>
      <c r="O25" s="170">
        <f>H25-N25</f>
        <v>2</v>
      </c>
      <c r="P25" s="612" t="str">
        <f t="shared" si="6"/>
        <v/>
      </c>
      <c r="Q25" s="170">
        <f t="shared" si="7"/>
        <v>2</v>
      </c>
      <c r="R25" s="611">
        <f>H25-Q25</f>
        <v>2</v>
      </c>
      <c r="S25" s="613"/>
      <c r="T25" s="613"/>
      <c r="U25" s="613"/>
    </row>
    <row r="26" spans="1:21" ht="34.950000000000003" customHeight="1" x14ac:dyDescent="0.25">
      <c r="A26" s="169" t="s">
        <v>204</v>
      </c>
      <c r="B26" s="169" t="s">
        <v>211</v>
      </c>
      <c r="C26" s="169" t="s">
        <v>205</v>
      </c>
      <c r="D26" s="611">
        <v>10</v>
      </c>
      <c r="E26" s="639">
        <v>16</v>
      </c>
      <c r="F26" s="611">
        <v>9</v>
      </c>
      <c r="G26" s="611">
        <v>10</v>
      </c>
      <c r="H26" s="611">
        <v>11</v>
      </c>
      <c r="I26" s="639">
        <v>11</v>
      </c>
      <c r="J26" s="611">
        <v>10</v>
      </c>
      <c r="K26" s="639">
        <v>11</v>
      </c>
      <c r="L26" s="611">
        <v>11</v>
      </c>
      <c r="M26" s="611">
        <v>8</v>
      </c>
      <c r="N26" s="611">
        <f>M26</f>
        <v>8</v>
      </c>
      <c r="O26" s="170">
        <f>L26-N26</f>
        <v>3</v>
      </c>
      <c r="P26" s="612">
        <f t="shared" si="6"/>
        <v>1.5</v>
      </c>
      <c r="Q26" s="170">
        <f t="shared" si="7"/>
        <v>9.5</v>
      </c>
      <c r="R26" s="611">
        <f>L26-Q26</f>
        <v>1.5</v>
      </c>
      <c r="S26" s="613"/>
      <c r="T26" s="613"/>
      <c r="U26" s="613"/>
    </row>
    <row r="27" spans="1:21" ht="34.950000000000003" customHeight="1" x14ac:dyDescent="0.25">
      <c r="A27" s="169" t="s">
        <v>179</v>
      </c>
      <c r="B27" s="169" t="s">
        <v>196</v>
      </c>
      <c r="C27" s="169" t="s">
        <v>197</v>
      </c>
      <c r="D27" s="611">
        <v>4</v>
      </c>
      <c r="E27" s="639">
        <v>4</v>
      </c>
      <c r="F27" s="611">
        <v>4</v>
      </c>
      <c r="G27" s="611">
        <v>3</v>
      </c>
      <c r="H27" s="611">
        <v>3</v>
      </c>
      <c r="I27" s="639">
        <v>3</v>
      </c>
      <c r="J27" s="611">
        <v>3</v>
      </c>
      <c r="K27" s="639">
        <v>4</v>
      </c>
      <c r="L27" s="611">
        <v>3</v>
      </c>
      <c r="M27" s="611">
        <v>3</v>
      </c>
      <c r="N27" s="611">
        <f>J27</f>
        <v>3</v>
      </c>
      <c r="O27" s="170">
        <f>F27-N27</f>
        <v>1</v>
      </c>
      <c r="P27" s="612" t="str">
        <f t="shared" si="6"/>
        <v/>
      </c>
      <c r="Q27" s="170">
        <f t="shared" si="7"/>
        <v>3</v>
      </c>
      <c r="R27" s="611">
        <f>F27-Q27</f>
        <v>1</v>
      </c>
      <c r="S27" s="613"/>
      <c r="T27" s="613"/>
      <c r="U27" s="613"/>
    </row>
    <row r="28" spans="1:21" ht="34.950000000000003" customHeight="1" x14ac:dyDescent="0.25">
      <c r="A28" s="169" t="s">
        <v>206</v>
      </c>
      <c r="B28" s="169" t="s">
        <v>212</v>
      </c>
      <c r="C28" s="169" t="s">
        <v>202</v>
      </c>
      <c r="D28" s="611">
        <v>12</v>
      </c>
      <c r="E28" s="639">
        <v>12</v>
      </c>
      <c r="F28" s="611">
        <v>12</v>
      </c>
      <c r="G28" s="611">
        <v>13</v>
      </c>
      <c r="H28" s="611">
        <v>11</v>
      </c>
      <c r="I28" s="639">
        <v>10</v>
      </c>
      <c r="J28" s="611">
        <v>12</v>
      </c>
      <c r="K28" s="639">
        <v>11</v>
      </c>
      <c r="L28" s="611">
        <v>10</v>
      </c>
      <c r="M28" s="611">
        <v>11</v>
      </c>
      <c r="N28" s="611">
        <f>H28</f>
        <v>11</v>
      </c>
      <c r="O28" s="170">
        <f>G28-N28</f>
        <v>2</v>
      </c>
      <c r="P28" s="612">
        <f t="shared" si="6"/>
        <v>1</v>
      </c>
      <c r="Q28" s="170">
        <f t="shared" si="7"/>
        <v>12</v>
      </c>
      <c r="R28" s="611">
        <f>G28-Q28</f>
        <v>1</v>
      </c>
      <c r="S28" s="613"/>
      <c r="T28" s="613"/>
      <c r="U28" s="613"/>
    </row>
    <row r="29" spans="1:21" ht="34.950000000000003" customHeight="1" x14ac:dyDescent="0.25">
      <c r="A29" s="169" t="s">
        <v>179</v>
      </c>
      <c r="B29" s="169" t="s">
        <v>208</v>
      </c>
      <c r="C29" s="169" t="s">
        <v>197</v>
      </c>
      <c r="D29" s="611">
        <v>4</v>
      </c>
      <c r="E29" s="639">
        <v>3</v>
      </c>
      <c r="F29" s="611">
        <v>5</v>
      </c>
      <c r="G29" s="611">
        <v>4</v>
      </c>
      <c r="H29" s="611">
        <v>4</v>
      </c>
      <c r="I29" s="639">
        <v>4</v>
      </c>
      <c r="J29" s="611">
        <v>3</v>
      </c>
      <c r="K29" s="639">
        <v>4</v>
      </c>
      <c r="L29" s="611">
        <v>3</v>
      </c>
      <c r="M29" s="611">
        <v>3</v>
      </c>
      <c r="N29" s="611">
        <f>J29</f>
        <v>3</v>
      </c>
      <c r="O29" s="170">
        <f>F29-N29</f>
        <v>2</v>
      </c>
      <c r="P29" s="612" t="str">
        <f t="shared" si="6"/>
        <v/>
      </c>
      <c r="Q29" s="170">
        <f t="shared" si="7"/>
        <v>3</v>
      </c>
      <c r="R29" s="611">
        <f>F29-Q29</f>
        <v>2</v>
      </c>
      <c r="S29" s="613"/>
      <c r="T29" s="613"/>
      <c r="U29" s="613"/>
    </row>
    <row r="30" spans="1:21" ht="34.950000000000003" customHeight="1" x14ac:dyDescent="0.25">
      <c r="A30" s="614"/>
      <c r="B30" s="615"/>
      <c r="C30" s="616" t="s">
        <v>42</v>
      </c>
      <c r="D30" s="611">
        <f>SUM(D21:D29)</f>
        <v>48</v>
      </c>
      <c r="E30" s="639">
        <f t="shared" ref="E30:M30" si="8">SUM(E21:E29)</f>
        <v>55</v>
      </c>
      <c r="F30" s="611">
        <f t="shared" si="8"/>
        <v>46</v>
      </c>
      <c r="G30" s="611">
        <f t="shared" si="8"/>
        <v>49</v>
      </c>
      <c r="H30" s="611">
        <f t="shared" si="8"/>
        <v>49</v>
      </c>
      <c r="I30" s="639">
        <f t="shared" si="8"/>
        <v>52</v>
      </c>
      <c r="J30" s="611">
        <f t="shared" si="8"/>
        <v>47</v>
      </c>
      <c r="K30" s="639">
        <f t="shared" si="8"/>
        <v>52</v>
      </c>
      <c r="L30" s="611">
        <f t="shared" si="8"/>
        <v>47</v>
      </c>
      <c r="M30" s="611">
        <f t="shared" si="8"/>
        <v>43</v>
      </c>
      <c r="N30" s="611">
        <f>SUM(N20:N29)</f>
        <v>39</v>
      </c>
      <c r="O30" s="611"/>
      <c r="P30" s="612">
        <f t="shared" si="6"/>
        <v>0</v>
      </c>
      <c r="Q30" s="170">
        <f>SUM(Q21:Q29)</f>
        <v>43</v>
      </c>
      <c r="R30" s="170">
        <f>SUM(R21:R29)</f>
        <v>16</v>
      </c>
      <c r="S30" s="617"/>
      <c r="T30" s="618"/>
      <c r="U30" s="619"/>
    </row>
    <row r="31" spans="1:21" ht="34.799999999999997" customHeight="1" x14ac:dyDescent="0.25">
      <c r="A31" s="614"/>
      <c r="C31" s="620" t="s">
        <v>298</v>
      </c>
      <c r="D31" s="620"/>
      <c r="E31" s="620"/>
      <c r="F31" s="621">
        <f>F30</f>
        <v>46</v>
      </c>
      <c r="G31" s="621"/>
      <c r="H31" s="621"/>
      <c r="I31" s="621"/>
      <c r="J31" s="622" t="s">
        <v>301</v>
      </c>
      <c r="K31" s="623"/>
      <c r="L31" s="623"/>
      <c r="M31" s="623"/>
      <c r="N31" s="623"/>
      <c r="O31" s="624"/>
      <c r="P31" s="625">
        <f>F32/SUMIF(A21:A29,"&lt;&gt;"&amp;"-",O21:O29)</f>
        <v>0.5</v>
      </c>
      <c r="Q31" s="626"/>
      <c r="R31" s="627"/>
      <c r="S31" s="628" t="s">
        <v>299</v>
      </c>
      <c r="T31" s="628"/>
      <c r="U31" s="628"/>
    </row>
    <row r="32" spans="1:21" ht="34.950000000000003" customHeight="1" x14ac:dyDescent="0.25">
      <c r="A32" s="629"/>
      <c r="B32" s="630"/>
      <c r="C32" s="620" t="s">
        <v>300</v>
      </c>
      <c r="D32" s="620"/>
      <c r="E32" s="620"/>
      <c r="F32" s="621">
        <f>M30-N30</f>
        <v>4</v>
      </c>
      <c r="G32" s="621"/>
      <c r="H32" s="621"/>
      <c r="I32" s="621"/>
      <c r="J32" s="631"/>
      <c r="K32" s="632"/>
      <c r="L32" s="632"/>
      <c r="M32" s="632"/>
      <c r="N32" s="632"/>
      <c r="O32" s="633"/>
      <c r="P32" s="634"/>
      <c r="Q32" s="635"/>
      <c r="R32" s="636"/>
      <c r="S32" s="628"/>
      <c r="T32" s="628"/>
      <c r="U32" s="628"/>
    </row>
    <row r="33" spans="1:21" ht="30.6" customHeight="1" x14ac:dyDescent="0.25">
      <c r="A33" s="600"/>
      <c r="B33" s="600"/>
      <c r="C33" s="601" t="s">
        <v>38</v>
      </c>
      <c r="D33" s="601"/>
      <c r="E33" s="601"/>
      <c r="F33" s="601"/>
      <c r="G33" s="601"/>
      <c r="H33" s="601"/>
      <c r="I33" s="601"/>
      <c r="J33" s="601"/>
      <c r="K33" s="601"/>
      <c r="L33" s="601"/>
      <c r="M33" s="601"/>
      <c r="N33" s="601"/>
      <c r="O33" s="601"/>
      <c r="P33" s="601"/>
      <c r="Q33" s="601"/>
      <c r="R33" s="601"/>
      <c r="S33" s="601"/>
      <c r="T33" s="601"/>
      <c r="U33" s="601"/>
    </row>
    <row r="34" spans="1:21" ht="46.8" customHeight="1" x14ac:dyDescent="0.25">
      <c r="A34" s="600"/>
      <c r="B34" s="600"/>
      <c r="C34" s="313" t="s">
        <v>28</v>
      </c>
      <c r="D34" s="147" t="s">
        <v>16</v>
      </c>
      <c r="E34" s="189" t="s">
        <v>162</v>
      </c>
      <c r="F34" s="189"/>
      <c r="G34" s="189"/>
      <c r="H34" s="189"/>
      <c r="I34" s="313" t="s">
        <v>25</v>
      </c>
      <c r="J34" s="313"/>
      <c r="K34" s="637" t="s">
        <v>140</v>
      </c>
      <c r="L34" s="637"/>
      <c r="M34" s="637"/>
      <c r="N34" s="147" t="s">
        <v>1</v>
      </c>
      <c r="O34" s="147"/>
      <c r="P34" s="377" t="s">
        <v>302</v>
      </c>
      <c r="Q34" s="602"/>
      <c r="R34" s="378"/>
      <c r="S34" s="238" t="s">
        <v>128</v>
      </c>
      <c r="T34" s="238"/>
      <c r="U34" s="603">
        <f>U18</f>
        <v>44418</v>
      </c>
    </row>
    <row r="35" spans="1:21" ht="30" customHeight="1" x14ac:dyDescent="0.25">
      <c r="A35" s="604"/>
      <c r="B35" s="604"/>
      <c r="C35" s="605"/>
      <c r="D35" s="606" t="s">
        <v>17</v>
      </c>
      <c r="E35" s="382" t="s">
        <v>163</v>
      </c>
      <c r="F35" s="382"/>
      <c r="G35" s="382"/>
      <c r="H35" s="382"/>
      <c r="I35" s="605" t="s">
        <v>18</v>
      </c>
      <c r="J35" s="605"/>
      <c r="K35" s="432">
        <v>47</v>
      </c>
      <c r="L35" s="433"/>
      <c r="M35" s="434"/>
      <c r="N35" s="606" t="s">
        <v>27</v>
      </c>
      <c r="O35" s="606"/>
      <c r="P35" s="607" t="s">
        <v>306</v>
      </c>
      <c r="Q35" s="608"/>
      <c r="R35" s="609"/>
      <c r="S35" s="605" t="s">
        <v>19</v>
      </c>
      <c r="T35" s="605"/>
      <c r="U35" s="603" t="s">
        <v>134</v>
      </c>
    </row>
    <row r="36" spans="1:21" s="22" customFormat="1" ht="34.799999999999997" customHeight="1" x14ac:dyDescent="0.25">
      <c r="A36" s="171" t="s">
        <v>20</v>
      </c>
      <c r="B36" s="171" t="s">
        <v>39</v>
      </c>
      <c r="C36" s="172" t="s">
        <v>40</v>
      </c>
      <c r="D36" s="171">
        <v>1</v>
      </c>
      <c r="E36" s="640">
        <v>2</v>
      </c>
      <c r="F36" s="640">
        <v>3</v>
      </c>
      <c r="G36" s="640">
        <v>4</v>
      </c>
      <c r="H36" s="640">
        <v>5</v>
      </c>
      <c r="I36" s="640">
        <v>6</v>
      </c>
      <c r="J36" s="640">
        <v>7</v>
      </c>
      <c r="K36" s="640">
        <v>8</v>
      </c>
      <c r="L36" s="640">
        <v>9</v>
      </c>
      <c r="M36" s="640">
        <v>10</v>
      </c>
      <c r="N36" s="610" t="s">
        <v>294</v>
      </c>
      <c r="O36" s="610" t="s">
        <v>295</v>
      </c>
      <c r="P36" s="610" t="s">
        <v>296</v>
      </c>
      <c r="Q36" s="610" t="s">
        <v>297</v>
      </c>
      <c r="R36" s="610" t="s">
        <v>24</v>
      </c>
      <c r="S36" s="307" t="s">
        <v>41</v>
      </c>
      <c r="T36" s="307"/>
      <c r="U36" s="307"/>
    </row>
    <row r="37" spans="1:21" ht="34.950000000000003" customHeight="1" x14ac:dyDescent="0.25">
      <c r="A37" s="169" t="s">
        <v>193</v>
      </c>
      <c r="B37" s="169" t="s">
        <v>215</v>
      </c>
      <c r="C37" s="169" t="s">
        <v>195</v>
      </c>
      <c r="D37" s="611">
        <v>13</v>
      </c>
      <c r="E37" s="641">
        <v>10</v>
      </c>
      <c r="F37" s="639">
        <v>5</v>
      </c>
      <c r="G37" s="641">
        <v>12</v>
      </c>
      <c r="H37" s="641">
        <v>16</v>
      </c>
      <c r="I37" s="641">
        <v>11</v>
      </c>
      <c r="J37" s="641">
        <v>13</v>
      </c>
      <c r="K37" s="641">
        <v>13</v>
      </c>
      <c r="L37" s="641">
        <v>10</v>
      </c>
      <c r="M37" s="639">
        <v>2</v>
      </c>
      <c r="N37" s="611">
        <f>E37</f>
        <v>10</v>
      </c>
      <c r="O37" s="170">
        <f>H37-N37</f>
        <v>6</v>
      </c>
      <c r="P37" s="612">
        <f>IF(A37&lt;&gt;"-",O37*$P$44,"")</f>
        <v>1.7142857142857142</v>
      </c>
      <c r="Q37" s="170">
        <f>IF(A37&lt;&gt;"-",N37+P37,N37)</f>
        <v>11.714285714285714</v>
      </c>
      <c r="R37" s="611">
        <f>G37-Q37</f>
        <v>0.28571428571428648</v>
      </c>
      <c r="S37" s="613"/>
      <c r="T37" s="613"/>
      <c r="U37" s="613"/>
    </row>
    <row r="38" spans="1:21" ht="34.950000000000003" customHeight="1" x14ac:dyDescent="0.25">
      <c r="A38" s="169" t="s">
        <v>179</v>
      </c>
      <c r="B38" s="169" t="s">
        <v>196</v>
      </c>
      <c r="C38" s="169" t="s">
        <v>197</v>
      </c>
      <c r="D38" s="611">
        <v>5</v>
      </c>
      <c r="E38" s="641">
        <v>6</v>
      </c>
      <c r="F38" s="639">
        <v>9</v>
      </c>
      <c r="G38" s="641">
        <v>6</v>
      </c>
      <c r="H38" s="641">
        <v>6</v>
      </c>
      <c r="I38" s="641">
        <v>6</v>
      </c>
      <c r="J38" s="641">
        <v>6</v>
      </c>
      <c r="K38" s="641">
        <v>5</v>
      </c>
      <c r="L38" s="641">
        <v>6</v>
      </c>
      <c r="M38" s="639">
        <v>6</v>
      </c>
      <c r="N38" s="611">
        <f>K38</f>
        <v>5</v>
      </c>
      <c r="O38" s="170">
        <f>G38-N38</f>
        <v>1</v>
      </c>
      <c r="P38" s="612" t="str">
        <f t="shared" ref="P38:P43" si="9">IF(A38&lt;&gt;"-",O38*$P$44,"")</f>
        <v/>
      </c>
      <c r="Q38" s="170">
        <f t="shared" ref="Q38:Q42" si="10">IF(A38&lt;&gt;"-",N38+P38,N38)</f>
        <v>5</v>
      </c>
      <c r="R38" s="611">
        <f>D38-Q38</f>
        <v>0</v>
      </c>
      <c r="S38" s="613"/>
      <c r="T38" s="613"/>
      <c r="U38" s="613"/>
    </row>
    <row r="39" spans="1:21" ht="34.950000000000003" customHeight="1" x14ac:dyDescent="0.25">
      <c r="A39" s="169">
        <v>2</v>
      </c>
      <c r="B39" s="169" t="s">
        <v>307</v>
      </c>
      <c r="C39" s="169" t="s">
        <v>199</v>
      </c>
      <c r="D39" s="611">
        <v>4</v>
      </c>
      <c r="E39" s="641">
        <v>6</v>
      </c>
      <c r="F39" s="639">
        <v>5</v>
      </c>
      <c r="G39" s="641">
        <v>8</v>
      </c>
      <c r="H39" s="641">
        <v>6</v>
      </c>
      <c r="I39" s="641">
        <v>6</v>
      </c>
      <c r="J39" s="641">
        <v>6</v>
      </c>
      <c r="K39" s="641">
        <v>6</v>
      </c>
      <c r="L39" s="641">
        <v>6</v>
      </c>
      <c r="M39" s="639">
        <v>5</v>
      </c>
      <c r="N39" s="611">
        <f>D39</f>
        <v>4</v>
      </c>
      <c r="O39" s="170">
        <f>G39-D39</f>
        <v>4</v>
      </c>
      <c r="P39" s="612">
        <f t="shared" si="9"/>
        <v>1.1428571428571428</v>
      </c>
      <c r="Q39" s="170">
        <f t="shared" si="10"/>
        <v>5.1428571428571423</v>
      </c>
      <c r="R39" s="611">
        <f>D39-Q39</f>
        <v>-1.1428571428571423</v>
      </c>
      <c r="S39" s="613"/>
      <c r="T39" s="613"/>
      <c r="U39" s="613"/>
    </row>
    <row r="40" spans="1:21" ht="34.950000000000003" customHeight="1" x14ac:dyDescent="0.25">
      <c r="A40" s="169" t="s">
        <v>179</v>
      </c>
      <c r="B40" s="169" t="s">
        <v>217</v>
      </c>
      <c r="C40" s="169" t="s">
        <v>202</v>
      </c>
      <c r="D40" s="611">
        <v>7</v>
      </c>
      <c r="E40" s="641">
        <v>3</v>
      </c>
      <c r="F40" s="639">
        <v>5</v>
      </c>
      <c r="G40" s="641">
        <v>4</v>
      </c>
      <c r="H40" s="641">
        <v>4</v>
      </c>
      <c r="I40" s="641">
        <v>5</v>
      </c>
      <c r="J40" s="641">
        <v>3</v>
      </c>
      <c r="K40" s="641">
        <v>3</v>
      </c>
      <c r="L40" s="641">
        <v>4</v>
      </c>
      <c r="M40" s="639">
        <v>4</v>
      </c>
      <c r="N40" s="611">
        <f>K40</f>
        <v>3</v>
      </c>
      <c r="O40" s="170">
        <f>D40-K40</f>
        <v>4</v>
      </c>
      <c r="P40" s="612" t="str">
        <f t="shared" si="9"/>
        <v/>
      </c>
      <c r="Q40" s="170">
        <f t="shared" si="10"/>
        <v>3</v>
      </c>
      <c r="R40" s="611">
        <f>L40-Q40</f>
        <v>1</v>
      </c>
      <c r="S40" s="613"/>
      <c r="T40" s="613"/>
      <c r="U40" s="613"/>
    </row>
    <row r="41" spans="1:21" ht="34.950000000000003" customHeight="1" x14ac:dyDescent="0.25">
      <c r="A41" s="169" t="s">
        <v>204</v>
      </c>
      <c r="B41" s="169" t="s">
        <v>207</v>
      </c>
      <c r="C41" s="169" t="s">
        <v>197</v>
      </c>
      <c r="D41" s="611">
        <v>12</v>
      </c>
      <c r="E41" s="641">
        <v>13</v>
      </c>
      <c r="F41" s="639">
        <v>19</v>
      </c>
      <c r="G41" s="641">
        <v>14</v>
      </c>
      <c r="H41" s="641">
        <v>11</v>
      </c>
      <c r="I41" s="641">
        <v>10</v>
      </c>
      <c r="J41" s="641">
        <v>12</v>
      </c>
      <c r="K41" s="641">
        <v>11</v>
      </c>
      <c r="L41" s="641">
        <v>10</v>
      </c>
      <c r="M41" s="639">
        <v>11</v>
      </c>
      <c r="N41" s="611">
        <f>L41</f>
        <v>10</v>
      </c>
      <c r="O41" s="170">
        <f>G41-L41</f>
        <v>4</v>
      </c>
      <c r="P41" s="612">
        <f t="shared" si="9"/>
        <v>1.1428571428571428</v>
      </c>
      <c r="Q41" s="170">
        <f t="shared" si="10"/>
        <v>11.142857142857142</v>
      </c>
      <c r="R41" s="611">
        <f>H41-Q41</f>
        <v>-0.14285714285714235</v>
      </c>
      <c r="S41" s="613"/>
      <c r="T41" s="613"/>
      <c r="U41" s="613"/>
    </row>
    <row r="42" spans="1:21" ht="34.950000000000003" customHeight="1" x14ac:dyDescent="0.25">
      <c r="A42" s="169" t="s">
        <v>179</v>
      </c>
      <c r="B42" s="169" t="s">
        <v>208</v>
      </c>
      <c r="C42" s="169" t="s">
        <v>205</v>
      </c>
      <c r="D42" s="611">
        <v>4</v>
      </c>
      <c r="E42" s="641">
        <v>7</v>
      </c>
      <c r="F42" s="639">
        <v>6</v>
      </c>
      <c r="G42" s="641">
        <v>4</v>
      </c>
      <c r="H42" s="641">
        <v>4</v>
      </c>
      <c r="I42" s="641">
        <v>6</v>
      </c>
      <c r="J42" s="641">
        <v>3</v>
      </c>
      <c r="K42" s="641">
        <v>4</v>
      </c>
      <c r="L42" s="641">
        <v>3</v>
      </c>
      <c r="M42" s="639">
        <v>3</v>
      </c>
      <c r="N42" s="611">
        <f>L42</f>
        <v>3</v>
      </c>
      <c r="O42" s="170">
        <f>E42-L42</f>
        <v>4</v>
      </c>
      <c r="P42" s="612" t="str">
        <f t="shared" si="9"/>
        <v/>
      </c>
      <c r="Q42" s="170">
        <f t="shared" si="10"/>
        <v>3</v>
      </c>
      <c r="R42" s="611">
        <f>L42-Q42</f>
        <v>0</v>
      </c>
      <c r="S42" s="613"/>
      <c r="T42" s="613"/>
      <c r="U42" s="613"/>
    </row>
    <row r="43" spans="1:21" ht="34.950000000000003" customHeight="1" x14ac:dyDescent="0.25">
      <c r="A43" s="614"/>
      <c r="B43" s="615"/>
      <c r="C43" s="616" t="s">
        <v>42</v>
      </c>
      <c r="D43" s="611">
        <f>SUM(D37:D42)</f>
        <v>45</v>
      </c>
      <c r="E43" s="611">
        <f t="shared" ref="E43:M43" si="11">SUM(E37:E42)</f>
        <v>45</v>
      </c>
      <c r="F43" s="639">
        <f t="shared" si="11"/>
        <v>49</v>
      </c>
      <c r="G43" s="611">
        <f t="shared" si="11"/>
        <v>48</v>
      </c>
      <c r="H43" s="611">
        <f t="shared" si="11"/>
        <v>47</v>
      </c>
      <c r="I43" s="611">
        <f t="shared" si="11"/>
        <v>44</v>
      </c>
      <c r="J43" s="611">
        <f t="shared" si="11"/>
        <v>43</v>
      </c>
      <c r="K43" s="611">
        <f t="shared" si="11"/>
        <v>42</v>
      </c>
      <c r="L43" s="611">
        <f t="shared" si="11"/>
        <v>39</v>
      </c>
      <c r="M43" s="639">
        <f t="shared" si="11"/>
        <v>31</v>
      </c>
      <c r="N43" s="611">
        <f>SUM(N36:N42)</f>
        <v>35</v>
      </c>
      <c r="O43" s="611"/>
      <c r="P43" s="612"/>
      <c r="Q43" s="170">
        <f>SUM(Q37:Q42)</f>
        <v>39</v>
      </c>
      <c r="R43" s="170"/>
      <c r="S43" s="617"/>
      <c r="T43" s="618"/>
      <c r="U43" s="619"/>
    </row>
    <row r="44" spans="1:21" ht="34.799999999999997" customHeight="1" x14ac:dyDescent="0.25">
      <c r="A44" s="614"/>
      <c r="C44" s="620" t="s">
        <v>298</v>
      </c>
      <c r="D44" s="620"/>
      <c r="E44" s="620"/>
      <c r="F44" s="621">
        <f>D43</f>
        <v>45</v>
      </c>
      <c r="G44" s="621"/>
      <c r="H44" s="621"/>
      <c r="I44" s="621"/>
      <c r="J44" s="622" t="s">
        <v>301</v>
      </c>
      <c r="K44" s="623"/>
      <c r="L44" s="623"/>
      <c r="M44" s="623"/>
      <c r="N44" s="623"/>
      <c r="O44" s="624"/>
      <c r="P44" s="642">
        <f>F45/SUMIF(A37:A42,"&lt;&gt;"&amp;"-",O37:O42)</f>
        <v>0.2857142857142857</v>
      </c>
      <c r="Q44" s="643"/>
      <c r="R44" s="627"/>
      <c r="S44" s="628" t="s">
        <v>299</v>
      </c>
      <c r="T44" s="628"/>
      <c r="U44" s="628"/>
    </row>
    <row r="45" spans="1:21" ht="34.950000000000003" customHeight="1" x14ac:dyDescent="0.25">
      <c r="A45" s="629"/>
      <c r="B45" s="630"/>
      <c r="C45" s="620" t="s">
        <v>300</v>
      </c>
      <c r="D45" s="620"/>
      <c r="E45" s="620"/>
      <c r="F45" s="621">
        <f>L43-N43</f>
        <v>4</v>
      </c>
      <c r="G45" s="621"/>
      <c r="H45" s="621"/>
      <c r="I45" s="621"/>
      <c r="J45" s="631"/>
      <c r="K45" s="632"/>
      <c r="L45" s="632"/>
      <c r="M45" s="632"/>
      <c r="N45" s="632"/>
      <c r="O45" s="633"/>
      <c r="P45" s="644"/>
      <c r="Q45" s="645"/>
      <c r="R45" s="636"/>
      <c r="S45" s="628"/>
      <c r="T45" s="628"/>
      <c r="U45" s="628"/>
    </row>
  </sheetData>
  <mergeCells count="93">
    <mergeCell ref="S43:U43"/>
    <mergeCell ref="C44:E44"/>
    <mergeCell ref="F44:I44"/>
    <mergeCell ref="J44:O45"/>
    <mergeCell ref="P44:Q45"/>
    <mergeCell ref="R44:R45"/>
    <mergeCell ref="S44:U45"/>
    <mergeCell ref="C45:E45"/>
    <mergeCell ref="F45:I45"/>
    <mergeCell ref="S39:U39"/>
    <mergeCell ref="S40:U40"/>
    <mergeCell ref="S41:U41"/>
    <mergeCell ref="S42:U42"/>
    <mergeCell ref="K35:M35"/>
    <mergeCell ref="P35:R35"/>
    <mergeCell ref="S35:T35"/>
    <mergeCell ref="S36:U36"/>
    <mergeCell ref="S37:U37"/>
    <mergeCell ref="S38:U38"/>
    <mergeCell ref="A33:B35"/>
    <mergeCell ref="C33:U33"/>
    <mergeCell ref="C34:C35"/>
    <mergeCell ref="E34:H34"/>
    <mergeCell ref="I34:J34"/>
    <mergeCell ref="K34:M34"/>
    <mergeCell ref="P34:R34"/>
    <mergeCell ref="S34:T34"/>
    <mergeCell ref="E35:H35"/>
    <mergeCell ref="I35:J35"/>
    <mergeCell ref="S29:U29"/>
    <mergeCell ref="S30:U30"/>
    <mergeCell ref="C31:E31"/>
    <mergeCell ref="F31:I31"/>
    <mergeCell ref="J31:O32"/>
    <mergeCell ref="P31:Q32"/>
    <mergeCell ref="R31:R32"/>
    <mergeCell ref="S31:U32"/>
    <mergeCell ref="C32:E32"/>
    <mergeCell ref="F32:I32"/>
    <mergeCell ref="S23:U23"/>
    <mergeCell ref="S24:U24"/>
    <mergeCell ref="S25:U25"/>
    <mergeCell ref="S26:U26"/>
    <mergeCell ref="S27:U27"/>
    <mergeCell ref="S28:U28"/>
    <mergeCell ref="K19:M19"/>
    <mergeCell ref="P19:R19"/>
    <mergeCell ref="S19:T19"/>
    <mergeCell ref="S20:U20"/>
    <mergeCell ref="S21:U21"/>
    <mergeCell ref="S22:U22"/>
    <mergeCell ref="A17:B19"/>
    <mergeCell ref="C17:U17"/>
    <mergeCell ref="C18:C19"/>
    <mergeCell ref="E18:H18"/>
    <mergeCell ref="I18:J18"/>
    <mergeCell ref="K18:M18"/>
    <mergeCell ref="P18:R18"/>
    <mergeCell ref="S18:T18"/>
    <mergeCell ref="E19:H19"/>
    <mergeCell ref="I19:J19"/>
    <mergeCell ref="S13:U13"/>
    <mergeCell ref="S14:U14"/>
    <mergeCell ref="C15:E15"/>
    <mergeCell ref="F15:I15"/>
    <mergeCell ref="J15:O16"/>
    <mergeCell ref="P15:Q16"/>
    <mergeCell ref="R15:R16"/>
    <mergeCell ref="S15:U16"/>
    <mergeCell ref="C16:E16"/>
    <mergeCell ref="F16:I16"/>
    <mergeCell ref="S7:U7"/>
    <mergeCell ref="S8:U8"/>
    <mergeCell ref="S9:U9"/>
    <mergeCell ref="S10:U10"/>
    <mergeCell ref="S11:U11"/>
    <mergeCell ref="S12:U12"/>
    <mergeCell ref="K3:M3"/>
    <mergeCell ref="P3:R3"/>
    <mergeCell ref="S3:T3"/>
    <mergeCell ref="S4:U4"/>
    <mergeCell ref="S5:U5"/>
    <mergeCell ref="S6:U6"/>
    <mergeCell ref="A1:B3"/>
    <mergeCell ref="C1:U1"/>
    <mergeCell ref="C2:C3"/>
    <mergeCell ref="E2:H2"/>
    <mergeCell ref="I2:J2"/>
    <mergeCell ref="K2:M2"/>
    <mergeCell ref="P2:R2"/>
    <mergeCell ref="S2:T2"/>
    <mergeCell ref="E3:H3"/>
    <mergeCell ref="I3:J3"/>
  </mergeCells>
  <pageMargins left="0.23622047244094491" right="0.23622047244094491" top="0.35433070866141736" bottom="0.35433070866141736" header="0.31496062992125984" footer="0.31496062992125984"/>
  <pageSetup paperSize="9" scale="60" orientation="landscape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5690-F6F7-4FDF-B348-BFE0E672620C}">
  <sheetPr codeName="Лист6">
    <pageSetUpPr fitToPage="1"/>
  </sheetPr>
  <dimension ref="A1:AX19"/>
  <sheetViews>
    <sheetView showGridLines="0" view="pageBreakPreview" zoomScaleNormal="115" zoomScaleSheetLayoutView="100" workbookViewId="0">
      <selection activeCell="AD31" sqref="AD31"/>
    </sheetView>
  </sheetViews>
  <sheetFormatPr defaultColWidth="2.88671875" defaultRowHeight="13.2" x14ac:dyDescent="0.25"/>
  <cols>
    <col min="1" max="50" width="2.6640625" style="22" customWidth="1"/>
    <col min="51" max="16384" width="2.88671875" style="22"/>
  </cols>
  <sheetData>
    <row r="1" spans="1:50" ht="34.799999999999997" customHeight="1" x14ac:dyDescent="0.25">
      <c r="A1" s="316"/>
      <c r="B1" s="316"/>
      <c r="C1" s="316"/>
      <c r="D1" s="316"/>
      <c r="E1" s="316"/>
      <c r="F1" s="316"/>
      <c r="G1" s="317" t="s">
        <v>43</v>
      </c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</row>
    <row r="2" spans="1:50" ht="15" customHeight="1" x14ac:dyDescent="0.25">
      <c r="A2" s="255" t="s">
        <v>1</v>
      </c>
      <c r="B2" s="256"/>
      <c r="C2" s="256"/>
      <c r="D2" s="256"/>
      <c r="E2" s="256"/>
      <c r="F2" s="257"/>
      <c r="G2" s="235" t="s">
        <v>132</v>
      </c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313" t="s">
        <v>25</v>
      </c>
      <c r="Y2" s="313"/>
      <c r="Z2" s="313"/>
      <c r="AA2" s="313"/>
      <c r="AB2" s="313"/>
      <c r="AC2" s="324" t="s">
        <v>140</v>
      </c>
      <c r="AD2" s="325"/>
      <c r="AE2" s="325"/>
      <c r="AF2" s="325"/>
      <c r="AG2" s="325"/>
      <c r="AH2" s="325"/>
      <c r="AI2" s="326"/>
      <c r="AJ2" s="314" t="s">
        <v>26</v>
      </c>
      <c r="AK2" s="314"/>
      <c r="AL2" s="314"/>
      <c r="AM2" s="314"/>
      <c r="AN2" s="314"/>
      <c r="AO2" s="314"/>
      <c r="AP2" s="344">
        <v>44783</v>
      </c>
      <c r="AQ2" s="344"/>
      <c r="AR2" s="344"/>
      <c r="AS2" s="344"/>
      <c r="AT2" s="344"/>
      <c r="AU2" s="344"/>
      <c r="AV2" s="344"/>
      <c r="AW2" s="344"/>
      <c r="AX2" s="344"/>
    </row>
    <row r="3" spans="1:50" ht="15" customHeight="1" x14ac:dyDescent="0.25">
      <c r="A3" s="255" t="s">
        <v>27</v>
      </c>
      <c r="B3" s="256"/>
      <c r="C3" s="256"/>
      <c r="D3" s="256"/>
      <c r="E3" s="256"/>
      <c r="F3" s="257"/>
      <c r="G3" s="235" t="s">
        <v>168</v>
      </c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7"/>
      <c r="X3" s="313"/>
      <c r="Y3" s="313"/>
      <c r="Z3" s="313"/>
      <c r="AA3" s="313"/>
      <c r="AB3" s="313"/>
      <c r="AC3" s="327"/>
      <c r="AD3" s="328"/>
      <c r="AE3" s="328"/>
      <c r="AF3" s="328"/>
      <c r="AG3" s="328"/>
      <c r="AH3" s="328"/>
      <c r="AI3" s="329"/>
      <c r="AJ3" s="314"/>
      <c r="AK3" s="314"/>
      <c r="AL3" s="314"/>
      <c r="AM3" s="314"/>
      <c r="AN3" s="314"/>
      <c r="AO3" s="314"/>
      <c r="AP3" s="344"/>
      <c r="AQ3" s="344"/>
      <c r="AR3" s="344"/>
      <c r="AS3" s="344"/>
      <c r="AT3" s="344"/>
      <c r="AU3" s="344"/>
      <c r="AV3" s="344"/>
      <c r="AW3" s="344"/>
      <c r="AX3" s="344"/>
    </row>
    <row r="4" spans="1:50" ht="15" customHeight="1" x14ac:dyDescent="0.25">
      <c r="A4" s="239" t="s">
        <v>28</v>
      </c>
      <c r="B4" s="240"/>
      <c r="C4" s="240"/>
      <c r="D4" s="241"/>
      <c r="E4" s="206" t="s">
        <v>16</v>
      </c>
      <c r="F4" s="208"/>
      <c r="G4" s="235" t="s">
        <v>168</v>
      </c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7"/>
      <c r="X4" s="313" t="s">
        <v>18</v>
      </c>
      <c r="Y4" s="313"/>
      <c r="Z4" s="313"/>
      <c r="AA4" s="313"/>
      <c r="AB4" s="313"/>
      <c r="AC4" s="330" t="s">
        <v>141</v>
      </c>
      <c r="AD4" s="331"/>
      <c r="AE4" s="331"/>
      <c r="AF4" s="331"/>
      <c r="AG4" s="331"/>
      <c r="AH4" s="331"/>
      <c r="AI4" s="332"/>
      <c r="AJ4" s="314" t="s">
        <v>19</v>
      </c>
      <c r="AK4" s="314"/>
      <c r="AL4" s="314"/>
      <c r="AM4" s="314"/>
      <c r="AN4" s="314"/>
      <c r="AO4" s="314"/>
      <c r="AP4" s="344" t="s">
        <v>134</v>
      </c>
      <c r="AQ4" s="344"/>
      <c r="AR4" s="344"/>
      <c r="AS4" s="344"/>
      <c r="AT4" s="344"/>
      <c r="AU4" s="344"/>
      <c r="AV4" s="344"/>
      <c r="AW4" s="344"/>
      <c r="AX4" s="344"/>
    </row>
    <row r="5" spans="1:50" ht="25.5" customHeight="1" x14ac:dyDescent="0.25">
      <c r="A5" s="242"/>
      <c r="B5" s="243"/>
      <c r="C5" s="243"/>
      <c r="D5" s="244"/>
      <c r="E5" s="206" t="s">
        <v>17</v>
      </c>
      <c r="F5" s="208"/>
      <c r="G5" s="258" t="s">
        <v>163</v>
      </c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336"/>
      <c r="X5" s="313"/>
      <c r="Y5" s="313"/>
      <c r="Z5" s="313"/>
      <c r="AA5" s="313"/>
      <c r="AB5" s="313"/>
      <c r="AC5" s="333"/>
      <c r="AD5" s="334"/>
      <c r="AE5" s="334"/>
      <c r="AF5" s="334"/>
      <c r="AG5" s="334"/>
      <c r="AH5" s="334"/>
      <c r="AI5" s="335"/>
      <c r="AJ5" s="314"/>
      <c r="AK5" s="314"/>
      <c r="AL5" s="314"/>
      <c r="AM5" s="314"/>
      <c r="AN5" s="314"/>
      <c r="AO5" s="314"/>
      <c r="AP5" s="344"/>
      <c r="AQ5" s="344"/>
      <c r="AR5" s="344"/>
      <c r="AS5" s="344"/>
      <c r="AT5" s="344"/>
      <c r="AU5" s="344"/>
      <c r="AV5" s="344"/>
      <c r="AW5" s="344"/>
      <c r="AX5" s="344"/>
    </row>
    <row r="6" spans="1:50" ht="15" customHeight="1" x14ac:dyDescent="0.25">
      <c r="A6" s="307" t="s">
        <v>20</v>
      </c>
      <c r="B6" s="307"/>
      <c r="C6" s="307"/>
      <c r="D6" s="307" t="s">
        <v>39</v>
      </c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12" t="s">
        <v>45</v>
      </c>
      <c r="R6" s="312"/>
      <c r="S6" s="312"/>
      <c r="T6" s="312"/>
      <c r="U6" s="312"/>
      <c r="V6" s="312"/>
      <c r="W6" s="312"/>
      <c r="X6" s="337" t="s">
        <v>44</v>
      </c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9"/>
      <c r="AM6" s="312" t="s">
        <v>291</v>
      </c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</row>
    <row r="7" spans="1:50" ht="15" customHeight="1" x14ac:dyDescent="0.25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12"/>
      <c r="R7" s="312"/>
      <c r="S7" s="312"/>
      <c r="T7" s="312"/>
      <c r="U7" s="312"/>
      <c r="V7" s="312"/>
      <c r="W7" s="312"/>
      <c r="X7" s="310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1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</row>
    <row r="8" spans="1:50" ht="15" customHeight="1" x14ac:dyDescent="0.25">
      <c r="A8" s="307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12"/>
      <c r="R8" s="312"/>
      <c r="S8" s="312"/>
      <c r="T8" s="312"/>
      <c r="U8" s="312"/>
      <c r="V8" s="312"/>
      <c r="W8" s="312"/>
      <c r="X8" s="307">
        <v>1</v>
      </c>
      <c r="Y8" s="307"/>
      <c r="Z8" s="307"/>
      <c r="AA8" s="307"/>
      <c r="AB8" s="307"/>
      <c r="AC8" s="307">
        <v>2</v>
      </c>
      <c r="AD8" s="307"/>
      <c r="AE8" s="307"/>
      <c r="AF8" s="307"/>
      <c r="AG8" s="307"/>
      <c r="AH8" s="307">
        <v>3</v>
      </c>
      <c r="AI8" s="307"/>
      <c r="AJ8" s="307"/>
      <c r="AK8" s="307"/>
      <c r="AL8" s="307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</row>
    <row r="9" spans="1:50" ht="15" customHeight="1" x14ac:dyDescent="0.25">
      <c r="A9" s="307"/>
      <c r="B9" s="307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12"/>
      <c r="R9" s="312"/>
      <c r="S9" s="312"/>
      <c r="T9" s="312"/>
      <c r="U9" s="312"/>
      <c r="V9" s="312"/>
      <c r="W9" s="312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</row>
    <row r="10" spans="1:50" ht="15" customHeight="1" x14ac:dyDescent="0.25">
      <c r="A10" s="340">
        <v>1</v>
      </c>
      <c r="B10" s="340"/>
      <c r="C10" s="340"/>
      <c r="D10" s="341" t="s">
        <v>218</v>
      </c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09">
        <v>10</v>
      </c>
      <c r="R10" s="309"/>
      <c r="S10" s="309"/>
      <c r="T10" s="309"/>
      <c r="U10" s="309"/>
      <c r="V10" s="309"/>
      <c r="W10" s="309"/>
      <c r="X10" s="211" t="s">
        <v>220</v>
      </c>
      <c r="Y10" s="211"/>
      <c r="Z10" s="211"/>
      <c r="AA10" s="211"/>
      <c r="AB10" s="211"/>
      <c r="AC10" s="211" t="s">
        <v>222</v>
      </c>
      <c r="AD10" s="211"/>
      <c r="AE10" s="211"/>
      <c r="AF10" s="211"/>
      <c r="AG10" s="211"/>
      <c r="AH10" s="211" t="s">
        <v>224</v>
      </c>
      <c r="AI10" s="211"/>
      <c r="AJ10" s="211"/>
      <c r="AK10" s="211"/>
      <c r="AL10" s="211"/>
      <c r="AM10" s="309" t="s">
        <v>226</v>
      </c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</row>
    <row r="11" spans="1:50" ht="15" customHeight="1" x14ac:dyDescent="0.25">
      <c r="A11" s="340"/>
      <c r="B11" s="340"/>
      <c r="C11" s="340"/>
      <c r="D11" s="341"/>
      <c r="E11" s="341"/>
      <c r="F11" s="341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09"/>
      <c r="R11" s="309"/>
      <c r="S11" s="309"/>
      <c r="T11" s="309"/>
      <c r="U11" s="309"/>
      <c r="V11" s="309"/>
      <c r="W11" s="309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</row>
    <row r="12" spans="1:50" ht="15" customHeight="1" x14ac:dyDescent="0.25">
      <c r="A12" s="340">
        <v>2</v>
      </c>
      <c r="B12" s="340"/>
      <c r="C12" s="340"/>
      <c r="D12" s="342" t="s">
        <v>219</v>
      </c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09">
        <v>5</v>
      </c>
      <c r="R12" s="309"/>
      <c r="S12" s="309"/>
      <c r="T12" s="309"/>
      <c r="U12" s="309"/>
      <c r="V12" s="309"/>
      <c r="W12" s="309"/>
      <c r="X12" s="211" t="s">
        <v>221</v>
      </c>
      <c r="Y12" s="211"/>
      <c r="Z12" s="211"/>
      <c r="AA12" s="211"/>
      <c r="AB12" s="211"/>
      <c r="AC12" s="211" t="s">
        <v>223</v>
      </c>
      <c r="AD12" s="211"/>
      <c r="AE12" s="211"/>
      <c r="AF12" s="211"/>
      <c r="AG12" s="211"/>
      <c r="AH12" s="211" t="s">
        <v>225</v>
      </c>
      <c r="AI12" s="211"/>
      <c r="AJ12" s="211"/>
      <c r="AK12" s="211"/>
      <c r="AL12" s="211"/>
      <c r="AM12" s="309" t="s">
        <v>227</v>
      </c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</row>
    <row r="13" spans="1:50" ht="15" customHeight="1" x14ac:dyDescent="0.25">
      <c r="A13" s="340"/>
      <c r="B13" s="340"/>
      <c r="C13" s="340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09"/>
      <c r="R13" s="309"/>
      <c r="S13" s="309"/>
      <c r="T13" s="309"/>
      <c r="U13" s="309"/>
      <c r="V13" s="309"/>
      <c r="W13" s="309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</row>
    <row r="14" spans="1:50" ht="15" customHeight="1" x14ac:dyDescent="0.25">
      <c r="A14" s="340"/>
      <c r="B14" s="340"/>
      <c r="C14" s="340"/>
      <c r="D14" s="342"/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09"/>
      <c r="R14" s="309"/>
      <c r="S14" s="309"/>
      <c r="T14" s="309"/>
      <c r="U14" s="309"/>
      <c r="V14" s="309"/>
      <c r="W14" s="309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</row>
    <row r="15" spans="1:50" ht="15" customHeight="1" x14ac:dyDescent="0.25">
      <c r="A15" s="340"/>
      <c r="B15" s="340"/>
      <c r="C15" s="340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09"/>
      <c r="R15" s="309"/>
      <c r="S15" s="309"/>
      <c r="T15" s="309"/>
      <c r="U15" s="309"/>
      <c r="V15" s="309"/>
      <c r="W15" s="309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</row>
    <row r="16" spans="1:50" ht="15" customHeight="1" x14ac:dyDescent="0.25">
      <c r="A16" s="340"/>
      <c r="B16" s="340"/>
      <c r="C16" s="340"/>
      <c r="D16" s="342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209"/>
      <c r="R16" s="209"/>
      <c r="S16" s="209"/>
      <c r="T16" s="209"/>
      <c r="U16" s="209"/>
      <c r="V16" s="209"/>
      <c r="W16" s="209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</row>
    <row r="17" spans="1:50" ht="15" customHeight="1" x14ac:dyDescent="0.25">
      <c r="A17" s="340"/>
      <c r="B17" s="340"/>
      <c r="C17" s="340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209"/>
      <c r="R17" s="209"/>
      <c r="S17" s="209"/>
      <c r="T17" s="209"/>
      <c r="U17" s="209"/>
      <c r="V17" s="209"/>
      <c r="W17" s="209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</row>
    <row r="18" spans="1:50" ht="15" customHeight="1" x14ac:dyDescent="0.25">
      <c r="A18" s="318" t="s">
        <v>46</v>
      </c>
      <c r="B18" s="319"/>
      <c r="C18" s="319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20"/>
      <c r="AH18" s="343" t="s">
        <v>42</v>
      </c>
      <c r="AI18" s="343"/>
      <c r="AJ18" s="343"/>
      <c r="AK18" s="343"/>
      <c r="AL18" s="343"/>
      <c r="AM18" s="309" t="s">
        <v>228</v>
      </c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</row>
    <row r="19" spans="1:50" ht="15" customHeight="1" x14ac:dyDescent="0.25">
      <c r="A19" s="321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322"/>
      <c r="AB19" s="322"/>
      <c r="AC19" s="322"/>
      <c r="AD19" s="322"/>
      <c r="AE19" s="322"/>
      <c r="AF19" s="322"/>
      <c r="AG19" s="323"/>
      <c r="AH19" s="343"/>
      <c r="AI19" s="343"/>
      <c r="AJ19" s="343"/>
      <c r="AK19" s="343"/>
      <c r="AL19" s="343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</row>
  </sheetData>
  <mergeCells count="59">
    <mergeCell ref="AM8:AX9"/>
    <mergeCell ref="AM10:AX11"/>
    <mergeCell ref="AM12:AX13"/>
    <mergeCell ref="AM14:AX15"/>
    <mergeCell ref="AM16:AX17"/>
    <mergeCell ref="AC16:AG17"/>
    <mergeCell ref="AH16:AL17"/>
    <mergeCell ref="AH14:AL15"/>
    <mergeCell ref="AH12:AL13"/>
    <mergeCell ref="X8:AB9"/>
    <mergeCell ref="AC8:AG9"/>
    <mergeCell ref="AH8:AL9"/>
    <mergeCell ref="AH10:AL11"/>
    <mergeCell ref="AM18:AX19"/>
    <mergeCell ref="AH18:AL19"/>
    <mergeCell ref="A2:F2"/>
    <mergeCell ref="A16:C17"/>
    <mergeCell ref="A3:F3"/>
    <mergeCell ref="A4:D5"/>
    <mergeCell ref="E4:F4"/>
    <mergeCell ref="AM6:AX7"/>
    <mergeCell ref="AJ2:AO3"/>
    <mergeCell ref="AP2:AX3"/>
    <mergeCell ref="AJ4:AO5"/>
    <mergeCell ref="AP4:AX5"/>
    <mergeCell ref="E5:F5"/>
    <mergeCell ref="D16:P17"/>
    <mergeCell ref="Q16:W17"/>
    <mergeCell ref="X16:AB17"/>
    <mergeCell ref="A14:C15"/>
    <mergeCell ref="D14:P15"/>
    <mergeCell ref="Q14:W15"/>
    <mergeCell ref="X14:AB15"/>
    <mergeCell ref="AC14:AG15"/>
    <mergeCell ref="D10:P11"/>
    <mergeCell ref="Q10:W11"/>
    <mergeCell ref="X10:AB11"/>
    <mergeCell ref="AC10:AG11"/>
    <mergeCell ref="A12:C13"/>
    <mergeCell ref="D12:P13"/>
    <mergeCell ref="Q12:W13"/>
    <mergeCell ref="X12:AB13"/>
    <mergeCell ref="AC12:AG13"/>
    <mergeCell ref="A1:F1"/>
    <mergeCell ref="G1:AX1"/>
    <mergeCell ref="A18:AG19"/>
    <mergeCell ref="X4:AB5"/>
    <mergeCell ref="X2:AB3"/>
    <mergeCell ref="AC2:AI3"/>
    <mergeCell ref="AC4:AI5"/>
    <mergeCell ref="G2:W2"/>
    <mergeCell ref="G3:W3"/>
    <mergeCell ref="G4:W4"/>
    <mergeCell ref="G5:W5"/>
    <mergeCell ref="A6:C9"/>
    <mergeCell ref="D6:P9"/>
    <mergeCell ref="Q6:W9"/>
    <mergeCell ref="X6:AL7"/>
    <mergeCell ref="A10:C11"/>
  </mergeCells>
  <pageMargins left="0.23622047244094491" right="0.23622047244094491" top="0.35433070866141736" bottom="0.35433070866141736" header="0.31496062992125984" footer="0.31496062992125984"/>
  <pageSetup paperSize="9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E8D6-AC4F-4FC9-813A-C58411E26388}">
  <sheetPr codeName="Лист7">
    <pageSetUpPr fitToPage="1"/>
  </sheetPr>
  <dimension ref="A1:L15"/>
  <sheetViews>
    <sheetView showGridLines="0" view="pageBreakPreview" zoomScale="85" zoomScaleNormal="100" zoomScaleSheetLayoutView="85" workbookViewId="0">
      <selection activeCell="D5" sqref="D5:D7"/>
    </sheetView>
  </sheetViews>
  <sheetFormatPr defaultColWidth="9.109375" defaultRowHeight="13.8" x14ac:dyDescent="0.25"/>
  <cols>
    <col min="1" max="1" width="6" style="21" customWidth="1"/>
    <col min="2" max="2" width="3.109375" style="21" customWidth="1"/>
    <col min="3" max="3" width="14.88671875" style="21" customWidth="1"/>
    <col min="4" max="4" width="11" style="21" customWidth="1"/>
    <col min="5" max="5" width="10.44140625" style="21" customWidth="1"/>
    <col min="6" max="6" width="12.33203125" style="21" customWidth="1"/>
    <col min="7" max="7" width="8.33203125" style="21" customWidth="1"/>
    <col min="8" max="8" width="9.5546875" style="21" customWidth="1"/>
    <col min="9" max="9" width="8" style="21" customWidth="1"/>
    <col min="10" max="10" width="12" style="21" customWidth="1"/>
    <col min="11" max="11" width="17" style="21" customWidth="1"/>
    <col min="12" max="12" width="28.109375" style="21" customWidth="1"/>
    <col min="13" max="16384" width="9.109375" style="21"/>
  </cols>
  <sheetData>
    <row r="1" spans="1:12" ht="15" customHeight="1" x14ac:dyDescent="0.25">
      <c r="A1" s="308"/>
      <c r="B1" s="308"/>
      <c r="C1" s="308"/>
      <c r="D1" s="345" t="s">
        <v>68</v>
      </c>
      <c r="E1" s="345"/>
      <c r="F1" s="345"/>
      <c r="G1" s="345"/>
      <c r="H1" s="345"/>
      <c r="I1" s="345"/>
      <c r="J1" s="345"/>
      <c r="K1" s="345"/>
      <c r="L1" s="345"/>
    </row>
    <row r="2" spans="1:12" ht="15.75" customHeight="1" x14ac:dyDescent="0.25">
      <c r="A2" s="347"/>
      <c r="B2" s="347"/>
      <c r="C2" s="347"/>
      <c r="D2" s="346"/>
      <c r="E2" s="346"/>
      <c r="F2" s="346"/>
      <c r="G2" s="346"/>
      <c r="H2" s="346"/>
      <c r="I2" s="346"/>
      <c r="J2" s="346"/>
      <c r="K2" s="346"/>
      <c r="L2" s="346"/>
    </row>
    <row r="3" spans="1:12" s="3" customFormat="1" ht="31.5" customHeight="1" x14ac:dyDescent="0.3">
      <c r="A3" s="348" t="s">
        <v>48</v>
      </c>
      <c r="B3" s="349"/>
      <c r="C3" s="209"/>
      <c r="D3" s="209"/>
      <c r="E3" s="350" t="s">
        <v>69</v>
      </c>
      <c r="F3" s="350"/>
      <c r="G3" s="350"/>
      <c r="H3" s="309"/>
      <c r="I3" s="309"/>
      <c r="J3" s="351" t="s">
        <v>2</v>
      </c>
      <c r="K3" s="352"/>
      <c r="L3" s="122"/>
    </row>
    <row r="4" spans="1:12" s="3" customFormat="1" ht="22.5" customHeight="1" x14ac:dyDescent="0.3">
      <c r="A4" s="367" t="s">
        <v>51</v>
      </c>
      <c r="B4" s="368"/>
      <c r="C4" s="209"/>
      <c r="D4" s="209"/>
      <c r="E4" s="369" t="s">
        <v>70</v>
      </c>
      <c r="F4" s="369"/>
      <c r="G4" s="369"/>
      <c r="H4" s="309"/>
      <c r="I4" s="309"/>
      <c r="J4" s="367" t="s">
        <v>119</v>
      </c>
      <c r="K4" s="370"/>
      <c r="L4" s="122"/>
    </row>
    <row r="5" spans="1:12" ht="15" customHeight="1" x14ac:dyDescent="0.25">
      <c r="A5" s="353" t="s">
        <v>71</v>
      </c>
      <c r="B5" s="348" t="s">
        <v>72</v>
      </c>
      <c r="C5" s="349"/>
      <c r="D5" s="360" t="s">
        <v>293</v>
      </c>
      <c r="E5" s="363" t="s">
        <v>73</v>
      </c>
      <c r="F5" s="364"/>
      <c r="G5" s="364"/>
      <c r="H5" s="365" t="s">
        <v>74</v>
      </c>
      <c r="I5" s="366"/>
      <c r="J5" s="371" t="s">
        <v>292</v>
      </c>
      <c r="K5" s="372"/>
      <c r="L5" s="360" t="s">
        <v>75</v>
      </c>
    </row>
    <row r="6" spans="1:12" ht="39.6" x14ac:dyDescent="0.25">
      <c r="A6" s="354"/>
      <c r="B6" s="356"/>
      <c r="C6" s="357"/>
      <c r="D6" s="361"/>
      <c r="E6" s="87" t="s">
        <v>76</v>
      </c>
      <c r="F6" s="87" t="s">
        <v>77</v>
      </c>
      <c r="G6" s="23" t="s">
        <v>78</v>
      </c>
      <c r="H6" s="87" t="s">
        <v>79</v>
      </c>
      <c r="I6" s="87" t="s">
        <v>80</v>
      </c>
      <c r="J6" s="373"/>
      <c r="K6" s="374"/>
      <c r="L6" s="361"/>
    </row>
    <row r="7" spans="1:12" ht="26.25" customHeight="1" x14ac:dyDescent="0.25">
      <c r="A7" s="355"/>
      <c r="B7" s="358"/>
      <c r="C7" s="359"/>
      <c r="D7" s="362"/>
      <c r="E7" s="24" t="s">
        <v>81</v>
      </c>
      <c r="F7" s="24" t="s">
        <v>82</v>
      </c>
      <c r="G7" s="24" t="s">
        <v>83</v>
      </c>
      <c r="H7" s="88" t="s">
        <v>84</v>
      </c>
      <c r="I7" s="88" t="s">
        <v>85</v>
      </c>
      <c r="J7" s="375"/>
      <c r="K7" s="376"/>
      <c r="L7" s="362"/>
    </row>
    <row r="8" spans="1:12" ht="36" customHeight="1" x14ac:dyDescent="0.25">
      <c r="A8" s="118"/>
      <c r="B8" s="377"/>
      <c r="C8" s="378"/>
      <c r="D8" s="119"/>
      <c r="E8" s="120"/>
      <c r="F8" s="120"/>
      <c r="G8" s="120"/>
      <c r="H8" s="121"/>
      <c r="I8" s="121"/>
      <c r="J8" s="377"/>
      <c r="K8" s="378"/>
      <c r="L8" s="379"/>
    </row>
    <row r="9" spans="1:12" ht="20.25" customHeight="1" x14ac:dyDescent="0.25">
      <c r="A9" s="121"/>
      <c r="B9" s="377"/>
      <c r="C9" s="378"/>
      <c r="D9" s="121"/>
      <c r="E9" s="120"/>
      <c r="F9" s="120"/>
      <c r="G9" s="120"/>
      <c r="H9" s="121"/>
      <c r="I9" s="121"/>
      <c r="J9" s="377"/>
      <c r="K9" s="378"/>
      <c r="L9" s="380"/>
    </row>
    <row r="10" spans="1:12" ht="20.25" customHeight="1" x14ac:dyDescent="0.25">
      <c r="A10" s="121"/>
      <c r="B10" s="377"/>
      <c r="C10" s="378"/>
      <c r="D10" s="121"/>
      <c r="E10" s="120"/>
      <c r="F10" s="120"/>
      <c r="G10" s="120"/>
      <c r="H10" s="121"/>
      <c r="I10" s="121"/>
      <c r="J10" s="377"/>
      <c r="K10" s="378"/>
      <c r="L10" s="380"/>
    </row>
    <row r="11" spans="1:12" ht="30.75" customHeight="1" x14ac:dyDescent="0.25">
      <c r="A11" s="121"/>
      <c r="B11" s="377"/>
      <c r="C11" s="378"/>
      <c r="D11" s="121"/>
      <c r="E11" s="120"/>
      <c r="F11" s="120"/>
      <c r="G11" s="120"/>
      <c r="H11" s="121"/>
      <c r="I11" s="121"/>
      <c r="J11" s="377"/>
      <c r="K11" s="378"/>
      <c r="L11" s="381"/>
    </row>
    <row r="12" spans="1:12" ht="36.75" customHeight="1" x14ac:dyDescent="0.25">
      <c r="A12" s="118"/>
      <c r="B12" s="377"/>
      <c r="C12" s="378"/>
      <c r="D12" s="119"/>
      <c r="E12" s="120"/>
      <c r="F12" s="120"/>
      <c r="G12" s="120"/>
      <c r="H12" s="121"/>
      <c r="I12" s="121"/>
      <c r="J12" s="377"/>
      <c r="K12" s="378"/>
      <c r="L12" s="382"/>
    </row>
    <row r="13" spans="1:12" ht="20.25" customHeight="1" x14ac:dyDescent="0.25">
      <c r="A13" s="121"/>
      <c r="B13" s="377"/>
      <c r="C13" s="378"/>
      <c r="D13" s="121"/>
      <c r="E13" s="120"/>
      <c r="F13" s="120"/>
      <c r="G13" s="120"/>
      <c r="H13" s="121"/>
      <c r="I13" s="121"/>
      <c r="J13" s="377"/>
      <c r="K13" s="378"/>
      <c r="L13" s="383"/>
    </row>
    <row r="14" spans="1:12" ht="20.25" customHeight="1" x14ac:dyDescent="0.25">
      <c r="A14" s="121"/>
      <c r="B14" s="377"/>
      <c r="C14" s="378"/>
      <c r="D14" s="121"/>
      <c r="E14" s="120"/>
      <c r="F14" s="120"/>
      <c r="G14" s="120"/>
      <c r="H14" s="121"/>
      <c r="I14" s="121"/>
      <c r="J14" s="377"/>
      <c r="K14" s="378"/>
      <c r="L14" s="384"/>
    </row>
    <row r="15" spans="1:12" ht="15" customHeight="1" x14ac:dyDescent="0.25"/>
  </sheetData>
  <mergeCells count="36">
    <mergeCell ref="B12:C12"/>
    <mergeCell ref="J12:K12"/>
    <mergeCell ref="L12:L14"/>
    <mergeCell ref="B13:C13"/>
    <mergeCell ref="J13:K13"/>
    <mergeCell ref="B14:C14"/>
    <mergeCell ref="J14:K14"/>
    <mergeCell ref="J5:K6"/>
    <mergeCell ref="L5:L7"/>
    <mergeCell ref="J7:K7"/>
    <mergeCell ref="B8:C8"/>
    <mergeCell ref="J8:K8"/>
    <mergeCell ref="L8:L11"/>
    <mergeCell ref="B9:C9"/>
    <mergeCell ref="J9:K9"/>
    <mergeCell ref="B10:C10"/>
    <mergeCell ref="J10:K10"/>
    <mergeCell ref="B11:C11"/>
    <mergeCell ref="J11:K11"/>
    <mergeCell ref="A4:B4"/>
    <mergeCell ref="C4:D4"/>
    <mergeCell ref="E4:G4"/>
    <mergeCell ref="H4:I4"/>
    <mergeCell ref="J4:K4"/>
    <mergeCell ref="A5:A7"/>
    <mergeCell ref="B5:C7"/>
    <mergeCell ref="D5:D7"/>
    <mergeCell ref="E5:G5"/>
    <mergeCell ref="H5:I5"/>
    <mergeCell ref="D1:L2"/>
    <mergeCell ref="A1:C2"/>
    <mergeCell ref="A3:B3"/>
    <mergeCell ref="C3:D3"/>
    <mergeCell ref="E3:G3"/>
    <mergeCell ref="H3:I3"/>
    <mergeCell ref="J3:K3"/>
  </mergeCells>
  <pageMargins left="0.23622047244094491" right="0.23622047244094491" top="0.35433070866141736" bottom="0.35433070866141736" header="0.31496062992125984" footer="0.31496062992125984"/>
  <pageSetup paperSize="9" orientation="landscape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6E14-D35D-410B-976E-B4046179E11C}">
  <sheetPr codeName="Лист13">
    <pageSetUpPr fitToPage="1"/>
  </sheetPr>
  <dimension ref="A1:GR56"/>
  <sheetViews>
    <sheetView showGridLines="0" zoomScaleNormal="100" workbookViewId="0">
      <selection activeCell="CE56" sqref="CE56"/>
    </sheetView>
  </sheetViews>
  <sheetFormatPr defaultColWidth="0.88671875" defaultRowHeight="13.8" x14ac:dyDescent="0.25"/>
  <cols>
    <col min="1" max="16384" width="0.88671875" style="25"/>
  </cols>
  <sheetData>
    <row r="1" spans="1:200" ht="15" customHeight="1" x14ac:dyDescent="0.25">
      <c r="A1" s="462"/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4"/>
      <c r="W1" s="468" t="s">
        <v>47</v>
      </c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  <c r="AO1" s="468"/>
      <c r="AP1" s="468"/>
      <c r="AQ1" s="468"/>
      <c r="AR1" s="468"/>
      <c r="AS1" s="468"/>
      <c r="AT1" s="468"/>
      <c r="AU1" s="468"/>
      <c r="AV1" s="468"/>
      <c r="AW1" s="468"/>
      <c r="AX1" s="468"/>
      <c r="AY1" s="468"/>
      <c r="AZ1" s="468"/>
      <c r="BA1" s="468"/>
      <c r="BB1" s="468"/>
      <c r="BC1" s="468"/>
      <c r="BD1" s="468"/>
      <c r="BE1" s="468"/>
      <c r="BF1" s="468"/>
      <c r="BG1" s="468"/>
      <c r="BH1" s="468"/>
      <c r="BI1" s="468"/>
      <c r="BJ1" s="468"/>
      <c r="BK1" s="468"/>
      <c r="BL1" s="468"/>
      <c r="BM1" s="468"/>
      <c r="BN1" s="468"/>
      <c r="BO1" s="468"/>
      <c r="BP1" s="468"/>
      <c r="BQ1" s="468"/>
      <c r="BR1" s="468"/>
      <c r="BS1" s="468"/>
      <c r="BT1" s="468"/>
      <c r="BU1" s="468"/>
      <c r="BV1" s="468"/>
      <c r="BW1" s="468"/>
      <c r="BX1" s="468"/>
      <c r="BY1" s="468"/>
      <c r="BZ1" s="468"/>
      <c r="CA1" s="468"/>
      <c r="CB1" s="468"/>
      <c r="CC1" s="468"/>
      <c r="CD1" s="468"/>
      <c r="CE1" s="468"/>
      <c r="CF1" s="468"/>
      <c r="CG1" s="468"/>
      <c r="CH1" s="468"/>
      <c r="CI1" s="468"/>
      <c r="CJ1" s="468"/>
      <c r="CK1" s="468"/>
      <c r="CL1" s="468"/>
      <c r="CM1" s="468"/>
      <c r="CN1" s="468"/>
      <c r="CO1" s="468"/>
      <c r="CP1" s="468"/>
      <c r="CQ1" s="468"/>
      <c r="CR1" s="468"/>
      <c r="CS1" s="468"/>
      <c r="CT1" s="468"/>
      <c r="CU1" s="468"/>
      <c r="CV1" s="468"/>
      <c r="CW1" s="468"/>
      <c r="CX1" s="468"/>
      <c r="CY1" s="468"/>
      <c r="CZ1" s="468"/>
      <c r="DA1" s="468"/>
      <c r="DB1" s="468"/>
      <c r="DC1" s="468"/>
      <c r="DD1" s="468"/>
      <c r="DE1" s="468"/>
      <c r="DF1" s="468"/>
      <c r="DG1" s="468"/>
      <c r="DH1" s="468"/>
      <c r="DI1" s="468"/>
      <c r="DJ1" s="468"/>
      <c r="DK1" s="468"/>
      <c r="DL1" s="468"/>
      <c r="DM1" s="468"/>
      <c r="DN1" s="468"/>
      <c r="DO1" s="468"/>
      <c r="DP1" s="468"/>
      <c r="DQ1" s="468"/>
      <c r="DR1" s="468"/>
      <c r="DS1" s="468"/>
      <c r="DT1" s="468"/>
      <c r="DU1" s="468"/>
      <c r="DV1" s="468"/>
      <c r="DW1" s="468"/>
      <c r="DX1" s="468"/>
      <c r="DY1" s="468"/>
      <c r="DZ1" s="468"/>
      <c r="EA1" s="468"/>
      <c r="EB1" s="468"/>
      <c r="EC1" s="468"/>
      <c r="ED1" s="468"/>
      <c r="EE1" s="468"/>
      <c r="EF1" s="468"/>
      <c r="EG1" s="468"/>
      <c r="EH1" s="468"/>
      <c r="EI1" s="468"/>
      <c r="EJ1" s="468"/>
      <c r="EK1" s="468"/>
      <c r="EL1" s="468"/>
      <c r="EM1" s="468"/>
      <c r="EN1" s="468"/>
      <c r="EO1" s="468"/>
      <c r="EP1" s="468"/>
      <c r="EQ1" s="468"/>
      <c r="ER1" s="468"/>
      <c r="ES1" s="468"/>
      <c r="ET1" s="468"/>
      <c r="EU1" s="468"/>
      <c r="EV1" s="468"/>
      <c r="EW1" s="468"/>
      <c r="EX1" s="468"/>
      <c r="EY1" s="468"/>
      <c r="EZ1" s="468"/>
      <c r="FA1" s="468"/>
      <c r="FB1" s="468"/>
      <c r="FC1" s="468"/>
      <c r="FD1" s="468"/>
      <c r="FE1" s="468"/>
      <c r="FF1" s="468"/>
      <c r="FG1" s="468"/>
      <c r="FH1" s="468"/>
      <c r="FI1" s="468"/>
      <c r="FJ1" s="468"/>
      <c r="FK1" s="468"/>
      <c r="FL1" s="468"/>
      <c r="FM1" s="468"/>
      <c r="FN1" s="468"/>
      <c r="FO1" s="468"/>
      <c r="FP1" s="468"/>
      <c r="FQ1" s="468"/>
      <c r="FR1" s="468"/>
      <c r="FS1" s="468"/>
      <c r="FT1" s="468"/>
      <c r="FU1" s="468"/>
      <c r="FV1" s="468"/>
      <c r="FW1" s="468"/>
      <c r="FX1" s="468"/>
      <c r="FY1" s="468"/>
      <c r="FZ1" s="468"/>
      <c r="GA1" s="468"/>
      <c r="GB1" s="468"/>
      <c r="GC1" s="468"/>
      <c r="GD1" s="468"/>
      <c r="GE1" s="468"/>
      <c r="GF1" s="468"/>
      <c r="GG1" s="468"/>
      <c r="GH1" s="468"/>
      <c r="GI1" s="468"/>
      <c r="GJ1" s="468"/>
      <c r="GK1" s="468"/>
      <c r="GL1" s="468"/>
      <c r="GM1" s="468"/>
      <c r="GN1" s="468"/>
      <c r="GO1" s="468"/>
      <c r="GP1" s="468"/>
      <c r="GQ1" s="468"/>
      <c r="GR1" s="468"/>
    </row>
    <row r="2" spans="1:200" ht="15" customHeight="1" x14ac:dyDescent="0.25">
      <c r="A2" s="465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7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/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469"/>
      <c r="BK2" s="469"/>
      <c r="BL2" s="469"/>
      <c r="BM2" s="469"/>
      <c r="BN2" s="469"/>
      <c r="BO2" s="469"/>
      <c r="BP2" s="469"/>
      <c r="BQ2" s="469"/>
      <c r="BR2" s="469"/>
      <c r="BS2" s="469"/>
      <c r="BT2" s="469"/>
      <c r="BU2" s="469"/>
      <c r="BV2" s="469"/>
      <c r="BW2" s="469"/>
      <c r="BX2" s="469"/>
      <c r="BY2" s="469"/>
      <c r="BZ2" s="469"/>
      <c r="CA2" s="469"/>
      <c r="CB2" s="469"/>
      <c r="CC2" s="469"/>
      <c r="CD2" s="469"/>
      <c r="CE2" s="469"/>
      <c r="CF2" s="469"/>
      <c r="CG2" s="469"/>
      <c r="CH2" s="469"/>
      <c r="CI2" s="469"/>
      <c r="CJ2" s="469"/>
      <c r="CK2" s="469"/>
      <c r="CL2" s="469"/>
      <c r="CM2" s="469"/>
      <c r="CN2" s="469"/>
      <c r="CO2" s="469"/>
      <c r="CP2" s="469"/>
      <c r="CQ2" s="469"/>
      <c r="CR2" s="469"/>
      <c r="CS2" s="469"/>
      <c r="CT2" s="469"/>
      <c r="CU2" s="469"/>
      <c r="CV2" s="469"/>
      <c r="CW2" s="469"/>
      <c r="CX2" s="469"/>
      <c r="CY2" s="469"/>
      <c r="CZ2" s="469"/>
      <c r="DA2" s="469"/>
      <c r="DB2" s="469"/>
      <c r="DC2" s="469"/>
      <c r="DD2" s="469"/>
      <c r="DE2" s="469"/>
      <c r="DF2" s="469"/>
      <c r="DG2" s="469"/>
      <c r="DH2" s="469"/>
      <c r="DI2" s="469"/>
      <c r="DJ2" s="469"/>
      <c r="DK2" s="469"/>
      <c r="DL2" s="469"/>
      <c r="DM2" s="469"/>
      <c r="DN2" s="469"/>
      <c r="DO2" s="469"/>
      <c r="DP2" s="469"/>
      <c r="DQ2" s="469"/>
      <c r="DR2" s="469"/>
      <c r="DS2" s="469"/>
      <c r="DT2" s="469"/>
      <c r="DU2" s="469"/>
      <c r="DV2" s="469"/>
      <c r="DW2" s="469"/>
      <c r="DX2" s="469"/>
      <c r="DY2" s="469"/>
      <c r="DZ2" s="469"/>
      <c r="EA2" s="469"/>
      <c r="EB2" s="469"/>
      <c r="EC2" s="469"/>
      <c r="ED2" s="469"/>
      <c r="EE2" s="469"/>
      <c r="EF2" s="469"/>
      <c r="EG2" s="469"/>
      <c r="EH2" s="469"/>
      <c r="EI2" s="469"/>
      <c r="EJ2" s="469"/>
      <c r="EK2" s="469"/>
      <c r="EL2" s="469"/>
      <c r="EM2" s="469"/>
      <c r="EN2" s="469"/>
      <c r="EO2" s="469"/>
      <c r="EP2" s="469"/>
      <c r="EQ2" s="469"/>
      <c r="ER2" s="469"/>
      <c r="ES2" s="469"/>
      <c r="ET2" s="469"/>
      <c r="EU2" s="469"/>
      <c r="EV2" s="469"/>
      <c r="EW2" s="469"/>
      <c r="EX2" s="469"/>
      <c r="EY2" s="469"/>
      <c r="EZ2" s="469"/>
      <c r="FA2" s="469"/>
      <c r="FB2" s="469"/>
      <c r="FC2" s="469"/>
      <c r="FD2" s="469"/>
      <c r="FE2" s="469"/>
      <c r="FF2" s="469"/>
      <c r="FG2" s="469"/>
      <c r="FH2" s="469"/>
      <c r="FI2" s="469"/>
      <c r="FJ2" s="469"/>
      <c r="FK2" s="469"/>
      <c r="FL2" s="469"/>
      <c r="FM2" s="469"/>
      <c r="FN2" s="469"/>
      <c r="FO2" s="469"/>
      <c r="FP2" s="469"/>
      <c r="FQ2" s="469"/>
      <c r="FR2" s="469"/>
      <c r="FS2" s="469"/>
      <c r="FT2" s="469"/>
      <c r="FU2" s="469"/>
      <c r="FV2" s="469"/>
      <c r="FW2" s="469"/>
      <c r="FX2" s="469"/>
      <c r="FY2" s="469"/>
      <c r="FZ2" s="469"/>
      <c r="GA2" s="469"/>
      <c r="GB2" s="469"/>
      <c r="GC2" s="469"/>
      <c r="GD2" s="469"/>
      <c r="GE2" s="469"/>
      <c r="GF2" s="469"/>
      <c r="GG2" s="469"/>
      <c r="GH2" s="469"/>
      <c r="GI2" s="469"/>
      <c r="GJ2" s="469"/>
      <c r="GK2" s="469"/>
      <c r="GL2" s="469"/>
      <c r="GM2" s="469"/>
      <c r="GN2" s="469"/>
      <c r="GO2" s="469"/>
      <c r="GP2" s="469"/>
      <c r="GQ2" s="469"/>
      <c r="GR2" s="469"/>
    </row>
    <row r="3" spans="1:200" ht="15" customHeight="1" x14ac:dyDescent="0.25">
      <c r="A3" s="238" t="s">
        <v>1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453" t="s">
        <v>132</v>
      </c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  <c r="BJ3" s="454"/>
      <c r="BK3" s="454"/>
      <c r="BL3" s="454"/>
      <c r="BM3" s="454"/>
      <c r="BN3" s="454"/>
      <c r="BO3" s="454"/>
      <c r="BP3" s="454"/>
      <c r="BQ3" s="454"/>
      <c r="BR3" s="454"/>
      <c r="BS3" s="455"/>
      <c r="BT3" s="239" t="s">
        <v>25</v>
      </c>
      <c r="BU3" s="240"/>
      <c r="BV3" s="240"/>
      <c r="BW3" s="240"/>
      <c r="BX3" s="240"/>
      <c r="BY3" s="240"/>
      <c r="BZ3" s="240"/>
      <c r="CA3" s="240"/>
      <c r="CB3" s="240"/>
      <c r="CC3" s="240"/>
      <c r="CD3" s="240"/>
      <c r="CE3" s="240"/>
      <c r="CF3" s="240"/>
      <c r="CG3" s="240"/>
      <c r="CH3" s="241"/>
      <c r="CI3" s="456" t="s">
        <v>140</v>
      </c>
      <c r="CJ3" s="456"/>
      <c r="CK3" s="456"/>
      <c r="CL3" s="456"/>
      <c r="CM3" s="456"/>
      <c r="CN3" s="456"/>
      <c r="CO3" s="456"/>
      <c r="CP3" s="456"/>
      <c r="CQ3" s="456"/>
      <c r="CR3" s="456"/>
      <c r="CS3" s="456"/>
      <c r="CT3" s="456"/>
      <c r="CU3" s="456"/>
      <c r="CV3" s="456"/>
      <c r="CW3" s="456"/>
      <c r="CX3" s="456"/>
      <c r="CY3" s="456"/>
      <c r="CZ3" s="456"/>
      <c r="DA3" s="456"/>
      <c r="DB3" s="456"/>
      <c r="DC3" s="456"/>
      <c r="DD3" s="456"/>
      <c r="DE3" s="456"/>
      <c r="DF3" s="456"/>
      <c r="DG3" s="456"/>
      <c r="DH3" s="456"/>
      <c r="DI3" s="456"/>
      <c r="DJ3" s="456"/>
      <c r="DK3" s="456"/>
      <c r="DL3" s="456"/>
      <c r="DM3" s="456"/>
      <c r="DN3" s="456"/>
      <c r="DO3" s="456"/>
      <c r="DP3" s="456"/>
      <c r="DQ3" s="456"/>
      <c r="DR3" s="456"/>
      <c r="DS3" s="456"/>
      <c r="DT3" s="456"/>
      <c r="DU3" s="456"/>
      <c r="DV3" s="456"/>
      <c r="DW3" s="456"/>
      <c r="DX3" s="238" t="s">
        <v>26</v>
      </c>
      <c r="DY3" s="238"/>
      <c r="DZ3" s="238"/>
      <c r="EA3" s="238"/>
      <c r="EB3" s="238"/>
      <c r="EC3" s="238"/>
      <c r="ED3" s="238"/>
      <c r="EE3" s="238"/>
      <c r="EF3" s="238"/>
      <c r="EG3" s="238"/>
      <c r="EH3" s="238"/>
      <c r="EI3" s="238"/>
      <c r="EJ3" s="238"/>
      <c r="EK3" s="238"/>
      <c r="EL3" s="238"/>
      <c r="EM3" s="238"/>
      <c r="EN3" s="238"/>
      <c r="EO3" s="238"/>
      <c r="EP3" s="238"/>
      <c r="EQ3" s="457">
        <v>44418</v>
      </c>
      <c r="ER3" s="456"/>
      <c r="ES3" s="456"/>
      <c r="ET3" s="456"/>
      <c r="EU3" s="456"/>
      <c r="EV3" s="456"/>
      <c r="EW3" s="456"/>
      <c r="EX3" s="456"/>
      <c r="EY3" s="456"/>
      <c r="EZ3" s="456"/>
      <c r="FA3" s="456"/>
      <c r="FB3" s="456"/>
      <c r="FC3" s="456"/>
      <c r="FD3" s="456"/>
      <c r="FE3" s="456"/>
      <c r="FF3" s="456"/>
      <c r="FG3" s="456"/>
      <c r="FH3" s="456"/>
      <c r="FI3" s="456"/>
      <c r="FJ3" s="456"/>
      <c r="FK3" s="456"/>
      <c r="FL3" s="456"/>
      <c r="FM3" s="456"/>
      <c r="FN3" s="456"/>
      <c r="FO3" s="456"/>
      <c r="FP3" s="456"/>
      <c r="FQ3" s="456"/>
      <c r="FR3" s="456"/>
      <c r="FS3" s="456"/>
      <c r="FT3" s="456"/>
      <c r="FU3" s="456"/>
      <c r="FV3" s="456"/>
      <c r="FW3" s="456"/>
      <c r="FX3" s="26"/>
      <c r="FY3" s="27"/>
      <c r="FZ3" s="27"/>
      <c r="GA3" s="27"/>
      <c r="GB3" s="27"/>
      <c r="GC3" s="27"/>
      <c r="GD3" s="27"/>
      <c r="GE3" s="27"/>
      <c r="GF3" s="27"/>
      <c r="GG3" s="27"/>
      <c r="GH3" s="470" t="s">
        <v>49</v>
      </c>
      <c r="GI3" s="470"/>
      <c r="GJ3" s="470"/>
      <c r="GK3" s="470"/>
      <c r="GL3" s="470"/>
      <c r="GM3" s="470"/>
      <c r="GN3" s="470"/>
      <c r="GO3" s="470"/>
      <c r="GP3" s="470"/>
      <c r="GQ3" s="470"/>
      <c r="GR3" s="471"/>
    </row>
    <row r="4" spans="1:200" ht="15" customHeight="1" x14ac:dyDescent="0.25">
      <c r="A4" s="238" t="s">
        <v>27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453" t="s">
        <v>164</v>
      </c>
      <c r="W4" s="454"/>
      <c r="X4" s="454"/>
      <c r="Y4" s="454"/>
      <c r="Z4" s="454"/>
      <c r="AA4" s="454"/>
      <c r="AB4" s="454"/>
      <c r="AC4" s="454"/>
      <c r="AD4" s="454"/>
      <c r="AE4" s="454"/>
      <c r="AF4" s="454"/>
      <c r="AG4" s="454"/>
      <c r="AH4" s="454"/>
      <c r="AI4" s="454"/>
      <c r="AJ4" s="454"/>
      <c r="AK4" s="454"/>
      <c r="AL4" s="454"/>
      <c r="AM4" s="454"/>
      <c r="AN4" s="454"/>
      <c r="AO4" s="454"/>
      <c r="AP4" s="454"/>
      <c r="AQ4" s="454"/>
      <c r="AR4" s="454"/>
      <c r="AS4" s="454"/>
      <c r="AT4" s="454"/>
      <c r="AU4" s="454"/>
      <c r="AV4" s="454"/>
      <c r="AW4" s="454"/>
      <c r="AX4" s="454"/>
      <c r="AY4" s="454"/>
      <c r="AZ4" s="454"/>
      <c r="BA4" s="454"/>
      <c r="BB4" s="454"/>
      <c r="BC4" s="454"/>
      <c r="BD4" s="454"/>
      <c r="BE4" s="454"/>
      <c r="BF4" s="454"/>
      <c r="BG4" s="454"/>
      <c r="BH4" s="454"/>
      <c r="BI4" s="454"/>
      <c r="BJ4" s="454"/>
      <c r="BK4" s="454"/>
      <c r="BL4" s="454"/>
      <c r="BM4" s="454"/>
      <c r="BN4" s="454"/>
      <c r="BO4" s="454"/>
      <c r="BP4" s="454"/>
      <c r="BQ4" s="454"/>
      <c r="BR4" s="454"/>
      <c r="BS4" s="455"/>
      <c r="BT4" s="242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4"/>
      <c r="CI4" s="456"/>
      <c r="CJ4" s="456"/>
      <c r="CK4" s="456"/>
      <c r="CL4" s="456"/>
      <c r="CM4" s="456"/>
      <c r="CN4" s="456"/>
      <c r="CO4" s="456"/>
      <c r="CP4" s="456"/>
      <c r="CQ4" s="456"/>
      <c r="CR4" s="456"/>
      <c r="CS4" s="456"/>
      <c r="CT4" s="456"/>
      <c r="CU4" s="456"/>
      <c r="CV4" s="456"/>
      <c r="CW4" s="456"/>
      <c r="CX4" s="456"/>
      <c r="CY4" s="456"/>
      <c r="CZ4" s="456"/>
      <c r="DA4" s="456"/>
      <c r="DB4" s="456"/>
      <c r="DC4" s="456"/>
      <c r="DD4" s="456"/>
      <c r="DE4" s="456"/>
      <c r="DF4" s="456"/>
      <c r="DG4" s="456"/>
      <c r="DH4" s="456"/>
      <c r="DI4" s="456"/>
      <c r="DJ4" s="456"/>
      <c r="DK4" s="456"/>
      <c r="DL4" s="456"/>
      <c r="DM4" s="456"/>
      <c r="DN4" s="456"/>
      <c r="DO4" s="456"/>
      <c r="DP4" s="456"/>
      <c r="DQ4" s="456"/>
      <c r="DR4" s="456"/>
      <c r="DS4" s="456"/>
      <c r="DT4" s="456"/>
      <c r="DU4" s="456"/>
      <c r="DV4" s="456"/>
      <c r="DW4" s="456"/>
      <c r="DX4" s="238"/>
      <c r="DY4" s="238"/>
      <c r="DZ4" s="238"/>
      <c r="EA4" s="238"/>
      <c r="EB4" s="238"/>
      <c r="EC4" s="238"/>
      <c r="ED4" s="238"/>
      <c r="EE4" s="238"/>
      <c r="EF4" s="238"/>
      <c r="EG4" s="238"/>
      <c r="EH4" s="238"/>
      <c r="EI4" s="238"/>
      <c r="EJ4" s="238"/>
      <c r="EK4" s="238"/>
      <c r="EL4" s="238"/>
      <c r="EM4" s="238"/>
      <c r="EN4" s="238"/>
      <c r="EO4" s="238"/>
      <c r="EP4" s="238"/>
      <c r="EQ4" s="456"/>
      <c r="ER4" s="456"/>
      <c r="ES4" s="456"/>
      <c r="ET4" s="456"/>
      <c r="EU4" s="456"/>
      <c r="EV4" s="456"/>
      <c r="EW4" s="456"/>
      <c r="EX4" s="456"/>
      <c r="EY4" s="456"/>
      <c r="EZ4" s="456"/>
      <c r="FA4" s="456"/>
      <c r="FB4" s="456"/>
      <c r="FC4" s="456"/>
      <c r="FD4" s="456"/>
      <c r="FE4" s="456"/>
      <c r="FF4" s="456"/>
      <c r="FG4" s="456"/>
      <c r="FH4" s="456"/>
      <c r="FI4" s="456"/>
      <c r="FJ4" s="456"/>
      <c r="FK4" s="456"/>
      <c r="FL4" s="456"/>
      <c r="FM4" s="456"/>
      <c r="FN4" s="456"/>
      <c r="FO4" s="456"/>
      <c r="FP4" s="456"/>
      <c r="FQ4" s="456"/>
      <c r="FR4" s="456"/>
      <c r="FS4" s="456"/>
      <c r="FT4" s="456"/>
      <c r="FU4" s="456"/>
      <c r="FV4" s="456"/>
      <c r="FW4" s="456"/>
      <c r="FX4" s="28"/>
      <c r="GH4" s="458" t="s">
        <v>50</v>
      </c>
      <c r="GI4" s="458"/>
      <c r="GJ4" s="458"/>
      <c r="GK4" s="458"/>
      <c r="GL4" s="458"/>
      <c r="GM4" s="458"/>
      <c r="GN4" s="458"/>
      <c r="GO4" s="458"/>
      <c r="GP4" s="458"/>
      <c r="GQ4" s="458"/>
      <c r="GR4" s="459"/>
    </row>
    <row r="5" spans="1:200" ht="15" customHeight="1" x14ac:dyDescent="0.25">
      <c r="A5" s="239" t="s">
        <v>28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1"/>
      <c r="P5" s="238" t="s">
        <v>16</v>
      </c>
      <c r="Q5" s="238"/>
      <c r="R5" s="238"/>
      <c r="S5" s="238"/>
      <c r="T5" s="238"/>
      <c r="U5" s="238"/>
      <c r="V5" s="453" t="s">
        <v>162</v>
      </c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4"/>
      <c r="AS5" s="454"/>
      <c r="AT5" s="454"/>
      <c r="AU5" s="454"/>
      <c r="AV5" s="454"/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  <c r="BJ5" s="454"/>
      <c r="BK5" s="454"/>
      <c r="BL5" s="454"/>
      <c r="BM5" s="454"/>
      <c r="BN5" s="454"/>
      <c r="BO5" s="454"/>
      <c r="BP5" s="454"/>
      <c r="BQ5" s="454"/>
      <c r="BR5" s="454"/>
      <c r="BS5" s="455"/>
      <c r="BT5" s="239" t="s">
        <v>18</v>
      </c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1"/>
      <c r="CI5" s="456" t="s">
        <v>141</v>
      </c>
      <c r="CJ5" s="456"/>
      <c r="CK5" s="456"/>
      <c r="CL5" s="456"/>
      <c r="CM5" s="456"/>
      <c r="CN5" s="456"/>
      <c r="CO5" s="456"/>
      <c r="CP5" s="456"/>
      <c r="CQ5" s="456"/>
      <c r="CR5" s="456"/>
      <c r="CS5" s="456"/>
      <c r="CT5" s="456"/>
      <c r="CU5" s="456"/>
      <c r="CV5" s="456"/>
      <c r="CW5" s="456"/>
      <c r="CX5" s="456"/>
      <c r="CY5" s="456"/>
      <c r="CZ5" s="456"/>
      <c r="DA5" s="456"/>
      <c r="DB5" s="456"/>
      <c r="DC5" s="456"/>
      <c r="DD5" s="456"/>
      <c r="DE5" s="456"/>
      <c r="DF5" s="456"/>
      <c r="DG5" s="456"/>
      <c r="DH5" s="456"/>
      <c r="DI5" s="456"/>
      <c r="DJ5" s="456"/>
      <c r="DK5" s="456"/>
      <c r="DL5" s="456"/>
      <c r="DM5" s="456"/>
      <c r="DN5" s="456"/>
      <c r="DO5" s="456"/>
      <c r="DP5" s="456"/>
      <c r="DQ5" s="456"/>
      <c r="DR5" s="456"/>
      <c r="DS5" s="456"/>
      <c r="DT5" s="456"/>
      <c r="DU5" s="456"/>
      <c r="DV5" s="456"/>
      <c r="DW5" s="456"/>
      <c r="DX5" s="238" t="s">
        <v>19</v>
      </c>
      <c r="DY5" s="238"/>
      <c r="DZ5" s="238"/>
      <c r="EA5" s="238"/>
      <c r="EB5" s="238"/>
      <c r="EC5" s="238"/>
      <c r="ED5" s="238"/>
      <c r="EE5" s="238"/>
      <c r="EF5" s="238"/>
      <c r="EG5" s="238"/>
      <c r="EH5" s="238"/>
      <c r="EI5" s="238"/>
      <c r="EJ5" s="238"/>
      <c r="EK5" s="238"/>
      <c r="EL5" s="238"/>
      <c r="EM5" s="238"/>
      <c r="EN5" s="238"/>
      <c r="EO5" s="238"/>
      <c r="EP5" s="238"/>
      <c r="EQ5" s="457" t="s">
        <v>134</v>
      </c>
      <c r="ER5" s="456"/>
      <c r="ES5" s="456"/>
      <c r="ET5" s="456"/>
      <c r="EU5" s="456"/>
      <c r="EV5" s="456"/>
      <c r="EW5" s="456"/>
      <c r="EX5" s="456"/>
      <c r="EY5" s="456"/>
      <c r="EZ5" s="456"/>
      <c r="FA5" s="456"/>
      <c r="FB5" s="456"/>
      <c r="FC5" s="456"/>
      <c r="FD5" s="456"/>
      <c r="FE5" s="456"/>
      <c r="FF5" s="456"/>
      <c r="FG5" s="456"/>
      <c r="FH5" s="456"/>
      <c r="FI5" s="456"/>
      <c r="FJ5" s="456"/>
      <c r="FK5" s="456"/>
      <c r="FL5" s="456"/>
      <c r="FM5" s="456"/>
      <c r="FN5" s="456"/>
      <c r="FO5" s="456"/>
      <c r="FP5" s="456"/>
      <c r="FQ5" s="456"/>
      <c r="FR5" s="456"/>
      <c r="FS5" s="456"/>
      <c r="FT5" s="456"/>
      <c r="FU5" s="456"/>
      <c r="FV5" s="456"/>
      <c r="FW5" s="456"/>
      <c r="FX5" s="28"/>
      <c r="GH5" s="458" t="s">
        <v>54</v>
      </c>
      <c r="GI5" s="458"/>
      <c r="GJ5" s="458"/>
      <c r="GK5" s="458"/>
      <c r="GL5" s="458"/>
      <c r="GM5" s="458"/>
      <c r="GN5" s="458"/>
      <c r="GO5" s="458"/>
      <c r="GP5" s="458"/>
      <c r="GQ5" s="458"/>
      <c r="GR5" s="459"/>
    </row>
    <row r="6" spans="1:200" ht="15" customHeight="1" x14ac:dyDescent="0.25">
      <c r="A6" s="242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4"/>
      <c r="P6" s="206" t="s">
        <v>17</v>
      </c>
      <c r="Q6" s="207"/>
      <c r="R6" s="207"/>
      <c r="S6" s="207"/>
      <c r="T6" s="207"/>
      <c r="U6" s="208"/>
      <c r="V6" s="453" t="s">
        <v>163</v>
      </c>
      <c r="W6" s="454"/>
      <c r="X6" s="454"/>
      <c r="Y6" s="454"/>
      <c r="Z6" s="454"/>
      <c r="AA6" s="454"/>
      <c r="AB6" s="454"/>
      <c r="AC6" s="454"/>
      <c r="AD6" s="454"/>
      <c r="AE6" s="454"/>
      <c r="AF6" s="454"/>
      <c r="AG6" s="454"/>
      <c r="AH6" s="454"/>
      <c r="AI6" s="454"/>
      <c r="AJ6" s="454"/>
      <c r="AK6" s="454"/>
      <c r="AL6" s="454"/>
      <c r="AM6" s="454"/>
      <c r="AN6" s="454"/>
      <c r="AO6" s="454"/>
      <c r="AP6" s="454"/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54"/>
      <c r="BB6" s="454"/>
      <c r="BC6" s="454"/>
      <c r="BD6" s="454"/>
      <c r="BE6" s="454"/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4"/>
      <c r="BQ6" s="454"/>
      <c r="BR6" s="454"/>
      <c r="BS6" s="455"/>
      <c r="BT6" s="242"/>
      <c r="BU6" s="243"/>
      <c r="BV6" s="243"/>
      <c r="BW6" s="243"/>
      <c r="BX6" s="243"/>
      <c r="BY6" s="243"/>
      <c r="BZ6" s="243"/>
      <c r="CA6" s="243"/>
      <c r="CB6" s="243"/>
      <c r="CC6" s="243"/>
      <c r="CD6" s="243"/>
      <c r="CE6" s="243"/>
      <c r="CF6" s="243"/>
      <c r="CG6" s="243"/>
      <c r="CH6" s="244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6"/>
      <c r="CV6" s="456"/>
      <c r="CW6" s="456"/>
      <c r="CX6" s="456"/>
      <c r="CY6" s="456"/>
      <c r="CZ6" s="456"/>
      <c r="DA6" s="456"/>
      <c r="DB6" s="456"/>
      <c r="DC6" s="456"/>
      <c r="DD6" s="456"/>
      <c r="DE6" s="456"/>
      <c r="DF6" s="456"/>
      <c r="DG6" s="456"/>
      <c r="DH6" s="456"/>
      <c r="DI6" s="456"/>
      <c r="DJ6" s="456"/>
      <c r="DK6" s="456"/>
      <c r="DL6" s="456"/>
      <c r="DM6" s="456"/>
      <c r="DN6" s="456"/>
      <c r="DO6" s="456"/>
      <c r="DP6" s="456"/>
      <c r="DQ6" s="456"/>
      <c r="DR6" s="456"/>
      <c r="DS6" s="456"/>
      <c r="DT6" s="456"/>
      <c r="DU6" s="456"/>
      <c r="DV6" s="456"/>
      <c r="DW6" s="456"/>
      <c r="DX6" s="238"/>
      <c r="DY6" s="238"/>
      <c r="DZ6" s="238"/>
      <c r="EA6" s="238"/>
      <c r="EB6" s="238"/>
      <c r="EC6" s="238"/>
      <c r="ED6" s="238"/>
      <c r="EE6" s="238"/>
      <c r="EF6" s="238"/>
      <c r="EG6" s="238"/>
      <c r="EH6" s="238"/>
      <c r="EI6" s="238"/>
      <c r="EJ6" s="238"/>
      <c r="EK6" s="238"/>
      <c r="EL6" s="238"/>
      <c r="EM6" s="238"/>
      <c r="EN6" s="238"/>
      <c r="EO6" s="238"/>
      <c r="EP6" s="238"/>
      <c r="EQ6" s="456"/>
      <c r="ER6" s="456"/>
      <c r="ES6" s="456"/>
      <c r="ET6" s="456"/>
      <c r="EU6" s="456"/>
      <c r="EV6" s="456"/>
      <c r="EW6" s="456"/>
      <c r="EX6" s="456"/>
      <c r="EY6" s="456"/>
      <c r="EZ6" s="456"/>
      <c r="FA6" s="456"/>
      <c r="FB6" s="456"/>
      <c r="FC6" s="456"/>
      <c r="FD6" s="456"/>
      <c r="FE6" s="456"/>
      <c r="FF6" s="456"/>
      <c r="FG6" s="456"/>
      <c r="FH6" s="456"/>
      <c r="FI6" s="456"/>
      <c r="FJ6" s="456"/>
      <c r="FK6" s="456"/>
      <c r="FL6" s="456"/>
      <c r="FM6" s="456"/>
      <c r="FN6" s="456"/>
      <c r="FO6" s="456"/>
      <c r="FP6" s="456"/>
      <c r="FQ6" s="456"/>
      <c r="FR6" s="456"/>
      <c r="FS6" s="456"/>
      <c r="FT6" s="456"/>
      <c r="FU6" s="456"/>
      <c r="FV6" s="456"/>
      <c r="FW6" s="456"/>
      <c r="FX6" s="29"/>
      <c r="FY6" s="30"/>
      <c r="FZ6" s="30"/>
      <c r="GA6" s="30"/>
      <c r="GB6" s="30"/>
      <c r="GC6" s="30"/>
      <c r="GD6" s="30"/>
      <c r="GE6" s="30"/>
      <c r="GF6" s="30"/>
      <c r="GG6" s="30"/>
      <c r="GH6" s="460" t="s">
        <v>55</v>
      </c>
      <c r="GI6" s="460"/>
      <c r="GJ6" s="460"/>
      <c r="GK6" s="460"/>
      <c r="GL6" s="460"/>
      <c r="GM6" s="460"/>
      <c r="GN6" s="460"/>
      <c r="GO6" s="460"/>
      <c r="GP6" s="460"/>
      <c r="GQ6" s="460"/>
      <c r="GR6" s="461"/>
    </row>
    <row r="7" spans="1:200" ht="15" customHeight="1" x14ac:dyDescent="0.25">
      <c r="A7" s="435" t="s">
        <v>232</v>
      </c>
      <c r="B7" s="436"/>
      <c r="C7" s="436"/>
      <c r="D7" s="436"/>
      <c r="E7" s="436"/>
      <c r="F7" s="436"/>
      <c r="G7" s="437"/>
      <c r="H7" s="444" t="s">
        <v>56</v>
      </c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  <c r="AA7" s="445"/>
      <c r="AB7" s="445"/>
      <c r="AC7" s="445"/>
      <c r="AD7" s="445"/>
      <c r="AE7" s="445"/>
      <c r="AF7" s="445"/>
      <c r="AG7" s="445"/>
      <c r="AH7" s="445"/>
      <c r="AI7" s="445"/>
      <c r="AJ7" s="445"/>
      <c r="AK7" s="445"/>
      <c r="AL7" s="445"/>
      <c r="AM7" s="445"/>
      <c r="AN7" s="445"/>
      <c r="AO7" s="445"/>
      <c r="AP7" s="445"/>
      <c r="AQ7" s="445"/>
      <c r="AR7" s="445"/>
      <c r="AS7" s="445"/>
      <c r="AT7" s="445"/>
      <c r="AU7" s="445"/>
      <c r="AV7" s="445"/>
      <c r="AW7" s="445"/>
      <c r="AX7" s="445"/>
      <c r="AY7" s="445"/>
      <c r="AZ7" s="445"/>
      <c r="BA7" s="445"/>
      <c r="BB7" s="445"/>
      <c r="BC7" s="445"/>
      <c r="BD7" s="445"/>
      <c r="BE7" s="450" t="s">
        <v>44</v>
      </c>
      <c r="BF7" s="450"/>
      <c r="BG7" s="450"/>
      <c r="BH7" s="450"/>
      <c r="BI7" s="450"/>
      <c r="BJ7" s="450"/>
      <c r="BK7" s="450"/>
      <c r="BL7" s="450"/>
      <c r="BM7" s="450"/>
      <c r="BN7" s="450"/>
      <c r="BO7" s="450"/>
      <c r="BP7" s="450"/>
      <c r="BQ7" s="450"/>
      <c r="BR7" s="450"/>
      <c r="BS7" s="450"/>
      <c r="BT7" s="450"/>
      <c r="BU7" s="450"/>
      <c r="BV7" s="450"/>
      <c r="BW7" s="450"/>
      <c r="BX7" s="450"/>
      <c r="BY7" s="450"/>
      <c r="BZ7" s="450"/>
      <c r="CA7" s="450"/>
      <c r="CB7" s="450"/>
      <c r="CC7" s="31"/>
      <c r="CD7" s="27"/>
      <c r="CE7" s="27"/>
      <c r="CF7" s="27"/>
      <c r="CG7" s="27"/>
      <c r="CH7" s="27"/>
      <c r="CI7" s="27"/>
      <c r="CJ7" s="27"/>
      <c r="CK7" s="27"/>
      <c r="CL7" s="66" t="s">
        <v>57</v>
      </c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451">
        <v>1</v>
      </c>
      <c r="DB7" s="451"/>
      <c r="DC7" s="451"/>
      <c r="DD7" s="123" t="s">
        <v>131</v>
      </c>
      <c r="DE7" s="123"/>
      <c r="DF7" s="123"/>
      <c r="DG7" s="123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32"/>
    </row>
    <row r="8" spans="1:200" ht="3.75" customHeight="1" x14ac:dyDescent="0.25">
      <c r="A8" s="438"/>
      <c r="B8" s="439"/>
      <c r="C8" s="439"/>
      <c r="D8" s="439"/>
      <c r="E8" s="439"/>
      <c r="F8" s="439"/>
      <c r="G8" s="440"/>
      <c r="H8" s="446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52" t="s">
        <v>58</v>
      </c>
      <c r="BF8" s="452"/>
      <c r="BG8" s="452"/>
      <c r="BH8" s="452"/>
      <c r="BI8" s="452"/>
      <c r="BJ8" s="452"/>
      <c r="BK8" s="452" t="s">
        <v>59</v>
      </c>
      <c r="BL8" s="452"/>
      <c r="BM8" s="452"/>
      <c r="BN8" s="452"/>
      <c r="BO8" s="452"/>
      <c r="BP8" s="452"/>
      <c r="BQ8" s="452" t="s">
        <v>62</v>
      </c>
      <c r="BR8" s="452"/>
      <c r="BS8" s="452"/>
      <c r="BT8" s="452"/>
      <c r="BU8" s="452"/>
      <c r="BV8" s="452"/>
      <c r="BW8" s="430" t="s">
        <v>60</v>
      </c>
      <c r="BX8" s="430"/>
      <c r="BY8" s="430"/>
      <c r="BZ8" s="430"/>
      <c r="CA8" s="430"/>
      <c r="CB8" s="430"/>
      <c r="CC8" s="134"/>
      <c r="CD8" s="148"/>
      <c r="CE8" s="148"/>
      <c r="CF8" s="148"/>
      <c r="CG8" s="148"/>
      <c r="CH8" s="148"/>
      <c r="CI8" s="148"/>
      <c r="CJ8" s="148"/>
      <c r="CK8" s="429">
        <f>10*$DA$7</f>
        <v>10</v>
      </c>
      <c r="CL8" s="429"/>
      <c r="CM8" s="429"/>
      <c r="CN8" s="429"/>
      <c r="CO8" s="149"/>
      <c r="CP8" s="149"/>
      <c r="CQ8" s="149"/>
      <c r="CR8" s="149"/>
      <c r="CS8" s="149"/>
      <c r="CT8" s="149"/>
      <c r="CU8" s="429">
        <f>CK8+10*$DA$7</f>
        <v>20</v>
      </c>
      <c r="CV8" s="429"/>
      <c r="CW8" s="429"/>
      <c r="CX8" s="429"/>
      <c r="CY8" s="149"/>
      <c r="CZ8" s="149"/>
      <c r="DA8" s="149"/>
      <c r="DB8" s="148"/>
      <c r="DC8" s="148"/>
      <c r="DD8" s="148"/>
      <c r="DE8" s="429">
        <f>CU8+10*$DA$7</f>
        <v>30</v>
      </c>
      <c r="DF8" s="429"/>
      <c r="DG8" s="429"/>
      <c r="DH8" s="429"/>
      <c r="DI8" s="148"/>
      <c r="DJ8" s="148"/>
      <c r="DK8" s="148"/>
      <c r="DL8" s="148"/>
      <c r="DM8" s="148"/>
      <c r="DN8" s="148"/>
      <c r="DO8" s="429">
        <f>DE8+10*$DA$7</f>
        <v>40</v>
      </c>
      <c r="DP8" s="429"/>
      <c r="DQ8" s="429"/>
      <c r="DR8" s="429"/>
      <c r="DS8" s="148"/>
      <c r="DT8" s="148"/>
      <c r="DU8" s="148"/>
      <c r="DV8" s="148"/>
      <c r="DW8" s="148"/>
      <c r="DX8" s="148"/>
      <c r="DY8" s="429">
        <f>DO8+10*$DA$7</f>
        <v>50</v>
      </c>
      <c r="DZ8" s="429"/>
      <c r="EA8" s="429"/>
      <c r="EB8" s="429"/>
      <c r="EC8" s="148"/>
      <c r="ED8" s="148"/>
      <c r="EE8" s="148"/>
      <c r="EF8" s="148"/>
      <c r="EG8" s="148"/>
      <c r="EH8" s="148"/>
      <c r="EI8" s="429">
        <f>DY8+10*$DA$7</f>
        <v>60</v>
      </c>
      <c r="EJ8" s="429"/>
      <c r="EK8" s="429"/>
      <c r="EL8" s="429"/>
      <c r="EM8" s="148"/>
      <c r="EN8" s="148"/>
      <c r="EO8" s="148"/>
      <c r="EP8" s="148"/>
      <c r="EQ8" s="148"/>
      <c r="ER8" s="148"/>
      <c r="ES8" s="429">
        <f>EI8+10*$DA$7</f>
        <v>70</v>
      </c>
      <c r="ET8" s="429"/>
      <c r="EU8" s="429"/>
      <c r="EV8" s="429"/>
      <c r="EW8" s="148"/>
      <c r="EX8" s="148"/>
      <c r="EY8" s="148"/>
      <c r="EZ8" s="148"/>
      <c r="FA8" s="148"/>
      <c r="FB8" s="148"/>
      <c r="FC8" s="429">
        <f>ES8+10*$DA$7</f>
        <v>80</v>
      </c>
      <c r="FD8" s="429"/>
      <c r="FE8" s="429"/>
      <c r="FF8" s="429"/>
      <c r="FG8" s="148"/>
      <c r="FH8" s="148"/>
      <c r="FI8" s="148"/>
      <c r="FJ8" s="148"/>
      <c r="FK8" s="148"/>
      <c r="FL8" s="148"/>
      <c r="FM8" s="429">
        <f>FC8+10*$DA$7</f>
        <v>90</v>
      </c>
      <c r="FN8" s="429"/>
      <c r="FO8" s="429"/>
      <c r="FP8" s="429"/>
      <c r="FQ8" s="148"/>
      <c r="FR8" s="148"/>
      <c r="FS8" s="148"/>
      <c r="FT8" s="148"/>
      <c r="FU8" s="148"/>
      <c r="FV8" s="148"/>
      <c r="FW8" s="429">
        <f>FM8+10*$DA$7</f>
        <v>100</v>
      </c>
      <c r="FX8" s="429"/>
      <c r="FY8" s="429"/>
      <c r="FZ8" s="429"/>
      <c r="GA8" s="148"/>
      <c r="GB8" s="148"/>
      <c r="GC8" s="148"/>
      <c r="GD8" s="148"/>
      <c r="GE8" s="148"/>
      <c r="GF8" s="148"/>
      <c r="GG8" s="429">
        <f>FW8+10*$DA$7</f>
        <v>110</v>
      </c>
      <c r="GH8" s="429"/>
      <c r="GI8" s="429"/>
      <c r="GJ8" s="429"/>
      <c r="GK8" s="148"/>
      <c r="GL8" s="148"/>
      <c r="GM8" s="148"/>
      <c r="GN8" s="148"/>
      <c r="GO8" s="148"/>
      <c r="GP8" s="148"/>
      <c r="GQ8" s="148"/>
      <c r="GR8" s="150"/>
    </row>
    <row r="9" spans="1:200" ht="3.75" customHeight="1" x14ac:dyDescent="0.25">
      <c r="A9" s="438"/>
      <c r="B9" s="439"/>
      <c r="C9" s="439"/>
      <c r="D9" s="439"/>
      <c r="E9" s="439"/>
      <c r="F9" s="439"/>
      <c r="G9" s="440"/>
      <c r="H9" s="446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52"/>
      <c r="BF9" s="452"/>
      <c r="BG9" s="452"/>
      <c r="BH9" s="452"/>
      <c r="BI9" s="452"/>
      <c r="BJ9" s="452"/>
      <c r="BK9" s="452"/>
      <c r="BL9" s="452"/>
      <c r="BM9" s="452"/>
      <c r="BN9" s="452"/>
      <c r="BO9" s="452"/>
      <c r="BP9" s="452"/>
      <c r="BQ9" s="452"/>
      <c r="BR9" s="452"/>
      <c r="BS9" s="452"/>
      <c r="BT9" s="452"/>
      <c r="BU9" s="452"/>
      <c r="BV9" s="452"/>
      <c r="BW9" s="430"/>
      <c r="BX9" s="430"/>
      <c r="BY9" s="430"/>
      <c r="BZ9" s="430"/>
      <c r="CA9" s="430"/>
      <c r="CB9" s="430"/>
      <c r="CC9" s="134"/>
      <c r="CD9" s="148"/>
      <c r="CE9" s="148"/>
      <c r="CF9" s="429">
        <f>5*$DA$7</f>
        <v>5</v>
      </c>
      <c r="CG9" s="429"/>
      <c r="CH9" s="429"/>
      <c r="CI9" s="429"/>
      <c r="CJ9" s="148"/>
      <c r="CK9" s="429"/>
      <c r="CL9" s="429"/>
      <c r="CM9" s="429"/>
      <c r="CN9" s="429"/>
      <c r="CO9" s="148"/>
      <c r="CP9" s="429">
        <f>CF9+10*$DA$7</f>
        <v>15</v>
      </c>
      <c r="CQ9" s="429"/>
      <c r="CR9" s="429"/>
      <c r="CS9" s="429"/>
      <c r="CT9" s="148"/>
      <c r="CU9" s="429"/>
      <c r="CV9" s="429"/>
      <c r="CW9" s="429"/>
      <c r="CX9" s="429"/>
      <c r="CY9" s="148"/>
      <c r="CZ9" s="429">
        <f>CP9+10*$DA$7</f>
        <v>25</v>
      </c>
      <c r="DA9" s="429"/>
      <c r="DB9" s="429"/>
      <c r="DC9" s="429"/>
      <c r="DD9" s="148"/>
      <c r="DE9" s="429"/>
      <c r="DF9" s="429"/>
      <c r="DG9" s="429"/>
      <c r="DH9" s="429"/>
      <c r="DI9" s="148"/>
      <c r="DJ9" s="429">
        <f>CZ9+10*$DA$7</f>
        <v>35</v>
      </c>
      <c r="DK9" s="429"/>
      <c r="DL9" s="429"/>
      <c r="DM9" s="429"/>
      <c r="DN9" s="148"/>
      <c r="DO9" s="429"/>
      <c r="DP9" s="429"/>
      <c r="DQ9" s="429"/>
      <c r="DR9" s="429"/>
      <c r="DS9" s="148"/>
      <c r="DT9" s="429">
        <f>DJ9+10*$DA$7</f>
        <v>45</v>
      </c>
      <c r="DU9" s="429"/>
      <c r="DV9" s="429"/>
      <c r="DW9" s="429"/>
      <c r="DX9" s="148"/>
      <c r="DY9" s="429"/>
      <c r="DZ9" s="429"/>
      <c r="EA9" s="429"/>
      <c r="EB9" s="429"/>
      <c r="EC9" s="148"/>
      <c r="ED9" s="429">
        <f>DT9+10*$DA$7</f>
        <v>55</v>
      </c>
      <c r="EE9" s="429"/>
      <c r="EF9" s="429"/>
      <c r="EG9" s="429"/>
      <c r="EH9" s="148"/>
      <c r="EI9" s="429"/>
      <c r="EJ9" s="429"/>
      <c r="EK9" s="429"/>
      <c r="EL9" s="429"/>
      <c r="EM9" s="148"/>
      <c r="EN9" s="429">
        <f>ED9+10*$DA$7</f>
        <v>65</v>
      </c>
      <c r="EO9" s="429"/>
      <c r="EP9" s="429"/>
      <c r="EQ9" s="429"/>
      <c r="ER9" s="148"/>
      <c r="ES9" s="429"/>
      <c r="ET9" s="429"/>
      <c r="EU9" s="429"/>
      <c r="EV9" s="429"/>
      <c r="EW9" s="148"/>
      <c r="EX9" s="429">
        <f>EN9+10*$DA$7</f>
        <v>75</v>
      </c>
      <c r="EY9" s="429"/>
      <c r="EZ9" s="429"/>
      <c r="FA9" s="429"/>
      <c r="FB9" s="148"/>
      <c r="FC9" s="429"/>
      <c r="FD9" s="429"/>
      <c r="FE9" s="429"/>
      <c r="FF9" s="429"/>
      <c r="FG9" s="148"/>
      <c r="FH9" s="429">
        <f>EX9+10*$DA$7</f>
        <v>85</v>
      </c>
      <c r="FI9" s="429"/>
      <c r="FJ9" s="429"/>
      <c r="FK9" s="429"/>
      <c r="FL9" s="148"/>
      <c r="FM9" s="429"/>
      <c r="FN9" s="429"/>
      <c r="FO9" s="429"/>
      <c r="FP9" s="429"/>
      <c r="FQ9" s="148"/>
      <c r="FR9" s="429">
        <f>FH9+10*$DA$7</f>
        <v>95</v>
      </c>
      <c r="FS9" s="429"/>
      <c r="FT9" s="429"/>
      <c r="FU9" s="429"/>
      <c r="FV9" s="148"/>
      <c r="FW9" s="429"/>
      <c r="FX9" s="429"/>
      <c r="FY9" s="429"/>
      <c r="FZ9" s="429"/>
      <c r="GA9" s="148"/>
      <c r="GB9" s="429">
        <f>FR9+10*$DA$7</f>
        <v>105</v>
      </c>
      <c r="GC9" s="429"/>
      <c r="GD9" s="429"/>
      <c r="GE9" s="429"/>
      <c r="GF9" s="148"/>
      <c r="GG9" s="429"/>
      <c r="GH9" s="429"/>
      <c r="GI9" s="429"/>
      <c r="GJ9" s="429"/>
      <c r="GK9" s="148"/>
      <c r="GL9" s="429">
        <f>GB9+10*$DA$7</f>
        <v>115</v>
      </c>
      <c r="GM9" s="429"/>
      <c r="GN9" s="429"/>
      <c r="GO9" s="429"/>
      <c r="GP9" s="429"/>
      <c r="GQ9" s="148"/>
      <c r="GR9" s="150"/>
    </row>
    <row r="10" spans="1:200" ht="3.75" customHeight="1" x14ac:dyDescent="0.25">
      <c r="A10" s="438"/>
      <c r="B10" s="439"/>
      <c r="C10" s="439"/>
      <c r="D10" s="439"/>
      <c r="E10" s="439"/>
      <c r="F10" s="439"/>
      <c r="G10" s="440"/>
      <c r="H10" s="446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52"/>
      <c r="BF10" s="452"/>
      <c r="BG10" s="452"/>
      <c r="BH10" s="452"/>
      <c r="BI10" s="452"/>
      <c r="BJ10" s="452"/>
      <c r="BK10" s="452"/>
      <c r="BL10" s="452"/>
      <c r="BM10" s="452"/>
      <c r="BN10" s="452"/>
      <c r="BO10" s="452"/>
      <c r="BP10" s="452"/>
      <c r="BQ10" s="452"/>
      <c r="BR10" s="452"/>
      <c r="BS10" s="452"/>
      <c r="BT10" s="452"/>
      <c r="BU10" s="452"/>
      <c r="BV10" s="452"/>
      <c r="BW10" s="430"/>
      <c r="BX10" s="430"/>
      <c r="BY10" s="430"/>
      <c r="BZ10" s="430"/>
      <c r="CA10" s="430"/>
      <c r="CB10" s="430"/>
      <c r="CC10" s="134"/>
      <c r="CD10" s="148"/>
      <c r="CE10" s="148"/>
      <c r="CF10" s="429"/>
      <c r="CG10" s="429"/>
      <c r="CH10" s="429"/>
      <c r="CI10" s="429"/>
      <c r="CJ10" s="148"/>
      <c r="CK10" s="429"/>
      <c r="CL10" s="429"/>
      <c r="CM10" s="429"/>
      <c r="CN10" s="429"/>
      <c r="CO10" s="148"/>
      <c r="CP10" s="429"/>
      <c r="CQ10" s="429"/>
      <c r="CR10" s="429"/>
      <c r="CS10" s="429"/>
      <c r="CT10" s="148"/>
      <c r="CU10" s="429"/>
      <c r="CV10" s="429"/>
      <c r="CW10" s="429"/>
      <c r="CX10" s="429"/>
      <c r="CY10" s="148"/>
      <c r="CZ10" s="429"/>
      <c r="DA10" s="429"/>
      <c r="DB10" s="429"/>
      <c r="DC10" s="429"/>
      <c r="DD10" s="148"/>
      <c r="DE10" s="429"/>
      <c r="DF10" s="429"/>
      <c r="DG10" s="429"/>
      <c r="DH10" s="429"/>
      <c r="DI10" s="148"/>
      <c r="DJ10" s="429"/>
      <c r="DK10" s="429"/>
      <c r="DL10" s="429"/>
      <c r="DM10" s="429"/>
      <c r="DN10" s="148"/>
      <c r="DO10" s="429"/>
      <c r="DP10" s="429"/>
      <c r="DQ10" s="429"/>
      <c r="DR10" s="429"/>
      <c r="DS10" s="148"/>
      <c r="DT10" s="429"/>
      <c r="DU10" s="429"/>
      <c r="DV10" s="429"/>
      <c r="DW10" s="429"/>
      <c r="DX10" s="148"/>
      <c r="DY10" s="429"/>
      <c r="DZ10" s="429"/>
      <c r="EA10" s="429"/>
      <c r="EB10" s="429"/>
      <c r="EC10" s="148"/>
      <c r="ED10" s="429"/>
      <c r="EE10" s="429"/>
      <c r="EF10" s="429"/>
      <c r="EG10" s="429"/>
      <c r="EH10" s="148"/>
      <c r="EI10" s="429"/>
      <c r="EJ10" s="429"/>
      <c r="EK10" s="429"/>
      <c r="EL10" s="429"/>
      <c r="EM10" s="148"/>
      <c r="EN10" s="429"/>
      <c r="EO10" s="429"/>
      <c r="EP10" s="429"/>
      <c r="EQ10" s="429"/>
      <c r="ER10" s="148"/>
      <c r="ES10" s="429"/>
      <c r="ET10" s="429"/>
      <c r="EU10" s="429"/>
      <c r="EV10" s="429"/>
      <c r="EW10" s="148"/>
      <c r="EX10" s="429"/>
      <c r="EY10" s="429"/>
      <c r="EZ10" s="429"/>
      <c r="FA10" s="429"/>
      <c r="FB10" s="148"/>
      <c r="FC10" s="429"/>
      <c r="FD10" s="429"/>
      <c r="FE10" s="429"/>
      <c r="FF10" s="429"/>
      <c r="FG10" s="148"/>
      <c r="FH10" s="429"/>
      <c r="FI10" s="429"/>
      <c r="FJ10" s="429"/>
      <c r="FK10" s="429"/>
      <c r="FL10" s="148"/>
      <c r="FM10" s="429"/>
      <c r="FN10" s="429"/>
      <c r="FO10" s="429"/>
      <c r="FP10" s="429"/>
      <c r="FQ10" s="148"/>
      <c r="FR10" s="429"/>
      <c r="FS10" s="429"/>
      <c r="FT10" s="429"/>
      <c r="FU10" s="429"/>
      <c r="FV10" s="148"/>
      <c r="FW10" s="429"/>
      <c r="FX10" s="429"/>
      <c r="FY10" s="429"/>
      <c r="FZ10" s="429"/>
      <c r="GA10" s="148"/>
      <c r="GB10" s="429"/>
      <c r="GC10" s="429"/>
      <c r="GD10" s="429"/>
      <c r="GE10" s="429"/>
      <c r="GF10" s="148"/>
      <c r="GG10" s="429"/>
      <c r="GH10" s="429"/>
      <c r="GI10" s="429"/>
      <c r="GJ10" s="429"/>
      <c r="GK10" s="148"/>
      <c r="GL10" s="429"/>
      <c r="GM10" s="429"/>
      <c r="GN10" s="429"/>
      <c r="GO10" s="429"/>
      <c r="GP10" s="429"/>
      <c r="GQ10" s="148"/>
      <c r="GR10" s="150"/>
    </row>
    <row r="11" spans="1:200" ht="3.75" customHeight="1" x14ac:dyDescent="0.25">
      <c r="A11" s="438"/>
      <c r="B11" s="439"/>
      <c r="C11" s="439"/>
      <c r="D11" s="439"/>
      <c r="E11" s="439"/>
      <c r="F11" s="439"/>
      <c r="G11" s="440"/>
      <c r="H11" s="446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52"/>
      <c r="BF11" s="452"/>
      <c r="BG11" s="452"/>
      <c r="BH11" s="452"/>
      <c r="BI11" s="452"/>
      <c r="BJ11" s="452"/>
      <c r="BK11" s="452"/>
      <c r="BL11" s="452"/>
      <c r="BM11" s="452"/>
      <c r="BN11" s="452"/>
      <c r="BO11" s="452"/>
      <c r="BP11" s="452"/>
      <c r="BQ11" s="452"/>
      <c r="BR11" s="452"/>
      <c r="BS11" s="452"/>
      <c r="BT11" s="452"/>
      <c r="BU11" s="452"/>
      <c r="BV11" s="452"/>
      <c r="BW11" s="430"/>
      <c r="BX11" s="430"/>
      <c r="BY11" s="430"/>
      <c r="BZ11" s="430"/>
      <c r="CA11" s="430"/>
      <c r="CB11" s="430"/>
      <c r="CC11" s="134"/>
      <c r="CD11" s="148"/>
      <c r="CE11" s="148"/>
      <c r="CF11" s="429"/>
      <c r="CG11" s="429"/>
      <c r="CH11" s="429"/>
      <c r="CI11" s="429"/>
      <c r="CJ11" s="148"/>
      <c r="CK11" s="429"/>
      <c r="CL11" s="429"/>
      <c r="CM11" s="429"/>
      <c r="CN11" s="429"/>
      <c r="CO11" s="148"/>
      <c r="CP11" s="429"/>
      <c r="CQ11" s="429"/>
      <c r="CR11" s="429"/>
      <c r="CS11" s="429"/>
      <c r="CT11" s="148"/>
      <c r="CU11" s="429"/>
      <c r="CV11" s="429"/>
      <c r="CW11" s="429"/>
      <c r="CX11" s="429"/>
      <c r="CY11" s="148"/>
      <c r="CZ11" s="429"/>
      <c r="DA11" s="429"/>
      <c r="DB11" s="429"/>
      <c r="DC11" s="429"/>
      <c r="DD11" s="148"/>
      <c r="DE11" s="429"/>
      <c r="DF11" s="429"/>
      <c r="DG11" s="429"/>
      <c r="DH11" s="429"/>
      <c r="DI11" s="148"/>
      <c r="DJ11" s="429"/>
      <c r="DK11" s="429"/>
      <c r="DL11" s="429"/>
      <c r="DM11" s="429"/>
      <c r="DN11" s="148"/>
      <c r="DO11" s="429"/>
      <c r="DP11" s="429"/>
      <c r="DQ11" s="429"/>
      <c r="DR11" s="429"/>
      <c r="DS11" s="148"/>
      <c r="DT11" s="429"/>
      <c r="DU11" s="429"/>
      <c r="DV11" s="429"/>
      <c r="DW11" s="429"/>
      <c r="DX11" s="148"/>
      <c r="DY11" s="429"/>
      <c r="DZ11" s="429"/>
      <c r="EA11" s="429"/>
      <c r="EB11" s="429"/>
      <c r="EC11" s="148"/>
      <c r="ED11" s="429"/>
      <c r="EE11" s="429"/>
      <c r="EF11" s="429"/>
      <c r="EG11" s="429"/>
      <c r="EH11" s="148"/>
      <c r="EI11" s="429"/>
      <c r="EJ11" s="429"/>
      <c r="EK11" s="429"/>
      <c r="EL11" s="429"/>
      <c r="EM11" s="148"/>
      <c r="EN11" s="429"/>
      <c r="EO11" s="429"/>
      <c r="EP11" s="429"/>
      <c r="EQ11" s="429"/>
      <c r="ER11" s="148"/>
      <c r="ES11" s="429"/>
      <c r="ET11" s="429"/>
      <c r="EU11" s="429"/>
      <c r="EV11" s="429"/>
      <c r="EW11" s="148"/>
      <c r="EX11" s="429"/>
      <c r="EY11" s="429"/>
      <c r="EZ11" s="429"/>
      <c r="FA11" s="429"/>
      <c r="FB11" s="148"/>
      <c r="FC11" s="429"/>
      <c r="FD11" s="429"/>
      <c r="FE11" s="429"/>
      <c r="FF11" s="429"/>
      <c r="FG11" s="148"/>
      <c r="FH11" s="429"/>
      <c r="FI11" s="429"/>
      <c r="FJ11" s="429"/>
      <c r="FK11" s="429"/>
      <c r="FL11" s="148"/>
      <c r="FM11" s="429"/>
      <c r="FN11" s="429"/>
      <c r="FO11" s="429"/>
      <c r="FP11" s="429"/>
      <c r="FQ11" s="148"/>
      <c r="FR11" s="429"/>
      <c r="FS11" s="429"/>
      <c r="FT11" s="429"/>
      <c r="FU11" s="429"/>
      <c r="FV11" s="148"/>
      <c r="FW11" s="429"/>
      <c r="FX11" s="429"/>
      <c r="FY11" s="429"/>
      <c r="FZ11" s="429"/>
      <c r="GA11" s="148"/>
      <c r="GB11" s="429"/>
      <c r="GC11" s="429"/>
      <c r="GD11" s="429"/>
      <c r="GE11" s="429"/>
      <c r="GF11" s="148"/>
      <c r="GG11" s="429"/>
      <c r="GH11" s="429"/>
      <c r="GI11" s="429"/>
      <c r="GJ11" s="429"/>
      <c r="GK11" s="148"/>
      <c r="GL11" s="429"/>
      <c r="GM11" s="429"/>
      <c r="GN11" s="429"/>
      <c r="GO11" s="429"/>
      <c r="GP11" s="429"/>
      <c r="GQ11" s="148"/>
      <c r="GR11" s="150"/>
    </row>
    <row r="12" spans="1:200" ht="3.75" customHeight="1" x14ac:dyDescent="0.25">
      <c r="A12" s="438"/>
      <c r="B12" s="439"/>
      <c r="C12" s="439"/>
      <c r="D12" s="439"/>
      <c r="E12" s="439"/>
      <c r="F12" s="439"/>
      <c r="G12" s="440"/>
      <c r="H12" s="446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52"/>
      <c r="BF12" s="452"/>
      <c r="BG12" s="452"/>
      <c r="BH12" s="452"/>
      <c r="BI12" s="452"/>
      <c r="BJ12" s="452"/>
      <c r="BK12" s="452"/>
      <c r="BL12" s="452"/>
      <c r="BM12" s="452"/>
      <c r="BN12" s="452"/>
      <c r="BO12" s="452"/>
      <c r="BP12" s="452"/>
      <c r="BQ12" s="452"/>
      <c r="BR12" s="452"/>
      <c r="BS12" s="452"/>
      <c r="BT12" s="452"/>
      <c r="BU12" s="452"/>
      <c r="BV12" s="452"/>
      <c r="BW12" s="430"/>
      <c r="BX12" s="430"/>
      <c r="BY12" s="430"/>
      <c r="BZ12" s="430"/>
      <c r="CA12" s="430"/>
      <c r="CB12" s="430"/>
      <c r="CC12" s="134"/>
      <c r="CD12" s="148"/>
      <c r="CE12" s="148"/>
      <c r="CF12" s="429"/>
      <c r="CG12" s="429"/>
      <c r="CH12" s="429"/>
      <c r="CI12" s="429"/>
      <c r="CJ12" s="148"/>
      <c r="CK12" s="148"/>
      <c r="CL12" s="150"/>
      <c r="CM12" s="151"/>
      <c r="CN12" s="148"/>
      <c r="CO12" s="148"/>
      <c r="CP12" s="429"/>
      <c r="CQ12" s="429"/>
      <c r="CR12" s="429"/>
      <c r="CS12" s="429"/>
      <c r="CT12" s="148"/>
      <c r="CU12" s="148"/>
      <c r="CV12" s="150"/>
      <c r="CW12" s="151"/>
      <c r="CX12" s="148"/>
      <c r="CY12" s="148"/>
      <c r="CZ12" s="429"/>
      <c r="DA12" s="429"/>
      <c r="DB12" s="429"/>
      <c r="DC12" s="429"/>
      <c r="DD12" s="148"/>
      <c r="DE12" s="148"/>
      <c r="DF12" s="150"/>
      <c r="DG12" s="148"/>
      <c r="DH12" s="148"/>
      <c r="DI12" s="148"/>
      <c r="DJ12" s="429"/>
      <c r="DK12" s="429"/>
      <c r="DL12" s="429"/>
      <c r="DM12" s="429"/>
      <c r="DN12" s="148"/>
      <c r="DO12" s="148"/>
      <c r="DP12" s="150"/>
      <c r="DQ12" s="148"/>
      <c r="DR12" s="148"/>
      <c r="DS12" s="148"/>
      <c r="DT12" s="429"/>
      <c r="DU12" s="429"/>
      <c r="DV12" s="429"/>
      <c r="DW12" s="429"/>
      <c r="DX12" s="148"/>
      <c r="DY12" s="148"/>
      <c r="DZ12" s="150"/>
      <c r="EA12" s="148"/>
      <c r="EB12" s="148"/>
      <c r="EC12" s="148"/>
      <c r="ED12" s="429"/>
      <c r="EE12" s="429"/>
      <c r="EF12" s="429"/>
      <c r="EG12" s="429"/>
      <c r="EH12" s="148"/>
      <c r="EI12" s="148"/>
      <c r="EJ12" s="150"/>
      <c r="EK12" s="148"/>
      <c r="EL12" s="148"/>
      <c r="EM12" s="148"/>
      <c r="EN12" s="429"/>
      <c r="EO12" s="429"/>
      <c r="EP12" s="429"/>
      <c r="EQ12" s="429"/>
      <c r="ER12" s="148"/>
      <c r="ES12" s="148"/>
      <c r="ET12" s="150"/>
      <c r="EU12" s="148"/>
      <c r="EV12" s="148"/>
      <c r="EW12" s="148"/>
      <c r="EX12" s="429"/>
      <c r="EY12" s="429"/>
      <c r="EZ12" s="429"/>
      <c r="FA12" s="429"/>
      <c r="FB12" s="148"/>
      <c r="FC12" s="148"/>
      <c r="FD12" s="150"/>
      <c r="FE12" s="148"/>
      <c r="FF12" s="148"/>
      <c r="FG12" s="148"/>
      <c r="FH12" s="429"/>
      <c r="FI12" s="429"/>
      <c r="FJ12" s="429"/>
      <c r="FK12" s="429"/>
      <c r="FL12" s="148"/>
      <c r="FM12" s="148"/>
      <c r="FN12" s="150"/>
      <c r="FO12" s="148"/>
      <c r="FP12" s="148"/>
      <c r="FQ12" s="148"/>
      <c r="FR12" s="429"/>
      <c r="FS12" s="429"/>
      <c r="FT12" s="429"/>
      <c r="FU12" s="429"/>
      <c r="FV12" s="148"/>
      <c r="FW12" s="148"/>
      <c r="FX12" s="150"/>
      <c r="FY12" s="148"/>
      <c r="FZ12" s="148"/>
      <c r="GA12" s="148"/>
      <c r="GB12" s="429"/>
      <c r="GC12" s="429"/>
      <c r="GD12" s="429"/>
      <c r="GE12" s="429"/>
      <c r="GF12" s="148"/>
      <c r="GG12" s="148"/>
      <c r="GH12" s="150"/>
      <c r="GI12" s="148"/>
      <c r="GJ12" s="148"/>
      <c r="GK12" s="148"/>
      <c r="GL12" s="429"/>
      <c r="GM12" s="429"/>
      <c r="GN12" s="429"/>
      <c r="GO12" s="429"/>
      <c r="GP12" s="429"/>
      <c r="GQ12" s="148"/>
      <c r="GR12" s="150"/>
    </row>
    <row r="13" spans="1:200" ht="3.75" customHeight="1" x14ac:dyDescent="0.25">
      <c r="A13" s="441"/>
      <c r="B13" s="442"/>
      <c r="C13" s="442"/>
      <c r="D13" s="442"/>
      <c r="E13" s="442"/>
      <c r="F13" s="442"/>
      <c r="G13" s="443"/>
      <c r="H13" s="448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  <c r="AA13" s="449"/>
      <c r="AB13" s="449"/>
      <c r="AC13" s="449"/>
      <c r="AD13" s="449"/>
      <c r="AE13" s="449"/>
      <c r="AF13" s="449"/>
      <c r="AG13" s="449"/>
      <c r="AH13" s="449"/>
      <c r="AI13" s="449"/>
      <c r="AJ13" s="449"/>
      <c r="AK13" s="449"/>
      <c r="AL13" s="449"/>
      <c r="AM13" s="449"/>
      <c r="AN13" s="449"/>
      <c r="AO13" s="449"/>
      <c r="AP13" s="449"/>
      <c r="AQ13" s="449"/>
      <c r="AR13" s="449"/>
      <c r="AS13" s="449"/>
      <c r="AT13" s="449"/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52"/>
      <c r="BF13" s="452"/>
      <c r="BG13" s="452"/>
      <c r="BH13" s="452"/>
      <c r="BI13" s="452"/>
      <c r="BJ13" s="452"/>
      <c r="BK13" s="452"/>
      <c r="BL13" s="452"/>
      <c r="BM13" s="452"/>
      <c r="BN13" s="452"/>
      <c r="BO13" s="452"/>
      <c r="BP13" s="452"/>
      <c r="BQ13" s="452"/>
      <c r="BR13" s="452"/>
      <c r="BS13" s="452"/>
      <c r="BT13" s="452"/>
      <c r="BU13" s="452"/>
      <c r="BV13" s="452"/>
      <c r="BW13" s="430"/>
      <c r="BX13" s="430"/>
      <c r="BY13" s="430"/>
      <c r="BZ13" s="430"/>
      <c r="CA13" s="430"/>
      <c r="CB13" s="430"/>
      <c r="CC13" s="33"/>
      <c r="CD13" s="30"/>
      <c r="CE13" s="30"/>
      <c r="CF13" s="30"/>
      <c r="CG13" s="30"/>
      <c r="CH13" s="29"/>
      <c r="CI13" s="30"/>
      <c r="CJ13" s="30"/>
      <c r="CK13" s="30"/>
      <c r="CL13" s="34"/>
      <c r="CM13" s="29"/>
      <c r="CN13" s="30"/>
      <c r="CO13" s="30"/>
      <c r="CP13" s="30"/>
      <c r="CQ13" s="30"/>
      <c r="CR13" s="29"/>
      <c r="CS13" s="30"/>
      <c r="CT13" s="30"/>
      <c r="CU13" s="30"/>
      <c r="CV13" s="34"/>
      <c r="CW13" s="29"/>
      <c r="CX13" s="30"/>
      <c r="CY13" s="30"/>
      <c r="CZ13" s="30"/>
      <c r="DA13" s="30"/>
      <c r="DB13" s="29"/>
      <c r="DC13" s="30"/>
      <c r="DD13" s="30"/>
      <c r="DE13" s="30"/>
      <c r="DF13" s="34"/>
      <c r="DG13" s="30"/>
      <c r="DH13" s="30"/>
      <c r="DI13" s="30"/>
      <c r="DJ13" s="30"/>
      <c r="DK13" s="34"/>
      <c r="DL13" s="29"/>
      <c r="DM13" s="30"/>
      <c r="DN13" s="30"/>
      <c r="DO13" s="30"/>
      <c r="DP13" s="34"/>
      <c r="DQ13" s="30"/>
      <c r="DR13" s="30"/>
      <c r="DS13" s="30"/>
      <c r="DT13" s="30"/>
      <c r="DU13" s="34"/>
      <c r="DV13" s="29"/>
      <c r="DW13" s="30"/>
      <c r="DX13" s="30"/>
      <c r="DY13" s="30"/>
      <c r="DZ13" s="34"/>
      <c r="EA13" s="30"/>
      <c r="EB13" s="30"/>
      <c r="EC13" s="30"/>
      <c r="ED13" s="30"/>
      <c r="EE13" s="34"/>
      <c r="EF13" s="29"/>
      <c r="EG13" s="30"/>
      <c r="EH13" s="30"/>
      <c r="EI13" s="30"/>
      <c r="EJ13" s="34"/>
      <c r="EK13" s="30"/>
      <c r="EL13" s="30"/>
      <c r="EM13" s="30"/>
      <c r="EN13" s="30"/>
      <c r="EO13" s="34"/>
      <c r="EP13" s="29"/>
      <c r="EQ13" s="30"/>
      <c r="ER13" s="30"/>
      <c r="ES13" s="30"/>
      <c r="ET13" s="34"/>
      <c r="EU13" s="30"/>
      <c r="EV13" s="30"/>
      <c r="EW13" s="30"/>
      <c r="EX13" s="30"/>
      <c r="EY13" s="34"/>
      <c r="EZ13" s="29"/>
      <c r="FA13" s="30"/>
      <c r="FB13" s="30"/>
      <c r="FC13" s="30"/>
      <c r="FD13" s="34"/>
      <c r="FE13" s="30"/>
      <c r="FF13" s="30"/>
      <c r="FG13" s="30"/>
      <c r="FH13" s="30"/>
      <c r="FI13" s="34"/>
      <c r="FJ13" s="29"/>
      <c r="FK13" s="30"/>
      <c r="FL13" s="30"/>
      <c r="FM13" s="30"/>
      <c r="FN13" s="34"/>
      <c r="FO13" s="30"/>
      <c r="FP13" s="30"/>
      <c r="FQ13" s="30"/>
      <c r="FR13" s="30"/>
      <c r="FS13" s="34"/>
      <c r="FT13" s="29"/>
      <c r="FU13" s="30"/>
      <c r="FV13" s="30"/>
      <c r="FW13" s="30"/>
      <c r="FX13" s="34"/>
      <c r="FY13" s="30"/>
      <c r="FZ13" s="30"/>
      <c r="GA13" s="30"/>
      <c r="GB13" s="30"/>
      <c r="GC13" s="34"/>
      <c r="GD13" s="30"/>
      <c r="GE13" s="30"/>
      <c r="GF13" s="30"/>
      <c r="GG13" s="30"/>
      <c r="GH13" s="34"/>
      <c r="GI13" s="30"/>
      <c r="GJ13" s="30"/>
      <c r="GK13" s="30"/>
      <c r="GL13" s="30"/>
      <c r="GM13" s="34"/>
      <c r="GN13" s="29"/>
      <c r="GO13" s="30"/>
      <c r="GP13" s="30"/>
      <c r="GQ13" s="30"/>
      <c r="GR13" s="34"/>
    </row>
    <row r="14" spans="1:200" ht="11.25" customHeight="1" x14ac:dyDescent="0.25">
      <c r="A14" s="431" t="s">
        <v>233</v>
      </c>
      <c r="B14" s="405"/>
      <c r="C14" s="405"/>
      <c r="D14" s="405"/>
      <c r="E14" s="405"/>
      <c r="F14" s="405"/>
      <c r="G14" s="406"/>
      <c r="H14" s="417" t="s">
        <v>209</v>
      </c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9"/>
      <c r="BE14" s="398">
        <v>3</v>
      </c>
      <c r="BF14" s="399"/>
      <c r="BG14" s="399"/>
      <c r="BH14" s="399"/>
      <c r="BI14" s="399"/>
      <c r="BJ14" s="400"/>
      <c r="BK14" s="398"/>
      <c r="BL14" s="399"/>
      <c r="BM14" s="399"/>
      <c r="BN14" s="399"/>
      <c r="BO14" s="399"/>
      <c r="BP14" s="400"/>
      <c r="BQ14" s="398"/>
      <c r="BR14" s="399"/>
      <c r="BS14" s="399"/>
      <c r="BT14" s="399"/>
      <c r="BU14" s="399"/>
      <c r="BV14" s="400"/>
      <c r="BW14" s="432"/>
      <c r="BX14" s="433"/>
      <c r="BY14" s="433"/>
      <c r="BZ14" s="433"/>
      <c r="CA14" s="433"/>
      <c r="CB14" s="434"/>
      <c r="CC14" s="124"/>
      <c r="CD14" s="125"/>
      <c r="CE14" s="125"/>
      <c r="CF14" s="125"/>
      <c r="CG14" s="126"/>
      <c r="CH14" s="124"/>
      <c r="CI14" s="125"/>
      <c r="CJ14" s="125"/>
      <c r="CK14" s="125"/>
      <c r="CL14" s="126"/>
      <c r="CM14" s="124"/>
      <c r="CN14" s="125"/>
      <c r="CO14" s="125"/>
      <c r="CP14" s="125"/>
      <c r="CQ14" s="126"/>
      <c r="CR14" s="124"/>
      <c r="CS14" s="125"/>
      <c r="CT14" s="125"/>
      <c r="CU14" s="125"/>
      <c r="CV14" s="126"/>
      <c r="CW14" s="124"/>
      <c r="CX14" s="125"/>
      <c r="CY14" s="125"/>
      <c r="CZ14" s="125"/>
      <c r="DA14" s="126"/>
      <c r="DB14" s="124"/>
      <c r="DC14" s="125"/>
      <c r="DD14" s="125"/>
      <c r="DE14" s="125"/>
      <c r="DF14" s="126"/>
      <c r="DG14" s="124"/>
      <c r="DH14" s="125"/>
      <c r="DI14" s="125"/>
      <c r="DJ14" s="125"/>
      <c r="DK14" s="126"/>
      <c r="DL14" s="124"/>
      <c r="DM14" s="125"/>
      <c r="DN14" s="125"/>
      <c r="DO14" s="125"/>
      <c r="DP14" s="126"/>
      <c r="DQ14" s="124"/>
      <c r="DR14" s="125"/>
      <c r="DS14" s="125"/>
      <c r="DT14" s="125"/>
      <c r="DU14" s="126"/>
      <c r="DV14" s="124"/>
      <c r="DW14" s="125"/>
      <c r="DX14" s="125"/>
      <c r="DY14" s="125"/>
      <c r="DZ14" s="126"/>
      <c r="EA14" s="124"/>
      <c r="EB14" s="125"/>
      <c r="EC14" s="125"/>
      <c r="ED14" s="125"/>
      <c r="EE14" s="126"/>
      <c r="EF14" s="124"/>
      <c r="EG14" s="125"/>
      <c r="EH14" s="125"/>
      <c r="EI14" s="125"/>
      <c r="EJ14" s="126"/>
      <c r="EK14" s="124"/>
      <c r="EL14" s="125"/>
      <c r="EM14" s="125"/>
      <c r="EN14" s="125"/>
      <c r="EO14" s="126"/>
      <c r="EP14" s="124"/>
      <c r="EQ14" s="125"/>
      <c r="ER14" s="125"/>
      <c r="ES14" s="125"/>
      <c r="ET14" s="126"/>
      <c r="EU14" s="124"/>
      <c r="EV14" s="125"/>
      <c r="EW14" s="125"/>
      <c r="EX14" s="125"/>
      <c r="EY14" s="126"/>
      <c r="EZ14" s="124"/>
      <c r="FA14" s="125"/>
      <c r="FB14" s="125"/>
      <c r="FC14" s="125"/>
      <c r="FD14" s="126"/>
      <c r="FE14" s="124"/>
      <c r="FF14" s="125"/>
      <c r="FG14" s="125"/>
      <c r="FH14" s="125"/>
      <c r="FI14" s="126"/>
      <c r="FJ14" s="124"/>
      <c r="FK14" s="125"/>
      <c r="FL14" s="125"/>
      <c r="FM14" s="125"/>
      <c r="FN14" s="126"/>
      <c r="FO14" s="124"/>
      <c r="FP14" s="125"/>
      <c r="FQ14" s="125"/>
      <c r="FR14" s="125"/>
      <c r="FS14" s="126"/>
      <c r="FT14" s="124"/>
      <c r="FU14" s="125"/>
      <c r="FV14" s="125"/>
      <c r="FW14" s="125"/>
      <c r="FX14" s="126"/>
      <c r="FY14" s="124"/>
      <c r="FZ14" s="125"/>
      <c r="GA14" s="125"/>
      <c r="GB14" s="125"/>
      <c r="GC14" s="126"/>
      <c r="GD14" s="124"/>
      <c r="GE14" s="125"/>
      <c r="GF14" s="125"/>
      <c r="GG14" s="125"/>
      <c r="GH14" s="126"/>
      <c r="GI14" s="124"/>
      <c r="GJ14" s="125"/>
      <c r="GK14" s="125"/>
      <c r="GL14" s="125"/>
      <c r="GM14" s="126"/>
      <c r="GN14" s="124"/>
      <c r="GO14" s="125"/>
      <c r="GP14" s="125"/>
      <c r="GQ14" s="125"/>
      <c r="GR14" s="126"/>
    </row>
    <row r="15" spans="1:200" ht="11.25" customHeight="1" x14ac:dyDescent="0.25">
      <c r="A15" s="407"/>
      <c r="B15" s="408"/>
      <c r="C15" s="408"/>
      <c r="D15" s="408"/>
      <c r="E15" s="408"/>
      <c r="F15" s="408"/>
      <c r="G15" s="409"/>
      <c r="H15" s="420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421"/>
      <c r="AK15" s="421"/>
      <c r="AL15" s="421"/>
      <c r="AM15" s="421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2"/>
      <c r="BE15" s="401"/>
      <c r="BF15" s="402"/>
      <c r="BG15" s="402"/>
      <c r="BH15" s="402"/>
      <c r="BI15" s="402"/>
      <c r="BJ15" s="403"/>
      <c r="BK15" s="401"/>
      <c r="BL15" s="402"/>
      <c r="BM15" s="402"/>
      <c r="BN15" s="402"/>
      <c r="BO15" s="402"/>
      <c r="BP15" s="403"/>
      <c r="BQ15" s="401"/>
      <c r="BR15" s="402"/>
      <c r="BS15" s="402"/>
      <c r="BT15" s="402"/>
      <c r="BU15" s="402"/>
      <c r="BV15" s="403"/>
      <c r="BW15" s="423">
        <v>3</v>
      </c>
      <c r="BX15" s="424"/>
      <c r="BY15" s="424"/>
      <c r="BZ15" s="424"/>
      <c r="CA15" s="424"/>
      <c r="CB15" s="425"/>
      <c r="CC15" s="124"/>
      <c r="CD15" s="125"/>
      <c r="CE15" s="125"/>
      <c r="CF15" s="125"/>
      <c r="CG15" s="126"/>
      <c r="CH15" s="124"/>
      <c r="CI15" s="125"/>
      <c r="CJ15" s="125"/>
      <c r="CK15" s="125"/>
      <c r="CL15" s="126"/>
      <c r="CM15" s="124"/>
      <c r="CN15" s="125"/>
      <c r="CO15" s="125"/>
      <c r="CP15" s="125"/>
      <c r="CQ15" s="126"/>
      <c r="CR15" s="124"/>
      <c r="CS15" s="125"/>
      <c r="CT15" s="125"/>
      <c r="CU15" s="125"/>
      <c r="CV15" s="126"/>
      <c r="CW15" s="124"/>
      <c r="CX15" s="125"/>
      <c r="CY15" s="125"/>
      <c r="CZ15" s="125"/>
      <c r="DA15" s="126"/>
      <c r="DB15" s="124"/>
      <c r="DC15" s="125"/>
      <c r="DD15" s="125"/>
      <c r="DE15" s="125"/>
      <c r="DF15" s="126"/>
      <c r="DG15" s="124"/>
      <c r="DH15" s="125"/>
      <c r="DI15" s="125"/>
      <c r="DJ15" s="125"/>
      <c r="DK15" s="126"/>
      <c r="DL15" s="124"/>
      <c r="DM15" s="125"/>
      <c r="DN15" s="125"/>
      <c r="DO15" s="125"/>
      <c r="DP15" s="126"/>
      <c r="DQ15" s="124"/>
      <c r="DR15" s="125"/>
      <c r="DS15" s="125"/>
      <c r="DT15" s="125"/>
      <c r="DU15" s="126"/>
      <c r="DV15" s="124"/>
      <c r="DW15" s="125"/>
      <c r="DX15" s="125"/>
      <c r="DY15" s="125"/>
      <c r="DZ15" s="126"/>
      <c r="EA15" s="124"/>
      <c r="EB15" s="125"/>
      <c r="EC15" s="125"/>
      <c r="ED15" s="125"/>
      <c r="EE15" s="126"/>
      <c r="EF15" s="124"/>
      <c r="EG15" s="125"/>
      <c r="EH15" s="125"/>
      <c r="EI15" s="125"/>
      <c r="EJ15" s="126"/>
      <c r="EK15" s="124"/>
      <c r="EL15" s="125"/>
      <c r="EM15" s="125"/>
      <c r="EN15" s="125"/>
      <c r="EO15" s="126"/>
      <c r="EP15" s="124"/>
      <c r="EQ15" s="125"/>
      <c r="ER15" s="125"/>
      <c r="ES15" s="125"/>
      <c r="ET15" s="126"/>
      <c r="EU15" s="124"/>
      <c r="EV15" s="125"/>
      <c r="EW15" s="125"/>
      <c r="EX15" s="125"/>
      <c r="EY15" s="126"/>
      <c r="EZ15" s="124"/>
      <c r="FA15" s="125"/>
      <c r="FB15" s="125"/>
      <c r="FC15" s="125"/>
      <c r="FD15" s="126"/>
      <c r="FE15" s="124"/>
      <c r="FF15" s="125"/>
      <c r="FG15" s="125"/>
      <c r="FH15" s="125"/>
      <c r="FI15" s="126"/>
      <c r="FJ15" s="124"/>
      <c r="FK15" s="125"/>
      <c r="FL15" s="125"/>
      <c r="FM15" s="125"/>
      <c r="FN15" s="126"/>
      <c r="FO15" s="124"/>
      <c r="FP15" s="125"/>
      <c r="FQ15" s="125"/>
      <c r="FR15" s="125"/>
      <c r="FS15" s="126"/>
      <c r="FT15" s="124"/>
      <c r="FU15" s="125"/>
      <c r="FV15" s="125"/>
      <c r="FW15" s="125"/>
      <c r="FX15" s="126"/>
      <c r="FY15" s="124"/>
      <c r="FZ15" s="125"/>
      <c r="GA15" s="125"/>
      <c r="GB15" s="125"/>
      <c r="GC15" s="126"/>
      <c r="GD15" s="124"/>
      <c r="GE15" s="125"/>
      <c r="GF15" s="125"/>
      <c r="GG15" s="125"/>
      <c r="GH15" s="126"/>
      <c r="GI15" s="124"/>
      <c r="GJ15" s="125"/>
      <c r="GK15" s="125"/>
      <c r="GL15" s="125"/>
      <c r="GM15" s="126"/>
      <c r="GN15" s="124"/>
      <c r="GO15" s="125"/>
      <c r="GP15" s="125"/>
      <c r="GQ15" s="125"/>
      <c r="GR15" s="126"/>
    </row>
    <row r="16" spans="1:200" ht="11.25" customHeight="1" x14ac:dyDescent="0.25">
      <c r="A16" s="416" t="s">
        <v>234</v>
      </c>
      <c r="B16" s="405"/>
      <c r="C16" s="405"/>
      <c r="D16" s="405"/>
      <c r="E16" s="405"/>
      <c r="F16" s="405"/>
      <c r="G16" s="406"/>
      <c r="H16" s="417" t="s">
        <v>229</v>
      </c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9"/>
      <c r="BE16" s="398">
        <v>6</v>
      </c>
      <c r="BF16" s="399"/>
      <c r="BG16" s="399"/>
      <c r="BH16" s="399"/>
      <c r="BI16" s="399"/>
      <c r="BJ16" s="400"/>
      <c r="BK16" s="398">
        <v>4</v>
      </c>
      <c r="BL16" s="399"/>
      <c r="BM16" s="399"/>
      <c r="BN16" s="399"/>
      <c r="BO16" s="399"/>
      <c r="BP16" s="400"/>
      <c r="BQ16" s="398"/>
      <c r="BR16" s="399"/>
      <c r="BS16" s="399"/>
      <c r="BT16" s="399"/>
      <c r="BU16" s="399"/>
      <c r="BV16" s="400"/>
      <c r="BW16" s="426"/>
      <c r="BX16" s="427"/>
      <c r="BY16" s="427"/>
      <c r="BZ16" s="427"/>
      <c r="CA16" s="427"/>
      <c r="CB16" s="428"/>
      <c r="CC16" s="124"/>
      <c r="CD16" s="125"/>
      <c r="CE16" s="125"/>
      <c r="CF16" s="125"/>
      <c r="CG16" s="126"/>
      <c r="CH16" s="124"/>
      <c r="CI16" s="125"/>
      <c r="CJ16" s="125"/>
      <c r="CK16" s="125"/>
      <c r="CL16" s="126"/>
      <c r="CM16" s="124"/>
      <c r="CN16" s="125"/>
      <c r="CO16" s="125"/>
      <c r="CP16" s="125"/>
      <c r="CQ16" s="126"/>
      <c r="CR16" s="124"/>
      <c r="CS16" s="125"/>
      <c r="CT16" s="125"/>
      <c r="CU16" s="125"/>
      <c r="CV16" s="126"/>
      <c r="CW16" s="124"/>
      <c r="CX16" s="125"/>
      <c r="CY16" s="125"/>
      <c r="CZ16" s="125"/>
      <c r="DA16" s="126"/>
      <c r="DB16" s="124"/>
      <c r="DC16" s="125"/>
      <c r="DD16" s="125"/>
      <c r="DE16" s="125"/>
      <c r="DF16" s="126"/>
      <c r="DG16" s="124"/>
      <c r="DH16" s="125"/>
      <c r="DI16" s="125"/>
      <c r="DJ16" s="125"/>
      <c r="DK16" s="126"/>
      <c r="DL16" s="124"/>
      <c r="DM16" s="125"/>
      <c r="DN16" s="125"/>
      <c r="DO16" s="125"/>
      <c r="DP16" s="126"/>
      <c r="DQ16" s="124"/>
      <c r="DR16" s="125"/>
      <c r="DS16" s="125"/>
      <c r="DT16" s="125"/>
      <c r="DU16" s="126"/>
      <c r="DV16" s="124"/>
      <c r="DW16" s="125"/>
      <c r="DX16" s="125"/>
      <c r="DY16" s="125"/>
      <c r="DZ16" s="126"/>
      <c r="EA16" s="124"/>
      <c r="EB16" s="125"/>
      <c r="EC16" s="125"/>
      <c r="ED16" s="125"/>
      <c r="EE16" s="126"/>
      <c r="EF16" s="124"/>
      <c r="EG16" s="125"/>
      <c r="EH16" s="125"/>
      <c r="EI16" s="125"/>
      <c r="EJ16" s="126"/>
      <c r="EK16" s="124"/>
      <c r="EL16" s="125"/>
      <c r="EM16" s="125"/>
      <c r="EN16" s="125"/>
      <c r="EO16" s="126"/>
      <c r="EP16" s="124"/>
      <c r="EQ16" s="125"/>
      <c r="ER16" s="125"/>
      <c r="ES16" s="125"/>
      <c r="ET16" s="126"/>
      <c r="EU16" s="124"/>
      <c r="EV16" s="125"/>
      <c r="EW16" s="125"/>
      <c r="EX16" s="125"/>
      <c r="EY16" s="126"/>
      <c r="EZ16" s="124"/>
      <c r="FA16" s="125"/>
      <c r="FB16" s="125"/>
      <c r="FC16" s="125"/>
      <c r="FD16" s="126"/>
      <c r="FE16" s="124"/>
      <c r="FF16" s="125"/>
      <c r="FG16" s="125"/>
      <c r="FH16" s="125"/>
      <c r="FI16" s="126"/>
      <c r="FJ16" s="124"/>
      <c r="FK16" s="125"/>
      <c r="FL16" s="125"/>
      <c r="FM16" s="125"/>
      <c r="FN16" s="126"/>
      <c r="FO16" s="124"/>
      <c r="FP16" s="125"/>
      <c r="FQ16" s="125"/>
      <c r="FR16" s="125"/>
      <c r="FS16" s="126"/>
      <c r="FT16" s="124"/>
      <c r="FU16" s="125"/>
      <c r="FV16" s="125"/>
      <c r="FW16" s="125"/>
      <c r="FX16" s="126"/>
      <c r="FY16" s="124"/>
      <c r="FZ16" s="125"/>
      <c r="GA16" s="125"/>
      <c r="GB16" s="125"/>
      <c r="GC16" s="126"/>
      <c r="GD16" s="124"/>
      <c r="GE16" s="125"/>
      <c r="GF16" s="125"/>
      <c r="GG16" s="125"/>
      <c r="GH16" s="126"/>
      <c r="GI16" s="124"/>
      <c r="GJ16" s="125"/>
      <c r="GK16" s="125"/>
      <c r="GL16" s="125"/>
      <c r="GM16" s="126"/>
      <c r="GN16" s="124"/>
      <c r="GO16" s="125"/>
      <c r="GP16" s="125"/>
      <c r="GQ16" s="125"/>
      <c r="GR16" s="126"/>
    </row>
    <row r="17" spans="1:200" ht="11.25" customHeight="1" x14ac:dyDescent="0.25">
      <c r="A17" s="407"/>
      <c r="B17" s="408"/>
      <c r="C17" s="408"/>
      <c r="D17" s="408"/>
      <c r="E17" s="408"/>
      <c r="F17" s="408"/>
      <c r="G17" s="409"/>
      <c r="H17" s="420"/>
      <c r="I17" s="421"/>
      <c r="J17" s="421"/>
      <c r="K17" s="421"/>
      <c r="L17" s="421"/>
      <c r="M17" s="421"/>
      <c r="N17" s="421"/>
      <c r="O17" s="421"/>
      <c r="P17" s="421"/>
      <c r="Q17" s="421"/>
      <c r="R17" s="421"/>
      <c r="S17" s="421"/>
      <c r="T17" s="421"/>
      <c r="U17" s="421"/>
      <c r="V17" s="421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2"/>
      <c r="BE17" s="401"/>
      <c r="BF17" s="402"/>
      <c r="BG17" s="402"/>
      <c r="BH17" s="402"/>
      <c r="BI17" s="402"/>
      <c r="BJ17" s="403"/>
      <c r="BK17" s="401"/>
      <c r="BL17" s="402"/>
      <c r="BM17" s="402"/>
      <c r="BN17" s="402"/>
      <c r="BO17" s="402"/>
      <c r="BP17" s="403"/>
      <c r="BQ17" s="401"/>
      <c r="BR17" s="402"/>
      <c r="BS17" s="402"/>
      <c r="BT17" s="402"/>
      <c r="BU17" s="402"/>
      <c r="BV17" s="403"/>
      <c r="BW17" s="423">
        <v>3</v>
      </c>
      <c r="BX17" s="424"/>
      <c r="BY17" s="424"/>
      <c r="BZ17" s="424"/>
      <c r="CA17" s="424"/>
      <c r="CB17" s="425"/>
      <c r="CC17" s="124"/>
      <c r="CD17" s="125"/>
      <c r="CE17" s="125"/>
      <c r="CF17" s="125"/>
      <c r="CG17" s="126"/>
      <c r="CH17" s="124"/>
      <c r="CI17" s="125"/>
      <c r="CJ17" s="125"/>
      <c r="CK17" s="125"/>
      <c r="CL17" s="126"/>
      <c r="CM17" s="124"/>
      <c r="CN17" s="125"/>
      <c r="CO17" s="125"/>
      <c r="CP17" s="125"/>
      <c r="CQ17" s="126"/>
      <c r="CR17" s="124"/>
      <c r="CS17" s="125"/>
      <c r="CT17" s="125"/>
      <c r="CU17" s="125"/>
      <c r="CV17" s="126"/>
      <c r="CW17" s="124"/>
      <c r="CX17" s="125"/>
      <c r="CY17" s="125"/>
      <c r="CZ17" s="125"/>
      <c r="DA17" s="126"/>
      <c r="DB17" s="124"/>
      <c r="DC17" s="125"/>
      <c r="DD17" s="125"/>
      <c r="DE17" s="125"/>
      <c r="DF17" s="126"/>
      <c r="DG17" s="124"/>
      <c r="DH17" s="125"/>
      <c r="DI17" s="125"/>
      <c r="DJ17" s="125"/>
      <c r="DK17" s="126"/>
      <c r="DL17" s="124"/>
      <c r="DM17" s="125"/>
      <c r="DN17" s="125"/>
      <c r="DO17" s="125"/>
      <c r="DP17" s="126"/>
      <c r="DQ17" s="124"/>
      <c r="DR17" s="125"/>
      <c r="DS17" s="125"/>
      <c r="DT17" s="125"/>
      <c r="DU17" s="126"/>
      <c r="DV17" s="124"/>
      <c r="DW17" s="125"/>
      <c r="DX17" s="125"/>
      <c r="DY17" s="125"/>
      <c r="DZ17" s="126"/>
      <c r="EA17" s="124"/>
      <c r="EB17" s="125"/>
      <c r="EC17" s="125"/>
      <c r="ED17" s="125"/>
      <c r="EE17" s="126"/>
      <c r="EF17" s="124"/>
      <c r="EG17" s="125"/>
      <c r="EH17" s="125"/>
      <c r="EI17" s="125"/>
      <c r="EJ17" s="126"/>
      <c r="EK17" s="124"/>
      <c r="EL17" s="125"/>
      <c r="EM17" s="125"/>
      <c r="EN17" s="125"/>
      <c r="EO17" s="126"/>
      <c r="EP17" s="124"/>
      <c r="EQ17" s="125"/>
      <c r="ER17" s="125"/>
      <c r="ES17" s="125"/>
      <c r="ET17" s="126"/>
      <c r="EU17" s="124"/>
      <c r="EV17" s="125"/>
      <c r="EW17" s="125"/>
      <c r="EX17" s="125"/>
      <c r="EY17" s="126"/>
      <c r="EZ17" s="124"/>
      <c r="FA17" s="125"/>
      <c r="FB17" s="125"/>
      <c r="FC17" s="125"/>
      <c r="FD17" s="126"/>
      <c r="FE17" s="124"/>
      <c r="FF17" s="125"/>
      <c r="FG17" s="125"/>
      <c r="FH17" s="125"/>
      <c r="FI17" s="126"/>
      <c r="FJ17" s="124"/>
      <c r="FK17" s="125"/>
      <c r="FL17" s="125"/>
      <c r="FM17" s="125"/>
      <c r="FN17" s="126"/>
      <c r="FO17" s="124"/>
      <c r="FP17" s="125"/>
      <c r="FQ17" s="125"/>
      <c r="FR17" s="125"/>
      <c r="FS17" s="126"/>
      <c r="FT17" s="124"/>
      <c r="FU17" s="125"/>
      <c r="FV17" s="125"/>
      <c r="FW17" s="125"/>
      <c r="FX17" s="126"/>
      <c r="FY17" s="124"/>
      <c r="FZ17" s="125"/>
      <c r="GA17" s="125"/>
      <c r="GB17" s="125"/>
      <c r="GC17" s="126"/>
      <c r="GD17" s="124"/>
      <c r="GE17" s="125"/>
      <c r="GF17" s="125"/>
      <c r="GG17" s="125"/>
      <c r="GH17" s="126"/>
      <c r="GI17" s="124"/>
      <c r="GJ17" s="125"/>
      <c r="GK17" s="125"/>
      <c r="GL17" s="125"/>
      <c r="GM17" s="126"/>
      <c r="GN17" s="124"/>
      <c r="GO17" s="125"/>
      <c r="GP17" s="125"/>
      <c r="GQ17" s="125"/>
      <c r="GR17" s="126"/>
    </row>
    <row r="18" spans="1:200" ht="11.25" customHeight="1" x14ac:dyDescent="0.25">
      <c r="A18" s="416" t="s">
        <v>235</v>
      </c>
      <c r="B18" s="405"/>
      <c r="C18" s="405"/>
      <c r="D18" s="405"/>
      <c r="E18" s="405"/>
      <c r="F18" s="405"/>
      <c r="G18" s="406"/>
      <c r="H18" s="417" t="s">
        <v>230</v>
      </c>
      <c r="I18" s="418"/>
      <c r="J18" s="418"/>
      <c r="K18" s="418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9"/>
      <c r="BE18" s="398">
        <v>10</v>
      </c>
      <c r="BF18" s="399"/>
      <c r="BG18" s="399"/>
      <c r="BH18" s="399"/>
      <c r="BI18" s="399"/>
      <c r="BJ18" s="400"/>
      <c r="BK18" s="398"/>
      <c r="BL18" s="399"/>
      <c r="BM18" s="399"/>
      <c r="BN18" s="399"/>
      <c r="BO18" s="399"/>
      <c r="BP18" s="400"/>
      <c r="BQ18" s="398"/>
      <c r="BR18" s="399"/>
      <c r="BS18" s="399"/>
      <c r="BT18" s="399"/>
      <c r="BU18" s="399"/>
      <c r="BV18" s="400"/>
      <c r="BW18" s="426"/>
      <c r="BX18" s="427"/>
      <c r="BY18" s="427"/>
      <c r="BZ18" s="427"/>
      <c r="CA18" s="427"/>
      <c r="CB18" s="428"/>
      <c r="CC18" s="124"/>
      <c r="CD18" s="125"/>
      <c r="CE18" s="125"/>
      <c r="CF18" s="125"/>
      <c r="CG18" s="126"/>
      <c r="CH18" s="124"/>
      <c r="CI18" s="125"/>
      <c r="CJ18" s="125"/>
      <c r="CK18" s="125"/>
      <c r="CL18" s="126"/>
      <c r="CM18" s="124"/>
      <c r="CN18" s="125"/>
      <c r="CO18" s="125"/>
      <c r="CP18" s="125"/>
      <c r="CQ18" s="126"/>
      <c r="CR18" s="124"/>
      <c r="CS18" s="125"/>
      <c r="CT18" s="125"/>
      <c r="CU18" s="125"/>
      <c r="CV18" s="126"/>
      <c r="CW18" s="124"/>
      <c r="CX18" s="125"/>
      <c r="CY18" s="125"/>
      <c r="CZ18" s="125"/>
      <c r="DA18" s="126"/>
      <c r="DB18" s="124"/>
      <c r="DC18" s="125"/>
      <c r="DD18" s="125"/>
      <c r="DE18" s="125"/>
      <c r="DF18" s="126"/>
      <c r="DG18" s="124"/>
      <c r="DH18" s="125"/>
      <c r="DI18" s="125"/>
      <c r="DJ18" s="125"/>
      <c r="DK18" s="126"/>
      <c r="DL18" s="124"/>
      <c r="DM18" s="125"/>
      <c r="DN18" s="125"/>
      <c r="DO18" s="125"/>
      <c r="DP18" s="126"/>
      <c r="DQ18" s="124"/>
      <c r="DR18" s="125"/>
      <c r="DS18" s="125"/>
      <c r="DT18" s="125"/>
      <c r="DU18" s="126"/>
      <c r="DV18" s="124"/>
      <c r="DW18" s="125"/>
      <c r="DX18" s="125"/>
      <c r="DY18" s="125"/>
      <c r="DZ18" s="126"/>
      <c r="EA18" s="124"/>
      <c r="EB18" s="125"/>
      <c r="EC18" s="125"/>
      <c r="ED18" s="125"/>
      <c r="EE18" s="126"/>
      <c r="EF18" s="124"/>
      <c r="EG18" s="125"/>
      <c r="EH18" s="125"/>
      <c r="EI18" s="125"/>
      <c r="EJ18" s="126"/>
      <c r="EK18" s="124"/>
      <c r="EL18" s="125"/>
      <c r="EM18" s="125"/>
      <c r="EN18" s="125"/>
      <c r="EO18" s="126"/>
      <c r="EP18" s="124"/>
      <c r="EQ18" s="125"/>
      <c r="ER18" s="125"/>
      <c r="ES18" s="125"/>
      <c r="ET18" s="126"/>
      <c r="EU18" s="124"/>
      <c r="EV18" s="125"/>
      <c r="EW18" s="125"/>
      <c r="EX18" s="125"/>
      <c r="EY18" s="126"/>
      <c r="EZ18" s="124"/>
      <c r="FA18" s="125"/>
      <c r="FB18" s="125"/>
      <c r="FC18" s="125"/>
      <c r="FD18" s="126"/>
      <c r="FE18" s="124"/>
      <c r="FF18" s="125"/>
      <c r="FG18" s="125"/>
      <c r="FH18" s="125"/>
      <c r="FI18" s="126"/>
      <c r="FJ18" s="124"/>
      <c r="FK18" s="125"/>
      <c r="FL18" s="125"/>
      <c r="FM18" s="125"/>
      <c r="FN18" s="126"/>
      <c r="FO18" s="124"/>
      <c r="FP18" s="125"/>
      <c r="FQ18" s="125"/>
      <c r="FR18" s="125"/>
      <c r="FS18" s="126"/>
      <c r="FT18" s="124"/>
      <c r="FU18" s="125"/>
      <c r="FV18" s="125"/>
      <c r="FW18" s="125"/>
      <c r="FX18" s="126"/>
      <c r="FY18" s="124"/>
      <c r="FZ18" s="125"/>
      <c r="GA18" s="125"/>
      <c r="GB18" s="125"/>
      <c r="GC18" s="126"/>
      <c r="GD18" s="124"/>
      <c r="GE18" s="125"/>
      <c r="GF18" s="125"/>
      <c r="GG18" s="125"/>
      <c r="GH18" s="126"/>
      <c r="GI18" s="124"/>
      <c r="GJ18" s="125"/>
      <c r="GK18" s="125"/>
      <c r="GL18" s="125"/>
      <c r="GM18" s="126"/>
      <c r="GN18" s="124"/>
      <c r="GO18" s="125"/>
      <c r="GP18" s="125"/>
      <c r="GQ18" s="125"/>
      <c r="GR18" s="126"/>
    </row>
    <row r="19" spans="1:200" ht="11.25" customHeight="1" x14ac:dyDescent="0.25">
      <c r="A19" s="407"/>
      <c r="B19" s="408"/>
      <c r="C19" s="408"/>
      <c r="D19" s="408"/>
      <c r="E19" s="408"/>
      <c r="F19" s="408"/>
      <c r="G19" s="409"/>
      <c r="H19" s="420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2"/>
      <c r="BE19" s="401"/>
      <c r="BF19" s="402"/>
      <c r="BG19" s="402"/>
      <c r="BH19" s="402"/>
      <c r="BI19" s="402"/>
      <c r="BJ19" s="403"/>
      <c r="BK19" s="401"/>
      <c r="BL19" s="402"/>
      <c r="BM19" s="402"/>
      <c r="BN19" s="402"/>
      <c r="BO19" s="402"/>
      <c r="BP19" s="403"/>
      <c r="BQ19" s="401"/>
      <c r="BR19" s="402"/>
      <c r="BS19" s="402"/>
      <c r="BT19" s="402"/>
      <c r="BU19" s="402"/>
      <c r="BV19" s="403"/>
      <c r="BW19" s="423">
        <v>3</v>
      </c>
      <c r="BX19" s="424"/>
      <c r="BY19" s="424"/>
      <c r="BZ19" s="424"/>
      <c r="CA19" s="424"/>
      <c r="CB19" s="425"/>
      <c r="CC19" s="124"/>
      <c r="CD19" s="125"/>
      <c r="CE19" s="125"/>
      <c r="CF19" s="125"/>
      <c r="CG19" s="126"/>
      <c r="CH19" s="124"/>
      <c r="CI19" s="125"/>
      <c r="CJ19" s="125"/>
      <c r="CK19" s="125"/>
      <c r="CL19" s="126"/>
      <c r="CM19" s="124"/>
      <c r="CN19" s="125"/>
      <c r="CO19" s="125"/>
      <c r="CP19" s="125"/>
      <c r="CQ19" s="126"/>
      <c r="CR19" s="124"/>
      <c r="CS19" s="125"/>
      <c r="CT19" s="125"/>
      <c r="CU19" s="125"/>
      <c r="CV19" s="126"/>
      <c r="CW19" s="124"/>
      <c r="CX19" s="125"/>
      <c r="CY19" s="125"/>
      <c r="CZ19" s="125"/>
      <c r="DA19" s="126"/>
      <c r="DB19" s="124"/>
      <c r="DC19" s="125"/>
      <c r="DD19" s="125"/>
      <c r="DE19" s="125"/>
      <c r="DF19" s="126"/>
      <c r="DG19" s="124"/>
      <c r="DH19" s="125"/>
      <c r="DI19" s="125"/>
      <c r="DJ19" s="125"/>
      <c r="DK19" s="126"/>
      <c r="DL19" s="124"/>
      <c r="DM19" s="125"/>
      <c r="DN19" s="125"/>
      <c r="DO19" s="125"/>
      <c r="DP19" s="126"/>
      <c r="DQ19" s="124"/>
      <c r="DR19" s="125"/>
      <c r="DS19" s="125"/>
      <c r="DT19" s="125"/>
      <c r="DU19" s="126"/>
      <c r="DV19" s="124"/>
      <c r="DW19" s="125"/>
      <c r="DX19" s="125"/>
      <c r="DY19" s="125"/>
      <c r="DZ19" s="126"/>
      <c r="EA19" s="124"/>
      <c r="EB19" s="125"/>
      <c r="EC19" s="125"/>
      <c r="ED19" s="125"/>
      <c r="EE19" s="126"/>
      <c r="EF19" s="124"/>
      <c r="EG19" s="125"/>
      <c r="EH19" s="125"/>
      <c r="EI19" s="125"/>
      <c r="EJ19" s="126"/>
      <c r="EK19" s="124"/>
      <c r="EL19" s="125"/>
      <c r="EM19" s="125"/>
      <c r="EN19" s="125"/>
      <c r="EO19" s="126"/>
      <c r="EP19" s="124"/>
      <c r="EQ19" s="125"/>
      <c r="ER19" s="125"/>
      <c r="ES19" s="125"/>
      <c r="ET19" s="126"/>
      <c r="EU19" s="124"/>
      <c r="EV19" s="125"/>
      <c r="EW19" s="125"/>
      <c r="EX19" s="125"/>
      <c r="EY19" s="126"/>
      <c r="EZ19" s="124"/>
      <c r="FA19" s="125"/>
      <c r="FB19" s="125"/>
      <c r="FC19" s="125"/>
      <c r="FD19" s="126"/>
      <c r="FE19" s="124"/>
      <c r="FF19" s="125"/>
      <c r="FG19" s="125"/>
      <c r="FH19" s="125"/>
      <c r="FI19" s="126"/>
      <c r="FJ19" s="124"/>
      <c r="FK19" s="125"/>
      <c r="FL19" s="125"/>
      <c r="FM19" s="125"/>
      <c r="FN19" s="126"/>
      <c r="FO19" s="124"/>
      <c r="FP19" s="125"/>
      <c r="FQ19" s="125"/>
      <c r="FR19" s="125"/>
      <c r="FS19" s="126"/>
      <c r="FT19" s="124"/>
      <c r="FU19" s="125"/>
      <c r="FV19" s="125"/>
      <c r="FW19" s="125"/>
      <c r="FX19" s="126"/>
      <c r="FY19" s="124"/>
      <c r="FZ19" s="125"/>
      <c r="GA19" s="125"/>
      <c r="GB19" s="125"/>
      <c r="GC19" s="126"/>
      <c r="GD19" s="124"/>
      <c r="GE19" s="125"/>
      <c r="GF19" s="125"/>
      <c r="GG19" s="125"/>
      <c r="GH19" s="126"/>
      <c r="GI19" s="124"/>
      <c r="GJ19" s="125"/>
      <c r="GK19" s="125"/>
      <c r="GL19" s="125"/>
      <c r="GM19" s="126"/>
      <c r="GN19" s="124"/>
      <c r="GO19" s="125"/>
      <c r="GP19" s="125"/>
      <c r="GQ19" s="125"/>
      <c r="GR19" s="126"/>
    </row>
    <row r="20" spans="1:200" ht="11.25" customHeight="1" x14ac:dyDescent="0.25">
      <c r="A20" s="416" t="s">
        <v>236</v>
      </c>
      <c r="B20" s="405"/>
      <c r="C20" s="405"/>
      <c r="D20" s="405"/>
      <c r="E20" s="405"/>
      <c r="F20" s="405"/>
      <c r="G20" s="406"/>
      <c r="H20" s="417" t="s">
        <v>231</v>
      </c>
      <c r="I20" s="418"/>
      <c r="J20" s="418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  <c r="AO20" s="418"/>
      <c r="AP20" s="418"/>
      <c r="AQ20" s="418"/>
      <c r="AR20" s="418"/>
      <c r="AS20" s="418"/>
      <c r="AT20" s="418"/>
      <c r="AU20" s="418"/>
      <c r="AV20" s="418"/>
      <c r="AW20" s="418"/>
      <c r="AX20" s="418"/>
      <c r="AY20" s="418"/>
      <c r="AZ20" s="418"/>
      <c r="BA20" s="418"/>
      <c r="BB20" s="418"/>
      <c r="BC20" s="418"/>
      <c r="BD20" s="419"/>
      <c r="BE20" s="398">
        <v>12</v>
      </c>
      <c r="BF20" s="399"/>
      <c r="BG20" s="399"/>
      <c r="BH20" s="399"/>
      <c r="BI20" s="399"/>
      <c r="BJ20" s="400"/>
      <c r="BK20" s="398"/>
      <c r="BL20" s="399"/>
      <c r="BM20" s="399"/>
      <c r="BN20" s="399"/>
      <c r="BO20" s="399"/>
      <c r="BP20" s="400"/>
      <c r="BQ20" s="398"/>
      <c r="BR20" s="399"/>
      <c r="BS20" s="399"/>
      <c r="BT20" s="399"/>
      <c r="BU20" s="399"/>
      <c r="BV20" s="400"/>
      <c r="BW20" s="426"/>
      <c r="BX20" s="427"/>
      <c r="BY20" s="427"/>
      <c r="BZ20" s="427"/>
      <c r="CA20" s="427"/>
      <c r="CB20" s="428"/>
      <c r="CC20" s="124"/>
      <c r="CD20" s="125"/>
      <c r="CE20" s="125"/>
      <c r="CF20" s="125"/>
      <c r="CG20" s="126"/>
      <c r="CH20" s="124"/>
      <c r="CI20" s="125"/>
      <c r="CJ20" s="125"/>
      <c r="CK20" s="125"/>
      <c r="CL20" s="126"/>
      <c r="CM20" s="124"/>
      <c r="CN20" s="125"/>
      <c r="CO20" s="125"/>
      <c r="CP20" s="125"/>
      <c r="CQ20" s="126"/>
      <c r="CR20" s="124"/>
      <c r="CS20" s="125"/>
      <c r="CT20" s="125"/>
      <c r="CU20" s="125"/>
      <c r="CV20" s="126"/>
      <c r="CW20" s="124"/>
      <c r="CX20" s="125"/>
      <c r="CY20" s="125"/>
      <c r="CZ20" s="125"/>
      <c r="DA20" s="126"/>
      <c r="DB20" s="124"/>
      <c r="DC20" s="125"/>
      <c r="DD20" s="125"/>
      <c r="DE20" s="125"/>
      <c r="DF20" s="126"/>
      <c r="DG20" s="124"/>
      <c r="DH20" s="125"/>
      <c r="DI20" s="125"/>
      <c r="DJ20" s="125"/>
      <c r="DK20" s="126"/>
      <c r="DL20" s="124"/>
      <c r="DM20" s="125"/>
      <c r="DN20" s="125"/>
      <c r="DO20" s="125"/>
      <c r="DP20" s="126"/>
      <c r="DQ20" s="124"/>
      <c r="DR20" s="125"/>
      <c r="DS20" s="125"/>
      <c r="DT20" s="125"/>
      <c r="DU20" s="126"/>
      <c r="DV20" s="124"/>
      <c r="DW20" s="125"/>
      <c r="DX20" s="125"/>
      <c r="DY20" s="125"/>
      <c r="DZ20" s="126"/>
      <c r="EA20" s="124"/>
      <c r="EB20" s="125"/>
      <c r="EC20" s="125"/>
      <c r="ED20" s="125"/>
      <c r="EE20" s="126"/>
      <c r="EF20" s="124"/>
      <c r="EG20" s="125"/>
      <c r="EH20" s="125"/>
      <c r="EI20" s="125"/>
      <c r="EJ20" s="126"/>
      <c r="EK20" s="124"/>
      <c r="EL20" s="125"/>
      <c r="EM20" s="125"/>
      <c r="EN20" s="125"/>
      <c r="EO20" s="126"/>
      <c r="EP20" s="124"/>
      <c r="EQ20" s="125"/>
      <c r="ER20" s="125"/>
      <c r="ES20" s="125"/>
      <c r="ET20" s="126"/>
      <c r="EU20" s="124"/>
      <c r="EV20" s="125"/>
      <c r="EW20" s="125"/>
      <c r="EX20" s="125"/>
      <c r="EY20" s="126"/>
      <c r="EZ20" s="124"/>
      <c r="FA20" s="125"/>
      <c r="FB20" s="125"/>
      <c r="FC20" s="125"/>
      <c r="FD20" s="126"/>
      <c r="FE20" s="124"/>
      <c r="FF20" s="125"/>
      <c r="FG20" s="125"/>
      <c r="FH20" s="125"/>
      <c r="FI20" s="126"/>
      <c r="FJ20" s="124"/>
      <c r="FK20" s="125"/>
      <c r="FL20" s="125"/>
      <c r="FM20" s="125"/>
      <c r="FN20" s="126"/>
      <c r="FO20" s="124"/>
      <c r="FP20" s="125"/>
      <c r="FQ20" s="125"/>
      <c r="FR20" s="125"/>
      <c r="FS20" s="126"/>
      <c r="FT20" s="124"/>
      <c r="FU20" s="125"/>
      <c r="FV20" s="125"/>
      <c r="FW20" s="125"/>
      <c r="FX20" s="126"/>
      <c r="FY20" s="124"/>
      <c r="FZ20" s="125"/>
      <c r="GA20" s="125"/>
      <c r="GB20" s="125"/>
      <c r="GC20" s="126"/>
      <c r="GD20" s="124"/>
      <c r="GE20" s="125"/>
      <c r="GF20" s="125"/>
      <c r="GG20" s="125"/>
      <c r="GH20" s="126"/>
      <c r="GI20" s="124"/>
      <c r="GJ20" s="125"/>
      <c r="GK20" s="125"/>
      <c r="GL20" s="125"/>
      <c r="GM20" s="126"/>
      <c r="GN20" s="124"/>
      <c r="GO20" s="125"/>
      <c r="GP20" s="125"/>
      <c r="GQ20" s="125"/>
      <c r="GR20" s="126"/>
    </row>
    <row r="21" spans="1:200" ht="11.25" customHeight="1" x14ac:dyDescent="0.25">
      <c r="A21" s="407"/>
      <c r="B21" s="408"/>
      <c r="C21" s="408"/>
      <c r="D21" s="408"/>
      <c r="E21" s="408"/>
      <c r="F21" s="408"/>
      <c r="G21" s="409"/>
      <c r="H21" s="420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2"/>
      <c r="BE21" s="401"/>
      <c r="BF21" s="402"/>
      <c r="BG21" s="402"/>
      <c r="BH21" s="402"/>
      <c r="BI21" s="402"/>
      <c r="BJ21" s="403"/>
      <c r="BK21" s="401"/>
      <c r="BL21" s="402"/>
      <c r="BM21" s="402"/>
      <c r="BN21" s="402"/>
      <c r="BO21" s="402"/>
      <c r="BP21" s="403"/>
      <c r="BQ21" s="401"/>
      <c r="BR21" s="402"/>
      <c r="BS21" s="402"/>
      <c r="BT21" s="402"/>
      <c r="BU21" s="402"/>
      <c r="BV21" s="403"/>
      <c r="BW21" s="423">
        <v>3</v>
      </c>
      <c r="BX21" s="424"/>
      <c r="BY21" s="424"/>
      <c r="BZ21" s="424"/>
      <c r="CA21" s="424"/>
      <c r="CB21" s="425"/>
      <c r="CC21" s="124"/>
      <c r="CD21" s="125"/>
      <c r="CE21" s="125"/>
      <c r="CF21" s="125"/>
      <c r="CG21" s="126"/>
      <c r="CH21" s="124"/>
      <c r="CI21" s="125"/>
      <c r="CJ21" s="125"/>
      <c r="CK21" s="125"/>
      <c r="CL21" s="126"/>
      <c r="CM21" s="124"/>
      <c r="CN21" s="125"/>
      <c r="CO21" s="125"/>
      <c r="CP21" s="125"/>
      <c r="CQ21" s="126"/>
      <c r="CR21" s="124"/>
      <c r="CS21" s="125"/>
      <c r="CT21" s="125"/>
      <c r="CU21" s="125"/>
      <c r="CV21" s="126"/>
      <c r="CW21" s="124"/>
      <c r="CX21" s="125"/>
      <c r="CY21" s="125"/>
      <c r="CZ21" s="125"/>
      <c r="DA21" s="126"/>
      <c r="DB21" s="124"/>
      <c r="DC21" s="125"/>
      <c r="DD21" s="125"/>
      <c r="DE21" s="125"/>
      <c r="DF21" s="126"/>
      <c r="DG21" s="124"/>
      <c r="DH21" s="125"/>
      <c r="DI21" s="125"/>
      <c r="DJ21" s="125"/>
      <c r="DK21" s="126"/>
      <c r="DL21" s="124"/>
      <c r="DM21" s="125"/>
      <c r="DN21" s="125"/>
      <c r="DO21" s="125"/>
      <c r="DP21" s="126"/>
      <c r="DQ21" s="124"/>
      <c r="DR21" s="125"/>
      <c r="DS21" s="125"/>
      <c r="DT21" s="125"/>
      <c r="DU21" s="126"/>
      <c r="DV21" s="124"/>
      <c r="DW21" s="125"/>
      <c r="DX21" s="125"/>
      <c r="DY21" s="125"/>
      <c r="DZ21" s="126"/>
      <c r="EA21" s="124"/>
      <c r="EB21" s="125"/>
      <c r="EC21" s="125"/>
      <c r="ED21" s="125"/>
      <c r="EE21" s="126"/>
      <c r="EF21" s="124"/>
      <c r="EG21" s="125"/>
      <c r="EH21" s="125"/>
      <c r="EI21" s="125"/>
      <c r="EJ21" s="126"/>
      <c r="EK21" s="124"/>
      <c r="EL21" s="125"/>
      <c r="EM21" s="125"/>
      <c r="EN21" s="125"/>
      <c r="EO21" s="126"/>
      <c r="EP21" s="124"/>
      <c r="EQ21" s="125"/>
      <c r="ER21" s="125"/>
      <c r="ES21" s="125"/>
      <c r="ET21" s="126"/>
      <c r="EU21" s="124"/>
      <c r="EV21" s="125"/>
      <c r="EW21" s="125"/>
      <c r="EX21" s="125"/>
      <c r="EY21" s="126"/>
      <c r="EZ21" s="124"/>
      <c r="FA21" s="125"/>
      <c r="FB21" s="125"/>
      <c r="FC21" s="125"/>
      <c r="FD21" s="126"/>
      <c r="FE21" s="124"/>
      <c r="FF21" s="125"/>
      <c r="FG21" s="125"/>
      <c r="FH21" s="125"/>
      <c r="FI21" s="126"/>
      <c r="FJ21" s="124"/>
      <c r="FK21" s="125"/>
      <c r="FL21" s="125"/>
      <c r="FM21" s="125"/>
      <c r="FN21" s="126"/>
      <c r="FO21" s="124"/>
      <c r="FP21" s="125"/>
      <c r="FQ21" s="125"/>
      <c r="FR21" s="125"/>
      <c r="FS21" s="126"/>
      <c r="FT21" s="124"/>
      <c r="FU21" s="125"/>
      <c r="FV21" s="125"/>
      <c r="FW21" s="125"/>
      <c r="FX21" s="126"/>
      <c r="FY21" s="124"/>
      <c r="FZ21" s="125"/>
      <c r="GA21" s="125"/>
      <c r="GB21" s="125"/>
      <c r="GC21" s="126"/>
      <c r="GD21" s="124"/>
      <c r="GE21" s="125"/>
      <c r="GF21" s="125"/>
      <c r="GG21" s="125"/>
      <c r="GH21" s="126"/>
      <c r="GI21" s="124"/>
      <c r="GJ21" s="125"/>
      <c r="GK21" s="125"/>
      <c r="GL21" s="125"/>
      <c r="GM21" s="126"/>
      <c r="GN21" s="124"/>
      <c r="GO21" s="125"/>
      <c r="GP21" s="125"/>
      <c r="GQ21" s="125"/>
      <c r="GR21" s="126"/>
    </row>
    <row r="22" spans="1:200" ht="11.25" customHeight="1" x14ac:dyDescent="0.25">
      <c r="A22" s="416"/>
      <c r="B22" s="405"/>
      <c r="C22" s="405"/>
      <c r="D22" s="405"/>
      <c r="E22" s="405"/>
      <c r="F22" s="405"/>
      <c r="G22" s="406"/>
      <c r="H22" s="417"/>
      <c r="I22" s="418"/>
      <c r="J22" s="418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  <c r="AO22" s="418"/>
      <c r="AP22" s="418"/>
      <c r="AQ22" s="418"/>
      <c r="AR22" s="418"/>
      <c r="AS22" s="418"/>
      <c r="AT22" s="418"/>
      <c r="AU22" s="418"/>
      <c r="AV22" s="418"/>
      <c r="AW22" s="418"/>
      <c r="AX22" s="418"/>
      <c r="AY22" s="418"/>
      <c r="AZ22" s="418"/>
      <c r="BA22" s="418"/>
      <c r="BB22" s="418"/>
      <c r="BC22" s="418"/>
      <c r="BD22" s="419"/>
      <c r="BE22" s="398"/>
      <c r="BF22" s="399"/>
      <c r="BG22" s="399"/>
      <c r="BH22" s="399"/>
      <c r="BI22" s="399"/>
      <c r="BJ22" s="400"/>
      <c r="BK22" s="398"/>
      <c r="BL22" s="399"/>
      <c r="BM22" s="399"/>
      <c r="BN22" s="399"/>
      <c r="BO22" s="399"/>
      <c r="BP22" s="400"/>
      <c r="BQ22" s="398"/>
      <c r="BR22" s="399"/>
      <c r="BS22" s="399"/>
      <c r="BT22" s="399"/>
      <c r="BU22" s="399"/>
      <c r="BV22" s="400"/>
      <c r="BW22" s="426"/>
      <c r="BX22" s="427"/>
      <c r="BY22" s="427"/>
      <c r="BZ22" s="427"/>
      <c r="CA22" s="427"/>
      <c r="CB22" s="428"/>
      <c r="CC22" s="124"/>
      <c r="CD22" s="125"/>
      <c r="CE22" s="125"/>
      <c r="CF22" s="125"/>
      <c r="CG22" s="126"/>
      <c r="CH22" s="124"/>
      <c r="CI22" s="125"/>
      <c r="CJ22" s="125"/>
      <c r="CK22" s="125"/>
      <c r="CL22" s="126"/>
      <c r="CM22" s="124"/>
      <c r="CN22" s="125"/>
      <c r="CO22" s="125"/>
      <c r="CP22" s="125"/>
      <c r="CQ22" s="126"/>
      <c r="CR22" s="124"/>
      <c r="CS22" s="125"/>
      <c r="CT22" s="125"/>
      <c r="CU22" s="125"/>
      <c r="CV22" s="126"/>
      <c r="CW22" s="124"/>
      <c r="CX22" s="125"/>
      <c r="CY22" s="125"/>
      <c r="CZ22" s="125"/>
      <c r="DA22" s="126"/>
      <c r="DB22" s="124"/>
      <c r="DC22" s="125"/>
      <c r="DD22" s="125"/>
      <c r="DE22" s="125"/>
      <c r="DF22" s="126"/>
      <c r="DG22" s="124"/>
      <c r="DH22" s="125"/>
      <c r="DI22" s="125"/>
      <c r="DJ22" s="125"/>
      <c r="DK22" s="126"/>
      <c r="DL22" s="124"/>
      <c r="DM22" s="125"/>
      <c r="DN22" s="125"/>
      <c r="DO22" s="125"/>
      <c r="DP22" s="126"/>
      <c r="DQ22" s="124"/>
      <c r="DR22" s="125"/>
      <c r="DS22" s="125"/>
      <c r="DT22" s="125"/>
      <c r="DU22" s="126"/>
      <c r="DV22" s="124"/>
      <c r="DW22" s="125"/>
      <c r="DX22" s="125"/>
      <c r="DY22" s="125"/>
      <c r="DZ22" s="126"/>
      <c r="EA22" s="124"/>
      <c r="EB22" s="125"/>
      <c r="EC22" s="125"/>
      <c r="ED22" s="125"/>
      <c r="EE22" s="126"/>
      <c r="EF22" s="124"/>
      <c r="EG22" s="125"/>
      <c r="EH22" s="125"/>
      <c r="EI22" s="125"/>
      <c r="EJ22" s="126"/>
      <c r="EK22" s="124"/>
      <c r="EL22" s="125"/>
      <c r="EM22" s="125"/>
      <c r="EN22" s="125"/>
      <c r="EO22" s="126"/>
      <c r="EP22" s="124"/>
      <c r="EQ22" s="125"/>
      <c r="ER22" s="125"/>
      <c r="ES22" s="125"/>
      <c r="ET22" s="126"/>
      <c r="EU22" s="124"/>
      <c r="EV22" s="125"/>
      <c r="EW22" s="125"/>
      <c r="EX22" s="125"/>
      <c r="EY22" s="126"/>
      <c r="EZ22" s="124"/>
      <c r="FA22" s="125"/>
      <c r="FB22" s="125"/>
      <c r="FC22" s="125"/>
      <c r="FD22" s="126"/>
      <c r="FE22" s="124"/>
      <c r="FF22" s="125"/>
      <c r="FG22" s="125"/>
      <c r="FH22" s="125"/>
      <c r="FI22" s="126"/>
      <c r="FJ22" s="124"/>
      <c r="FK22" s="125"/>
      <c r="FL22" s="125"/>
      <c r="FM22" s="125"/>
      <c r="FN22" s="126"/>
      <c r="FO22" s="124"/>
      <c r="FP22" s="125"/>
      <c r="FQ22" s="125"/>
      <c r="FR22" s="125"/>
      <c r="FS22" s="126"/>
      <c r="FT22" s="124"/>
      <c r="FU22" s="125"/>
      <c r="FV22" s="125"/>
      <c r="FW22" s="125"/>
      <c r="FX22" s="126"/>
      <c r="FY22" s="124"/>
      <c r="FZ22" s="125"/>
      <c r="GA22" s="125"/>
      <c r="GB22" s="125"/>
      <c r="GC22" s="126"/>
      <c r="GD22" s="124"/>
      <c r="GE22" s="125"/>
      <c r="GF22" s="125"/>
      <c r="GG22" s="125"/>
      <c r="GH22" s="126"/>
      <c r="GI22" s="124"/>
      <c r="GJ22" s="125"/>
      <c r="GK22" s="125"/>
      <c r="GL22" s="125"/>
      <c r="GM22" s="126"/>
      <c r="GN22" s="124"/>
      <c r="GO22" s="125"/>
      <c r="GP22" s="125"/>
      <c r="GQ22" s="125"/>
      <c r="GR22" s="126"/>
    </row>
    <row r="23" spans="1:200" ht="11.25" customHeight="1" x14ac:dyDescent="0.25">
      <c r="A23" s="407"/>
      <c r="B23" s="408"/>
      <c r="C23" s="408"/>
      <c r="D23" s="408"/>
      <c r="E23" s="408"/>
      <c r="F23" s="408"/>
      <c r="G23" s="409"/>
      <c r="H23" s="420"/>
      <c r="I23" s="421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421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2"/>
      <c r="BE23" s="401"/>
      <c r="BF23" s="402"/>
      <c r="BG23" s="402"/>
      <c r="BH23" s="402"/>
      <c r="BI23" s="402"/>
      <c r="BJ23" s="403"/>
      <c r="BK23" s="401"/>
      <c r="BL23" s="402"/>
      <c r="BM23" s="402"/>
      <c r="BN23" s="402"/>
      <c r="BO23" s="402"/>
      <c r="BP23" s="403"/>
      <c r="BQ23" s="401"/>
      <c r="BR23" s="402"/>
      <c r="BS23" s="402"/>
      <c r="BT23" s="402"/>
      <c r="BU23" s="402"/>
      <c r="BV23" s="403"/>
      <c r="BW23" s="423"/>
      <c r="BX23" s="424"/>
      <c r="BY23" s="424"/>
      <c r="BZ23" s="424"/>
      <c r="CA23" s="424"/>
      <c r="CB23" s="425"/>
      <c r="CC23" s="124"/>
      <c r="CD23" s="125"/>
      <c r="CE23" s="125"/>
      <c r="CF23" s="125"/>
      <c r="CG23" s="126"/>
      <c r="CH23" s="124"/>
      <c r="CI23" s="125"/>
      <c r="CJ23" s="125"/>
      <c r="CK23" s="125"/>
      <c r="CL23" s="126"/>
      <c r="CM23" s="124"/>
      <c r="CN23" s="125"/>
      <c r="CO23" s="125"/>
      <c r="CP23" s="125"/>
      <c r="CQ23" s="126"/>
      <c r="CR23" s="124"/>
      <c r="CS23" s="125"/>
      <c r="CT23" s="125"/>
      <c r="CU23" s="125"/>
      <c r="CV23" s="126"/>
      <c r="CW23" s="124"/>
      <c r="CX23" s="125"/>
      <c r="CY23" s="125"/>
      <c r="CZ23" s="125"/>
      <c r="DA23" s="126"/>
      <c r="DB23" s="124"/>
      <c r="DC23" s="125"/>
      <c r="DD23" s="125"/>
      <c r="DE23" s="125"/>
      <c r="DF23" s="126"/>
      <c r="DG23" s="124"/>
      <c r="DH23" s="125"/>
      <c r="DI23" s="125"/>
      <c r="DJ23" s="125"/>
      <c r="DK23" s="126"/>
      <c r="DL23" s="124"/>
      <c r="DM23" s="125"/>
      <c r="DN23" s="125"/>
      <c r="DO23" s="125"/>
      <c r="DP23" s="126"/>
      <c r="DQ23" s="124"/>
      <c r="DR23" s="125"/>
      <c r="DS23" s="125"/>
      <c r="DT23" s="125"/>
      <c r="DU23" s="126"/>
      <c r="DV23" s="124"/>
      <c r="DW23" s="125"/>
      <c r="DX23" s="125"/>
      <c r="DY23" s="125"/>
      <c r="DZ23" s="126"/>
      <c r="EA23" s="124"/>
      <c r="EB23" s="125"/>
      <c r="EC23" s="125"/>
      <c r="ED23" s="125"/>
      <c r="EE23" s="126"/>
      <c r="EF23" s="124"/>
      <c r="EG23" s="125"/>
      <c r="EH23" s="125"/>
      <c r="EI23" s="125"/>
      <c r="EJ23" s="126"/>
      <c r="EK23" s="124"/>
      <c r="EL23" s="125"/>
      <c r="EM23" s="125"/>
      <c r="EN23" s="125"/>
      <c r="EO23" s="126"/>
      <c r="EP23" s="124"/>
      <c r="EQ23" s="125"/>
      <c r="ER23" s="125"/>
      <c r="ES23" s="125"/>
      <c r="ET23" s="126"/>
      <c r="EU23" s="124"/>
      <c r="EV23" s="125"/>
      <c r="EW23" s="125"/>
      <c r="EX23" s="125"/>
      <c r="EY23" s="126"/>
      <c r="EZ23" s="124"/>
      <c r="FA23" s="125"/>
      <c r="FB23" s="125"/>
      <c r="FC23" s="125"/>
      <c r="FD23" s="126"/>
      <c r="FE23" s="124"/>
      <c r="FF23" s="125"/>
      <c r="FG23" s="125"/>
      <c r="FH23" s="125"/>
      <c r="FI23" s="126"/>
      <c r="FJ23" s="124"/>
      <c r="FK23" s="125"/>
      <c r="FL23" s="125"/>
      <c r="FM23" s="125"/>
      <c r="FN23" s="126"/>
      <c r="FO23" s="124"/>
      <c r="FP23" s="125"/>
      <c r="FQ23" s="125"/>
      <c r="FR23" s="125"/>
      <c r="FS23" s="126"/>
      <c r="FT23" s="124"/>
      <c r="FU23" s="125"/>
      <c r="FV23" s="125"/>
      <c r="FW23" s="125"/>
      <c r="FX23" s="126"/>
      <c r="FY23" s="124"/>
      <c r="FZ23" s="125"/>
      <c r="GA23" s="125"/>
      <c r="GB23" s="125"/>
      <c r="GC23" s="126"/>
      <c r="GD23" s="124"/>
      <c r="GE23" s="125"/>
      <c r="GF23" s="125"/>
      <c r="GG23" s="125"/>
      <c r="GH23" s="126"/>
      <c r="GI23" s="124"/>
      <c r="GJ23" s="125"/>
      <c r="GK23" s="125"/>
      <c r="GL23" s="125"/>
      <c r="GM23" s="126"/>
      <c r="GN23" s="124"/>
      <c r="GO23" s="125"/>
      <c r="GP23" s="125"/>
      <c r="GQ23" s="125"/>
      <c r="GR23" s="126"/>
    </row>
    <row r="24" spans="1:200" ht="11.25" customHeight="1" x14ac:dyDescent="0.25">
      <c r="A24" s="416"/>
      <c r="B24" s="405"/>
      <c r="C24" s="405"/>
      <c r="D24" s="405"/>
      <c r="E24" s="405"/>
      <c r="F24" s="405"/>
      <c r="G24" s="406"/>
      <c r="H24" s="417"/>
      <c r="I24" s="418"/>
      <c r="J24" s="418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  <c r="AO24" s="418"/>
      <c r="AP24" s="418"/>
      <c r="AQ24" s="418"/>
      <c r="AR24" s="418"/>
      <c r="AS24" s="418"/>
      <c r="AT24" s="418"/>
      <c r="AU24" s="418"/>
      <c r="AV24" s="418"/>
      <c r="AW24" s="418"/>
      <c r="AX24" s="418"/>
      <c r="AY24" s="418"/>
      <c r="AZ24" s="418"/>
      <c r="BA24" s="418"/>
      <c r="BB24" s="418"/>
      <c r="BC24" s="418"/>
      <c r="BD24" s="419"/>
      <c r="BE24" s="398"/>
      <c r="BF24" s="399"/>
      <c r="BG24" s="399"/>
      <c r="BH24" s="399"/>
      <c r="BI24" s="399"/>
      <c r="BJ24" s="400"/>
      <c r="BK24" s="398"/>
      <c r="BL24" s="399"/>
      <c r="BM24" s="399"/>
      <c r="BN24" s="399"/>
      <c r="BO24" s="399"/>
      <c r="BP24" s="400"/>
      <c r="BQ24" s="398"/>
      <c r="BR24" s="399"/>
      <c r="BS24" s="399"/>
      <c r="BT24" s="399"/>
      <c r="BU24" s="399"/>
      <c r="BV24" s="400"/>
      <c r="BW24" s="426"/>
      <c r="BX24" s="427"/>
      <c r="BY24" s="427"/>
      <c r="BZ24" s="427"/>
      <c r="CA24" s="427"/>
      <c r="CB24" s="428"/>
      <c r="CC24" s="124"/>
      <c r="CD24" s="125"/>
      <c r="CE24" s="125"/>
      <c r="CF24" s="125"/>
      <c r="CG24" s="126"/>
      <c r="CH24" s="124"/>
      <c r="CI24" s="125"/>
      <c r="CJ24" s="125"/>
      <c r="CK24" s="125"/>
      <c r="CL24" s="126"/>
      <c r="CM24" s="124"/>
      <c r="CN24" s="125"/>
      <c r="CO24" s="125"/>
      <c r="CP24" s="125"/>
      <c r="CQ24" s="126"/>
      <c r="CR24" s="124"/>
      <c r="CS24" s="125"/>
      <c r="CT24" s="125"/>
      <c r="CU24" s="125"/>
      <c r="CV24" s="126"/>
      <c r="CW24" s="124"/>
      <c r="CX24" s="125"/>
      <c r="CY24" s="125"/>
      <c r="CZ24" s="125"/>
      <c r="DA24" s="126"/>
      <c r="DB24" s="124"/>
      <c r="DC24" s="125"/>
      <c r="DD24" s="125"/>
      <c r="DE24" s="125"/>
      <c r="DF24" s="126"/>
      <c r="DG24" s="124"/>
      <c r="DH24" s="125"/>
      <c r="DI24" s="125"/>
      <c r="DJ24" s="125"/>
      <c r="DK24" s="126"/>
      <c r="DL24" s="124"/>
      <c r="DM24" s="125"/>
      <c r="DN24" s="125"/>
      <c r="DO24" s="125"/>
      <c r="DP24" s="126"/>
      <c r="DQ24" s="124"/>
      <c r="DR24" s="125"/>
      <c r="DS24" s="125"/>
      <c r="DT24" s="125"/>
      <c r="DU24" s="126"/>
      <c r="DV24" s="124"/>
      <c r="DW24" s="125"/>
      <c r="DX24" s="125"/>
      <c r="DY24" s="125"/>
      <c r="DZ24" s="126"/>
      <c r="EA24" s="124"/>
      <c r="EB24" s="125"/>
      <c r="EC24" s="125"/>
      <c r="ED24" s="125"/>
      <c r="EE24" s="126"/>
      <c r="EF24" s="124"/>
      <c r="EG24" s="125"/>
      <c r="EH24" s="125"/>
      <c r="EI24" s="125"/>
      <c r="EJ24" s="126"/>
      <c r="EK24" s="124"/>
      <c r="EL24" s="125"/>
      <c r="EM24" s="125"/>
      <c r="EN24" s="125"/>
      <c r="EO24" s="126"/>
      <c r="EP24" s="124"/>
      <c r="EQ24" s="125"/>
      <c r="ER24" s="125"/>
      <c r="ES24" s="125"/>
      <c r="ET24" s="126"/>
      <c r="EU24" s="124"/>
      <c r="EV24" s="125"/>
      <c r="EW24" s="125"/>
      <c r="EX24" s="125"/>
      <c r="EY24" s="126"/>
      <c r="EZ24" s="124"/>
      <c r="FA24" s="125"/>
      <c r="FB24" s="125"/>
      <c r="FC24" s="125"/>
      <c r="FD24" s="126"/>
      <c r="FE24" s="124"/>
      <c r="FF24" s="125"/>
      <c r="FG24" s="125"/>
      <c r="FH24" s="125"/>
      <c r="FI24" s="126"/>
      <c r="FJ24" s="124"/>
      <c r="FK24" s="125"/>
      <c r="FL24" s="125"/>
      <c r="FM24" s="125"/>
      <c r="FN24" s="126"/>
      <c r="FO24" s="124"/>
      <c r="FP24" s="125"/>
      <c r="FQ24" s="125"/>
      <c r="FR24" s="125"/>
      <c r="FS24" s="126"/>
      <c r="FT24" s="124"/>
      <c r="FU24" s="125"/>
      <c r="FV24" s="125"/>
      <c r="FW24" s="125"/>
      <c r="FX24" s="126"/>
      <c r="FY24" s="124"/>
      <c r="FZ24" s="125"/>
      <c r="GA24" s="125"/>
      <c r="GB24" s="125"/>
      <c r="GC24" s="126"/>
      <c r="GD24" s="124"/>
      <c r="GE24" s="125"/>
      <c r="GF24" s="125"/>
      <c r="GG24" s="125"/>
      <c r="GH24" s="126"/>
      <c r="GI24" s="124"/>
      <c r="GJ24" s="125"/>
      <c r="GK24" s="125"/>
      <c r="GL24" s="125"/>
      <c r="GM24" s="126"/>
      <c r="GN24" s="124"/>
      <c r="GO24" s="125"/>
      <c r="GP24" s="125"/>
      <c r="GQ24" s="125"/>
      <c r="GR24" s="126"/>
    </row>
    <row r="25" spans="1:200" ht="11.25" customHeight="1" x14ac:dyDescent="0.25">
      <c r="A25" s="407"/>
      <c r="B25" s="408"/>
      <c r="C25" s="408"/>
      <c r="D25" s="408"/>
      <c r="E25" s="408"/>
      <c r="F25" s="408"/>
      <c r="G25" s="409"/>
      <c r="H25" s="420"/>
      <c r="I25" s="421"/>
      <c r="J25" s="421"/>
      <c r="K25" s="421"/>
      <c r="L25" s="421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1"/>
      <c r="AA25" s="421"/>
      <c r="AB25" s="421"/>
      <c r="AC25" s="421"/>
      <c r="AD25" s="421"/>
      <c r="AE25" s="421"/>
      <c r="AF25" s="421"/>
      <c r="AG25" s="421"/>
      <c r="AH25" s="421"/>
      <c r="AI25" s="421"/>
      <c r="AJ25" s="421"/>
      <c r="AK25" s="421"/>
      <c r="AL25" s="421"/>
      <c r="AM25" s="421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2"/>
      <c r="BE25" s="401"/>
      <c r="BF25" s="402"/>
      <c r="BG25" s="402"/>
      <c r="BH25" s="402"/>
      <c r="BI25" s="402"/>
      <c r="BJ25" s="403"/>
      <c r="BK25" s="401"/>
      <c r="BL25" s="402"/>
      <c r="BM25" s="402"/>
      <c r="BN25" s="402"/>
      <c r="BO25" s="402"/>
      <c r="BP25" s="403"/>
      <c r="BQ25" s="401"/>
      <c r="BR25" s="402"/>
      <c r="BS25" s="402"/>
      <c r="BT25" s="402"/>
      <c r="BU25" s="402"/>
      <c r="BV25" s="403"/>
      <c r="BW25" s="423"/>
      <c r="BX25" s="424"/>
      <c r="BY25" s="424"/>
      <c r="BZ25" s="424"/>
      <c r="CA25" s="424"/>
      <c r="CB25" s="425"/>
      <c r="CC25" s="124"/>
      <c r="CD25" s="125"/>
      <c r="CE25" s="125"/>
      <c r="CF25" s="125"/>
      <c r="CG25" s="126"/>
      <c r="CH25" s="124"/>
      <c r="CI25" s="125"/>
      <c r="CJ25" s="125"/>
      <c r="CK25" s="125"/>
      <c r="CL25" s="126"/>
      <c r="CM25" s="124"/>
      <c r="CN25" s="125"/>
      <c r="CO25" s="125"/>
      <c r="CP25" s="125"/>
      <c r="CQ25" s="126"/>
      <c r="CR25" s="124"/>
      <c r="CS25" s="125"/>
      <c r="CT25" s="125"/>
      <c r="CU25" s="125"/>
      <c r="CV25" s="126"/>
      <c r="CW25" s="124"/>
      <c r="CX25" s="125"/>
      <c r="CY25" s="125"/>
      <c r="CZ25" s="125"/>
      <c r="DA25" s="126"/>
      <c r="DB25" s="124"/>
      <c r="DC25" s="125"/>
      <c r="DD25" s="125"/>
      <c r="DE25" s="125"/>
      <c r="DF25" s="126"/>
      <c r="DG25" s="124"/>
      <c r="DH25" s="125"/>
      <c r="DI25" s="125"/>
      <c r="DJ25" s="125"/>
      <c r="DK25" s="126"/>
      <c r="DL25" s="124"/>
      <c r="DM25" s="125"/>
      <c r="DN25" s="125"/>
      <c r="DO25" s="125"/>
      <c r="DP25" s="126"/>
      <c r="DQ25" s="124"/>
      <c r="DR25" s="125"/>
      <c r="DS25" s="125"/>
      <c r="DT25" s="125"/>
      <c r="DU25" s="126"/>
      <c r="DV25" s="124"/>
      <c r="DW25" s="125"/>
      <c r="DX25" s="125"/>
      <c r="DY25" s="125"/>
      <c r="DZ25" s="126"/>
      <c r="EA25" s="124"/>
      <c r="EB25" s="125"/>
      <c r="EC25" s="125"/>
      <c r="ED25" s="125"/>
      <c r="EE25" s="126"/>
      <c r="EF25" s="124"/>
      <c r="EG25" s="125"/>
      <c r="EH25" s="125"/>
      <c r="EI25" s="125"/>
      <c r="EJ25" s="126"/>
      <c r="EK25" s="124"/>
      <c r="EL25" s="125"/>
      <c r="EM25" s="125"/>
      <c r="EN25" s="125"/>
      <c r="EO25" s="126"/>
      <c r="EP25" s="124"/>
      <c r="EQ25" s="125"/>
      <c r="ER25" s="125"/>
      <c r="ES25" s="125"/>
      <c r="ET25" s="126"/>
      <c r="EU25" s="124"/>
      <c r="EV25" s="125"/>
      <c r="EW25" s="125"/>
      <c r="EX25" s="125"/>
      <c r="EY25" s="126"/>
      <c r="EZ25" s="124"/>
      <c r="FA25" s="125"/>
      <c r="FB25" s="125"/>
      <c r="FC25" s="125"/>
      <c r="FD25" s="126"/>
      <c r="FE25" s="124"/>
      <c r="FF25" s="125"/>
      <c r="FG25" s="125"/>
      <c r="FH25" s="125"/>
      <c r="FI25" s="126"/>
      <c r="FJ25" s="124"/>
      <c r="FK25" s="125"/>
      <c r="FL25" s="125"/>
      <c r="FM25" s="125"/>
      <c r="FN25" s="126"/>
      <c r="FO25" s="124"/>
      <c r="FP25" s="125"/>
      <c r="FQ25" s="125"/>
      <c r="FR25" s="125"/>
      <c r="FS25" s="126"/>
      <c r="FT25" s="124"/>
      <c r="FU25" s="125"/>
      <c r="FV25" s="125"/>
      <c r="FW25" s="125"/>
      <c r="FX25" s="126"/>
      <c r="FY25" s="124"/>
      <c r="FZ25" s="125"/>
      <c r="GA25" s="125"/>
      <c r="GB25" s="125"/>
      <c r="GC25" s="126"/>
      <c r="GD25" s="124"/>
      <c r="GE25" s="125"/>
      <c r="GF25" s="125"/>
      <c r="GG25" s="125"/>
      <c r="GH25" s="126"/>
      <c r="GI25" s="124"/>
      <c r="GJ25" s="125"/>
      <c r="GK25" s="125"/>
      <c r="GL25" s="125"/>
      <c r="GM25" s="126"/>
      <c r="GN25" s="124"/>
      <c r="GO25" s="125"/>
      <c r="GP25" s="125"/>
      <c r="GQ25" s="125"/>
      <c r="GR25" s="126"/>
    </row>
    <row r="26" spans="1:200" ht="11.25" customHeight="1" x14ac:dyDescent="0.25">
      <c r="A26" s="416" t="s">
        <v>237</v>
      </c>
      <c r="B26" s="405"/>
      <c r="C26" s="405"/>
      <c r="D26" s="405"/>
      <c r="E26" s="405"/>
      <c r="F26" s="405"/>
      <c r="G26" s="406"/>
      <c r="H26" s="417" t="s">
        <v>239</v>
      </c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8"/>
      <c r="AR26" s="418"/>
      <c r="AS26" s="418"/>
      <c r="AT26" s="418"/>
      <c r="AU26" s="418"/>
      <c r="AV26" s="418"/>
      <c r="AW26" s="418"/>
      <c r="AX26" s="418"/>
      <c r="AY26" s="418"/>
      <c r="AZ26" s="418"/>
      <c r="BA26" s="418"/>
      <c r="BB26" s="418"/>
      <c r="BC26" s="418"/>
      <c r="BD26" s="419"/>
      <c r="BE26" s="398">
        <v>10</v>
      </c>
      <c r="BF26" s="399"/>
      <c r="BG26" s="399"/>
      <c r="BH26" s="399"/>
      <c r="BI26" s="399"/>
      <c r="BJ26" s="400"/>
      <c r="BK26" s="398"/>
      <c r="BL26" s="399"/>
      <c r="BM26" s="399"/>
      <c r="BN26" s="399"/>
      <c r="BO26" s="399"/>
      <c r="BP26" s="400"/>
      <c r="BQ26" s="398">
        <v>19</v>
      </c>
      <c r="BR26" s="399"/>
      <c r="BS26" s="399"/>
      <c r="BT26" s="399"/>
      <c r="BU26" s="399"/>
      <c r="BV26" s="400"/>
      <c r="BW26" s="426"/>
      <c r="BX26" s="427"/>
      <c r="BY26" s="427"/>
      <c r="BZ26" s="427"/>
      <c r="CA26" s="427"/>
      <c r="CB26" s="428"/>
      <c r="CC26" s="124"/>
      <c r="CD26" s="125"/>
      <c r="CE26" s="125"/>
      <c r="CF26" s="125"/>
      <c r="CG26" s="126"/>
      <c r="CH26" s="124"/>
      <c r="CI26" s="125"/>
      <c r="CJ26" s="125"/>
      <c r="CK26" s="125"/>
      <c r="CL26" s="126"/>
      <c r="CM26" s="124"/>
      <c r="CN26" s="125"/>
      <c r="CO26" s="125"/>
      <c r="CP26" s="125"/>
      <c r="CQ26" s="126"/>
      <c r="CR26" s="124"/>
      <c r="CS26" s="125"/>
      <c r="CT26" s="125"/>
      <c r="CU26" s="125"/>
      <c r="CV26" s="126"/>
      <c r="CW26" s="124"/>
      <c r="CX26" s="125"/>
      <c r="CY26" s="125"/>
      <c r="CZ26" s="125"/>
      <c r="DA26" s="126"/>
      <c r="DB26" s="124"/>
      <c r="DC26" s="125"/>
      <c r="DD26" s="125"/>
      <c r="DE26" s="125"/>
      <c r="DF26" s="126"/>
      <c r="DG26" s="124"/>
      <c r="DH26" s="125"/>
      <c r="DI26" s="125"/>
      <c r="DJ26" s="125"/>
      <c r="DK26" s="126"/>
      <c r="DL26" s="124"/>
      <c r="DM26" s="125"/>
      <c r="DN26" s="125"/>
      <c r="DO26" s="125"/>
      <c r="DP26" s="126"/>
      <c r="DQ26" s="124"/>
      <c r="DR26" s="125"/>
      <c r="DS26" s="125"/>
      <c r="DT26" s="125"/>
      <c r="DU26" s="126"/>
      <c r="DV26" s="124"/>
      <c r="DW26" s="125"/>
      <c r="DX26" s="125"/>
      <c r="DY26" s="125"/>
      <c r="DZ26" s="126"/>
      <c r="EA26" s="124"/>
      <c r="EB26" s="125"/>
      <c r="EC26" s="125"/>
      <c r="ED26" s="125"/>
      <c r="EE26" s="126"/>
      <c r="EF26" s="124"/>
      <c r="EG26" s="125"/>
      <c r="EH26" s="125"/>
      <c r="EI26" s="125"/>
      <c r="EJ26" s="126"/>
      <c r="EK26" s="124"/>
      <c r="EL26" s="125"/>
      <c r="EM26" s="125"/>
      <c r="EN26" s="125"/>
      <c r="EO26" s="126"/>
      <c r="EP26" s="124"/>
      <c r="EQ26" s="125"/>
      <c r="ER26" s="125"/>
      <c r="ES26" s="125"/>
      <c r="ET26" s="126"/>
      <c r="EU26" s="124"/>
      <c r="EV26" s="125"/>
      <c r="EW26" s="125"/>
      <c r="EX26" s="125"/>
      <c r="EY26" s="126"/>
      <c r="EZ26" s="124"/>
      <c r="FA26" s="125"/>
      <c r="FB26" s="125"/>
      <c r="FC26" s="125"/>
      <c r="FD26" s="126"/>
      <c r="FE26" s="124"/>
      <c r="FF26" s="125"/>
      <c r="FG26" s="125"/>
      <c r="FH26" s="125"/>
      <c r="FI26" s="126"/>
      <c r="FJ26" s="124"/>
      <c r="FK26" s="125"/>
      <c r="FL26" s="125"/>
      <c r="FM26" s="125"/>
      <c r="FN26" s="126"/>
      <c r="FO26" s="124"/>
      <c r="FP26" s="125"/>
      <c r="FQ26" s="125"/>
      <c r="FR26" s="125"/>
      <c r="FS26" s="126"/>
      <c r="FT26" s="124"/>
      <c r="FU26" s="125"/>
      <c r="FV26" s="125"/>
      <c r="FW26" s="125"/>
      <c r="FX26" s="126"/>
      <c r="FY26" s="124"/>
      <c r="FZ26" s="125"/>
      <c r="GA26" s="125"/>
      <c r="GB26" s="125"/>
      <c r="GC26" s="126"/>
      <c r="GD26" s="124"/>
      <c r="GE26" s="125"/>
      <c r="GF26" s="125"/>
      <c r="GG26" s="125"/>
      <c r="GH26" s="126"/>
      <c r="GI26" s="124"/>
      <c r="GJ26" s="125"/>
      <c r="GK26" s="125"/>
      <c r="GL26" s="125"/>
      <c r="GM26" s="126"/>
      <c r="GN26" s="124"/>
      <c r="GO26" s="125"/>
      <c r="GP26" s="125"/>
      <c r="GQ26" s="125"/>
      <c r="GR26" s="126"/>
    </row>
    <row r="27" spans="1:200" ht="11.25" customHeight="1" x14ac:dyDescent="0.25">
      <c r="A27" s="407"/>
      <c r="B27" s="408"/>
      <c r="C27" s="408"/>
      <c r="D27" s="408"/>
      <c r="E27" s="408"/>
      <c r="F27" s="408"/>
      <c r="G27" s="409"/>
      <c r="H27" s="420"/>
      <c r="I27" s="421"/>
      <c r="J27" s="421"/>
      <c r="K27" s="421"/>
      <c r="L27" s="421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1"/>
      <c r="AC27" s="421"/>
      <c r="AD27" s="421"/>
      <c r="AE27" s="421"/>
      <c r="AF27" s="421"/>
      <c r="AG27" s="421"/>
      <c r="AH27" s="421"/>
      <c r="AI27" s="421"/>
      <c r="AJ27" s="421"/>
      <c r="AK27" s="421"/>
      <c r="AL27" s="421"/>
      <c r="AM27" s="421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2"/>
      <c r="BE27" s="401"/>
      <c r="BF27" s="402"/>
      <c r="BG27" s="402"/>
      <c r="BH27" s="402"/>
      <c r="BI27" s="402"/>
      <c r="BJ27" s="403"/>
      <c r="BK27" s="401"/>
      <c r="BL27" s="402"/>
      <c r="BM27" s="402"/>
      <c r="BN27" s="402"/>
      <c r="BO27" s="402"/>
      <c r="BP27" s="403"/>
      <c r="BQ27" s="401"/>
      <c r="BR27" s="402"/>
      <c r="BS27" s="402"/>
      <c r="BT27" s="402"/>
      <c r="BU27" s="402"/>
      <c r="BV27" s="403"/>
      <c r="BW27" s="423">
        <v>3</v>
      </c>
      <c r="BX27" s="424"/>
      <c r="BY27" s="424"/>
      <c r="BZ27" s="424"/>
      <c r="CA27" s="424"/>
      <c r="CB27" s="425"/>
      <c r="CC27" s="124"/>
      <c r="CD27" s="125"/>
      <c r="CE27" s="125"/>
      <c r="CF27" s="125"/>
      <c r="CG27" s="126"/>
      <c r="CH27" s="124"/>
      <c r="CI27" s="125"/>
      <c r="CJ27" s="125"/>
      <c r="CK27" s="125"/>
      <c r="CL27" s="126"/>
      <c r="CM27" s="124"/>
      <c r="CN27" s="125"/>
      <c r="CO27" s="125"/>
      <c r="CP27" s="125"/>
      <c r="CQ27" s="126"/>
      <c r="CR27" s="124"/>
      <c r="CS27" s="125"/>
      <c r="CT27" s="125"/>
      <c r="CU27" s="125"/>
      <c r="CV27" s="126"/>
      <c r="CW27" s="124"/>
      <c r="CX27" s="125"/>
      <c r="CY27" s="125"/>
      <c r="CZ27" s="125"/>
      <c r="DA27" s="126"/>
      <c r="DB27" s="124"/>
      <c r="DC27" s="125"/>
      <c r="DD27" s="125"/>
      <c r="DE27" s="125"/>
      <c r="DF27" s="126"/>
      <c r="DG27" s="124"/>
      <c r="DH27" s="125"/>
      <c r="DI27" s="125"/>
      <c r="DJ27" s="125"/>
      <c r="DK27" s="126"/>
      <c r="DL27" s="124"/>
      <c r="DM27" s="125"/>
      <c r="DN27" s="125"/>
      <c r="DO27" s="125"/>
      <c r="DP27" s="126"/>
      <c r="DQ27" s="124"/>
      <c r="DR27" s="125"/>
      <c r="DS27" s="125"/>
      <c r="DT27" s="125"/>
      <c r="DU27" s="126"/>
      <c r="DV27" s="124"/>
      <c r="DW27" s="125"/>
      <c r="DX27" s="125"/>
      <c r="DY27" s="125"/>
      <c r="DZ27" s="126"/>
      <c r="EA27" s="124"/>
      <c r="EB27" s="125"/>
      <c r="EC27" s="125"/>
      <c r="ED27" s="125"/>
      <c r="EE27" s="126"/>
      <c r="EF27" s="124"/>
      <c r="EG27" s="125"/>
      <c r="EH27" s="125"/>
      <c r="EI27" s="125"/>
      <c r="EJ27" s="126"/>
      <c r="EK27" s="124"/>
      <c r="EL27" s="125"/>
      <c r="EM27" s="125"/>
      <c r="EN27" s="125"/>
      <c r="EO27" s="126"/>
      <c r="EP27" s="124"/>
      <c r="EQ27" s="125"/>
      <c r="ER27" s="125"/>
      <c r="ES27" s="125"/>
      <c r="ET27" s="126"/>
      <c r="EU27" s="124"/>
      <c r="EV27" s="125"/>
      <c r="EW27" s="125"/>
      <c r="EX27" s="125"/>
      <c r="EY27" s="126"/>
      <c r="EZ27" s="124"/>
      <c r="FA27" s="125"/>
      <c r="FB27" s="125"/>
      <c r="FC27" s="125"/>
      <c r="FD27" s="126"/>
      <c r="FE27" s="124"/>
      <c r="FF27" s="125"/>
      <c r="FG27" s="125"/>
      <c r="FH27" s="125"/>
      <c r="FI27" s="126"/>
      <c r="FJ27" s="124"/>
      <c r="FK27" s="125"/>
      <c r="FL27" s="125"/>
      <c r="FM27" s="125"/>
      <c r="FN27" s="126"/>
      <c r="FO27" s="124"/>
      <c r="FP27" s="125"/>
      <c r="FQ27" s="125"/>
      <c r="FR27" s="125"/>
      <c r="FS27" s="126"/>
      <c r="FT27" s="124"/>
      <c r="FU27" s="125"/>
      <c r="FV27" s="125"/>
      <c r="FW27" s="125"/>
      <c r="FX27" s="126"/>
      <c r="FY27" s="124"/>
      <c r="FZ27" s="125"/>
      <c r="GA27" s="125"/>
      <c r="GB27" s="125"/>
      <c r="GC27" s="126"/>
      <c r="GD27" s="124"/>
      <c r="GE27" s="125"/>
      <c r="GF27" s="125"/>
      <c r="GG27" s="125"/>
      <c r="GH27" s="126"/>
      <c r="GI27" s="124"/>
      <c r="GJ27" s="125"/>
      <c r="GK27" s="125"/>
      <c r="GL27" s="125"/>
      <c r="GM27" s="126"/>
      <c r="GN27" s="124"/>
      <c r="GO27" s="125"/>
      <c r="GP27" s="125"/>
      <c r="GQ27" s="125"/>
      <c r="GR27" s="126"/>
    </row>
    <row r="28" spans="1:200" ht="11.25" customHeight="1" x14ac:dyDescent="0.25">
      <c r="A28" s="416" t="s">
        <v>238</v>
      </c>
      <c r="B28" s="405"/>
      <c r="C28" s="405"/>
      <c r="D28" s="405"/>
      <c r="E28" s="405"/>
      <c r="F28" s="405"/>
      <c r="G28" s="406"/>
      <c r="H28" s="417" t="s">
        <v>240</v>
      </c>
      <c r="I28" s="418"/>
      <c r="J28" s="418"/>
      <c r="K28" s="418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  <c r="AO28" s="418"/>
      <c r="AP28" s="418"/>
      <c r="AQ28" s="418"/>
      <c r="AR28" s="418"/>
      <c r="AS28" s="418"/>
      <c r="AT28" s="418"/>
      <c r="AU28" s="418"/>
      <c r="AV28" s="418"/>
      <c r="AW28" s="418"/>
      <c r="AX28" s="418"/>
      <c r="AY28" s="418"/>
      <c r="AZ28" s="418"/>
      <c r="BA28" s="418"/>
      <c r="BB28" s="418"/>
      <c r="BC28" s="418"/>
      <c r="BD28" s="419"/>
      <c r="BE28" s="398">
        <v>6</v>
      </c>
      <c r="BF28" s="399"/>
      <c r="BG28" s="399"/>
      <c r="BH28" s="399"/>
      <c r="BI28" s="399"/>
      <c r="BJ28" s="400"/>
      <c r="BK28" s="398"/>
      <c r="BL28" s="399"/>
      <c r="BM28" s="399"/>
      <c r="BN28" s="399"/>
      <c r="BO28" s="399"/>
      <c r="BP28" s="400"/>
      <c r="BQ28" s="398">
        <v>6</v>
      </c>
      <c r="BR28" s="399"/>
      <c r="BS28" s="399"/>
      <c r="BT28" s="399"/>
      <c r="BU28" s="399"/>
      <c r="BV28" s="400"/>
      <c r="BW28" s="426"/>
      <c r="BX28" s="427"/>
      <c r="BY28" s="427"/>
      <c r="BZ28" s="427"/>
      <c r="CA28" s="427"/>
      <c r="CB28" s="428"/>
      <c r="CC28" s="124"/>
      <c r="CD28" s="125"/>
      <c r="CE28" s="125"/>
      <c r="CF28" s="125"/>
      <c r="CG28" s="126"/>
      <c r="CH28" s="124"/>
      <c r="CI28" s="125"/>
      <c r="CJ28" s="125"/>
      <c r="CK28" s="125"/>
      <c r="CL28" s="126"/>
      <c r="CM28" s="124"/>
      <c r="CN28" s="125"/>
      <c r="CO28" s="125"/>
      <c r="CP28" s="125"/>
      <c r="CQ28" s="126"/>
      <c r="CR28" s="124"/>
      <c r="CS28" s="125"/>
      <c r="CT28" s="125"/>
      <c r="CU28" s="125"/>
      <c r="CV28" s="126"/>
      <c r="CW28" s="124"/>
      <c r="CX28" s="125"/>
      <c r="CY28" s="125"/>
      <c r="CZ28" s="125"/>
      <c r="DA28" s="126"/>
      <c r="DB28" s="124"/>
      <c r="DC28" s="125"/>
      <c r="DD28" s="125"/>
      <c r="DE28" s="125"/>
      <c r="DF28" s="126"/>
      <c r="DG28" s="124"/>
      <c r="DH28" s="125"/>
      <c r="DI28" s="125"/>
      <c r="DJ28" s="125"/>
      <c r="DK28" s="126"/>
      <c r="DL28" s="124"/>
      <c r="DM28" s="125"/>
      <c r="DN28" s="125"/>
      <c r="DO28" s="125"/>
      <c r="DP28" s="126"/>
      <c r="DQ28" s="124"/>
      <c r="DR28" s="125"/>
      <c r="DS28" s="125"/>
      <c r="DT28" s="125"/>
      <c r="DU28" s="126"/>
      <c r="DV28" s="124"/>
      <c r="DW28" s="125"/>
      <c r="DX28" s="125"/>
      <c r="DY28" s="125"/>
      <c r="DZ28" s="126"/>
      <c r="EA28" s="124"/>
      <c r="EB28" s="125"/>
      <c r="EC28" s="125"/>
      <c r="ED28" s="125"/>
      <c r="EE28" s="126"/>
      <c r="EF28" s="124"/>
      <c r="EG28" s="125"/>
      <c r="EH28" s="125"/>
      <c r="EI28" s="125"/>
      <c r="EJ28" s="126"/>
      <c r="EK28" s="124"/>
      <c r="EL28" s="125"/>
      <c r="EM28" s="125"/>
      <c r="EN28" s="125"/>
      <c r="EO28" s="126"/>
      <c r="EP28" s="124"/>
      <c r="EQ28" s="125"/>
      <c r="ER28" s="125"/>
      <c r="ES28" s="125"/>
      <c r="ET28" s="126"/>
      <c r="EU28" s="124"/>
      <c r="EV28" s="125"/>
      <c r="EW28" s="125"/>
      <c r="EX28" s="125"/>
      <c r="EY28" s="126"/>
      <c r="EZ28" s="124"/>
      <c r="FA28" s="125"/>
      <c r="FB28" s="125"/>
      <c r="FC28" s="125"/>
      <c r="FD28" s="126"/>
      <c r="FE28" s="124"/>
      <c r="FF28" s="125"/>
      <c r="FG28" s="125"/>
      <c r="FH28" s="125"/>
      <c r="FI28" s="126"/>
      <c r="FJ28" s="124"/>
      <c r="FK28" s="125"/>
      <c r="FL28" s="125"/>
      <c r="FM28" s="125"/>
      <c r="FN28" s="126"/>
      <c r="FO28" s="124"/>
      <c r="FP28" s="125"/>
      <c r="FQ28" s="125"/>
      <c r="FR28" s="125"/>
      <c r="FS28" s="126"/>
      <c r="FT28" s="124"/>
      <c r="FU28" s="125"/>
      <c r="FV28" s="125"/>
      <c r="FW28" s="125"/>
      <c r="FX28" s="126"/>
      <c r="FY28" s="124"/>
      <c r="FZ28" s="125"/>
      <c r="GA28" s="125"/>
      <c r="GB28" s="125"/>
      <c r="GC28" s="126"/>
      <c r="GD28" s="124"/>
      <c r="GE28" s="125"/>
      <c r="GF28" s="125"/>
      <c r="GG28" s="125"/>
      <c r="GH28" s="126"/>
      <c r="GI28" s="124"/>
      <c r="GJ28" s="125"/>
      <c r="GK28" s="125"/>
      <c r="GL28" s="125"/>
      <c r="GM28" s="126"/>
      <c r="GN28" s="124"/>
      <c r="GO28" s="125"/>
      <c r="GP28" s="125"/>
      <c r="GQ28" s="125"/>
      <c r="GR28" s="126"/>
    </row>
    <row r="29" spans="1:200" ht="11.25" customHeight="1" x14ac:dyDescent="0.25">
      <c r="A29" s="407"/>
      <c r="B29" s="408"/>
      <c r="C29" s="408"/>
      <c r="D29" s="408"/>
      <c r="E29" s="408"/>
      <c r="F29" s="408"/>
      <c r="G29" s="409"/>
      <c r="H29" s="420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421"/>
      <c r="AK29" s="421"/>
      <c r="AL29" s="421"/>
      <c r="AM29" s="421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2"/>
      <c r="BE29" s="401"/>
      <c r="BF29" s="402"/>
      <c r="BG29" s="402"/>
      <c r="BH29" s="402"/>
      <c r="BI29" s="402"/>
      <c r="BJ29" s="403"/>
      <c r="BK29" s="401"/>
      <c r="BL29" s="402"/>
      <c r="BM29" s="402"/>
      <c r="BN29" s="402"/>
      <c r="BO29" s="402"/>
      <c r="BP29" s="403"/>
      <c r="BQ29" s="401"/>
      <c r="BR29" s="402"/>
      <c r="BS29" s="402"/>
      <c r="BT29" s="402"/>
      <c r="BU29" s="402"/>
      <c r="BV29" s="403"/>
      <c r="BW29" s="423"/>
      <c r="BX29" s="424"/>
      <c r="BY29" s="424"/>
      <c r="BZ29" s="424"/>
      <c r="CA29" s="424"/>
      <c r="CB29" s="425"/>
      <c r="CC29" s="124"/>
      <c r="CD29" s="125"/>
      <c r="CE29" s="125"/>
      <c r="CF29" s="125"/>
      <c r="CG29" s="126"/>
      <c r="CH29" s="124"/>
      <c r="CI29" s="125"/>
      <c r="CJ29" s="125"/>
      <c r="CK29" s="125"/>
      <c r="CL29" s="126"/>
      <c r="CM29" s="124"/>
      <c r="CN29" s="125"/>
      <c r="CO29" s="125"/>
      <c r="CP29" s="125"/>
      <c r="CQ29" s="126"/>
      <c r="CR29" s="124"/>
      <c r="CS29" s="125"/>
      <c r="CT29" s="125"/>
      <c r="CU29" s="125"/>
      <c r="CV29" s="126"/>
      <c r="CW29" s="124"/>
      <c r="CX29" s="125"/>
      <c r="CY29" s="125"/>
      <c r="CZ29" s="125"/>
      <c r="DA29" s="126"/>
      <c r="DB29" s="124"/>
      <c r="DC29" s="125"/>
      <c r="DD29" s="125"/>
      <c r="DE29" s="125"/>
      <c r="DF29" s="126"/>
      <c r="DG29" s="124"/>
      <c r="DH29" s="125"/>
      <c r="DI29" s="125"/>
      <c r="DJ29" s="125"/>
      <c r="DK29" s="126"/>
      <c r="DL29" s="124"/>
      <c r="DM29" s="125"/>
      <c r="DN29" s="125"/>
      <c r="DO29" s="125"/>
      <c r="DP29" s="126"/>
      <c r="DQ29" s="124"/>
      <c r="DR29" s="125"/>
      <c r="DS29" s="125"/>
      <c r="DT29" s="125"/>
      <c r="DU29" s="126"/>
      <c r="DV29" s="124"/>
      <c r="DW29" s="125"/>
      <c r="DX29" s="125"/>
      <c r="DY29" s="125"/>
      <c r="DZ29" s="126"/>
      <c r="EA29" s="124"/>
      <c r="EB29" s="125"/>
      <c r="EC29" s="125"/>
      <c r="ED29" s="125"/>
      <c r="EE29" s="126"/>
      <c r="EF29" s="124"/>
      <c r="EG29" s="125"/>
      <c r="EH29" s="125"/>
      <c r="EI29" s="125"/>
      <c r="EJ29" s="126"/>
      <c r="EK29" s="124"/>
      <c r="EL29" s="125"/>
      <c r="EM29" s="125"/>
      <c r="EN29" s="125"/>
      <c r="EO29" s="126"/>
      <c r="EP29" s="124"/>
      <c r="EQ29" s="125"/>
      <c r="ER29" s="125"/>
      <c r="ES29" s="125"/>
      <c r="ET29" s="126"/>
      <c r="EU29" s="124"/>
      <c r="EV29" s="125"/>
      <c r="EW29" s="125"/>
      <c r="EX29" s="125"/>
      <c r="EY29" s="126"/>
      <c r="EZ29" s="124"/>
      <c r="FA29" s="125"/>
      <c r="FB29" s="125"/>
      <c r="FC29" s="125"/>
      <c r="FD29" s="126"/>
      <c r="FE29" s="124"/>
      <c r="FF29" s="125"/>
      <c r="FG29" s="125"/>
      <c r="FH29" s="125"/>
      <c r="FI29" s="126"/>
      <c r="FJ29" s="124"/>
      <c r="FK29" s="125"/>
      <c r="FL29" s="125"/>
      <c r="FM29" s="125"/>
      <c r="FN29" s="126"/>
      <c r="FO29" s="124"/>
      <c r="FP29" s="125"/>
      <c r="FQ29" s="125"/>
      <c r="FR29" s="125"/>
      <c r="FS29" s="126"/>
      <c r="FT29" s="124"/>
      <c r="FU29" s="125"/>
      <c r="FV29" s="125"/>
      <c r="FW29" s="125"/>
      <c r="FX29" s="126"/>
      <c r="FY29" s="124"/>
      <c r="FZ29" s="125"/>
      <c r="GA29" s="125"/>
      <c r="GB29" s="125"/>
      <c r="GC29" s="126"/>
      <c r="GD29" s="124"/>
      <c r="GE29" s="125"/>
      <c r="GF29" s="125"/>
      <c r="GG29" s="125"/>
      <c r="GH29" s="126"/>
      <c r="GI29" s="124"/>
      <c r="GJ29" s="125"/>
      <c r="GK29" s="125"/>
      <c r="GL29" s="125"/>
      <c r="GM29" s="126"/>
      <c r="GN29" s="124"/>
      <c r="GO29" s="125"/>
      <c r="GP29" s="125"/>
      <c r="GQ29" s="125"/>
      <c r="GR29" s="126"/>
    </row>
    <row r="30" spans="1:200" ht="11.25" customHeight="1" x14ac:dyDescent="0.25">
      <c r="A30" s="416"/>
      <c r="B30" s="405"/>
      <c r="C30" s="405"/>
      <c r="D30" s="405"/>
      <c r="E30" s="405"/>
      <c r="F30" s="405"/>
      <c r="G30" s="406"/>
      <c r="H30" s="417"/>
      <c r="I30" s="418"/>
      <c r="J30" s="418"/>
      <c r="K30" s="418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  <c r="AO30" s="418"/>
      <c r="AP30" s="418"/>
      <c r="AQ30" s="418"/>
      <c r="AR30" s="418"/>
      <c r="AS30" s="418"/>
      <c r="AT30" s="418"/>
      <c r="AU30" s="418"/>
      <c r="AV30" s="418"/>
      <c r="AW30" s="418"/>
      <c r="AX30" s="418"/>
      <c r="AY30" s="418"/>
      <c r="AZ30" s="418"/>
      <c r="BA30" s="418"/>
      <c r="BB30" s="418"/>
      <c r="BC30" s="418"/>
      <c r="BD30" s="419"/>
      <c r="BE30" s="398"/>
      <c r="BF30" s="399"/>
      <c r="BG30" s="399"/>
      <c r="BH30" s="399"/>
      <c r="BI30" s="399"/>
      <c r="BJ30" s="400"/>
      <c r="BK30" s="398"/>
      <c r="BL30" s="399"/>
      <c r="BM30" s="399"/>
      <c r="BN30" s="399"/>
      <c r="BO30" s="399"/>
      <c r="BP30" s="400"/>
      <c r="BQ30" s="398"/>
      <c r="BR30" s="399"/>
      <c r="BS30" s="399"/>
      <c r="BT30" s="399"/>
      <c r="BU30" s="399"/>
      <c r="BV30" s="400"/>
      <c r="BW30" s="426"/>
      <c r="BX30" s="427"/>
      <c r="BY30" s="427"/>
      <c r="BZ30" s="427"/>
      <c r="CA30" s="427"/>
      <c r="CB30" s="428"/>
      <c r="CC30" s="124"/>
      <c r="CD30" s="125"/>
      <c r="CE30" s="125"/>
      <c r="CF30" s="125"/>
      <c r="CG30" s="126"/>
      <c r="CH30" s="124"/>
      <c r="CI30" s="125"/>
      <c r="CJ30" s="125"/>
      <c r="CK30" s="125"/>
      <c r="CL30" s="126"/>
      <c r="CM30" s="124"/>
      <c r="CN30" s="125"/>
      <c r="CO30" s="125"/>
      <c r="CP30" s="125"/>
      <c r="CQ30" s="126"/>
      <c r="CR30" s="124"/>
      <c r="CS30" s="125"/>
      <c r="CT30" s="125"/>
      <c r="CU30" s="125"/>
      <c r="CV30" s="126"/>
      <c r="CW30" s="124"/>
      <c r="CX30" s="125"/>
      <c r="CY30" s="125"/>
      <c r="CZ30" s="125"/>
      <c r="DA30" s="126"/>
      <c r="DB30" s="124"/>
      <c r="DC30" s="125"/>
      <c r="DD30" s="125"/>
      <c r="DE30" s="125"/>
      <c r="DF30" s="126"/>
      <c r="DG30" s="124"/>
      <c r="DH30" s="125"/>
      <c r="DI30" s="125"/>
      <c r="DJ30" s="125"/>
      <c r="DK30" s="126"/>
      <c r="DL30" s="124"/>
      <c r="DM30" s="125"/>
      <c r="DN30" s="125"/>
      <c r="DO30" s="125"/>
      <c r="DP30" s="126"/>
      <c r="DQ30" s="124"/>
      <c r="DR30" s="125"/>
      <c r="DS30" s="125"/>
      <c r="DT30" s="125"/>
      <c r="DU30" s="126"/>
      <c r="DV30" s="124"/>
      <c r="DW30" s="125"/>
      <c r="DX30" s="125"/>
      <c r="DY30" s="125"/>
      <c r="DZ30" s="126"/>
      <c r="EA30" s="124"/>
      <c r="EB30" s="125"/>
      <c r="EC30" s="125"/>
      <c r="ED30" s="125"/>
      <c r="EE30" s="126"/>
      <c r="EF30" s="124"/>
      <c r="EG30" s="125"/>
      <c r="EH30" s="125"/>
      <c r="EI30" s="125"/>
      <c r="EJ30" s="126"/>
      <c r="EK30" s="124"/>
      <c r="EL30" s="125"/>
      <c r="EM30" s="125"/>
      <c r="EN30" s="125"/>
      <c r="EO30" s="126"/>
      <c r="EP30" s="124"/>
      <c r="EQ30" s="125"/>
      <c r="ER30" s="125"/>
      <c r="ES30" s="125"/>
      <c r="ET30" s="126"/>
      <c r="EU30" s="124"/>
      <c r="EV30" s="125"/>
      <c r="EW30" s="125"/>
      <c r="EX30" s="125"/>
      <c r="EY30" s="126"/>
      <c r="EZ30" s="124"/>
      <c r="FA30" s="125"/>
      <c r="FB30" s="125"/>
      <c r="FC30" s="125"/>
      <c r="FD30" s="126"/>
      <c r="FE30" s="124"/>
      <c r="FF30" s="125"/>
      <c r="FG30" s="125"/>
      <c r="FH30" s="125"/>
      <c r="FI30" s="126"/>
      <c r="FJ30" s="124"/>
      <c r="FK30" s="125"/>
      <c r="FL30" s="125"/>
      <c r="FM30" s="125"/>
      <c r="FN30" s="126"/>
      <c r="FO30" s="124"/>
      <c r="FP30" s="125"/>
      <c r="FQ30" s="125"/>
      <c r="FR30" s="125"/>
      <c r="FS30" s="126"/>
      <c r="FT30" s="124"/>
      <c r="FU30" s="125"/>
      <c r="FV30" s="125"/>
      <c r="FW30" s="125"/>
      <c r="FX30" s="126"/>
      <c r="FY30" s="124"/>
      <c r="FZ30" s="125"/>
      <c r="GA30" s="125"/>
      <c r="GB30" s="125"/>
      <c r="GC30" s="126"/>
      <c r="GD30" s="124"/>
      <c r="GE30" s="125"/>
      <c r="GF30" s="125"/>
      <c r="GG30" s="125"/>
      <c r="GH30" s="126"/>
      <c r="GI30" s="124"/>
      <c r="GJ30" s="125"/>
      <c r="GK30" s="125"/>
      <c r="GL30" s="125"/>
      <c r="GM30" s="126"/>
      <c r="GN30" s="124"/>
      <c r="GO30" s="125"/>
      <c r="GP30" s="125"/>
      <c r="GQ30" s="125"/>
      <c r="GR30" s="126"/>
    </row>
    <row r="31" spans="1:200" ht="11.25" customHeight="1" x14ac:dyDescent="0.25">
      <c r="A31" s="407"/>
      <c r="B31" s="408"/>
      <c r="C31" s="408"/>
      <c r="D31" s="408"/>
      <c r="E31" s="408"/>
      <c r="F31" s="408"/>
      <c r="G31" s="409"/>
      <c r="H31" s="420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2"/>
      <c r="BE31" s="401"/>
      <c r="BF31" s="402"/>
      <c r="BG31" s="402"/>
      <c r="BH31" s="402"/>
      <c r="BI31" s="402"/>
      <c r="BJ31" s="403"/>
      <c r="BK31" s="401"/>
      <c r="BL31" s="402"/>
      <c r="BM31" s="402"/>
      <c r="BN31" s="402"/>
      <c r="BO31" s="402"/>
      <c r="BP31" s="403"/>
      <c r="BQ31" s="401"/>
      <c r="BR31" s="402"/>
      <c r="BS31" s="402"/>
      <c r="BT31" s="402"/>
      <c r="BU31" s="402"/>
      <c r="BV31" s="403"/>
      <c r="BW31" s="423"/>
      <c r="BX31" s="424"/>
      <c r="BY31" s="424"/>
      <c r="BZ31" s="424"/>
      <c r="CA31" s="424"/>
      <c r="CB31" s="425"/>
      <c r="CC31" s="124"/>
      <c r="CD31" s="125"/>
      <c r="CE31" s="125"/>
      <c r="CF31" s="125"/>
      <c r="CG31" s="126"/>
      <c r="CH31" s="124"/>
      <c r="CI31" s="125"/>
      <c r="CJ31" s="125"/>
      <c r="CK31" s="125"/>
      <c r="CL31" s="126"/>
      <c r="CM31" s="124"/>
      <c r="CN31" s="125"/>
      <c r="CO31" s="125"/>
      <c r="CP31" s="125"/>
      <c r="CQ31" s="126"/>
      <c r="CR31" s="124"/>
      <c r="CS31" s="125"/>
      <c r="CT31" s="125"/>
      <c r="CU31" s="125"/>
      <c r="CV31" s="126"/>
      <c r="CW31" s="124"/>
      <c r="CX31" s="125"/>
      <c r="CY31" s="125"/>
      <c r="CZ31" s="125"/>
      <c r="DA31" s="126"/>
      <c r="DB31" s="124"/>
      <c r="DC31" s="125"/>
      <c r="DD31" s="125"/>
      <c r="DE31" s="125"/>
      <c r="DF31" s="126"/>
      <c r="DG31" s="124"/>
      <c r="DH31" s="125"/>
      <c r="DI31" s="125"/>
      <c r="DJ31" s="125"/>
      <c r="DK31" s="126"/>
      <c r="DL31" s="124"/>
      <c r="DM31" s="125"/>
      <c r="DN31" s="125"/>
      <c r="DO31" s="125"/>
      <c r="DP31" s="126"/>
      <c r="DQ31" s="124"/>
      <c r="DR31" s="125"/>
      <c r="DS31" s="125"/>
      <c r="DT31" s="125"/>
      <c r="DU31" s="126"/>
      <c r="DV31" s="124"/>
      <c r="DW31" s="125"/>
      <c r="DX31" s="125"/>
      <c r="DY31" s="125"/>
      <c r="DZ31" s="126"/>
      <c r="EA31" s="124"/>
      <c r="EB31" s="125"/>
      <c r="EC31" s="125"/>
      <c r="ED31" s="125"/>
      <c r="EE31" s="126"/>
      <c r="EF31" s="124"/>
      <c r="EG31" s="125"/>
      <c r="EH31" s="125"/>
      <c r="EI31" s="125"/>
      <c r="EJ31" s="126"/>
      <c r="EK31" s="124"/>
      <c r="EL31" s="125"/>
      <c r="EM31" s="125"/>
      <c r="EN31" s="125"/>
      <c r="EO31" s="126"/>
      <c r="EP31" s="124"/>
      <c r="EQ31" s="125"/>
      <c r="ER31" s="125"/>
      <c r="ES31" s="125"/>
      <c r="ET31" s="126"/>
      <c r="EU31" s="124"/>
      <c r="EV31" s="125"/>
      <c r="EW31" s="125"/>
      <c r="EX31" s="125"/>
      <c r="EY31" s="126"/>
      <c r="EZ31" s="124"/>
      <c r="FA31" s="125"/>
      <c r="FB31" s="125"/>
      <c r="FC31" s="125"/>
      <c r="FD31" s="126"/>
      <c r="FE31" s="124"/>
      <c r="FF31" s="125"/>
      <c r="FG31" s="125"/>
      <c r="FH31" s="125"/>
      <c r="FI31" s="126"/>
      <c r="FJ31" s="124"/>
      <c r="FK31" s="125"/>
      <c r="FL31" s="125"/>
      <c r="FM31" s="125"/>
      <c r="FN31" s="126"/>
      <c r="FO31" s="124"/>
      <c r="FP31" s="125"/>
      <c r="FQ31" s="125"/>
      <c r="FR31" s="125"/>
      <c r="FS31" s="126"/>
      <c r="FT31" s="124"/>
      <c r="FU31" s="125"/>
      <c r="FV31" s="125"/>
      <c r="FW31" s="125"/>
      <c r="FX31" s="126"/>
      <c r="FY31" s="124"/>
      <c r="FZ31" s="125"/>
      <c r="GA31" s="125"/>
      <c r="GB31" s="125"/>
      <c r="GC31" s="126"/>
      <c r="GD31" s="124"/>
      <c r="GE31" s="125"/>
      <c r="GF31" s="125"/>
      <c r="GG31" s="125"/>
      <c r="GH31" s="126"/>
      <c r="GI31" s="124"/>
      <c r="GJ31" s="125"/>
      <c r="GK31" s="125"/>
      <c r="GL31" s="125"/>
      <c r="GM31" s="126"/>
      <c r="GN31" s="124"/>
      <c r="GO31" s="125"/>
      <c r="GP31" s="125"/>
      <c r="GQ31" s="125"/>
      <c r="GR31" s="126"/>
    </row>
    <row r="32" spans="1:200" ht="11.25" customHeight="1" x14ac:dyDescent="0.25">
      <c r="A32" s="416"/>
      <c r="B32" s="405"/>
      <c r="C32" s="405"/>
      <c r="D32" s="405"/>
      <c r="E32" s="405"/>
      <c r="F32" s="405"/>
      <c r="G32" s="406"/>
      <c r="H32" s="417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  <c r="AO32" s="418"/>
      <c r="AP32" s="418"/>
      <c r="AQ32" s="418"/>
      <c r="AR32" s="418"/>
      <c r="AS32" s="418"/>
      <c r="AT32" s="418"/>
      <c r="AU32" s="418"/>
      <c r="AV32" s="418"/>
      <c r="AW32" s="418"/>
      <c r="AX32" s="418"/>
      <c r="AY32" s="418"/>
      <c r="AZ32" s="418"/>
      <c r="BA32" s="418"/>
      <c r="BB32" s="418"/>
      <c r="BC32" s="418"/>
      <c r="BD32" s="419"/>
      <c r="BE32" s="398"/>
      <c r="BF32" s="399"/>
      <c r="BG32" s="399"/>
      <c r="BH32" s="399"/>
      <c r="BI32" s="399"/>
      <c r="BJ32" s="400"/>
      <c r="BK32" s="398"/>
      <c r="BL32" s="399"/>
      <c r="BM32" s="399"/>
      <c r="BN32" s="399"/>
      <c r="BO32" s="399"/>
      <c r="BP32" s="400"/>
      <c r="BQ32" s="398"/>
      <c r="BR32" s="399"/>
      <c r="BS32" s="399"/>
      <c r="BT32" s="399"/>
      <c r="BU32" s="399"/>
      <c r="BV32" s="400"/>
      <c r="BW32" s="426"/>
      <c r="BX32" s="427"/>
      <c r="BY32" s="427"/>
      <c r="BZ32" s="427"/>
      <c r="CA32" s="427"/>
      <c r="CB32" s="428"/>
      <c r="CC32" s="124"/>
      <c r="CD32" s="125"/>
      <c r="CE32" s="125"/>
      <c r="CF32" s="125"/>
      <c r="CG32" s="126"/>
      <c r="CH32" s="124"/>
      <c r="CI32" s="125"/>
      <c r="CJ32" s="125"/>
      <c r="CK32" s="125"/>
      <c r="CL32" s="126"/>
      <c r="CM32" s="124"/>
      <c r="CN32" s="125"/>
      <c r="CO32" s="125"/>
      <c r="CP32" s="125"/>
      <c r="CQ32" s="126"/>
      <c r="CR32" s="124"/>
      <c r="CS32" s="125"/>
      <c r="CT32" s="125"/>
      <c r="CU32" s="125"/>
      <c r="CV32" s="126"/>
      <c r="CW32" s="124"/>
      <c r="CX32" s="125"/>
      <c r="CY32" s="125"/>
      <c r="CZ32" s="125"/>
      <c r="DA32" s="126"/>
      <c r="DB32" s="124"/>
      <c r="DC32" s="125"/>
      <c r="DD32" s="125"/>
      <c r="DE32" s="125"/>
      <c r="DF32" s="126"/>
      <c r="DG32" s="124"/>
      <c r="DH32" s="125"/>
      <c r="DI32" s="125"/>
      <c r="DJ32" s="125"/>
      <c r="DK32" s="126"/>
      <c r="DL32" s="124"/>
      <c r="DM32" s="125"/>
      <c r="DN32" s="125"/>
      <c r="DO32" s="125"/>
      <c r="DP32" s="126"/>
      <c r="DQ32" s="124"/>
      <c r="DR32" s="125"/>
      <c r="DS32" s="125"/>
      <c r="DT32" s="125"/>
      <c r="DU32" s="126"/>
      <c r="DV32" s="124"/>
      <c r="DW32" s="125"/>
      <c r="DX32" s="125"/>
      <c r="DY32" s="125"/>
      <c r="DZ32" s="126"/>
      <c r="EA32" s="124"/>
      <c r="EB32" s="125"/>
      <c r="EC32" s="125"/>
      <c r="ED32" s="125"/>
      <c r="EE32" s="126"/>
      <c r="EF32" s="124"/>
      <c r="EG32" s="125"/>
      <c r="EH32" s="125"/>
      <c r="EI32" s="125"/>
      <c r="EJ32" s="126"/>
      <c r="EK32" s="124"/>
      <c r="EL32" s="125"/>
      <c r="EM32" s="125"/>
      <c r="EN32" s="125"/>
      <c r="EO32" s="126"/>
      <c r="EP32" s="124"/>
      <c r="EQ32" s="125"/>
      <c r="ER32" s="125"/>
      <c r="ES32" s="125"/>
      <c r="ET32" s="126"/>
      <c r="EU32" s="124"/>
      <c r="EV32" s="125"/>
      <c r="EW32" s="125"/>
      <c r="EX32" s="125"/>
      <c r="EY32" s="126"/>
      <c r="EZ32" s="124"/>
      <c r="FA32" s="125"/>
      <c r="FB32" s="125"/>
      <c r="FC32" s="125"/>
      <c r="FD32" s="126"/>
      <c r="FE32" s="124"/>
      <c r="FF32" s="125"/>
      <c r="FG32" s="125"/>
      <c r="FH32" s="125"/>
      <c r="FI32" s="126"/>
      <c r="FJ32" s="124"/>
      <c r="FK32" s="125"/>
      <c r="FL32" s="125"/>
      <c r="FM32" s="125"/>
      <c r="FN32" s="126"/>
      <c r="FO32" s="124"/>
      <c r="FP32" s="125"/>
      <c r="FQ32" s="125"/>
      <c r="FR32" s="125"/>
      <c r="FS32" s="126"/>
      <c r="FT32" s="124"/>
      <c r="FU32" s="125"/>
      <c r="FV32" s="125"/>
      <c r="FW32" s="125"/>
      <c r="FX32" s="126"/>
      <c r="FY32" s="124"/>
      <c r="FZ32" s="125"/>
      <c r="GA32" s="125"/>
      <c r="GB32" s="125"/>
      <c r="GC32" s="126"/>
      <c r="GD32" s="124"/>
      <c r="GE32" s="125"/>
      <c r="GF32" s="125"/>
      <c r="GG32" s="125"/>
      <c r="GH32" s="126"/>
      <c r="GI32" s="124"/>
      <c r="GJ32" s="125"/>
      <c r="GK32" s="125"/>
      <c r="GL32" s="125"/>
      <c r="GM32" s="126"/>
      <c r="GN32" s="124"/>
      <c r="GO32" s="125"/>
      <c r="GP32" s="125"/>
      <c r="GQ32" s="125"/>
      <c r="GR32" s="126"/>
    </row>
    <row r="33" spans="1:200" ht="11.25" customHeight="1" x14ac:dyDescent="0.25">
      <c r="A33" s="407"/>
      <c r="B33" s="408"/>
      <c r="C33" s="408"/>
      <c r="D33" s="408"/>
      <c r="E33" s="408"/>
      <c r="F33" s="408"/>
      <c r="G33" s="409"/>
      <c r="H33" s="420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2"/>
      <c r="BE33" s="401"/>
      <c r="BF33" s="402"/>
      <c r="BG33" s="402"/>
      <c r="BH33" s="402"/>
      <c r="BI33" s="402"/>
      <c r="BJ33" s="403"/>
      <c r="BK33" s="401"/>
      <c r="BL33" s="402"/>
      <c r="BM33" s="402"/>
      <c r="BN33" s="402"/>
      <c r="BO33" s="402"/>
      <c r="BP33" s="403"/>
      <c r="BQ33" s="401"/>
      <c r="BR33" s="402"/>
      <c r="BS33" s="402"/>
      <c r="BT33" s="402"/>
      <c r="BU33" s="402"/>
      <c r="BV33" s="403"/>
      <c r="BW33" s="423"/>
      <c r="BX33" s="424"/>
      <c r="BY33" s="424"/>
      <c r="BZ33" s="424"/>
      <c r="CA33" s="424"/>
      <c r="CB33" s="425"/>
      <c r="CC33" s="124"/>
      <c r="CD33" s="125"/>
      <c r="CE33" s="125"/>
      <c r="CF33" s="125"/>
      <c r="CG33" s="126"/>
      <c r="CH33" s="124"/>
      <c r="CI33" s="125"/>
      <c r="CJ33" s="125"/>
      <c r="CK33" s="125"/>
      <c r="CL33" s="126"/>
      <c r="CM33" s="124"/>
      <c r="CN33" s="125"/>
      <c r="CO33" s="125"/>
      <c r="CP33" s="125"/>
      <c r="CQ33" s="126"/>
      <c r="CR33" s="124"/>
      <c r="CS33" s="125"/>
      <c r="CT33" s="125"/>
      <c r="CU33" s="125"/>
      <c r="CV33" s="126"/>
      <c r="CW33" s="124"/>
      <c r="CX33" s="125"/>
      <c r="CY33" s="125"/>
      <c r="CZ33" s="125"/>
      <c r="DA33" s="126"/>
      <c r="DB33" s="124"/>
      <c r="DC33" s="125"/>
      <c r="DD33" s="125"/>
      <c r="DE33" s="125"/>
      <c r="DF33" s="126"/>
      <c r="DG33" s="124"/>
      <c r="DH33" s="125"/>
      <c r="DI33" s="125"/>
      <c r="DJ33" s="125"/>
      <c r="DK33" s="126"/>
      <c r="DL33" s="124"/>
      <c r="DM33" s="125"/>
      <c r="DN33" s="125"/>
      <c r="DO33" s="125"/>
      <c r="DP33" s="126"/>
      <c r="DQ33" s="124"/>
      <c r="DR33" s="125"/>
      <c r="DS33" s="125"/>
      <c r="DT33" s="125"/>
      <c r="DU33" s="126"/>
      <c r="DV33" s="124"/>
      <c r="DW33" s="125"/>
      <c r="DX33" s="125"/>
      <c r="DY33" s="125"/>
      <c r="DZ33" s="126"/>
      <c r="EA33" s="124"/>
      <c r="EB33" s="125"/>
      <c r="EC33" s="125"/>
      <c r="ED33" s="125"/>
      <c r="EE33" s="126"/>
      <c r="EF33" s="124"/>
      <c r="EG33" s="125"/>
      <c r="EH33" s="125"/>
      <c r="EI33" s="125"/>
      <c r="EJ33" s="126"/>
      <c r="EK33" s="124"/>
      <c r="EL33" s="125"/>
      <c r="EM33" s="125"/>
      <c r="EN33" s="125"/>
      <c r="EO33" s="126"/>
      <c r="EP33" s="124"/>
      <c r="EQ33" s="125"/>
      <c r="ER33" s="125"/>
      <c r="ES33" s="125"/>
      <c r="ET33" s="126"/>
      <c r="EU33" s="124"/>
      <c r="EV33" s="125"/>
      <c r="EW33" s="125"/>
      <c r="EX33" s="125"/>
      <c r="EY33" s="126"/>
      <c r="EZ33" s="124"/>
      <c r="FA33" s="125"/>
      <c r="FB33" s="125"/>
      <c r="FC33" s="125"/>
      <c r="FD33" s="126"/>
      <c r="FE33" s="124"/>
      <c r="FF33" s="125"/>
      <c r="FG33" s="125"/>
      <c r="FH33" s="125"/>
      <c r="FI33" s="126"/>
      <c r="FJ33" s="124"/>
      <c r="FK33" s="125"/>
      <c r="FL33" s="125"/>
      <c r="FM33" s="125"/>
      <c r="FN33" s="126"/>
      <c r="FO33" s="124"/>
      <c r="FP33" s="125"/>
      <c r="FQ33" s="125"/>
      <c r="FR33" s="125"/>
      <c r="FS33" s="126"/>
      <c r="FT33" s="124"/>
      <c r="FU33" s="125"/>
      <c r="FV33" s="125"/>
      <c r="FW33" s="125"/>
      <c r="FX33" s="126"/>
      <c r="FY33" s="124"/>
      <c r="FZ33" s="125"/>
      <c r="GA33" s="125"/>
      <c r="GB33" s="125"/>
      <c r="GC33" s="126"/>
      <c r="GD33" s="124"/>
      <c r="GE33" s="125"/>
      <c r="GF33" s="125"/>
      <c r="GG33" s="125"/>
      <c r="GH33" s="126"/>
      <c r="GI33" s="124"/>
      <c r="GJ33" s="125"/>
      <c r="GK33" s="125"/>
      <c r="GL33" s="125"/>
      <c r="GM33" s="126"/>
      <c r="GN33" s="124"/>
      <c r="GO33" s="125"/>
      <c r="GP33" s="125"/>
      <c r="GQ33" s="125"/>
      <c r="GR33" s="126"/>
    </row>
    <row r="34" spans="1:200" ht="11.25" customHeight="1" x14ac:dyDescent="0.25">
      <c r="A34" s="416"/>
      <c r="B34" s="405"/>
      <c r="C34" s="405"/>
      <c r="D34" s="405"/>
      <c r="E34" s="405"/>
      <c r="F34" s="405"/>
      <c r="G34" s="406"/>
      <c r="H34" s="417"/>
      <c r="I34" s="418"/>
      <c r="J34" s="418"/>
      <c r="K34" s="418"/>
      <c r="L34" s="418"/>
      <c r="M34" s="418"/>
      <c r="N34" s="418"/>
      <c r="O34" s="418"/>
      <c r="P34" s="418"/>
      <c r="Q34" s="418"/>
      <c r="R34" s="418"/>
      <c r="S34" s="418"/>
      <c r="T34" s="418"/>
      <c r="U34" s="418"/>
      <c r="V34" s="418"/>
      <c r="W34" s="418"/>
      <c r="X34" s="418"/>
      <c r="Y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  <c r="AO34" s="418"/>
      <c r="AP34" s="418"/>
      <c r="AQ34" s="418"/>
      <c r="AR34" s="418"/>
      <c r="AS34" s="418"/>
      <c r="AT34" s="418"/>
      <c r="AU34" s="418"/>
      <c r="AV34" s="418"/>
      <c r="AW34" s="418"/>
      <c r="AX34" s="418"/>
      <c r="AY34" s="418"/>
      <c r="AZ34" s="418"/>
      <c r="BA34" s="418"/>
      <c r="BB34" s="418"/>
      <c r="BC34" s="418"/>
      <c r="BD34" s="419"/>
      <c r="BE34" s="398"/>
      <c r="BF34" s="399"/>
      <c r="BG34" s="399"/>
      <c r="BH34" s="399"/>
      <c r="BI34" s="399"/>
      <c r="BJ34" s="400"/>
      <c r="BK34" s="398"/>
      <c r="BL34" s="399"/>
      <c r="BM34" s="399"/>
      <c r="BN34" s="399"/>
      <c r="BO34" s="399"/>
      <c r="BP34" s="400"/>
      <c r="BQ34" s="398"/>
      <c r="BR34" s="399"/>
      <c r="BS34" s="399"/>
      <c r="BT34" s="399"/>
      <c r="BU34" s="399"/>
      <c r="BV34" s="400"/>
      <c r="BW34" s="426"/>
      <c r="BX34" s="427"/>
      <c r="BY34" s="427"/>
      <c r="BZ34" s="427"/>
      <c r="CA34" s="427"/>
      <c r="CB34" s="428"/>
      <c r="CC34" s="124"/>
      <c r="CD34" s="125"/>
      <c r="CE34" s="125"/>
      <c r="CF34" s="125"/>
      <c r="CG34" s="126"/>
      <c r="CH34" s="124"/>
      <c r="CI34" s="125"/>
      <c r="CJ34" s="125"/>
      <c r="CK34" s="125"/>
      <c r="CL34" s="126"/>
      <c r="CM34" s="124"/>
      <c r="CN34" s="125"/>
      <c r="CO34" s="125"/>
      <c r="CP34" s="125"/>
      <c r="CQ34" s="126"/>
      <c r="CR34" s="124"/>
      <c r="CS34" s="125"/>
      <c r="CT34" s="125"/>
      <c r="CU34" s="125"/>
      <c r="CV34" s="126"/>
      <c r="CW34" s="124"/>
      <c r="CX34" s="125"/>
      <c r="CY34" s="125"/>
      <c r="CZ34" s="125"/>
      <c r="DA34" s="126"/>
      <c r="DB34" s="124"/>
      <c r="DC34" s="125"/>
      <c r="DD34" s="125"/>
      <c r="DE34" s="125"/>
      <c r="DF34" s="126"/>
      <c r="DG34" s="124"/>
      <c r="DH34" s="125"/>
      <c r="DI34" s="125"/>
      <c r="DJ34" s="125"/>
      <c r="DK34" s="126"/>
      <c r="DL34" s="124"/>
      <c r="DM34" s="125"/>
      <c r="DN34" s="125"/>
      <c r="DO34" s="125"/>
      <c r="DP34" s="126"/>
      <c r="DQ34" s="124"/>
      <c r="DR34" s="125"/>
      <c r="DS34" s="125"/>
      <c r="DT34" s="125"/>
      <c r="DU34" s="126"/>
      <c r="DV34" s="124"/>
      <c r="DW34" s="125"/>
      <c r="DX34" s="125"/>
      <c r="DY34" s="125"/>
      <c r="DZ34" s="126"/>
      <c r="EA34" s="124"/>
      <c r="EB34" s="125"/>
      <c r="EC34" s="125"/>
      <c r="ED34" s="125"/>
      <c r="EE34" s="126"/>
      <c r="EF34" s="124"/>
      <c r="EG34" s="125"/>
      <c r="EH34" s="125"/>
      <c r="EI34" s="125"/>
      <c r="EJ34" s="126"/>
      <c r="EK34" s="124"/>
      <c r="EL34" s="125"/>
      <c r="EM34" s="125"/>
      <c r="EN34" s="125"/>
      <c r="EO34" s="126"/>
      <c r="EP34" s="124"/>
      <c r="EQ34" s="125"/>
      <c r="ER34" s="125"/>
      <c r="ES34" s="125"/>
      <c r="ET34" s="126"/>
      <c r="EU34" s="124"/>
      <c r="EV34" s="125"/>
      <c r="EW34" s="125"/>
      <c r="EX34" s="125"/>
      <c r="EY34" s="126"/>
      <c r="EZ34" s="124"/>
      <c r="FA34" s="125"/>
      <c r="FB34" s="125"/>
      <c r="FC34" s="125"/>
      <c r="FD34" s="126"/>
      <c r="FE34" s="124"/>
      <c r="FF34" s="125"/>
      <c r="FG34" s="125"/>
      <c r="FH34" s="125"/>
      <c r="FI34" s="126"/>
      <c r="FJ34" s="124"/>
      <c r="FK34" s="125"/>
      <c r="FL34" s="125"/>
      <c r="FM34" s="125"/>
      <c r="FN34" s="126"/>
      <c r="FO34" s="124"/>
      <c r="FP34" s="125"/>
      <c r="FQ34" s="125"/>
      <c r="FR34" s="125"/>
      <c r="FS34" s="126"/>
      <c r="FT34" s="124"/>
      <c r="FU34" s="125"/>
      <c r="FV34" s="125"/>
      <c r="FW34" s="125"/>
      <c r="FX34" s="126"/>
      <c r="FY34" s="124"/>
      <c r="FZ34" s="125"/>
      <c r="GA34" s="125"/>
      <c r="GB34" s="125"/>
      <c r="GC34" s="126"/>
      <c r="GD34" s="124"/>
      <c r="GE34" s="125"/>
      <c r="GF34" s="125"/>
      <c r="GG34" s="125"/>
      <c r="GH34" s="126"/>
      <c r="GI34" s="124"/>
      <c r="GJ34" s="125"/>
      <c r="GK34" s="125"/>
      <c r="GL34" s="125"/>
      <c r="GM34" s="126"/>
      <c r="GN34" s="124"/>
      <c r="GO34" s="125"/>
      <c r="GP34" s="125"/>
      <c r="GQ34" s="125"/>
      <c r="GR34" s="126"/>
    </row>
    <row r="35" spans="1:200" ht="11.25" customHeight="1" x14ac:dyDescent="0.25">
      <c r="A35" s="407"/>
      <c r="B35" s="408"/>
      <c r="C35" s="408"/>
      <c r="D35" s="408"/>
      <c r="E35" s="408"/>
      <c r="F35" s="408"/>
      <c r="G35" s="409"/>
      <c r="H35" s="420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2"/>
      <c r="BE35" s="401"/>
      <c r="BF35" s="402"/>
      <c r="BG35" s="402"/>
      <c r="BH35" s="402"/>
      <c r="BI35" s="402"/>
      <c r="BJ35" s="403"/>
      <c r="BK35" s="401"/>
      <c r="BL35" s="402"/>
      <c r="BM35" s="402"/>
      <c r="BN35" s="402"/>
      <c r="BO35" s="402"/>
      <c r="BP35" s="403"/>
      <c r="BQ35" s="401"/>
      <c r="BR35" s="402"/>
      <c r="BS35" s="402"/>
      <c r="BT35" s="402"/>
      <c r="BU35" s="402"/>
      <c r="BV35" s="403"/>
      <c r="BW35" s="423"/>
      <c r="BX35" s="424"/>
      <c r="BY35" s="424"/>
      <c r="BZ35" s="424"/>
      <c r="CA35" s="424"/>
      <c r="CB35" s="425"/>
      <c r="CC35" s="124"/>
      <c r="CD35" s="125"/>
      <c r="CE35" s="125"/>
      <c r="CF35" s="125"/>
      <c r="CG35" s="126"/>
      <c r="CH35" s="124"/>
      <c r="CI35" s="125"/>
      <c r="CJ35" s="125"/>
      <c r="CK35" s="125"/>
      <c r="CL35" s="126"/>
      <c r="CM35" s="124"/>
      <c r="CN35" s="125"/>
      <c r="CO35" s="125"/>
      <c r="CP35" s="125"/>
      <c r="CQ35" s="126"/>
      <c r="CR35" s="124"/>
      <c r="CS35" s="125"/>
      <c r="CT35" s="125"/>
      <c r="CU35" s="125"/>
      <c r="CV35" s="126"/>
      <c r="CW35" s="124"/>
      <c r="CX35" s="125"/>
      <c r="CY35" s="125"/>
      <c r="CZ35" s="125"/>
      <c r="DA35" s="126"/>
      <c r="DB35" s="124"/>
      <c r="DC35" s="125"/>
      <c r="DD35" s="125"/>
      <c r="DE35" s="125"/>
      <c r="DF35" s="126"/>
      <c r="DG35" s="124"/>
      <c r="DH35" s="125"/>
      <c r="DI35" s="125"/>
      <c r="DJ35" s="125"/>
      <c r="DK35" s="126"/>
      <c r="DL35" s="124"/>
      <c r="DM35" s="125"/>
      <c r="DN35" s="125"/>
      <c r="DO35" s="125"/>
      <c r="DP35" s="126"/>
      <c r="DQ35" s="124"/>
      <c r="DR35" s="125"/>
      <c r="DS35" s="125"/>
      <c r="DT35" s="125"/>
      <c r="DU35" s="126"/>
      <c r="DV35" s="124"/>
      <c r="DW35" s="125"/>
      <c r="DX35" s="125"/>
      <c r="DY35" s="125"/>
      <c r="DZ35" s="126"/>
      <c r="EA35" s="124"/>
      <c r="EB35" s="125"/>
      <c r="EC35" s="125"/>
      <c r="ED35" s="125"/>
      <c r="EE35" s="126"/>
      <c r="EF35" s="124"/>
      <c r="EG35" s="125"/>
      <c r="EH35" s="125"/>
      <c r="EI35" s="125"/>
      <c r="EJ35" s="126"/>
      <c r="EK35" s="124"/>
      <c r="EL35" s="125"/>
      <c r="EM35" s="125"/>
      <c r="EN35" s="125"/>
      <c r="EO35" s="126"/>
      <c r="EP35" s="124"/>
      <c r="EQ35" s="125"/>
      <c r="ER35" s="125"/>
      <c r="ES35" s="125"/>
      <c r="ET35" s="126"/>
      <c r="EU35" s="124"/>
      <c r="EV35" s="125"/>
      <c r="EW35" s="125"/>
      <c r="EX35" s="125"/>
      <c r="EY35" s="126"/>
      <c r="EZ35" s="124"/>
      <c r="FA35" s="125"/>
      <c r="FB35" s="125"/>
      <c r="FC35" s="125"/>
      <c r="FD35" s="126"/>
      <c r="FE35" s="124"/>
      <c r="FF35" s="125"/>
      <c r="FG35" s="125"/>
      <c r="FH35" s="125"/>
      <c r="FI35" s="126"/>
      <c r="FJ35" s="124"/>
      <c r="FK35" s="125"/>
      <c r="FL35" s="125"/>
      <c r="FM35" s="125"/>
      <c r="FN35" s="126"/>
      <c r="FO35" s="124"/>
      <c r="FP35" s="125"/>
      <c r="FQ35" s="125"/>
      <c r="FR35" s="125"/>
      <c r="FS35" s="126"/>
      <c r="FT35" s="124"/>
      <c r="FU35" s="125"/>
      <c r="FV35" s="125"/>
      <c r="FW35" s="125"/>
      <c r="FX35" s="126"/>
      <c r="FY35" s="124"/>
      <c r="FZ35" s="125"/>
      <c r="GA35" s="125"/>
      <c r="GB35" s="125"/>
      <c r="GC35" s="126"/>
      <c r="GD35" s="124"/>
      <c r="GE35" s="125"/>
      <c r="GF35" s="125"/>
      <c r="GG35" s="125"/>
      <c r="GH35" s="126"/>
      <c r="GI35" s="124"/>
      <c r="GJ35" s="125"/>
      <c r="GK35" s="125"/>
      <c r="GL35" s="125"/>
      <c r="GM35" s="126"/>
      <c r="GN35" s="124"/>
      <c r="GO35" s="125"/>
      <c r="GP35" s="125"/>
      <c r="GQ35" s="125"/>
      <c r="GR35" s="126"/>
    </row>
    <row r="36" spans="1:200" ht="11.25" hidden="1" customHeight="1" x14ac:dyDescent="0.25">
      <c r="A36" s="416"/>
      <c r="B36" s="405"/>
      <c r="C36" s="405"/>
      <c r="D36" s="405"/>
      <c r="E36" s="405"/>
      <c r="F36" s="405"/>
      <c r="G36" s="406"/>
      <c r="H36" s="417"/>
      <c r="I36" s="418"/>
      <c r="J36" s="418"/>
      <c r="K36" s="418"/>
      <c r="L36" s="418"/>
      <c r="M36" s="418"/>
      <c r="N36" s="418"/>
      <c r="O36" s="418"/>
      <c r="P36" s="418"/>
      <c r="Q36" s="418"/>
      <c r="R36" s="418"/>
      <c r="S36" s="418"/>
      <c r="T36" s="418"/>
      <c r="U36" s="418"/>
      <c r="V36" s="418"/>
      <c r="W36" s="418"/>
      <c r="X36" s="418"/>
      <c r="Y36" s="418"/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  <c r="AO36" s="418"/>
      <c r="AP36" s="418"/>
      <c r="AQ36" s="418"/>
      <c r="AR36" s="418"/>
      <c r="AS36" s="418"/>
      <c r="AT36" s="418"/>
      <c r="AU36" s="418"/>
      <c r="AV36" s="418"/>
      <c r="AW36" s="418"/>
      <c r="AX36" s="418"/>
      <c r="AY36" s="418"/>
      <c r="AZ36" s="418"/>
      <c r="BA36" s="418"/>
      <c r="BB36" s="418"/>
      <c r="BC36" s="418"/>
      <c r="BD36" s="419"/>
      <c r="BE36" s="398"/>
      <c r="BF36" s="399"/>
      <c r="BG36" s="399"/>
      <c r="BH36" s="399"/>
      <c r="BI36" s="399"/>
      <c r="BJ36" s="400"/>
      <c r="BK36" s="385"/>
      <c r="BL36" s="386"/>
      <c r="BM36" s="386"/>
      <c r="BN36" s="386"/>
      <c r="BO36" s="386"/>
      <c r="BP36" s="387"/>
      <c r="BQ36" s="398"/>
      <c r="BR36" s="399"/>
      <c r="BS36" s="399"/>
      <c r="BT36" s="399"/>
      <c r="BU36" s="399"/>
      <c r="BV36" s="400"/>
      <c r="BW36" s="426"/>
      <c r="BX36" s="427"/>
      <c r="BY36" s="427"/>
      <c r="BZ36" s="427"/>
      <c r="CA36" s="427"/>
      <c r="CB36" s="428"/>
      <c r="CC36" s="124"/>
      <c r="CD36" s="125"/>
      <c r="CE36" s="125"/>
      <c r="CF36" s="125"/>
      <c r="CG36" s="126"/>
      <c r="CH36" s="124"/>
      <c r="CI36" s="125"/>
      <c r="CJ36" s="125"/>
      <c r="CK36" s="125"/>
      <c r="CL36" s="126"/>
      <c r="CM36" s="124"/>
      <c r="CN36" s="125"/>
      <c r="CO36" s="125"/>
      <c r="CP36" s="125"/>
      <c r="CQ36" s="126"/>
      <c r="CR36" s="124"/>
      <c r="CS36" s="125"/>
      <c r="CT36" s="125"/>
      <c r="CU36" s="125"/>
      <c r="CV36" s="126"/>
      <c r="CW36" s="124"/>
      <c r="CX36" s="125"/>
      <c r="CY36" s="125"/>
      <c r="CZ36" s="125"/>
      <c r="DA36" s="126"/>
      <c r="DB36" s="124"/>
      <c r="DC36" s="125"/>
      <c r="DD36" s="125"/>
      <c r="DE36" s="125"/>
      <c r="DF36" s="126"/>
      <c r="DG36" s="124"/>
      <c r="DH36" s="125"/>
      <c r="DI36" s="125"/>
      <c r="DJ36" s="125"/>
      <c r="DK36" s="126"/>
      <c r="DL36" s="124"/>
      <c r="DM36" s="125"/>
      <c r="DN36" s="125"/>
      <c r="DO36" s="125"/>
      <c r="DP36" s="126"/>
      <c r="DQ36" s="124"/>
      <c r="DR36" s="125"/>
      <c r="DS36" s="125"/>
      <c r="DT36" s="125"/>
      <c r="DU36" s="126"/>
      <c r="DV36" s="124"/>
      <c r="DW36" s="125"/>
      <c r="DX36" s="125"/>
      <c r="DY36" s="125"/>
      <c r="DZ36" s="126"/>
      <c r="EA36" s="124"/>
      <c r="EB36" s="125"/>
      <c r="EC36" s="125"/>
      <c r="ED36" s="125"/>
      <c r="EE36" s="126"/>
      <c r="EF36" s="124"/>
      <c r="EG36" s="125"/>
      <c r="EH36" s="125"/>
      <c r="EI36" s="125"/>
      <c r="EJ36" s="126"/>
      <c r="EK36" s="124"/>
      <c r="EL36" s="125"/>
      <c r="EM36" s="125"/>
      <c r="EN36" s="125"/>
      <c r="EO36" s="126"/>
      <c r="EP36" s="124"/>
      <c r="EQ36" s="125"/>
      <c r="ER36" s="125"/>
      <c r="ES36" s="125"/>
      <c r="ET36" s="126"/>
      <c r="EU36" s="124"/>
      <c r="EV36" s="125"/>
      <c r="EW36" s="125"/>
      <c r="EX36" s="125"/>
      <c r="EY36" s="126"/>
      <c r="EZ36" s="124"/>
      <c r="FA36" s="125"/>
      <c r="FB36" s="125"/>
      <c r="FC36" s="125"/>
      <c r="FD36" s="126"/>
      <c r="FE36" s="124"/>
      <c r="FF36" s="125"/>
      <c r="FG36" s="125"/>
      <c r="FH36" s="125"/>
      <c r="FI36" s="126"/>
      <c r="FJ36" s="124"/>
      <c r="FK36" s="125"/>
      <c r="FL36" s="125"/>
      <c r="FM36" s="125"/>
      <c r="FN36" s="126"/>
      <c r="FO36" s="124"/>
      <c r="FP36" s="125"/>
      <c r="FQ36" s="125"/>
      <c r="FR36" s="125"/>
      <c r="FS36" s="126"/>
      <c r="FT36" s="124"/>
      <c r="FU36" s="125"/>
      <c r="FV36" s="125"/>
      <c r="FW36" s="125"/>
      <c r="FX36" s="126"/>
      <c r="FY36" s="124"/>
      <c r="FZ36" s="125"/>
      <c r="GA36" s="125"/>
      <c r="GB36" s="125"/>
      <c r="GC36" s="126"/>
      <c r="GD36" s="124"/>
      <c r="GE36" s="125"/>
      <c r="GF36" s="125"/>
      <c r="GG36" s="125"/>
      <c r="GH36" s="126"/>
      <c r="GI36" s="124"/>
      <c r="GJ36" s="125"/>
      <c r="GK36" s="125"/>
      <c r="GL36" s="125"/>
      <c r="GM36" s="126"/>
      <c r="GN36" s="124"/>
      <c r="GO36" s="125"/>
      <c r="GP36" s="125"/>
      <c r="GQ36" s="125"/>
      <c r="GR36" s="126"/>
    </row>
    <row r="37" spans="1:200" ht="11.25" hidden="1" customHeight="1" x14ac:dyDescent="0.25">
      <c r="A37" s="407"/>
      <c r="B37" s="408"/>
      <c r="C37" s="408"/>
      <c r="D37" s="408"/>
      <c r="E37" s="408"/>
      <c r="F37" s="408"/>
      <c r="G37" s="409"/>
      <c r="H37" s="420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2"/>
      <c r="BE37" s="401"/>
      <c r="BF37" s="402"/>
      <c r="BG37" s="402"/>
      <c r="BH37" s="402"/>
      <c r="BI37" s="402"/>
      <c r="BJ37" s="403"/>
      <c r="BK37" s="388"/>
      <c r="BL37" s="389"/>
      <c r="BM37" s="389"/>
      <c r="BN37" s="389"/>
      <c r="BO37" s="389"/>
      <c r="BP37" s="390"/>
      <c r="BQ37" s="401"/>
      <c r="BR37" s="402"/>
      <c r="BS37" s="402"/>
      <c r="BT37" s="402"/>
      <c r="BU37" s="402"/>
      <c r="BV37" s="403"/>
      <c r="BW37" s="385"/>
      <c r="BX37" s="386"/>
      <c r="BY37" s="386"/>
      <c r="BZ37" s="386"/>
      <c r="CA37" s="386"/>
      <c r="CB37" s="387"/>
      <c r="CC37" s="124"/>
      <c r="CD37" s="125"/>
      <c r="CE37" s="125"/>
      <c r="CF37" s="125"/>
      <c r="CG37" s="126"/>
      <c r="CH37" s="124"/>
      <c r="CI37" s="125"/>
      <c r="CJ37" s="125"/>
      <c r="CK37" s="125"/>
      <c r="CL37" s="126"/>
      <c r="CM37" s="124"/>
      <c r="CN37" s="125"/>
      <c r="CO37" s="125"/>
      <c r="CP37" s="125"/>
      <c r="CQ37" s="126"/>
      <c r="CR37" s="124"/>
      <c r="CS37" s="125"/>
      <c r="CT37" s="125"/>
      <c r="CU37" s="125"/>
      <c r="CV37" s="126"/>
      <c r="CW37" s="124"/>
      <c r="CX37" s="125"/>
      <c r="CY37" s="125"/>
      <c r="CZ37" s="125"/>
      <c r="DA37" s="126"/>
      <c r="DB37" s="124"/>
      <c r="DC37" s="125"/>
      <c r="DD37" s="125"/>
      <c r="DE37" s="125"/>
      <c r="DF37" s="126"/>
      <c r="DG37" s="124"/>
      <c r="DH37" s="125"/>
      <c r="DI37" s="125"/>
      <c r="DJ37" s="125"/>
      <c r="DK37" s="126"/>
      <c r="DL37" s="124"/>
      <c r="DM37" s="125"/>
      <c r="DN37" s="125"/>
      <c r="DO37" s="125"/>
      <c r="DP37" s="126"/>
      <c r="DQ37" s="124"/>
      <c r="DR37" s="125"/>
      <c r="DS37" s="125"/>
      <c r="DT37" s="125"/>
      <c r="DU37" s="126"/>
      <c r="DV37" s="124"/>
      <c r="DW37" s="125"/>
      <c r="DX37" s="125"/>
      <c r="DY37" s="125"/>
      <c r="DZ37" s="126"/>
      <c r="EA37" s="124"/>
      <c r="EB37" s="125"/>
      <c r="EC37" s="125"/>
      <c r="ED37" s="125"/>
      <c r="EE37" s="126"/>
      <c r="EF37" s="124"/>
      <c r="EG37" s="125"/>
      <c r="EH37" s="125"/>
      <c r="EI37" s="125"/>
      <c r="EJ37" s="126"/>
      <c r="EK37" s="124"/>
      <c r="EL37" s="125"/>
      <c r="EM37" s="125"/>
      <c r="EN37" s="125"/>
      <c r="EO37" s="126"/>
      <c r="EP37" s="124"/>
      <c r="EQ37" s="125"/>
      <c r="ER37" s="125"/>
      <c r="ES37" s="125"/>
      <c r="ET37" s="126"/>
      <c r="EU37" s="124"/>
      <c r="EV37" s="125"/>
      <c r="EW37" s="125"/>
      <c r="EX37" s="125"/>
      <c r="EY37" s="126"/>
      <c r="EZ37" s="124"/>
      <c r="FA37" s="125"/>
      <c r="FB37" s="125"/>
      <c r="FC37" s="125"/>
      <c r="FD37" s="126"/>
      <c r="FE37" s="124"/>
      <c r="FF37" s="125"/>
      <c r="FG37" s="125"/>
      <c r="FH37" s="125"/>
      <c r="FI37" s="126"/>
      <c r="FJ37" s="124"/>
      <c r="FK37" s="125"/>
      <c r="FL37" s="125"/>
      <c r="FM37" s="125"/>
      <c r="FN37" s="126"/>
      <c r="FO37" s="124"/>
      <c r="FP37" s="125"/>
      <c r="FQ37" s="125"/>
      <c r="FR37" s="125"/>
      <c r="FS37" s="126"/>
      <c r="FT37" s="124"/>
      <c r="FU37" s="125"/>
      <c r="FV37" s="125"/>
      <c r="FW37" s="125"/>
      <c r="FX37" s="126"/>
      <c r="FY37" s="124"/>
      <c r="FZ37" s="125"/>
      <c r="GA37" s="125"/>
      <c r="GB37" s="125"/>
      <c r="GC37" s="126"/>
      <c r="GD37" s="124"/>
      <c r="GE37" s="125"/>
      <c r="GF37" s="125"/>
      <c r="GG37" s="125"/>
      <c r="GH37" s="126"/>
      <c r="GI37" s="124"/>
      <c r="GJ37" s="125"/>
      <c r="GK37" s="125"/>
      <c r="GL37" s="125"/>
      <c r="GM37" s="126"/>
      <c r="GN37" s="124"/>
      <c r="GO37" s="125"/>
      <c r="GP37" s="125"/>
      <c r="GQ37" s="125"/>
      <c r="GR37" s="126"/>
    </row>
    <row r="38" spans="1:200" ht="11.25" hidden="1" customHeight="1" x14ac:dyDescent="0.25">
      <c r="A38" s="404"/>
      <c r="B38" s="405"/>
      <c r="C38" s="405"/>
      <c r="D38" s="405"/>
      <c r="E38" s="405"/>
      <c r="F38" s="405"/>
      <c r="G38" s="406"/>
      <c r="H38" s="417"/>
      <c r="I38" s="418"/>
      <c r="J38" s="418"/>
      <c r="K38" s="418"/>
      <c r="L38" s="418"/>
      <c r="M38" s="418"/>
      <c r="N38" s="418"/>
      <c r="O38" s="418"/>
      <c r="P38" s="418"/>
      <c r="Q38" s="418"/>
      <c r="R38" s="418"/>
      <c r="S38" s="418"/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  <c r="AO38" s="418"/>
      <c r="AP38" s="418"/>
      <c r="AQ38" s="418"/>
      <c r="AR38" s="418"/>
      <c r="AS38" s="418"/>
      <c r="AT38" s="418"/>
      <c r="AU38" s="418"/>
      <c r="AV38" s="418"/>
      <c r="AW38" s="418"/>
      <c r="AX38" s="418"/>
      <c r="AY38" s="418"/>
      <c r="AZ38" s="418"/>
      <c r="BA38" s="418"/>
      <c r="BB38" s="418"/>
      <c r="BC38" s="418"/>
      <c r="BD38" s="419"/>
      <c r="BE38" s="385"/>
      <c r="BF38" s="386"/>
      <c r="BG38" s="386"/>
      <c r="BH38" s="386"/>
      <c r="BI38" s="386"/>
      <c r="BJ38" s="387"/>
      <c r="BK38" s="385"/>
      <c r="BL38" s="386"/>
      <c r="BM38" s="386"/>
      <c r="BN38" s="386"/>
      <c r="BO38" s="386"/>
      <c r="BP38" s="387"/>
      <c r="BQ38" s="385"/>
      <c r="BR38" s="386"/>
      <c r="BS38" s="386"/>
      <c r="BT38" s="386"/>
      <c r="BU38" s="386"/>
      <c r="BV38" s="387"/>
      <c r="BW38" s="388"/>
      <c r="BX38" s="389"/>
      <c r="BY38" s="389"/>
      <c r="BZ38" s="389"/>
      <c r="CA38" s="389"/>
      <c r="CB38" s="390"/>
      <c r="CC38" s="127"/>
      <c r="CD38" s="128"/>
      <c r="CE38" s="128"/>
      <c r="CF38" s="128"/>
      <c r="CG38" s="129"/>
      <c r="CH38" s="130"/>
      <c r="CI38" s="128"/>
      <c r="CJ38" s="128"/>
      <c r="CK38" s="128"/>
      <c r="CL38" s="131"/>
      <c r="CM38" s="132"/>
      <c r="CN38" s="128"/>
      <c r="CO38" s="128"/>
      <c r="CP38" s="128"/>
      <c r="CQ38" s="129"/>
      <c r="CR38" s="130"/>
      <c r="CS38" s="128"/>
      <c r="CT38" s="128"/>
      <c r="CU38" s="128"/>
      <c r="CV38" s="131"/>
      <c r="CW38" s="132"/>
      <c r="CX38" s="128"/>
      <c r="CY38" s="128"/>
      <c r="CZ38" s="128"/>
      <c r="DA38" s="129"/>
      <c r="DB38" s="130"/>
      <c r="DC38" s="128"/>
      <c r="DD38" s="128"/>
      <c r="DE38" s="128"/>
      <c r="DF38" s="131"/>
      <c r="DG38" s="132"/>
      <c r="DH38" s="128"/>
      <c r="DI38" s="128"/>
      <c r="DJ38" s="128"/>
      <c r="DK38" s="129"/>
      <c r="DL38" s="130"/>
      <c r="DM38" s="128"/>
      <c r="DN38" s="128"/>
      <c r="DO38" s="128"/>
      <c r="DP38" s="131"/>
      <c r="DQ38" s="132"/>
      <c r="DR38" s="128"/>
      <c r="DS38" s="128"/>
      <c r="DT38" s="128"/>
      <c r="DU38" s="129"/>
      <c r="DV38" s="130"/>
      <c r="DW38" s="128"/>
      <c r="DX38" s="128"/>
      <c r="DY38" s="128"/>
      <c r="DZ38" s="131"/>
      <c r="EA38" s="132"/>
      <c r="EB38" s="128"/>
      <c r="EC38" s="128"/>
      <c r="ED38" s="128"/>
      <c r="EE38" s="129"/>
      <c r="EF38" s="130"/>
      <c r="EG38" s="128"/>
      <c r="EH38" s="128"/>
      <c r="EI38" s="128"/>
      <c r="EJ38" s="131"/>
      <c r="EK38" s="132"/>
      <c r="EL38" s="128"/>
      <c r="EM38" s="128"/>
      <c r="EN38" s="128"/>
      <c r="EO38" s="129"/>
      <c r="EP38" s="130"/>
      <c r="EQ38" s="128"/>
      <c r="ER38" s="128"/>
      <c r="ES38" s="128"/>
      <c r="ET38" s="131"/>
      <c r="EU38" s="132"/>
      <c r="EV38" s="128"/>
      <c r="EW38" s="128"/>
      <c r="EX38" s="128"/>
      <c r="EY38" s="129"/>
      <c r="EZ38" s="130"/>
      <c r="FA38" s="128"/>
      <c r="FB38" s="128"/>
      <c r="FC38" s="128"/>
      <c r="FD38" s="131"/>
      <c r="FE38" s="132"/>
      <c r="FF38" s="128"/>
      <c r="FG38" s="128"/>
      <c r="FH38" s="128"/>
      <c r="FI38" s="129"/>
      <c r="FJ38" s="130"/>
      <c r="FK38" s="128"/>
      <c r="FL38" s="128"/>
      <c r="FM38" s="128"/>
      <c r="FN38" s="131"/>
      <c r="FO38" s="132"/>
      <c r="FP38" s="128"/>
      <c r="FQ38" s="128"/>
      <c r="FR38" s="128"/>
      <c r="FS38" s="129"/>
      <c r="FT38" s="130"/>
      <c r="FU38" s="128"/>
      <c r="FV38" s="128"/>
      <c r="FW38" s="128"/>
      <c r="FX38" s="131"/>
      <c r="FY38" s="132"/>
      <c r="FZ38" s="128"/>
      <c r="GA38" s="128"/>
      <c r="GB38" s="128"/>
      <c r="GC38" s="129"/>
      <c r="GD38" s="128"/>
      <c r="GE38" s="128"/>
      <c r="GF38" s="128"/>
      <c r="GG38" s="128"/>
      <c r="GH38" s="131"/>
      <c r="GI38" s="132"/>
      <c r="GJ38" s="128"/>
      <c r="GK38" s="128"/>
      <c r="GL38" s="128"/>
      <c r="GM38" s="129"/>
      <c r="GN38" s="130"/>
      <c r="GO38" s="128"/>
      <c r="GP38" s="128"/>
      <c r="GQ38" s="128"/>
      <c r="GR38" s="133"/>
    </row>
    <row r="39" spans="1:200" ht="11.25" hidden="1" customHeight="1" x14ac:dyDescent="0.25">
      <c r="A39" s="407"/>
      <c r="B39" s="408"/>
      <c r="C39" s="408"/>
      <c r="D39" s="408"/>
      <c r="E39" s="408"/>
      <c r="F39" s="408"/>
      <c r="G39" s="409"/>
      <c r="H39" s="420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2"/>
      <c r="BE39" s="388"/>
      <c r="BF39" s="389"/>
      <c r="BG39" s="389"/>
      <c r="BH39" s="389"/>
      <c r="BI39" s="389"/>
      <c r="BJ39" s="390"/>
      <c r="BK39" s="388"/>
      <c r="BL39" s="389"/>
      <c r="BM39" s="389"/>
      <c r="BN39" s="389"/>
      <c r="BO39" s="389"/>
      <c r="BP39" s="390"/>
      <c r="BQ39" s="388"/>
      <c r="BR39" s="389"/>
      <c r="BS39" s="389"/>
      <c r="BT39" s="389"/>
      <c r="BU39" s="389"/>
      <c r="BV39" s="390"/>
      <c r="BW39" s="385"/>
      <c r="BX39" s="386"/>
      <c r="BY39" s="386"/>
      <c r="BZ39" s="386"/>
      <c r="CA39" s="386"/>
      <c r="CB39" s="387"/>
      <c r="CC39" s="41"/>
      <c r="CD39" s="42"/>
      <c r="CE39" s="42"/>
      <c r="CF39" s="42"/>
      <c r="CG39" s="43"/>
      <c r="CH39" s="44"/>
      <c r="CI39" s="42"/>
      <c r="CJ39" s="42"/>
      <c r="CK39" s="42"/>
      <c r="CL39" s="45"/>
      <c r="CM39" s="46"/>
      <c r="CN39" s="42"/>
      <c r="CO39" s="42"/>
      <c r="CP39" s="42"/>
      <c r="CQ39" s="43"/>
      <c r="CR39" s="44"/>
      <c r="CS39" s="42"/>
      <c r="CT39" s="42"/>
      <c r="CU39" s="42"/>
      <c r="CV39" s="45"/>
      <c r="CW39" s="46"/>
      <c r="CX39" s="42"/>
      <c r="CY39" s="42"/>
      <c r="CZ39" s="42"/>
      <c r="DA39" s="43"/>
      <c r="DB39" s="44"/>
      <c r="DC39" s="42"/>
      <c r="DD39" s="42"/>
      <c r="DE39" s="42"/>
      <c r="DF39" s="45"/>
      <c r="DG39" s="46"/>
      <c r="DH39" s="42"/>
      <c r="DI39" s="42"/>
      <c r="DJ39" s="42"/>
      <c r="DK39" s="43"/>
      <c r="DL39" s="44"/>
      <c r="DM39" s="42"/>
      <c r="DN39" s="42"/>
      <c r="DO39" s="42"/>
      <c r="DP39" s="45"/>
      <c r="DQ39" s="46"/>
      <c r="DR39" s="42"/>
      <c r="DS39" s="42"/>
      <c r="DT39" s="42"/>
      <c r="DU39" s="43"/>
      <c r="DV39" s="44"/>
      <c r="DW39" s="42"/>
      <c r="DX39" s="42"/>
      <c r="DY39" s="42"/>
      <c r="DZ39" s="45"/>
      <c r="EA39" s="46"/>
      <c r="EB39" s="42"/>
      <c r="EC39" s="42"/>
      <c r="ED39" s="42"/>
      <c r="EE39" s="43"/>
      <c r="EF39" s="44"/>
      <c r="EG39" s="42"/>
      <c r="EH39" s="42"/>
      <c r="EI39" s="42"/>
      <c r="EJ39" s="45"/>
      <c r="EK39" s="46"/>
      <c r="EL39" s="42"/>
      <c r="EM39" s="42"/>
      <c r="EN39" s="42"/>
      <c r="EO39" s="43"/>
      <c r="EP39" s="44"/>
      <c r="EQ39" s="42"/>
      <c r="ER39" s="42"/>
      <c r="ES39" s="42"/>
      <c r="ET39" s="45"/>
      <c r="EU39" s="46"/>
      <c r="EV39" s="42"/>
      <c r="EW39" s="42"/>
      <c r="EX39" s="42"/>
      <c r="EY39" s="43"/>
      <c r="EZ39" s="44"/>
      <c r="FA39" s="42"/>
      <c r="FB39" s="42"/>
      <c r="FC39" s="42"/>
      <c r="FD39" s="45"/>
      <c r="FE39" s="46"/>
      <c r="FF39" s="42"/>
      <c r="FG39" s="42"/>
      <c r="FH39" s="42"/>
      <c r="FI39" s="43"/>
      <c r="FJ39" s="44"/>
      <c r="FK39" s="42"/>
      <c r="FL39" s="42"/>
      <c r="FM39" s="42"/>
      <c r="FN39" s="45"/>
      <c r="FO39" s="46"/>
      <c r="FP39" s="42"/>
      <c r="FQ39" s="42"/>
      <c r="FR39" s="42"/>
      <c r="FS39" s="43"/>
      <c r="FT39" s="44"/>
      <c r="FU39" s="42"/>
      <c r="FV39" s="42"/>
      <c r="FW39" s="42"/>
      <c r="FX39" s="45"/>
      <c r="FY39" s="46"/>
      <c r="FZ39" s="42"/>
      <c r="GA39" s="42"/>
      <c r="GB39" s="42"/>
      <c r="GC39" s="43"/>
      <c r="GD39" s="42"/>
      <c r="GE39" s="42"/>
      <c r="GF39" s="42"/>
      <c r="GG39" s="42"/>
      <c r="GH39" s="45"/>
      <c r="GI39" s="46"/>
      <c r="GJ39" s="42"/>
      <c r="GK39" s="42"/>
      <c r="GL39" s="42"/>
      <c r="GM39" s="43"/>
      <c r="GN39" s="44"/>
      <c r="GO39" s="42"/>
      <c r="GP39" s="42"/>
      <c r="GQ39" s="42"/>
      <c r="GR39" s="47"/>
    </row>
    <row r="40" spans="1:200" ht="11.25" hidden="1" customHeight="1" x14ac:dyDescent="0.25">
      <c r="A40" s="404"/>
      <c r="B40" s="405"/>
      <c r="C40" s="405"/>
      <c r="D40" s="405"/>
      <c r="E40" s="405"/>
      <c r="F40" s="405"/>
      <c r="G40" s="406"/>
      <c r="H40" s="410"/>
      <c r="I40" s="411"/>
      <c r="J40" s="411"/>
      <c r="K40" s="411"/>
      <c r="L40" s="411"/>
      <c r="M40" s="411"/>
      <c r="N40" s="411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  <c r="AA40" s="411"/>
      <c r="AB40" s="411"/>
      <c r="AC40" s="411"/>
      <c r="AD40" s="411"/>
      <c r="AE40" s="411"/>
      <c r="AF40" s="411"/>
      <c r="AG40" s="411"/>
      <c r="AH40" s="411"/>
      <c r="AI40" s="411"/>
      <c r="AJ40" s="411"/>
      <c r="AK40" s="411"/>
      <c r="AL40" s="411"/>
      <c r="AM40" s="411"/>
      <c r="AN40" s="411"/>
      <c r="AO40" s="411"/>
      <c r="AP40" s="411"/>
      <c r="AQ40" s="411"/>
      <c r="AR40" s="411"/>
      <c r="AS40" s="411"/>
      <c r="AT40" s="411"/>
      <c r="AU40" s="411"/>
      <c r="AV40" s="411"/>
      <c r="AW40" s="411"/>
      <c r="AX40" s="411"/>
      <c r="AY40" s="411"/>
      <c r="AZ40" s="411"/>
      <c r="BA40" s="411"/>
      <c r="BB40" s="411"/>
      <c r="BC40" s="411"/>
      <c r="BD40" s="412"/>
      <c r="BE40" s="385"/>
      <c r="BF40" s="386"/>
      <c r="BG40" s="386"/>
      <c r="BH40" s="386"/>
      <c r="BI40" s="386"/>
      <c r="BJ40" s="387"/>
      <c r="BK40" s="385"/>
      <c r="BL40" s="386"/>
      <c r="BM40" s="386"/>
      <c r="BN40" s="386"/>
      <c r="BO40" s="386"/>
      <c r="BP40" s="387"/>
      <c r="BQ40" s="385"/>
      <c r="BR40" s="386"/>
      <c r="BS40" s="386"/>
      <c r="BT40" s="386"/>
      <c r="BU40" s="386"/>
      <c r="BV40" s="387"/>
      <c r="BW40" s="388"/>
      <c r="BX40" s="389"/>
      <c r="BY40" s="389"/>
      <c r="BZ40" s="389"/>
      <c r="CA40" s="389"/>
      <c r="CB40" s="390"/>
      <c r="CC40" s="41"/>
      <c r="CD40" s="42"/>
      <c r="CE40" s="42"/>
      <c r="CF40" s="42"/>
      <c r="CG40" s="43"/>
      <c r="CH40" s="44"/>
      <c r="CI40" s="42"/>
      <c r="CJ40" s="42"/>
      <c r="CK40" s="42"/>
      <c r="CL40" s="45"/>
      <c r="CM40" s="46"/>
      <c r="CN40" s="42"/>
      <c r="CO40" s="42"/>
      <c r="CP40" s="42"/>
      <c r="CQ40" s="43"/>
      <c r="CR40" s="44"/>
      <c r="CS40" s="42"/>
      <c r="CT40" s="42"/>
      <c r="CU40" s="42"/>
      <c r="CV40" s="45"/>
      <c r="CW40" s="46"/>
      <c r="CX40" s="42"/>
      <c r="CY40" s="42"/>
      <c r="CZ40" s="42"/>
      <c r="DA40" s="43"/>
      <c r="DB40" s="44"/>
      <c r="DC40" s="42"/>
      <c r="DD40" s="42"/>
      <c r="DE40" s="42"/>
      <c r="DF40" s="45"/>
      <c r="DG40" s="46"/>
      <c r="DH40" s="42"/>
      <c r="DI40" s="42"/>
      <c r="DJ40" s="42"/>
      <c r="DK40" s="43"/>
      <c r="DL40" s="44"/>
      <c r="DM40" s="42"/>
      <c r="DN40" s="42"/>
      <c r="DO40" s="42"/>
      <c r="DP40" s="45"/>
      <c r="DQ40" s="46"/>
      <c r="DR40" s="42"/>
      <c r="DS40" s="42"/>
      <c r="DT40" s="42"/>
      <c r="DU40" s="43"/>
      <c r="DV40" s="44"/>
      <c r="DW40" s="42"/>
      <c r="DX40" s="42"/>
      <c r="DY40" s="42"/>
      <c r="DZ40" s="45"/>
      <c r="EA40" s="46"/>
      <c r="EB40" s="42"/>
      <c r="EC40" s="42"/>
      <c r="ED40" s="42"/>
      <c r="EE40" s="43"/>
      <c r="EF40" s="44"/>
      <c r="EG40" s="42"/>
      <c r="EH40" s="42"/>
      <c r="EI40" s="42"/>
      <c r="EJ40" s="45"/>
      <c r="EK40" s="46"/>
      <c r="EL40" s="42"/>
      <c r="EM40" s="42"/>
      <c r="EN40" s="42"/>
      <c r="EO40" s="43"/>
      <c r="EP40" s="44"/>
      <c r="EQ40" s="42"/>
      <c r="ER40" s="42"/>
      <c r="ES40" s="42"/>
      <c r="ET40" s="45"/>
      <c r="EU40" s="46"/>
      <c r="EV40" s="42"/>
      <c r="EW40" s="42"/>
      <c r="EX40" s="42"/>
      <c r="EY40" s="43"/>
      <c r="EZ40" s="44"/>
      <c r="FA40" s="42"/>
      <c r="FB40" s="42"/>
      <c r="FC40" s="42"/>
      <c r="FD40" s="45"/>
      <c r="FE40" s="46"/>
      <c r="FF40" s="42"/>
      <c r="FG40" s="42"/>
      <c r="FH40" s="42"/>
      <c r="FI40" s="43"/>
      <c r="FJ40" s="44"/>
      <c r="FK40" s="42"/>
      <c r="FL40" s="42"/>
      <c r="FM40" s="42"/>
      <c r="FN40" s="45"/>
      <c r="FO40" s="46"/>
      <c r="FP40" s="42"/>
      <c r="FQ40" s="42"/>
      <c r="FR40" s="42"/>
      <c r="FS40" s="43"/>
      <c r="FT40" s="44"/>
      <c r="FU40" s="42"/>
      <c r="FV40" s="42"/>
      <c r="FW40" s="42"/>
      <c r="FX40" s="45"/>
      <c r="FY40" s="46"/>
      <c r="FZ40" s="42"/>
      <c r="GA40" s="42"/>
      <c r="GB40" s="42"/>
      <c r="GC40" s="43"/>
      <c r="GD40" s="42"/>
      <c r="GE40" s="42"/>
      <c r="GF40" s="42"/>
      <c r="GG40" s="42"/>
      <c r="GH40" s="45"/>
      <c r="GI40" s="46"/>
      <c r="GJ40" s="42"/>
      <c r="GK40" s="42"/>
      <c r="GL40" s="42"/>
      <c r="GM40" s="43"/>
      <c r="GN40" s="44"/>
      <c r="GO40" s="42"/>
      <c r="GP40" s="42"/>
      <c r="GQ40" s="42"/>
      <c r="GR40" s="47"/>
    </row>
    <row r="41" spans="1:200" ht="11.25" hidden="1" customHeight="1" x14ac:dyDescent="0.25">
      <c r="A41" s="407"/>
      <c r="B41" s="408"/>
      <c r="C41" s="408"/>
      <c r="D41" s="408"/>
      <c r="E41" s="408"/>
      <c r="F41" s="408"/>
      <c r="G41" s="409"/>
      <c r="H41" s="413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  <c r="AA41" s="414"/>
      <c r="AB41" s="414"/>
      <c r="AC41" s="414"/>
      <c r="AD41" s="414"/>
      <c r="AE41" s="414"/>
      <c r="AF41" s="414"/>
      <c r="AG41" s="414"/>
      <c r="AH41" s="414"/>
      <c r="AI41" s="414"/>
      <c r="AJ41" s="414"/>
      <c r="AK41" s="414"/>
      <c r="AL41" s="414"/>
      <c r="AM41" s="414"/>
      <c r="AN41" s="414"/>
      <c r="AO41" s="414"/>
      <c r="AP41" s="414"/>
      <c r="AQ41" s="414"/>
      <c r="AR41" s="414"/>
      <c r="AS41" s="414"/>
      <c r="AT41" s="414"/>
      <c r="AU41" s="414"/>
      <c r="AV41" s="414"/>
      <c r="AW41" s="414"/>
      <c r="AX41" s="414"/>
      <c r="AY41" s="414"/>
      <c r="AZ41" s="414"/>
      <c r="BA41" s="414"/>
      <c r="BB41" s="414"/>
      <c r="BC41" s="414"/>
      <c r="BD41" s="415"/>
      <c r="BE41" s="388"/>
      <c r="BF41" s="389"/>
      <c r="BG41" s="389"/>
      <c r="BH41" s="389"/>
      <c r="BI41" s="389"/>
      <c r="BJ41" s="390"/>
      <c r="BK41" s="388"/>
      <c r="BL41" s="389"/>
      <c r="BM41" s="389"/>
      <c r="BN41" s="389"/>
      <c r="BO41" s="389"/>
      <c r="BP41" s="390"/>
      <c r="BQ41" s="388"/>
      <c r="BR41" s="389"/>
      <c r="BS41" s="389"/>
      <c r="BT41" s="389"/>
      <c r="BU41" s="389"/>
      <c r="BV41" s="390"/>
      <c r="BW41" s="385"/>
      <c r="BX41" s="386"/>
      <c r="BY41" s="386"/>
      <c r="BZ41" s="386"/>
      <c r="CA41" s="386"/>
      <c r="CB41" s="387"/>
      <c r="CC41" s="48"/>
      <c r="CD41" s="49"/>
      <c r="CE41" s="49"/>
      <c r="CF41" s="49"/>
      <c r="CG41" s="50"/>
      <c r="CH41" s="51"/>
      <c r="CI41" s="49"/>
      <c r="CJ41" s="49"/>
      <c r="CK41" s="49"/>
      <c r="CL41" s="52"/>
      <c r="CM41" s="53"/>
      <c r="CN41" s="49"/>
      <c r="CO41" s="49"/>
      <c r="CP41" s="49"/>
      <c r="CQ41" s="50"/>
      <c r="CR41" s="51"/>
      <c r="CS41" s="49"/>
      <c r="CT41" s="49"/>
      <c r="CU41" s="49"/>
      <c r="CV41" s="52"/>
      <c r="CW41" s="53"/>
      <c r="CX41" s="49"/>
      <c r="CY41" s="49"/>
      <c r="CZ41" s="49"/>
      <c r="DA41" s="50"/>
      <c r="DB41" s="51"/>
      <c r="DC41" s="49"/>
      <c r="DD41" s="49"/>
      <c r="DE41" s="49"/>
      <c r="DF41" s="52"/>
      <c r="DG41" s="53"/>
      <c r="DH41" s="49"/>
      <c r="DI41" s="49"/>
      <c r="DJ41" s="49"/>
      <c r="DK41" s="50"/>
      <c r="DL41" s="51"/>
      <c r="DM41" s="49"/>
      <c r="DN41" s="49"/>
      <c r="DO41" s="49"/>
      <c r="DP41" s="52"/>
      <c r="DQ41" s="53"/>
      <c r="DR41" s="49"/>
      <c r="DS41" s="49"/>
      <c r="DT41" s="49"/>
      <c r="DU41" s="50"/>
      <c r="DV41" s="51"/>
      <c r="DW41" s="49"/>
      <c r="DX41" s="49"/>
      <c r="DY41" s="49"/>
      <c r="DZ41" s="52"/>
      <c r="EA41" s="53"/>
      <c r="EB41" s="49"/>
      <c r="EC41" s="49"/>
      <c r="ED41" s="49"/>
      <c r="EE41" s="50"/>
      <c r="EF41" s="51"/>
      <c r="EG41" s="49"/>
      <c r="EH41" s="49"/>
      <c r="EI41" s="49"/>
      <c r="EJ41" s="52"/>
      <c r="EK41" s="53"/>
      <c r="EL41" s="49"/>
      <c r="EM41" s="49"/>
      <c r="EN41" s="49"/>
      <c r="EO41" s="50"/>
      <c r="EP41" s="51"/>
      <c r="EQ41" s="49"/>
      <c r="ER41" s="49"/>
      <c r="ES41" s="49"/>
      <c r="ET41" s="52"/>
      <c r="EU41" s="53"/>
      <c r="EV41" s="49"/>
      <c r="EW41" s="49"/>
      <c r="EX41" s="49"/>
      <c r="EY41" s="50"/>
      <c r="EZ41" s="51"/>
      <c r="FA41" s="49"/>
      <c r="FB41" s="49"/>
      <c r="FC41" s="49"/>
      <c r="FD41" s="52"/>
      <c r="FE41" s="53"/>
      <c r="FF41" s="49"/>
      <c r="FG41" s="49"/>
      <c r="FH41" s="49"/>
      <c r="FI41" s="50"/>
      <c r="FJ41" s="51"/>
      <c r="FK41" s="49"/>
      <c r="FL41" s="49"/>
      <c r="FM41" s="49"/>
      <c r="FN41" s="52"/>
      <c r="FO41" s="53"/>
      <c r="FP41" s="49"/>
      <c r="FQ41" s="49"/>
      <c r="FR41" s="49"/>
      <c r="FS41" s="50"/>
      <c r="FT41" s="49"/>
      <c r="FU41" s="50"/>
      <c r="FV41" s="49"/>
      <c r="FW41" s="49"/>
      <c r="FX41" s="50"/>
      <c r="FY41" s="49"/>
      <c r="FZ41" s="50"/>
      <c r="GA41" s="49"/>
      <c r="GB41" s="50"/>
      <c r="GC41" s="49"/>
      <c r="GD41" s="49"/>
      <c r="GE41" s="50"/>
      <c r="GF41" s="49"/>
      <c r="GG41" s="50"/>
      <c r="GH41" s="49"/>
      <c r="GI41" s="50"/>
      <c r="GJ41" s="49"/>
      <c r="GK41" s="50"/>
      <c r="GL41" s="49"/>
      <c r="GM41" s="50"/>
      <c r="GN41" s="49"/>
      <c r="GO41" s="50"/>
      <c r="GP41" s="49"/>
      <c r="GQ41" s="50"/>
      <c r="GR41" s="47"/>
    </row>
    <row r="42" spans="1:200" ht="11.25" hidden="1" customHeight="1" x14ac:dyDescent="0.25">
      <c r="A42" s="404"/>
      <c r="B42" s="405"/>
      <c r="C42" s="405"/>
      <c r="D42" s="405"/>
      <c r="E42" s="405"/>
      <c r="F42" s="405"/>
      <c r="G42" s="406"/>
      <c r="H42" s="410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1"/>
      <c r="AZ42" s="411"/>
      <c r="BA42" s="411"/>
      <c r="BB42" s="411"/>
      <c r="BC42" s="411"/>
      <c r="BD42" s="412"/>
      <c r="BE42" s="385"/>
      <c r="BF42" s="386"/>
      <c r="BG42" s="386"/>
      <c r="BH42" s="386"/>
      <c r="BI42" s="386"/>
      <c r="BJ42" s="387"/>
      <c r="BK42" s="385"/>
      <c r="BL42" s="386"/>
      <c r="BM42" s="386"/>
      <c r="BN42" s="386"/>
      <c r="BO42" s="386"/>
      <c r="BP42" s="387"/>
      <c r="BQ42" s="385"/>
      <c r="BR42" s="386"/>
      <c r="BS42" s="386"/>
      <c r="BT42" s="386"/>
      <c r="BU42" s="386"/>
      <c r="BV42" s="387"/>
      <c r="BW42" s="388"/>
      <c r="BX42" s="389"/>
      <c r="BY42" s="389"/>
      <c r="BZ42" s="389"/>
      <c r="CA42" s="389"/>
      <c r="CB42" s="390"/>
      <c r="CC42" s="41"/>
      <c r="CD42" s="42"/>
      <c r="CE42" s="42"/>
      <c r="CF42" s="42"/>
      <c r="CG42" s="43"/>
      <c r="CH42" s="44"/>
      <c r="CI42" s="42"/>
      <c r="CJ42" s="42"/>
      <c r="CK42" s="42"/>
      <c r="CL42" s="45"/>
      <c r="CM42" s="46"/>
      <c r="CN42" s="42"/>
      <c r="CO42" s="42"/>
      <c r="CP42" s="42"/>
      <c r="CQ42" s="43"/>
      <c r="CR42" s="44"/>
      <c r="CS42" s="42"/>
      <c r="CT42" s="42"/>
      <c r="CU42" s="42"/>
      <c r="CV42" s="45"/>
      <c r="CW42" s="46"/>
      <c r="CX42" s="42"/>
      <c r="CY42" s="42"/>
      <c r="CZ42" s="42"/>
      <c r="DA42" s="43"/>
      <c r="DB42" s="44"/>
      <c r="DC42" s="42"/>
      <c r="DD42" s="42"/>
      <c r="DE42" s="42"/>
      <c r="DF42" s="45"/>
      <c r="DG42" s="46"/>
      <c r="DH42" s="42"/>
      <c r="DI42" s="42"/>
      <c r="DJ42" s="42"/>
      <c r="DK42" s="43"/>
      <c r="DL42" s="44"/>
      <c r="DM42" s="42"/>
      <c r="DN42" s="42"/>
      <c r="DO42" s="42"/>
      <c r="DP42" s="45"/>
      <c r="DQ42" s="46"/>
      <c r="DR42" s="42"/>
      <c r="DS42" s="42"/>
      <c r="DT42" s="42"/>
      <c r="DU42" s="43"/>
      <c r="DV42" s="44"/>
      <c r="DW42" s="42"/>
      <c r="DX42" s="42"/>
      <c r="DY42" s="42"/>
      <c r="DZ42" s="45"/>
      <c r="EA42" s="46"/>
      <c r="EB42" s="42"/>
      <c r="EC42" s="42"/>
      <c r="ED42" s="42"/>
      <c r="EE42" s="43"/>
      <c r="EF42" s="44"/>
      <c r="EG42" s="42"/>
      <c r="EH42" s="42"/>
      <c r="EI42" s="42"/>
      <c r="EJ42" s="45"/>
      <c r="EK42" s="46"/>
      <c r="EL42" s="42"/>
      <c r="EM42" s="42"/>
      <c r="EN42" s="42"/>
      <c r="EO42" s="43"/>
      <c r="EP42" s="44"/>
      <c r="EQ42" s="42"/>
      <c r="ER42" s="42"/>
      <c r="ES42" s="42"/>
      <c r="ET42" s="45"/>
      <c r="EU42" s="46"/>
      <c r="EV42" s="42"/>
      <c r="EW42" s="42"/>
      <c r="EX42" s="42"/>
      <c r="EY42" s="43"/>
      <c r="EZ42" s="44"/>
      <c r="FA42" s="42"/>
      <c r="FB42" s="42"/>
      <c r="FC42" s="42"/>
      <c r="FD42" s="45"/>
      <c r="FE42" s="46"/>
      <c r="FF42" s="42"/>
      <c r="FG42" s="42"/>
      <c r="FH42" s="42"/>
      <c r="FI42" s="43"/>
      <c r="FJ42" s="44"/>
      <c r="FK42" s="42"/>
      <c r="FL42" s="42"/>
      <c r="FM42" s="42"/>
      <c r="FN42" s="45"/>
      <c r="FO42" s="46"/>
      <c r="FP42" s="42"/>
      <c r="FQ42" s="42"/>
      <c r="FR42" s="42"/>
      <c r="FS42" s="43"/>
      <c r="FT42" s="42"/>
      <c r="FU42" s="43"/>
      <c r="FV42" s="42"/>
      <c r="FW42" s="42"/>
      <c r="FX42" s="43"/>
      <c r="FY42" s="42"/>
      <c r="FZ42" s="43"/>
      <c r="GA42" s="42"/>
      <c r="GB42" s="43"/>
      <c r="GC42" s="42"/>
      <c r="GD42" s="42"/>
      <c r="GE42" s="43"/>
      <c r="GF42" s="42"/>
      <c r="GG42" s="43"/>
      <c r="GH42" s="42"/>
      <c r="GI42" s="43"/>
      <c r="GJ42" s="42"/>
      <c r="GK42" s="43"/>
      <c r="GL42" s="42"/>
      <c r="GM42" s="43"/>
      <c r="GN42" s="42"/>
      <c r="GO42" s="43"/>
      <c r="GP42" s="42"/>
      <c r="GQ42" s="43"/>
      <c r="GR42" s="47"/>
    </row>
    <row r="43" spans="1:200" ht="11.25" hidden="1" customHeight="1" x14ac:dyDescent="0.25">
      <c r="A43" s="407"/>
      <c r="B43" s="408"/>
      <c r="C43" s="408"/>
      <c r="D43" s="408"/>
      <c r="E43" s="408"/>
      <c r="F43" s="408"/>
      <c r="G43" s="409"/>
      <c r="H43" s="413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  <c r="AA43" s="414"/>
      <c r="AB43" s="414"/>
      <c r="AC43" s="414"/>
      <c r="AD43" s="414"/>
      <c r="AE43" s="414"/>
      <c r="AF43" s="414"/>
      <c r="AG43" s="414"/>
      <c r="AH43" s="414"/>
      <c r="AI43" s="414"/>
      <c r="AJ43" s="414"/>
      <c r="AK43" s="414"/>
      <c r="AL43" s="414"/>
      <c r="AM43" s="414"/>
      <c r="AN43" s="414"/>
      <c r="AO43" s="414"/>
      <c r="AP43" s="414"/>
      <c r="AQ43" s="414"/>
      <c r="AR43" s="414"/>
      <c r="AS43" s="414"/>
      <c r="AT43" s="414"/>
      <c r="AU43" s="414"/>
      <c r="AV43" s="414"/>
      <c r="AW43" s="414"/>
      <c r="AX43" s="414"/>
      <c r="AY43" s="414"/>
      <c r="AZ43" s="414"/>
      <c r="BA43" s="414"/>
      <c r="BB43" s="414"/>
      <c r="BC43" s="414"/>
      <c r="BD43" s="415"/>
      <c r="BE43" s="388"/>
      <c r="BF43" s="389"/>
      <c r="BG43" s="389"/>
      <c r="BH43" s="389"/>
      <c r="BI43" s="389"/>
      <c r="BJ43" s="390"/>
      <c r="BK43" s="388"/>
      <c r="BL43" s="389"/>
      <c r="BM43" s="389"/>
      <c r="BN43" s="389"/>
      <c r="BO43" s="389"/>
      <c r="BP43" s="390"/>
      <c r="BQ43" s="388"/>
      <c r="BR43" s="389"/>
      <c r="BS43" s="389"/>
      <c r="BT43" s="389"/>
      <c r="BU43" s="389"/>
      <c r="BV43" s="390"/>
      <c r="BW43" s="385"/>
      <c r="BX43" s="386"/>
      <c r="BY43" s="386"/>
      <c r="BZ43" s="386"/>
      <c r="CA43" s="386"/>
      <c r="CB43" s="387"/>
      <c r="CC43" s="48"/>
      <c r="CD43" s="49"/>
      <c r="CE43" s="49"/>
      <c r="CF43" s="49"/>
      <c r="CG43" s="50"/>
      <c r="CH43" s="51"/>
      <c r="CI43" s="49"/>
      <c r="CJ43" s="49"/>
      <c r="CK43" s="49"/>
      <c r="CL43" s="52"/>
      <c r="CM43" s="53"/>
      <c r="CN43" s="49"/>
      <c r="CO43" s="49"/>
      <c r="CP43" s="49"/>
      <c r="CQ43" s="50"/>
      <c r="CR43" s="51"/>
      <c r="CS43" s="49"/>
      <c r="CT43" s="49"/>
      <c r="CU43" s="49"/>
      <c r="CV43" s="52"/>
      <c r="CW43" s="53"/>
      <c r="CX43" s="49"/>
      <c r="CY43" s="49"/>
      <c r="CZ43" s="49"/>
      <c r="DA43" s="50"/>
      <c r="DB43" s="51"/>
      <c r="DC43" s="49"/>
      <c r="DD43" s="49"/>
      <c r="DE43" s="49"/>
      <c r="DF43" s="52"/>
      <c r="DG43" s="53"/>
      <c r="DH43" s="49"/>
      <c r="DI43" s="49"/>
      <c r="DJ43" s="49"/>
      <c r="DK43" s="50"/>
      <c r="DL43" s="51"/>
      <c r="DM43" s="49"/>
      <c r="DN43" s="49"/>
      <c r="DO43" s="49"/>
      <c r="DP43" s="52"/>
      <c r="DQ43" s="53"/>
      <c r="DR43" s="49"/>
      <c r="DS43" s="49"/>
      <c r="DT43" s="49"/>
      <c r="DU43" s="50"/>
      <c r="DV43" s="51"/>
      <c r="DW43" s="49"/>
      <c r="DX43" s="49"/>
      <c r="DY43" s="49"/>
      <c r="DZ43" s="52"/>
      <c r="EA43" s="53"/>
      <c r="EB43" s="49"/>
      <c r="EC43" s="49"/>
      <c r="ED43" s="49"/>
      <c r="EE43" s="50"/>
      <c r="EF43" s="51"/>
      <c r="EG43" s="49"/>
      <c r="EH43" s="49"/>
      <c r="EI43" s="49"/>
      <c r="EJ43" s="52"/>
      <c r="EK43" s="53"/>
      <c r="EL43" s="49"/>
      <c r="EM43" s="49"/>
      <c r="EN43" s="49"/>
      <c r="EO43" s="50"/>
      <c r="EP43" s="51"/>
      <c r="EQ43" s="49"/>
      <c r="ER43" s="49"/>
      <c r="ES43" s="49"/>
      <c r="ET43" s="52"/>
      <c r="EU43" s="53"/>
      <c r="EV43" s="49"/>
      <c r="EW43" s="49"/>
      <c r="EX43" s="49"/>
      <c r="EY43" s="50"/>
      <c r="EZ43" s="51"/>
      <c r="FA43" s="49"/>
      <c r="FB43" s="49"/>
      <c r="FC43" s="49"/>
      <c r="FD43" s="52"/>
      <c r="FE43" s="53"/>
      <c r="FF43" s="49"/>
      <c r="FG43" s="49"/>
      <c r="FH43" s="49"/>
      <c r="FI43" s="50"/>
      <c r="FJ43" s="51"/>
      <c r="FK43" s="49"/>
      <c r="FL43" s="49"/>
      <c r="FM43" s="49"/>
      <c r="FN43" s="52"/>
      <c r="FO43" s="53"/>
      <c r="FP43" s="49"/>
      <c r="FQ43" s="49"/>
      <c r="FR43" s="49"/>
      <c r="FS43" s="50"/>
      <c r="FT43" s="49"/>
      <c r="FU43" s="50"/>
      <c r="FV43" s="49"/>
      <c r="FW43" s="49"/>
      <c r="FX43" s="50"/>
      <c r="FY43" s="49"/>
      <c r="FZ43" s="50"/>
      <c r="GA43" s="49"/>
      <c r="GB43" s="50"/>
      <c r="GC43" s="49"/>
      <c r="GD43" s="49"/>
      <c r="GE43" s="50"/>
      <c r="GF43" s="49"/>
      <c r="GG43" s="50"/>
      <c r="GH43" s="49"/>
      <c r="GI43" s="50"/>
      <c r="GJ43" s="49"/>
      <c r="GK43" s="50"/>
      <c r="GL43" s="49"/>
      <c r="GM43" s="50"/>
      <c r="GN43" s="49"/>
      <c r="GO43" s="50"/>
      <c r="GP43" s="49"/>
      <c r="GQ43" s="50"/>
      <c r="GR43" s="47"/>
    </row>
    <row r="44" spans="1:200" ht="11.25" hidden="1" customHeight="1" x14ac:dyDescent="0.25">
      <c r="A44" s="404"/>
      <c r="B44" s="405"/>
      <c r="C44" s="405"/>
      <c r="D44" s="405"/>
      <c r="E44" s="405"/>
      <c r="F44" s="405"/>
      <c r="G44" s="406"/>
      <c r="H44" s="410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  <c r="AA44" s="411"/>
      <c r="AB44" s="411"/>
      <c r="AC44" s="411"/>
      <c r="AD44" s="411"/>
      <c r="AE44" s="411"/>
      <c r="AF44" s="411"/>
      <c r="AG44" s="411"/>
      <c r="AH44" s="411"/>
      <c r="AI44" s="411"/>
      <c r="AJ44" s="411"/>
      <c r="AK44" s="411"/>
      <c r="AL44" s="411"/>
      <c r="AM44" s="411"/>
      <c r="AN44" s="411"/>
      <c r="AO44" s="411"/>
      <c r="AP44" s="411"/>
      <c r="AQ44" s="411"/>
      <c r="AR44" s="411"/>
      <c r="AS44" s="411"/>
      <c r="AT44" s="411"/>
      <c r="AU44" s="411"/>
      <c r="AV44" s="411"/>
      <c r="AW44" s="411"/>
      <c r="AX44" s="411"/>
      <c r="AY44" s="411"/>
      <c r="AZ44" s="411"/>
      <c r="BA44" s="411"/>
      <c r="BB44" s="411"/>
      <c r="BC44" s="411"/>
      <c r="BD44" s="412"/>
      <c r="BE44" s="385"/>
      <c r="BF44" s="386"/>
      <c r="BG44" s="386"/>
      <c r="BH44" s="386"/>
      <c r="BI44" s="386"/>
      <c r="BJ44" s="387"/>
      <c r="BK44" s="385"/>
      <c r="BL44" s="386"/>
      <c r="BM44" s="386"/>
      <c r="BN44" s="386"/>
      <c r="BO44" s="386"/>
      <c r="BP44" s="387"/>
      <c r="BQ44" s="385"/>
      <c r="BR44" s="386"/>
      <c r="BS44" s="386"/>
      <c r="BT44" s="386"/>
      <c r="BU44" s="386"/>
      <c r="BV44" s="387"/>
      <c r="BW44" s="388"/>
      <c r="BX44" s="389"/>
      <c r="BY44" s="389"/>
      <c r="BZ44" s="389"/>
      <c r="CA44" s="389"/>
      <c r="CB44" s="390"/>
      <c r="CC44" s="41"/>
      <c r="CD44" s="42"/>
      <c r="CE44" s="42"/>
      <c r="CF44" s="42"/>
      <c r="CG44" s="43"/>
      <c r="CH44" s="44"/>
      <c r="CI44" s="42"/>
      <c r="CJ44" s="42"/>
      <c r="CK44" s="42"/>
      <c r="CL44" s="45"/>
      <c r="CM44" s="46"/>
      <c r="CN44" s="42"/>
      <c r="CO44" s="42"/>
      <c r="CP44" s="42"/>
      <c r="CQ44" s="43"/>
      <c r="CR44" s="44"/>
      <c r="CS44" s="42"/>
      <c r="CT44" s="42"/>
      <c r="CU44" s="42"/>
      <c r="CV44" s="45"/>
      <c r="CW44" s="46"/>
      <c r="CX44" s="42"/>
      <c r="CY44" s="42"/>
      <c r="CZ44" s="42"/>
      <c r="DA44" s="43"/>
      <c r="DB44" s="44"/>
      <c r="DC44" s="42"/>
      <c r="DD44" s="42"/>
      <c r="DE44" s="42"/>
      <c r="DF44" s="45"/>
      <c r="DG44" s="46"/>
      <c r="DH44" s="42"/>
      <c r="DI44" s="42"/>
      <c r="DJ44" s="42"/>
      <c r="DK44" s="43"/>
      <c r="DL44" s="44"/>
      <c r="DM44" s="42"/>
      <c r="DN44" s="42"/>
      <c r="DO44" s="42"/>
      <c r="DP44" s="45"/>
      <c r="DQ44" s="46"/>
      <c r="DR44" s="42"/>
      <c r="DS44" s="42"/>
      <c r="DT44" s="42"/>
      <c r="DU44" s="43"/>
      <c r="DV44" s="44"/>
      <c r="DW44" s="42"/>
      <c r="DX44" s="42"/>
      <c r="DY44" s="42"/>
      <c r="DZ44" s="45"/>
      <c r="EA44" s="46"/>
      <c r="EB44" s="42"/>
      <c r="EC44" s="42"/>
      <c r="ED44" s="42"/>
      <c r="EE44" s="43"/>
      <c r="EF44" s="44"/>
      <c r="EG44" s="42"/>
      <c r="EH44" s="42"/>
      <c r="EI44" s="42"/>
      <c r="EJ44" s="45"/>
      <c r="EK44" s="46"/>
      <c r="EL44" s="42"/>
      <c r="EM44" s="42"/>
      <c r="EN44" s="42"/>
      <c r="EO44" s="43"/>
      <c r="EP44" s="44"/>
      <c r="EQ44" s="42"/>
      <c r="ER44" s="42"/>
      <c r="ES44" s="42"/>
      <c r="ET44" s="45"/>
      <c r="EU44" s="46"/>
      <c r="EV44" s="42"/>
      <c r="EW44" s="42"/>
      <c r="EX44" s="42"/>
      <c r="EY44" s="43"/>
      <c r="EZ44" s="44"/>
      <c r="FA44" s="42"/>
      <c r="FB44" s="42"/>
      <c r="FC44" s="42"/>
      <c r="FD44" s="45"/>
      <c r="FE44" s="46"/>
      <c r="FF44" s="42"/>
      <c r="FG44" s="42"/>
      <c r="FH44" s="42"/>
      <c r="FI44" s="43"/>
      <c r="FJ44" s="44"/>
      <c r="FK44" s="42"/>
      <c r="FL44" s="42"/>
      <c r="FM44" s="42"/>
      <c r="FN44" s="45"/>
      <c r="FO44" s="46"/>
      <c r="FP44" s="42"/>
      <c r="FQ44" s="42"/>
      <c r="FR44" s="42"/>
      <c r="FS44" s="43"/>
      <c r="FT44" s="42"/>
      <c r="FU44" s="43"/>
      <c r="FV44" s="42"/>
      <c r="FW44" s="42"/>
      <c r="FX44" s="43"/>
      <c r="FY44" s="42"/>
      <c r="FZ44" s="43"/>
      <c r="GA44" s="42"/>
      <c r="GB44" s="43"/>
      <c r="GC44" s="42"/>
      <c r="GD44" s="42"/>
      <c r="GE44" s="43"/>
      <c r="GF44" s="42"/>
      <c r="GG44" s="43"/>
      <c r="GH44" s="42"/>
      <c r="GI44" s="43"/>
      <c r="GJ44" s="42"/>
      <c r="GK44" s="43"/>
      <c r="GL44" s="42"/>
      <c r="GM44" s="43"/>
      <c r="GN44" s="42"/>
      <c r="GO44" s="43"/>
      <c r="GP44" s="42"/>
      <c r="GQ44" s="43"/>
      <c r="GR44" s="47"/>
    </row>
    <row r="45" spans="1:200" ht="11.25" hidden="1" customHeight="1" x14ac:dyDescent="0.25">
      <c r="A45" s="407"/>
      <c r="B45" s="408"/>
      <c r="C45" s="408"/>
      <c r="D45" s="408"/>
      <c r="E45" s="408"/>
      <c r="F45" s="408"/>
      <c r="G45" s="409"/>
      <c r="H45" s="413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  <c r="AA45" s="414"/>
      <c r="AB45" s="414"/>
      <c r="AC45" s="414"/>
      <c r="AD45" s="414"/>
      <c r="AE45" s="414"/>
      <c r="AF45" s="414"/>
      <c r="AG45" s="414"/>
      <c r="AH45" s="414"/>
      <c r="AI45" s="414"/>
      <c r="AJ45" s="414"/>
      <c r="AK45" s="414"/>
      <c r="AL45" s="414"/>
      <c r="AM45" s="414"/>
      <c r="AN45" s="414"/>
      <c r="AO45" s="414"/>
      <c r="AP45" s="414"/>
      <c r="AQ45" s="414"/>
      <c r="AR45" s="414"/>
      <c r="AS45" s="414"/>
      <c r="AT45" s="414"/>
      <c r="AU45" s="414"/>
      <c r="AV45" s="414"/>
      <c r="AW45" s="414"/>
      <c r="AX45" s="414"/>
      <c r="AY45" s="414"/>
      <c r="AZ45" s="414"/>
      <c r="BA45" s="414"/>
      <c r="BB45" s="414"/>
      <c r="BC45" s="414"/>
      <c r="BD45" s="415"/>
      <c r="BE45" s="388"/>
      <c r="BF45" s="389"/>
      <c r="BG45" s="389"/>
      <c r="BH45" s="389"/>
      <c r="BI45" s="389"/>
      <c r="BJ45" s="390"/>
      <c r="BK45" s="388"/>
      <c r="BL45" s="389"/>
      <c r="BM45" s="389"/>
      <c r="BN45" s="389"/>
      <c r="BO45" s="389"/>
      <c r="BP45" s="390"/>
      <c r="BQ45" s="388"/>
      <c r="BR45" s="389"/>
      <c r="BS45" s="389"/>
      <c r="BT45" s="389"/>
      <c r="BU45" s="389"/>
      <c r="BV45" s="390"/>
      <c r="BW45" s="385"/>
      <c r="BX45" s="386"/>
      <c r="BY45" s="386"/>
      <c r="BZ45" s="386"/>
      <c r="CA45" s="386"/>
      <c r="CB45" s="387"/>
      <c r="CC45" s="48"/>
      <c r="CD45" s="49"/>
      <c r="CE45" s="49"/>
      <c r="CF45" s="49"/>
      <c r="CG45" s="50"/>
      <c r="CH45" s="51"/>
      <c r="CI45" s="49"/>
      <c r="CJ45" s="49"/>
      <c r="CK45" s="49"/>
      <c r="CL45" s="52"/>
      <c r="CM45" s="53"/>
      <c r="CN45" s="49"/>
      <c r="CO45" s="49"/>
      <c r="CP45" s="49"/>
      <c r="CQ45" s="50"/>
      <c r="CR45" s="51"/>
      <c r="CS45" s="49"/>
      <c r="CT45" s="49"/>
      <c r="CU45" s="49"/>
      <c r="CV45" s="52"/>
      <c r="CW45" s="53"/>
      <c r="CX45" s="49"/>
      <c r="CY45" s="49"/>
      <c r="CZ45" s="49"/>
      <c r="DA45" s="50"/>
      <c r="DB45" s="51"/>
      <c r="DC45" s="49"/>
      <c r="DD45" s="49"/>
      <c r="DE45" s="49"/>
      <c r="DF45" s="52"/>
      <c r="DG45" s="53"/>
      <c r="DH45" s="49"/>
      <c r="DI45" s="49"/>
      <c r="DJ45" s="49"/>
      <c r="DK45" s="50"/>
      <c r="DL45" s="51"/>
      <c r="DM45" s="49"/>
      <c r="DN45" s="49"/>
      <c r="DO45" s="49"/>
      <c r="DP45" s="52"/>
      <c r="DQ45" s="53"/>
      <c r="DR45" s="49"/>
      <c r="DS45" s="49"/>
      <c r="DT45" s="49"/>
      <c r="DU45" s="50"/>
      <c r="DV45" s="51"/>
      <c r="DW45" s="49"/>
      <c r="DX45" s="49"/>
      <c r="DY45" s="49"/>
      <c r="DZ45" s="52"/>
      <c r="EA45" s="53"/>
      <c r="EB45" s="49"/>
      <c r="EC45" s="49"/>
      <c r="ED45" s="49"/>
      <c r="EE45" s="50"/>
      <c r="EF45" s="51"/>
      <c r="EG45" s="49"/>
      <c r="EH45" s="49"/>
      <c r="EI45" s="49"/>
      <c r="EJ45" s="52"/>
      <c r="EK45" s="53"/>
      <c r="EL45" s="49"/>
      <c r="EM45" s="49"/>
      <c r="EN45" s="49"/>
      <c r="EO45" s="50"/>
      <c r="EP45" s="51"/>
      <c r="EQ45" s="49"/>
      <c r="ER45" s="49"/>
      <c r="ES45" s="49"/>
      <c r="ET45" s="52"/>
      <c r="EU45" s="53"/>
      <c r="EV45" s="49"/>
      <c r="EW45" s="49"/>
      <c r="EX45" s="49"/>
      <c r="EY45" s="50"/>
      <c r="EZ45" s="51"/>
      <c r="FA45" s="49"/>
      <c r="FB45" s="49"/>
      <c r="FC45" s="49"/>
      <c r="FD45" s="52"/>
      <c r="FE45" s="53"/>
      <c r="FF45" s="49"/>
      <c r="FG45" s="49"/>
      <c r="FH45" s="49"/>
      <c r="FI45" s="50"/>
      <c r="FJ45" s="51"/>
      <c r="FK45" s="49"/>
      <c r="FL45" s="49"/>
      <c r="FM45" s="49"/>
      <c r="FN45" s="52"/>
      <c r="FO45" s="53"/>
      <c r="FP45" s="49"/>
      <c r="FQ45" s="49"/>
      <c r="FR45" s="49"/>
      <c r="FS45" s="50"/>
      <c r="FT45" s="49"/>
      <c r="FU45" s="50"/>
      <c r="FV45" s="49"/>
      <c r="FW45" s="49"/>
      <c r="FX45" s="50"/>
      <c r="FY45" s="49"/>
      <c r="FZ45" s="50"/>
      <c r="GA45" s="49"/>
      <c r="GB45" s="50"/>
      <c r="GC45" s="49"/>
      <c r="GD45" s="49"/>
      <c r="GE45" s="50"/>
      <c r="GF45" s="49"/>
      <c r="GG45" s="50"/>
      <c r="GH45" s="49"/>
      <c r="GI45" s="50"/>
      <c r="GJ45" s="49"/>
      <c r="GK45" s="50"/>
      <c r="GL45" s="49"/>
      <c r="GM45" s="50"/>
      <c r="GN45" s="49"/>
      <c r="GO45" s="50"/>
      <c r="GP45" s="49"/>
      <c r="GQ45" s="50"/>
      <c r="GR45" s="47"/>
    </row>
    <row r="46" spans="1:200" ht="11.25" hidden="1" customHeight="1" x14ac:dyDescent="0.25">
      <c r="A46" s="404"/>
      <c r="B46" s="405"/>
      <c r="C46" s="405"/>
      <c r="D46" s="405"/>
      <c r="E46" s="405"/>
      <c r="F46" s="405"/>
      <c r="G46" s="406"/>
      <c r="H46" s="410"/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  <c r="AA46" s="411"/>
      <c r="AB46" s="411"/>
      <c r="AC46" s="411"/>
      <c r="AD46" s="411"/>
      <c r="AE46" s="411"/>
      <c r="AF46" s="411"/>
      <c r="AG46" s="411"/>
      <c r="AH46" s="411"/>
      <c r="AI46" s="411"/>
      <c r="AJ46" s="411"/>
      <c r="AK46" s="411"/>
      <c r="AL46" s="411"/>
      <c r="AM46" s="411"/>
      <c r="AN46" s="411"/>
      <c r="AO46" s="411"/>
      <c r="AP46" s="411"/>
      <c r="AQ46" s="411"/>
      <c r="AR46" s="411"/>
      <c r="AS46" s="411"/>
      <c r="AT46" s="411"/>
      <c r="AU46" s="411"/>
      <c r="AV46" s="411"/>
      <c r="AW46" s="411"/>
      <c r="AX46" s="411"/>
      <c r="AY46" s="411"/>
      <c r="AZ46" s="411"/>
      <c r="BA46" s="411"/>
      <c r="BB46" s="411"/>
      <c r="BC46" s="411"/>
      <c r="BD46" s="412"/>
      <c r="BE46" s="385"/>
      <c r="BF46" s="386"/>
      <c r="BG46" s="386"/>
      <c r="BH46" s="386"/>
      <c r="BI46" s="386"/>
      <c r="BJ46" s="387"/>
      <c r="BK46" s="385"/>
      <c r="BL46" s="386"/>
      <c r="BM46" s="386"/>
      <c r="BN46" s="386"/>
      <c r="BO46" s="386"/>
      <c r="BP46" s="387"/>
      <c r="BQ46" s="385"/>
      <c r="BR46" s="386"/>
      <c r="BS46" s="386"/>
      <c r="BT46" s="386"/>
      <c r="BU46" s="386"/>
      <c r="BV46" s="387"/>
      <c r="BW46" s="388"/>
      <c r="BX46" s="389"/>
      <c r="BY46" s="389"/>
      <c r="BZ46" s="389"/>
      <c r="CA46" s="389"/>
      <c r="CB46" s="390"/>
      <c r="CC46" s="41"/>
      <c r="CD46" s="42"/>
      <c r="CE46" s="42"/>
      <c r="CF46" s="42"/>
      <c r="CG46" s="43"/>
      <c r="CH46" s="44"/>
      <c r="CI46" s="42"/>
      <c r="CJ46" s="42"/>
      <c r="CK46" s="42"/>
      <c r="CL46" s="45"/>
      <c r="CM46" s="46"/>
      <c r="CN46" s="42"/>
      <c r="CO46" s="42"/>
      <c r="CP46" s="42"/>
      <c r="CQ46" s="43"/>
      <c r="CR46" s="44"/>
      <c r="CS46" s="42"/>
      <c r="CT46" s="42"/>
      <c r="CU46" s="42"/>
      <c r="CV46" s="45"/>
      <c r="CW46" s="46"/>
      <c r="CX46" s="42"/>
      <c r="CY46" s="42"/>
      <c r="CZ46" s="42"/>
      <c r="DA46" s="43"/>
      <c r="DB46" s="44"/>
      <c r="DC46" s="42"/>
      <c r="DD46" s="42"/>
      <c r="DE46" s="42"/>
      <c r="DF46" s="45"/>
      <c r="DG46" s="46"/>
      <c r="DH46" s="42"/>
      <c r="DI46" s="42"/>
      <c r="DJ46" s="42"/>
      <c r="DK46" s="43"/>
      <c r="DL46" s="44"/>
      <c r="DM46" s="42"/>
      <c r="DN46" s="42"/>
      <c r="DO46" s="42"/>
      <c r="DP46" s="45"/>
      <c r="DQ46" s="46"/>
      <c r="DR46" s="42"/>
      <c r="DS46" s="42"/>
      <c r="DT46" s="42"/>
      <c r="DU46" s="43"/>
      <c r="DV46" s="44"/>
      <c r="DW46" s="42"/>
      <c r="DX46" s="42"/>
      <c r="DY46" s="42"/>
      <c r="DZ46" s="45"/>
      <c r="EA46" s="46"/>
      <c r="EB46" s="42"/>
      <c r="EC46" s="42"/>
      <c r="ED46" s="42"/>
      <c r="EE46" s="43"/>
      <c r="EF46" s="44"/>
      <c r="EG46" s="42"/>
      <c r="EH46" s="42"/>
      <c r="EI46" s="42"/>
      <c r="EJ46" s="45"/>
      <c r="EK46" s="46"/>
      <c r="EL46" s="42"/>
      <c r="EM46" s="42"/>
      <c r="EN46" s="42"/>
      <c r="EO46" s="43"/>
      <c r="EP46" s="44"/>
      <c r="EQ46" s="42"/>
      <c r="ER46" s="42"/>
      <c r="ES46" s="42"/>
      <c r="ET46" s="45"/>
      <c r="EU46" s="46"/>
      <c r="EV46" s="42"/>
      <c r="EW46" s="42"/>
      <c r="EX46" s="42"/>
      <c r="EY46" s="43"/>
      <c r="EZ46" s="44"/>
      <c r="FA46" s="42"/>
      <c r="FB46" s="42"/>
      <c r="FC46" s="42"/>
      <c r="FD46" s="45"/>
      <c r="FE46" s="46"/>
      <c r="FF46" s="42"/>
      <c r="FG46" s="42"/>
      <c r="FH46" s="42"/>
      <c r="FI46" s="43"/>
      <c r="FJ46" s="44"/>
      <c r="FK46" s="42"/>
      <c r="FL46" s="42"/>
      <c r="FM46" s="42"/>
      <c r="FN46" s="45"/>
      <c r="FO46" s="46"/>
      <c r="FP46" s="42"/>
      <c r="FQ46" s="42"/>
      <c r="FR46" s="42"/>
      <c r="FS46" s="43"/>
      <c r="FT46" s="42"/>
      <c r="FU46" s="43"/>
      <c r="FV46" s="42"/>
      <c r="FW46" s="42"/>
      <c r="FX46" s="43"/>
      <c r="FY46" s="42"/>
      <c r="FZ46" s="43"/>
      <c r="GA46" s="42"/>
      <c r="GB46" s="43"/>
      <c r="GC46" s="42"/>
      <c r="GD46" s="42"/>
      <c r="GE46" s="43"/>
      <c r="GF46" s="42"/>
      <c r="GG46" s="43"/>
      <c r="GH46" s="42"/>
      <c r="GI46" s="43"/>
      <c r="GJ46" s="42"/>
      <c r="GK46" s="43"/>
      <c r="GL46" s="42"/>
      <c r="GM46" s="43"/>
      <c r="GN46" s="42"/>
      <c r="GO46" s="43"/>
      <c r="GP46" s="42"/>
      <c r="GQ46" s="43"/>
      <c r="GR46" s="47"/>
    </row>
    <row r="47" spans="1:200" ht="11.25" hidden="1" customHeight="1" x14ac:dyDescent="0.25">
      <c r="A47" s="407"/>
      <c r="B47" s="408"/>
      <c r="C47" s="408"/>
      <c r="D47" s="408"/>
      <c r="E47" s="408"/>
      <c r="F47" s="408"/>
      <c r="G47" s="409"/>
      <c r="H47" s="413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  <c r="AA47" s="414"/>
      <c r="AB47" s="414"/>
      <c r="AC47" s="414"/>
      <c r="AD47" s="414"/>
      <c r="AE47" s="414"/>
      <c r="AF47" s="414"/>
      <c r="AG47" s="414"/>
      <c r="AH47" s="414"/>
      <c r="AI47" s="414"/>
      <c r="AJ47" s="414"/>
      <c r="AK47" s="414"/>
      <c r="AL47" s="414"/>
      <c r="AM47" s="414"/>
      <c r="AN47" s="414"/>
      <c r="AO47" s="414"/>
      <c r="AP47" s="414"/>
      <c r="AQ47" s="414"/>
      <c r="AR47" s="414"/>
      <c r="AS47" s="414"/>
      <c r="AT47" s="414"/>
      <c r="AU47" s="414"/>
      <c r="AV47" s="414"/>
      <c r="AW47" s="414"/>
      <c r="AX47" s="414"/>
      <c r="AY47" s="414"/>
      <c r="AZ47" s="414"/>
      <c r="BA47" s="414"/>
      <c r="BB47" s="414"/>
      <c r="BC47" s="414"/>
      <c r="BD47" s="415"/>
      <c r="BE47" s="388"/>
      <c r="BF47" s="389"/>
      <c r="BG47" s="389"/>
      <c r="BH47" s="389"/>
      <c r="BI47" s="389"/>
      <c r="BJ47" s="390"/>
      <c r="BK47" s="388"/>
      <c r="BL47" s="389"/>
      <c r="BM47" s="389"/>
      <c r="BN47" s="389"/>
      <c r="BO47" s="389"/>
      <c r="BP47" s="390"/>
      <c r="BQ47" s="388"/>
      <c r="BR47" s="389"/>
      <c r="BS47" s="389"/>
      <c r="BT47" s="389"/>
      <c r="BU47" s="389"/>
      <c r="BV47" s="390"/>
      <c r="BW47" s="385"/>
      <c r="BX47" s="386"/>
      <c r="BY47" s="386"/>
      <c r="BZ47" s="386"/>
      <c r="CA47" s="386"/>
      <c r="CB47" s="387"/>
      <c r="CC47" s="48"/>
      <c r="CD47" s="49"/>
      <c r="CE47" s="49"/>
      <c r="CF47" s="49"/>
      <c r="CG47" s="50"/>
      <c r="CH47" s="51"/>
      <c r="CI47" s="49"/>
      <c r="CJ47" s="49"/>
      <c r="CK47" s="49"/>
      <c r="CL47" s="52"/>
      <c r="CM47" s="53"/>
      <c r="CN47" s="49"/>
      <c r="CO47" s="49"/>
      <c r="CP47" s="49"/>
      <c r="CQ47" s="50"/>
      <c r="CR47" s="51"/>
      <c r="CS47" s="49"/>
      <c r="CT47" s="49"/>
      <c r="CU47" s="49"/>
      <c r="CV47" s="52"/>
      <c r="CW47" s="53"/>
      <c r="CX47" s="49"/>
      <c r="CY47" s="49"/>
      <c r="CZ47" s="49"/>
      <c r="DA47" s="50"/>
      <c r="DB47" s="51"/>
      <c r="DC47" s="49"/>
      <c r="DD47" s="49"/>
      <c r="DE47" s="49"/>
      <c r="DF47" s="52"/>
      <c r="DG47" s="53"/>
      <c r="DH47" s="49"/>
      <c r="DI47" s="49"/>
      <c r="DJ47" s="49"/>
      <c r="DK47" s="50"/>
      <c r="DL47" s="51"/>
      <c r="DM47" s="49"/>
      <c r="DN47" s="49"/>
      <c r="DO47" s="49"/>
      <c r="DP47" s="52"/>
      <c r="DQ47" s="53"/>
      <c r="DR47" s="49"/>
      <c r="DS47" s="49"/>
      <c r="DT47" s="49"/>
      <c r="DU47" s="50"/>
      <c r="DV47" s="51"/>
      <c r="DW47" s="49"/>
      <c r="DX47" s="49"/>
      <c r="DY47" s="49"/>
      <c r="DZ47" s="52"/>
      <c r="EA47" s="53"/>
      <c r="EB47" s="49"/>
      <c r="EC47" s="49"/>
      <c r="ED47" s="49"/>
      <c r="EE47" s="50"/>
      <c r="EF47" s="51"/>
      <c r="EG47" s="49"/>
      <c r="EH47" s="49"/>
      <c r="EI47" s="49"/>
      <c r="EJ47" s="52"/>
      <c r="EK47" s="53"/>
      <c r="EL47" s="49"/>
      <c r="EM47" s="49"/>
      <c r="EN47" s="49"/>
      <c r="EO47" s="50"/>
      <c r="EP47" s="51"/>
      <c r="EQ47" s="49"/>
      <c r="ER47" s="49"/>
      <c r="ES47" s="49"/>
      <c r="ET47" s="52"/>
      <c r="EU47" s="53"/>
      <c r="EV47" s="49"/>
      <c r="EW47" s="49"/>
      <c r="EX47" s="49"/>
      <c r="EY47" s="50"/>
      <c r="EZ47" s="51"/>
      <c r="FA47" s="49"/>
      <c r="FB47" s="49"/>
      <c r="FC47" s="49"/>
      <c r="FD47" s="52"/>
      <c r="FE47" s="53"/>
      <c r="FF47" s="49"/>
      <c r="FG47" s="49"/>
      <c r="FH47" s="49"/>
      <c r="FI47" s="50"/>
      <c r="FJ47" s="51"/>
      <c r="FK47" s="49"/>
      <c r="FL47" s="49"/>
      <c r="FM47" s="49"/>
      <c r="FN47" s="52"/>
      <c r="FO47" s="53"/>
      <c r="FP47" s="49"/>
      <c r="FQ47" s="49"/>
      <c r="FR47" s="49"/>
      <c r="FS47" s="50"/>
      <c r="FT47" s="49"/>
      <c r="FU47" s="50"/>
      <c r="FV47" s="49"/>
      <c r="FW47" s="49"/>
      <c r="FX47" s="50"/>
      <c r="FY47" s="49"/>
      <c r="FZ47" s="50"/>
      <c r="GA47" s="49"/>
      <c r="GB47" s="50"/>
      <c r="GC47" s="49"/>
      <c r="GD47" s="49"/>
      <c r="GE47" s="50"/>
      <c r="GF47" s="49"/>
      <c r="GG47" s="50"/>
      <c r="GH47" s="49"/>
      <c r="GI47" s="50"/>
      <c r="GJ47" s="49"/>
      <c r="GK47" s="50"/>
      <c r="GL47" s="49"/>
      <c r="GM47" s="50"/>
      <c r="GN47" s="49"/>
      <c r="GO47" s="50"/>
      <c r="GP47" s="49"/>
      <c r="GQ47" s="50"/>
      <c r="GR47" s="47"/>
    </row>
    <row r="48" spans="1:200" ht="11.25" hidden="1" customHeight="1" x14ac:dyDescent="0.25">
      <c r="A48" s="404"/>
      <c r="B48" s="405"/>
      <c r="C48" s="405"/>
      <c r="D48" s="405"/>
      <c r="E48" s="405"/>
      <c r="F48" s="405"/>
      <c r="G48" s="406"/>
      <c r="H48" s="410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  <c r="AA48" s="411"/>
      <c r="AB48" s="411"/>
      <c r="AC48" s="411"/>
      <c r="AD48" s="411"/>
      <c r="AE48" s="411"/>
      <c r="AF48" s="411"/>
      <c r="AG48" s="411"/>
      <c r="AH48" s="411"/>
      <c r="AI48" s="411"/>
      <c r="AJ48" s="411"/>
      <c r="AK48" s="411"/>
      <c r="AL48" s="411"/>
      <c r="AM48" s="411"/>
      <c r="AN48" s="411"/>
      <c r="AO48" s="411"/>
      <c r="AP48" s="411"/>
      <c r="AQ48" s="411"/>
      <c r="AR48" s="411"/>
      <c r="AS48" s="411"/>
      <c r="AT48" s="411"/>
      <c r="AU48" s="411"/>
      <c r="AV48" s="411"/>
      <c r="AW48" s="411"/>
      <c r="AX48" s="411"/>
      <c r="AY48" s="411"/>
      <c r="AZ48" s="411"/>
      <c r="BA48" s="411"/>
      <c r="BB48" s="411"/>
      <c r="BC48" s="411"/>
      <c r="BD48" s="412"/>
      <c r="BE48" s="385"/>
      <c r="BF48" s="386"/>
      <c r="BG48" s="386"/>
      <c r="BH48" s="386"/>
      <c r="BI48" s="386"/>
      <c r="BJ48" s="387"/>
      <c r="BK48" s="385"/>
      <c r="BL48" s="386"/>
      <c r="BM48" s="386"/>
      <c r="BN48" s="386"/>
      <c r="BO48" s="386"/>
      <c r="BP48" s="387"/>
      <c r="BQ48" s="385"/>
      <c r="BR48" s="386"/>
      <c r="BS48" s="386"/>
      <c r="BT48" s="386"/>
      <c r="BU48" s="386"/>
      <c r="BV48" s="387"/>
      <c r="BW48" s="388"/>
      <c r="BX48" s="389"/>
      <c r="BY48" s="389"/>
      <c r="BZ48" s="389"/>
      <c r="CA48" s="389"/>
      <c r="CB48" s="390"/>
      <c r="CC48" s="41"/>
      <c r="CD48" s="42"/>
      <c r="CE48" s="42"/>
      <c r="CF48" s="42"/>
      <c r="CG48" s="43"/>
      <c r="CH48" s="44"/>
      <c r="CI48" s="42"/>
      <c r="CJ48" s="42"/>
      <c r="CK48" s="42"/>
      <c r="CL48" s="45"/>
      <c r="CM48" s="46"/>
      <c r="CN48" s="42"/>
      <c r="CO48" s="42"/>
      <c r="CP48" s="42"/>
      <c r="CQ48" s="43"/>
      <c r="CR48" s="44"/>
      <c r="CS48" s="42"/>
      <c r="CT48" s="42"/>
      <c r="CU48" s="42"/>
      <c r="CV48" s="45"/>
      <c r="CW48" s="46"/>
      <c r="CX48" s="42"/>
      <c r="CY48" s="42"/>
      <c r="CZ48" s="42"/>
      <c r="DA48" s="43"/>
      <c r="DB48" s="44"/>
      <c r="DC48" s="42"/>
      <c r="DD48" s="42"/>
      <c r="DE48" s="42"/>
      <c r="DF48" s="45"/>
      <c r="DG48" s="46"/>
      <c r="DH48" s="42"/>
      <c r="DI48" s="42"/>
      <c r="DJ48" s="42"/>
      <c r="DK48" s="43"/>
      <c r="DL48" s="44"/>
      <c r="DM48" s="42"/>
      <c r="DN48" s="42"/>
      <c r="DO48" s="42"/>
      <c r="DP48" s="45"/>
      <c r="DQ48" s="46"/>
      <c r="DR48" s="42"/>
      <c r="DS48" s="42"/>
      <c r="DT48" s="42"/>
      <c r="DU48" s="43"/>
      <c r="DV48" s="44"/>
      <c r="DW48" s="42"/>
      <c r="DX48" s="42"/>
      <c r="DY48" s="42"/>
      <c r="DZ48" s="45"/>
      <c r="EA48" s="46"/>
      <c r="EB48" s="42"/>
      <c r="EC48" s="42"/>
      <c r="ED48" s="42"/>
      <c r="EE48" s="43"/>
      <c r="EF48" s="44"/>
      <c r="EG48" s="42"/>
      <c r="EH48" s="42"/>
      <c r="EI48" s="42"/>
      <c r="EJ48" s="45"/>
      <c r="EK48" s="46"/>
      <c r="EL48" s="42"/>
      <c r="EM48" s="42"/>
      <c r="EN48" s="42"/>
      <c r="EO48" s="43"/>
      <c r="EP48" s="44"/>
      <c r="EQ48" s="42"/>
      <c r="ER48" s="42"/>
      <c r="ES48" s="42"/>
      <c r="ET48" s="45"/>
      <c r="EU48" s="46"/>
      <c r="EV48" s="42"/>
      <c r="EW48" s="42"/>
      <c r="EX48" s="42"/>
      <c r="EY48" s="43"/>
      <c r="EZ48" s="44"/>
      <c r="FA48" s="42"/>
      <c r="FB48" s="42"/>
      <c r="FC48" s="42"/>
      <c r="FD48" s="45"/>
      <c r="FE48" s="46"/>
      <c r="FF48" s="42"/>
      <c r="FG48" s="42"/>
      <c r="FH48" s="42"/>
      <c r="FI48" s="43"/>
      <c r="FJ48" s="44"/>
      <c r="FK48" s="42"/>
      <c r="FL48" s="42"/>
      <c r="FM48" s="42"/>
      <c r="FN48" s="45"/>
      <c r="FO48" s="46"/>
      <c r="FP48" s="42"/>
      <c r="FQ48" s="42"/>
      <c r="FR48" s="42"/>
      <c r="FS48" s="43"/>
      <c r="FT48" s="42"/>
      <c r="FU48" s="43"/>
      <c r="FV48" s="42"/>
      <c r="FW48" s="42"/>
      <c r="FX48" s="43"/>
      <c r="FY48" s="42"/>
      <c r="FZ48" s="43"/>
      <c r="GA48" s="42"/>
      <c r="GB48" s="43"/>
      <c r="GC48" s="42"/>
      <c r="GD48" s="42"/>
      <c r="GE48" s="43"/>
      <c r="GF48" s="42"/>
      <c r="GG48" s="43"/>
      <c r="GH48" s="42"/>
      <c r="GI48" s="43"/>
      <c r="GJ48" s="42"/>
      <c r="GK48" s="43"/>
      <c r="GL48" s="42"/>
      <c r="GM48" s="43"/>
      <c r="GN48" s="42"/>
      <c r="GO48" s="43"/>
      <c r="GP48" s="42"/>
      <c r="GQ48" s="43"/>
      <c r="GR48" s="47"/>
    </row>
    <row r="49" spans="1:200" ht="11.25" hidden="1" customHeight="1" x14ac:dyDescent="0.25">
      <c r="A49" s="407"/>
      <c r="B49" s="408"/>
      <c r="C49" s="408"/>
      <c r="D49" s="408"/>
      <c r="E49" s="408"/>
      <c r="F49" s="408"/>
      <c r="G49" s="409"/>
      <c r="H49" s="413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  <c r="AA49" s="414"/>
      <c r="AB49" s="414"/>
      <c r="AC49" s="414"/>
      <c r="AD49" s="414"/>
      <c r="AE49" s="414"/>
      <c r="AF49" s="414"/>
      <c r="AG49" s="414"/>
      <c r="AH49" s="414"/>
      <c r="AI49" s="414"/>
      <c r="AJ49" s="414"/>
      <c r="AK49" s="414"/>
      <c r="AL49" s="414"/>
      <c r="AM49" s="414"/>
      <c r="AN49" s="414"/>
      <c r="AO49" s="414"/>
      <c r="AP49" s="414"/>
      <c r="AQ49" s="414"/>
      <c r="AR49" s="414"/>
      <c r="AS49" s="414"/>
      <c r="AT49" s="414"/>
      <c r="AU49" s="414"/>
      <c r="AV49" s="414"/>
      <c r="AW49" s="414"/>
      <c r="AX49" s="414"/>
      <c r="AY49" s="414"/>
      <c r="AZ49" s="414"/>
      <c r="BA49" s="414"/>
      <c r="BB49" s="414"/>
      <c r="BC49" s="414"/>
      <c r="BD49" s="415"/>
      <c r="BE49" s="388"/>
      <c r="BF49" s="389"/>
      <c r="BG49" s="389"/>
      <c r="BH49" s="389"/>
      <c r="BI49" s="389"/>
      <c r="BJ49" s="390"/>
      <c r="BK49" s="388"/>
      <c r="BL49" s="389"/>
      <c r="BM49" s="389"/>
      <c r="BN49" s="389"/>
      <c r="BO49" s="389"/>
      <c r="BP49" s="390"/>
      <c r="BQ49" s="388"/>
      <c r="BR49" s="389"/>
      <c r="BS49" s="389"/>
      <c r="BT49" s="389"/>
      <c r="BU49" s="389"/>
      <c r="BV49" s="390"/>
      <c r="BW49" s="385"/>
      <c r="BX49" s="386"/>
      <c r="BY49" s="386"/>
      <c r="BZ49" s="386"/>
      <c r="CA49" s="386"/>
      <c r="CB49" s="387"/>
      <c r="CC49" s="48"/>
      <c r="CD49" s="49"/>
      <c r="CE49" s="49"/>
      <c r="CF49" s="49"/>
      <c r="CG49" s="50"/>
      <c r="CH49" s="51"/>
      <c r="CI49" s="49"/>
      <c r="CJ49" s="49"/>
      <c r="CK49" s="49"/>
      <c r="CL49" s="52"/>
      <c r="CM49" s="53"/>
      <c r="CN49" s="49"/>
      <c r="CO49" s="49"/>
      <c r="CP49" s="49"/>
      <c r="CQ49" s="50"/>
      <c r="CR49" s="51"/>
      <c r="CS49" s="49"/>
      <c r="CT49" s="49"/>
      <c r="CU49" s="49"/>
      <c r="CV49" s="52"/>
      <c r="CW49" s="53"/>
      <c r="CX49" s="49"/>
      <c r="CY49" s="49"/>
      <c r="CZ49" s="49"/>
      <c r="DA49" s="50"/>
      <c r="DB49" s="51"/>
      <c r="DC49" s="49"/>
      <c r="DD49" s="49"/>
      <c r="DE49" s="49"/>
      <c r="DF49" s="52"/>
      <c r="DG49" s="53"/>
      <c r="DH49" s="49"/>
      <c r="DI49" s="49"/>
      <c r="DJ49" s="49"/>
      <c r="DK49" s="50"/>
      <c r="DL49" s="51"/>
      <c r="DM49" s="49"/>
      <c r="DN49" s="49"/>
      <c r="DO49" s="49"/>
      <c r="DP49" s="52"/>
      <c r="DQ49" s="53"/>
      <c r="DR49" s="49"/>
      <c r="DS49" s="49"/>
      <c r="DT49" s="49"/>
      <c r="DU49" s="50"/>
      <c r="DV49" s="51"/>
      <c r="DW49" s="49"/>
      <c r="DX49" s="49"/>
      <c r="DY49" s="49"/>
      <c r="DZ49" s="52"/>
      <c r="EA49" s="53"/>
      <c r="EB49" s="49"/>
      <c r="EC49" s="49"/>
      <c r="ED49" s="49"/>
      <c r="EE49" s="50"/>
      <c r="EF49" s="51"/>
      <c r="EG49" s="49"/>
      <c r="EH49" s="49"/>
      <c r="EI49" s="49"/>
      <c r="EJ49" s="52"/>
      <c r="EK49" s="53"/>
      <c r="EL49" s="49"/>
      <c r="EM49" s="49"/>
      <c r="EN49" s="49"/>
      <c r="EO49" s="50"/>
      <c r="EP49" s="51"/>
      <c r="EQ49" s="49"/>
      <c r="ER49" s="49"/>
      <c r="ES49" s="49"/>
      <c r="ET49" s="52"/>
      <c r="EU49" s="53"/>
      <c r="EV49" s="49"/>
      <c r="EW49" s="49"/>
      <c r="EX49" s="49"/>
      <c r="EY49" s="50"/>
      <c r="EZ49" s="51"/>
      <c r="FA49" s="49"/>
      <c r="FB49" s="49"/>
      <c r="FC49" s="49"/>
      <c r="FD49" s="52"/>
      <c r="FE49" s="53"/>
      <c r="FF49" s="49"/>
      <c r="FG49" s="49"/>
      <c r="FH49" s="49"/>
      <c r="FI49" s="50"/>
      <c r="FJ49" s="51"/>
      <c r="FK49" s="49"/>
      <c r="FL49" s="49"/>
      <c r="FM49" s="49"/>
      <c r="FN49" s="52"/>
      <c r="FO49" s="53"/>
      <c r="FP49" s="49"/>
      <c r="FQ49" s="49"/>
      <c r="FR49" s="49"/>
      <c r="FS49" s="50"/>
      <c r="FT49" s="49"/>
      <c r="FU49" s="50"/>
      <c r="FV49" s="49"/>
      <c r="FW49" s="49"/>
      <c r="FX49" s="50"/>
      <c r="FY49" s="49"/>
      <c r="FZ49" s="50"/>
      <c r="GA49" s="49"/>
      <c r="GB49" s="50"/>
      <c r="GC49" s="49"/>
      <c r="GD49" s="49"/>
      <c r="GE49" s="50"/>
      <c r="GF49" s="49"/>
      <c r="GG49" s="50"/>
      <c r="GH49" s="49"/>
      <c r="GI49" s="50"/>
      <c r="GJ49" s="49"/>
      <c r="GK49" s="50"/>
      <c r="GL49" s="49"/>
      <c r="GM49" s="50"/>
      <c r="GN49" s="49"/>
      <c r="GO49" s="50"/>
      <c r="GP49" s="49"/>
      <c r="GQ49" s="50"/>
      <c r="GR49" s="47"/>
    </row>
    <row r="50" spans="1:200" ht="11.25" hidden="1" customHeight="1" x14ac:dyDescent="0.25">
      <c r="A50" s="404"/>
      <c r="B50" s="405"/>
      <c r="C50" s="405"/>
      <c r="D50" s="405"/>
      <c r="E50" s="405"/>
      <c r="F50" s="405"/>
      <c r="G50" s="406"/>
      <c r="H50" s="410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  <c r="AA50" s="411"/>
      <c r="AB50" s="411"/>
      <c r="AC50" s="411"/>
      <c r="AD50" s="411"/>
      <c r="AE50" s="411"/>
      <c r="AF50" s="411"/>
      <c r="AG50" s="411"/>
      <c r="AH50" s="411"/>
      <c r="AI50" s="411"/>
      <c r="AJ50" s="411"/>
      <c r="AK50" s="411"/>
      <c r="AL50" s="411"/>
      <c r="AM50" s="411"/>
      <c r="AN50" s="411"/>
      <c r="AO50" s="411"/>
      <c r="AP50" s="411"/>
      <c r="AQ50" s="411"/>
      <c r="AR50" s="411"/>
      <c r="AS50" s="411"/>
      <c r="AT50" s="411"/>
      <c r="AU50" s="411"/>
      <c r="AV50" s="411"/>
      <c r="AW50" s="411"/>
      <c r="AX50" s="411"/>
      <c r="AY50" s="411"/>
      <c r="AZ50" s="411"/>
      <c r="BA50" s="411"/>
      <c r="BB50" s="411"/>
      <c r="BC50" s="411"/>
      <c r="BD50" s="412"/>
      <c r="BE50" s="385"/>
      <c r="BF50" s="386"/>
      <c r="BG50" s="386"/>
      <c r="BH50" s="386"/>
      <c r="BI50" s="386"/>
      <c r="BJ50" s="387"/>
      <c r="BK50" s="385"/>
      <c r="BL50" s="386"/>
      <c r="BM50" s="386"/>
      <c r="BN50" s="386"/>
      <c r="BO50" s="386"/>
      <c r="BP50" s="387"/>
      <c r="BQ50" s="385"/>
      <c r="BR50" s="386"/>
      <c r="BS50" s="386"/>
      <c r="BT50" s="386"/>
      <c r="BU50" s="386"/>
      <c r="BV50" s="387"/>
      <c r="BW50" s="388"/>
      <c r="BX50" s="389"/>
      <c r="BY50" s="389"/>
      <c r="BZ50" s="389"/>
      <c r="CA50" s="389"/>
      <c r="CB50" s="390"/>
      <c r="CC50" s="41"/>
      <c r="CD50" s="42"/>
      <c r="CE50" s="42"/>
      <c r="CF50" s="42"/>
      <c r="CG50" s="43"/>
      <c r="CH50" s="44"/>
      <c r="CI50" s="42"/>
      <c r="CJ50" s="42"/>
      <c r="CK50" s="42"/>
      <c r="CL50" s="45"/>
      <c r="CM50" s="46"/>
      <c r="CN50" s="42"/>
      <c r="CO50" s="42"/>
      <c r="CP50" s="42"/>
      <c r="CQ50" s="43"/>
      <c r="CR50" s="44"/>
      <c r="CS50" s="42"/>
      <c r="CT50" s="42"/>
      <c r="CU50" s="42"/>
      <c r="CV50" s="45"/>
      <c r="CW50" s="46"/>
      <c r="CX50" s="42"/>
      <c r="CY50" s="42"/>
      <c r="CZ50" s="42"/>
      <c r="DA50" s="43"/>
      <c r="DB50" s="44"/>
      <c r="DC50" s="42"/>
      <c r="DD50" s="42"/>
      <c r="DE50" s="42"/>
      <c r="DF50" s="45"/>
      <c r="DG50" s="46"/>
      <c r="DH50" s="42"/>
      <c r="DI50" s="42"/>
      <c r="DJ50" s="42"/>
      <c r="DK50" s="43"/>
      <c r="DL50" s="44"/>
      <c r="DM50" s="42"/>
      <c r="DN50" s="42"/>
      <c r="DO50" s="42"/>
      <c r="DP50" s="45"/>
      <c r="DQ50" s="46"/>
      <c r="DR50" s="42"/>
      <c r="DS50" s="42"/>
      <c r="DT50" s="42"/>
      <c r="DU50" s="43"/>
      <c r="DV50" s="44"/>
      <c r="DW50" s="42"/>
      <c r="DX50" s="42"/>
      <c r="DY50" s="42"/>
      <c r="DZ50" s="45"/>
      <c r="EA50" s="46"/>
      <c r="EB50" s="42"/>
      <c r="EC50" s="42"/>
      <c r="ED50" s="42"/>
      <c r="EE50" s="43"/>
      <c r="EF50" s="44"/>
      <c r="EG50" s="42"/>
      <c r="EH50" s="42"/>
      <c r="EI50" s="42"/>
      <c r="EJ50" s="45"/>
      <c r="EK50" s="46"/>
      <c r="EL50" s="42"/>
      <c r="EM50" s="42"/>
      <c r="EN50" s="42"/>
      <c r="EO50" s="43"/>
      <c r="EP50" s="44"/>
      <c r="EQ50" s="42"/>
      <c r="ER50" s="42"/>
      <c r="ES50" s="42"/>
      <c r="ET50" s="45"/>
      <c r="EU50" s="46"/>
      <c r="EV50" s="42"/>
      <c r="EW50" s="42"/>
      <c r="EX50" s="42"/>
      <c r="EY50" s="43"/>
      <c r="EZ50" s="44"/>
      <c r="FA50" s="42"/>
      <c r="FB50" s="42"/>
      <c r="FC50" s="42"/>
      <c r="FD50" s="45"/>
      <c r="FE50" s="46"/>
      <c r="FF50" s="42"/>
      <c r="FG50" s="42"/>
      <c r="FH50" s="42"/>
      <c r="FI50" s="43"/>
      <c r="FJ50" s="44"/>
      <c r="FK50" s="42"/>
      <c r="FL50" s="42"/>
      <c r="FM50" s="42"/>
      <c r="FN50" s="45"/>
      <c r="FO50" s="46"/>
      <c r="FP50" s="42"/>
      <c r="FQ50" s="42"/>
      <c r="FR50" s="42"/>
      <c r="FS50" s="43"/>
      <c r="FT50" s="42"/>
      <c r="FU50" s="43"/>
      <c r="FV50" s="42"/>
      <c r="FW50" s="42"/>
      <c r="FX50" s="43"/>
      <c r="FY50" s="42"/>
      <c r="FZ50" s="43"/>
      <c r="GA50" s="42"/>
      <c r="GB50" s="43"/>
      <c r="GC50" s="42"/>
      <c r="GD50" s="42"/>
      <c r="GE50" s="43"/>
      <c r="GF50" s="42"/>
      <c r="GG50" s="43"/>
      <c r="GH50" s="42"/>
      <c r="GI50" s="43"/>
      <c r="GJ50" s="42"/>
      <c r="GK50" s="43"/>
      <c r="GL50" s="42"/>
      <c r="GM50" s="43"/>
      <c r="GN50" s="42"/>
      <c r="GO50" s="43"/>
      <c r="GP50" s="42"/>
      <c r="GQ50" s="43"/>
      <c r="GR50" s="47"/>
    </row>
    <row r="51" spans="1:200" ht="11.25" hidden="1" customHeight="1" x14ac:dyDescent="0.25">
      <c r="A51" s="407"/>
      <c r="B51" s="408"/>
      <c r="C51" s="408"/>
      <c r="D51" s="408"/>
      <c r="E51" s="408"/>
      <c r="F51" s="408"/>
      <c r="G51" s="409"/>
      <c r="H51" s="413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  <c r="Z51" s="414"/>
      <c r="AA51" s="414"/>
      <c r="AB51" s="414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  <c r="AM51" s="414"/>
      <c r="AN51" s="414"/>
      <c r="AO51" s="414"/>
      <c r="AP51" s="414"/>
      <c r="AQ51" s="414"/>
      <c r="AR51" s="414"/>
      <c r="AS51" s="414"/>
      <c r="AT51" s="414"/>
      <c r="AU51" s="414"/>
      <c r="AV51" s="414"/>
      <c r="AW51" s="414"/>
      <c r="AX51" s="414"/>
      <c r="AY51" s="414"/>
      <c r="AZ51" s="414"/>
      <c r="BA51" s="414"/>
      <c r="BB51" s="414"/>
      <c r="BC51" s="414"/>
      <c r="BD51" s="415"/>
      <c r="BE51" s="388"/>
      <c r="BF51" s="389"/>
      <c r="BG51" s="389"/>
      <c r="BH51" s="389"/>
      <c r="BI51" s="389"/>
      <c r="BJ51" s="390"/>
      <c r="BK51" s="388"/>
      <c r="BL51" s="389"/>
      <c r="BM51" s="389"/>
      <c r="BN51" s="389"/>
      <c r="BO51" s="389"/>
      <c r="BP51" s="390"/>
      <c r="BQ51" s="388"/>
      <c r="BR51" s="389"/>
      <c r="BS51" s="389"/>
      <c r="BT51" s="389"/>
      <c r="BU51" s="389"/>
      <c r="BV51" s="390"/>
      <c r="BW51" s="385"/>
      <c r="BX51" s="386"/>
      <c r="BY51" s="386"/>
      <c r="BZ51" s="386"/>
      <c r="CA51" s="386"/>
      <c r="CB51" s="387"/>
      <c r="CC51" s="36"/>
      <c r="CD51" s="37"/>
      <c r="CE51" s="37"/>
      <c r="CF51" s="37"/>
      <c r="CG51" s="38"/>
      <c r="CH51" s="35"/>
      <c r="CI51" s="37"/>
      <c r="CJ51" s="37"/>
      <c r="CK51" s="37"/>
      <c r="CL51" s="39"/>
      <c r="CM51" s="40"/>
      <c r="CN51" s="37"/>
      <c r="CO51" s="37"/>
      <c r="CP51" s="37"/>
      <c r="CQ51" s="38"/>
      <c r="CR51" s="35"/>
      <c r="CS51" s="37"/>
      <c r="CT51" s="37"/>
      <c r="CU51" s="37"/>
      <c r="CV51" s="39"/>
      <c r="CW51" s="40"/>
      <c r="CX51" s="37"/>
      <c r="CY51" s="37"/>
      <c r="CZ51" s="37"/>
      <c r="DA51" s="38"/>
      <c r="DB51" s="35"/>
      <c r="DC51" s="37"/>
      <c r="DD51" s="37"/>
      <c r="DE51" s="37"/>
      <c r="DF51" s="39"/>
      <c r="DG51" s="40"/>
      <c r="DH51" s="37"/>
      <c r="DI51" s="37"/>
      <c r="DJ51" s="37"/>
      <c r="DK51" s="38"/>
      <c r="DL51" s="35"/>
      <c r="DM51" s="37"/>
      <c r="DN51" s="37"/>
      <c r="DO51" s="37"/>
      <c r="DP51" s="39"/>
      <c r="DQ51" s="40"/>
      <c r="DR51" s="37"/>
      <c r="DS51" s="37"/>
      <c r="DT51" s="37"/>
      <c r="DU51" s="38"/>
      <c r="DV51" s="35"/>
      <c r="DW51" s="37"/>
      <c r="DX51" s="37"/>
      <c r="DY51" s="37"/>
      <c r="DZ51" s="39"/>
      <c r="EA51" s="40"/>
      <c r="EB51" s="37"/>
      <c r="EC51" s="37"/>
      <c r="ED51" s="37"/>
      <c r="EE51" s="38"/>
      <c r="EF51" s="35"/>
      <c r="EG51" s="37"/>
      <c r="EH51" s="37"/>
      <c r="EI51" s="37"/>
      <c r="EJ51" s="39"/>
      <c r="EK51" s="40"/>
      <c r="EL51" s="37"/>
      <c r="EM51" s="37"/>
      <c r="EN51" s="37"/>
      <c r="EO51" s="38"/>
      <c r="EP51" s="35"/>
      <c r="EQ51" s="37"/>
      <c r="ER51" s="37"/>
      <c r="ES51" s="37"/>
      <c r="ET51" s="39"/>
      <c r="EU51" s="40"/>
      <c r="EV51" s="37"/>
      <c r="EW51" s="37"/>
      <c r="EX51" s="37"/>
      <c r="EY51" s="38"/>
      <c r="EZ51" s="35"/>
      <c r="FA51" s="37"/>
      <c r="FB51" s="37"/>
      <c r="FC51" s="37"/>
      <c r="FD51" s="39"/>
      <c r="FE51" s="40"/>
      <c r="FF51" s="37"/>
      <c r="FG51" s="37"/>
      <c r="FH51" s="37"/>
      <c r="FI51" s="38"/>
      <c r="FJ51" s="35"/>
      <c r="FK51" s="37"/>
      <c r="FL51" s="37"/>
      <c r="FM51" s="37"/>
      <c r="FN51" s="39"/>
      <c r="FO51" s="40"/>
      <c r="FP51" s="37"/>
      <c r="FQ51" s="37"/>
      <c r="FR51" s="37"/>
      <c r="FS51" s="38"/>
      <c r="FT51" s="37"/>
      <c r="FU51" s="38"/>
      <c r="FV51" s="37"/>
      <c r="FW51" s="37"/>
      <c r="FX51" s="38"/>
      <c r="FY51" s="37"/>
      <c r="FZ51" s="38"/>
      <c r="GA51" s="37"/>
      <c r="GB51" s="38"/>
      <c r="GC51" s="37"/>
      <c r="GD51" s="37"/>
      <c r="GE51" s="38"/>
      <c r="GF51" s="37"/>
      <c r="GG51" s="38"/>
      <c r="GH51" s="37"/>
      <c r="GI51" s="38"/>
      <c r="GJ51" s="37"/>
      <c r="GK51" s="38"/>
      <c r="GL51" s="37"/>
      <c r="GM51" s="38"/>
      <c r="GN51" s="37"/>
      <c r="GO51" s="38"/>
      <c r="GP51" s="37"/>
      <c r="GQ51" s="38"/>
      <c r="GR51" s="47"/>
    </row>
    <row r="52" spans="1:200" ht="11.25" hidden="1" customHeight="1" x14ac:dyDescent="0.25">
      <c r="A52" s="404"/>
      <c r="B52" s="405"/>
      <c r="C52" s="405"/>
      <c r="D52" s="405"/>
      <c r="E52" s="405"/>
      <c r="F52" s="405"/>
      <c r="G52" s="406"/>
      <c r="H52" s="410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11"/>
      <c r="AA52" s="411"/>
      <c r="AB52" s="411"/>
      <c r="AC52" s="411"/>
      <c r="AD52" s="411"/>
      <c r="AE52" s="411"/>
      <c r="AF52" s="411"/>
      <c r="AG52" s="411"/>
      <c r="AH52" s="411"/>
      <c r="AI52" s="411"/>
      <c r="AJ52" s="411"/>
      <c r="AK52" s="411"/>
      <c r="AL52" s="411"/>
      <c r="AM52" s="411"/>
      <c r="AN52" s="411"/>
      <c r="AO52" s="411"/>
      <c r="AP52" s="411"/>
      <c r="AQ52" s="411"/>
      <c r="AR52" s="411"/>
      <c r="AS52" s="411"/>
      <c r="AT52" s="411"/>
      <c r="AU52" s="411"/>
      <c r="AV52" s="411"/>
      <c r="AW52" s="411"/>
      <c r="AX52" s="411"/>
      <c r="AY52" s="411"/>
      <c r="AZ52" s="411"/>
      <c r="BA52" s="411"/>
      <c r="BB52" s="411"/>
      <c r="BC52" s="411"/>
      <c r="BD52" s="412"/>
      <c r="BE52" s="385"/>
      <c r="BF52" s="386"/>
      <c r="BG52" s="386"/>
      <c r="BH52" s="386"/>
      <c r="BI52" s="386"/>
      <c r="BJ52" s="387"/>
      <c r="BK52" s="385"/>
      <c r="BL52" s="386"/>
      <c r="BM52" s="386"/>
      <c r="BN52" s="386"/>
      <c r="BO52" s="386"/>
      <c r="BP52" s="387"/>
      <c r="BQ52" s="385"/>
      <c r="BR52" s="386"/>
      <c r="BS52" s="386"/>
      <c r="BT52" s="386"/>
      <c r="BU52" s="386"/>
      <c r="BV52" s="387"/>
      <c r="BW52" s="388"/>
      <c r="BX52" s="389"/>
      <c r="BY52" s="389"/>
      <c r="BZ52" s="389"/>
      <c r="CA52" s="389"/>
      <c r="CB52" s="390"/>
      <c r="CC52" s="54"/>
      <c r="CD52" s="55"/>
      <c r="CE52" s="55"/>
      <c r="CF52" s="55"/>
      <c r="CG52" s="56"/>
      <c r="CH52" s="57"/>
      <c r="CI52" s="55"/>
      <c r="CJ52" s="55"/>
      <c r="CK52" s="55"/>
      <c r="CL52" s="58"/>
      <c r="CM52" s="59"/>
      <c r="CN52" s="55"/>
      <c r="CO52" s="55"/>
      <c r="CP52" s="55"/>
      <c r="CQ52" s="56"/>
      <c r="CR52" s="57"/>
      <c r="CS52" s="55"/>
      <c r="CT52" s="55"/>
      <c r="CU52" s="55"/>
      <c r="CV52" s="58"/>
      <c r="CW52" s="59"/>
      <c r="CX52" s="55"/>
      <c r="CY52" s="55"/>
      <c r="CZ52" s="55"/>
      <c r="DA52" s="56"/>
      <c r="DB52" s="57"/>
      <c r="DC52" s="55"/>
      <c r="DD52" s="55"/>
      <c r="DE52" s="55"/>
      <c r="DF52" s="58"/>
      <c r="DG52" s="59"/>
      <c r="DH52" s="55"/>
      <c r="DI52" s="55"/>
      <c r="DJ52" s="55"/>
      <c r="DK52" s="56"/>
      <c r="DL52" s="57"/>
      <c r="DM52" s="55"/>
      <c r="DN52" s="55"/>
      <c r="DO52" s="55"/>
      <c r="DP52" s="58"/>
      <c r="DQ52" s="59"/>
      <c r="DR52" s="55"/>
      <c r="DS52" s="55"/>
      <c r="DT52" s="55"/>
      <c r="DU52" s="56"/>
      <c r="DV52" s="57"/>
      <c r="DW52" s="55"/>
      <c r="DX52" s="55"/>
      <c r="DY52" s="55"/>
      <c r="DZ52" s="58"/>
      <c r="EA52" s="59"/>
      <c r="EB52" s="55"/>
      <c r="EC52" s="55"/>
      <c r="ED52" s="55"/>
      <c r="EE52" s="56"/>
      <c r="EF52" s="57"/>
      <c r="EG52" s="55"/>
      <c r="EH52" s="55"/>
      <c r="EI52" s="55"/>
      <c r="EJ52" s="58"/>
      <c r="EK52" s="59"/>
      <c r="EL52" s="55"/>
      <c r="EM52" s="55"/>
      <c r="EN52" s="55"/>
      <c r="EO52" s="56"/>
      <c r="EP52" s="57"/>
      <c r="EQ52" s="55"/>
      <c r="ER52" s="55"/>
      <c r="ES52" s="55"/>
      <c r="ET52" s="58"/>
      <c r="EU52" s="59"/>
      <c r="EV52" s="55"/>
      <c r="EW52" s="55"/>
      <c r="EX52" s="55"/>
      <c r="EY52" s="56"/>
      <c r="EZ52" s="57"/>
      <c r="FA52" s="55"/>
      <c r="FB52" s="55"/>
      <c r="FC52" s="55"/>
      <c r="FD52" s="58"/>
      <c r="FE52" s="59"/>
      <c r="FF52" s="55"/>
      <c r="FG52" s="55"/>
      <c r="FH52" s="55"/>
      <c r="FI52" s="56"/>
      <c r="FJ52" s="57"/>
      <c r="FK52" s="55"/>
      <c r="FL52" s="55"/>
      <c r="FM52" s="55"/>
      <c r="FN52" s="58"/>
      <c r="FO52" s="59"/>
      <c r="FP52" s="55"/>
      <c r="FQ52" s="55"/>
      <c r="FR52" s="55"/>
      <c r="FS52" s="56"/>
      <c r="FT52" s="55"/>
      <c r="FU52" s="56"/>
      <c r="FV52" s="55"/>
      <c r="FW52" s="55"/>
      <c r="FX52" s="56"/>
      <c r="FY52" s="55"/>
      <c r="FZ52" s="56"/>
      <c r="GA52" s="55"/>
      <c r="GB52" s="56"/>
      <c r="GC52" s="55"/>
      <c r="GD52" s="55"/>
      <c r="GE52" s="56"/>
      <c r="GF52" s="55"/>
      <c r="GG52" s="56"/>
      <c r="GH52" s="55"/>
      <c r="GI52" s="56"/>
      <c r="GJ52" s="55"/>
      <c r="GK52" s="56"/>
      <c r="GL52" s="55"/>
      <c r="GM52" s="56"/>
      <c r="GN52" s="55"/>
      <c r="GO52" s="56"/>
      <c r="GP52" s="55"/>
      <c r="GQ52" s="56"/>
      <c r="GR52" s="47"/>
    </row>
    <row r="53" spans="1:200" ht="11.25" hidden="1" customHeight="1" x14ac:dyDescent="0.25">
      <c r="A53" s="407"/>
      <c r="B53" s="408"/>
      <c r="C53" s="408"/>
      <c r="D53" s="408"/>
      <c r="E53" s="408"/>
      <c r="F53" s="408"/>
      <c r="G53" s="409"/>
      <c r="H53" s="413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  <c r="Z53" s="414"/>
      <c r="AA53" s="414"/>
      <c r="AB53" s="414"/>
      <c r="AC53" s="414"/>
      <c r="AD53" s="414"/>
      <c r="AE53" s="414"/>
      <c r="AF53" s="414"/>
      <c r="AG53" s="414"/>
      <c r="AH53" s="414"/>
      <c r="AI53" s="414"/>
      <c r="AJ53" s="414"/>
      <c r="AK53" s="414"/>
      <c r="AL53" s="414"/>
      <c r="AM53" s="414"/>
      <c r="AN53" s="414"/>
      <c r="AO53" s="414"/>
      <c r="AP53" s="414"/>
      <c r="AQ53" s="414"/>
      <c r="AR53" s="414"/>
      <c r="AS53" s="414"/>
      <c r="AT53" s="414"/>
      <c r="AU53" s="414"/>
      <c r="AV53" s="414"/>
      <c r="AW53" s="414"/>
      <c r="AX53" s="414"/>
      <c r="AY53" s="414"/>
      <c r="AZ53" s="414"/>
      <c r="BA53" s="414"/>
      <c r="BB53" s="414"/>
      <c r="BC53" s="414"/>
      <c r="BD53" s="415"/>
      <c r="BE53" s="388"/>
      <c r="BF53" s="389"/>
      <c r="BG53" s="389"/>
      <c r="BH53" s="389"/>
      <c r="BI53" s="389"/>
      <c r="BJ53" s="390"/>
      <c r="BK53" s="388"/>
      <c r="BL53" s="389"/>
      <c r="BM53" s="389"/>
      <c r="BN53" s="389"/>
      <c r="BO53" s="389"/>
      <c r="BP53" s="390"/>
      <c r="BQ53" s="388"/>
      <c r="BR53" s="389"/>
      <c r="BS53" s="389"/>
      <c r="BT53" s="389"/>
      <c r="BU53" s="389"/>
      <c r="BV53" s="390"/>
      <c r="BW53" s="391"/>
      <c r="BX53" s="392"/>
      <c r="BY53" s="392"/>
      <c r="BZ53" s="392"/>
      <c r="CA53" s="392"/>
      <c r="CB53" s="393"/>
      <c r="CC53" s="60"/>
      <c r="CD53" s="61"/>
      <c r="CE53" s="61"/>
      <c r="CF53" s="61"/>
      <c r="CG53" s="62"/>
      <c r="CH53" s="63"/>
      <c r="CI53" s="61"/>
      <c r="CJ53" s="61"/>
      <c r="CK53" s="61"/>
      <c r="CL53" s="64"/>
      <c r="CM53" s="65"/>
      <c r="CN53" s="61"/>
      <c r="CO53" s="61"/>
      <c r="CP53" s="61"/>
      <c r="CQ53" s="62"/>
      <c r="CR53" s="63"/>
      <c r="CS53" s="61"/>
      <c r="CT53" s="61"/>
      <c r="CU53" s="61"/>
      <c r="CV53" s="64"/>
      <c r="CW53" s="65"/>
      <c r="CX53" s="61"/>
      <c r="CY53" s="61"/>
      <c r="CZ53" s="61"/>
      <c r="DA53" s="62"/>
      <c r="DB53" s="63"/>
      <c r="DC53" s="61"/>
      <c r="DD53" s="61"/>
      <c r="DE53" s="61"/>
      <c r="DF53" s="64"/>
      <c r="DG53" s="65"/>
      <c r="DH53" s="61"/>
      <c r="DI53" s="61"/>
      <c r="DJ53" s="61"/>
      <c r="DK53" s="62"/>
      <c r="DL53" s="63"/>
      <c r="DM53" s="61"/>
      <c r="DN53" s="61"/>
      <c r="DO53" s="61"/>
      <c r="DP53" s="64"/>
      <c r="DQ53" s="65"/>
      <c r="DR53" s="61"/>
      <c r="DS53" s="61"/>
      <c r="DT53" s="61"/>
      <c r="DU53" s="62"/>
      <c r="DV53" s="63"/>
      <c r="DW53" s="61"/>
      <c r="DX53" s="61"/>
      <c r="DY53" s="61"/>
      <c r="DZ53" s="64"/>
      <c r="EA53" s="65"/>
      <c r="EB53" s="61"/>
      <c r="EC53" s="61"/>
      <c r="ED53" s="61"/>
      <c r="EE53" s="62"/>
      <c r="EF53" s="63"/>
      <c r="EG53" s="61"/>
      <c r="EH53" s="61"/>
      <c r="EI53" s="61"/>
      <c r="EJ53" s="64"/>
      <c r="EK53" s="65"/>
      <c r="EL53" s="61"/>
      <c r="EM53" s="61"/>
      <c r="EN53" s="61"/>
      <c r="EO53" s="62"/>
      <c r="EP53" s="63"/>
      <c r="EQ53" s="61"/>
      <c r="ER53" s="61"/>
      <c r="ES53" s="61"/>
      <c r="ET53" s="64"/>
      <c r="EU53" s="65"/>
      <c r="EV53" s="61"/>
      <c r="EW53" s="61"/>
      <c r="EX53" s="61"/>
      <c r="EY53" s="62"/>
      <c r="EZ53" s="63"/>
      <c r="FA53" s="61"/>
      <c r="FB53" s="61"/>
      <c r="FC53" s="61"/>
      <c r="FD53" s="64"/>
      <c r="FE53" s="65"/>
      <c r="FF53" s="61"/>
      <c r="FG53" s="61"/>
      <c r="FH53" s="61"/>
      <c r="FI53" s="62"/>
      <c r="FJ53" s="63"/>
      <c r="FK53" s="61"/>
      <c r="FL53" s="61"/>
      <c r="FM53" s="61"/>
      <c r="FN53" s="64"/>
      <c r="FO53" s="65"/>
      <c r="FP53" s="61"/>
      <c r="FQ53" s="61"/>
      <c r="FR53" s="61"/>
      <c r="FS53" s="62"/>
      <c r="FT53" s="61"/>
      <c r="FU53" s="62"/>
      <c r="FV53" s="61"/>
      <c r="FW53" s="61"/>
      <c r="FX53" s="62"/>
      <c r="FY53" s="61"/>
      <c r="FZ53" s="62"/>
      <c r="GA53" s="61"/>
      <c r="GB53" s="62"/>
      <c r="GC53" s="61"/>
      <c r="GD53" s="61"/>
      <c r="GE53" s="62"/>
      <c r="GF53" s="61"/>
      <c r="GG53" s="62"/>
      <c r="GH53" s="61"/>
      <c r="GI53" s="62"/>
      <c r="GJ53" s="61"/>
      <c r="GK53" s="62"/>
      <c r="GL53" s="61"/>
      <c r="GM53" s="62"/>
      <c r="GN53" s="61"/>
      <c r="GO53" s="62"/>
      <c r="GP53" s="61"/>
      <c r="GQ53" s="62"/>
      <c r="GR53" s="47"/>
    </row>
    <row r="54" spans="1:200" ht="7.5" customHeight="1" x14ac:dyDescent="0.25">
      <c r="AU54" s="394" t="s">
        <v>61</v>
      </c>
      <c r="AV54" s="394"/>
      <c r="AW54" s="394"/>
      <c r="AX54" s="394"/>
      <c r="AY54" s="394"/>
      <c r="AZ54" s="394"/>
      <c r="BA54" s="394"/>
      <c r="BB54" s="394"/>
      <c r="BC54" s="394"/>
      <c r="BD54" s="395"/>
      <c r="BE54" s="398">
        <f>SUM(BE14:BJ53)</f>
        <v>47</v>
      </c>
      <c r="BF54" s="399"/>
      <c r="BG54" s="399"/>
      <c r="BH54" s="399"/>
      <c r="BI54" s="399"/>
      <c r="BJ54" s="400"/>
      <c r="BK54" s="398">
        <f t="shared" ref="BK54" si="0">SUM(BK14:BP53)</f>
        <v>4</v>
      </c>
      <c r="BL54" s="399"/>
      <c r="BM54" s="399"/>
      <c r="BN54" s="399"/>
      <c r="BO54" s="399"/>
      <c r="BP54" s="400"/>
      <c r="BQ54" s="398">
        <f t="shared" ref="BQ54" si="1">SUM(BQ14:BV53)</f>
        <v>25</v>
      </c>
      <c r="BR54" s="399"/>
      <c r="BS54" s="399"/>
      <c r="BT54" s="399"/>
      <c r="BU54" s="399"/>
      <c r="BV54" s="400"/>
      <c r="BW54" s="398">
        <f t="shared" ref="BW54" si="2">SUM(BW14:CB53)</f>
        <v>15</v>
      </c>
      <c r="BX54" s="399"/>
      <c r="BY54" s="399"/>
      <c r="BZ54" s="399"/>
      <c r="CA54" s="399"/>
      <c r="CB54" s="400"/>
    </row>
    <row r="55" spans="1:200" ht="15" customHeight="1" x14ac:dyDescent="0.25">
      <c r="AU55" s="396"/>
      <c r="AV55" s="396"/>
      <c r="AW55" s="396"/>
      <c r="AX55" s="396"/>
      <c r="AY55" s="396"/>
      <c r="AZ55" s="396"/>
      <c r="BA55" s="396"/>
      <c r="BB55" s="396"/>
      <c r="BC55" s="396"/>
      <c r="BD55" s="397"/>
      <c r="BE55" s="401"/>
      <c r="BF55" s="402"/>
      <c r="BG55" s="402"/>
      <c r="BH55" s="402"/>
      <c r="BI55" s="402"/>
      <c r="BJ55" s="403"/>
      <c r="BK55" s="401"/>
      <c r="BL55" s="402"/>
      <c r="BM55" s="402"/>
      <c r="BN55" s="402"/>
      <c r="BO55" s="402"/>
      <c r="BP55" s="403"/>
      <c r="BQ55" s="401"/>
      <c r="BR55" s="402"/>
      <c r="BS55" s="402"/>
      <c r="BT55" s="402"/>
      <c r="BU55" s="402"/>
      <c r="BV55" s="403"/>
      <c r="BW55" s="401"/>
      <c r="BX55" s="402"/>
      <c r="BY55" s="402"/>
      <c r="BZ55" s="402"/>
      <c r="CA55" s="402"/>
      <c r="CB55" s="403"/>
    </row>
    <row r="56" spans="1:200" ht="11.25" customHeight="1" x14ac:dyDescent="0.25"/>
  </sheetData>
  <mergeCells count="180">
    <mergeCell ref="A1:V2"/>
    <mergeCell ref="W1:GR2"/>
    <mergeCell ref="A3:U3"/>
    <mergeCell ref="V3:BS3"/>
    <mergeCell ref="BT3:CH4"/>
    <mergeCell ref="CI3:DW4"/>
    <mergeCell ref="DX3:EP4"/>
    <mergeCell ref="EQ3:FW4"/>
    <mergeCell ref="GH3:GR3"/>
    <mergeCell ref="A4:U4"/>
    <mergeCell ref="V4:BS4"/>
    <mergeCell ref="GH4:GR4"/>
    <mergeCell ref="A5:O6"/>
    <mergeCell ref="P5:U5"/>
    <mergeCell ref="V5:BS5"/>
    <mergeCell ref="BT5:CH6"/>
    <mergeCell ref="CI5:DW6"/>
    <mergeCell ref="DX5:EP6"/>
    <mergeCell ref="EQ5:FW6"/>
    <mergeCell ref="GH5:GR5"/>
    <mergeCell ref="P6:U6"/>
    <mergeCell ref="V6:BS6"/>
    <mergeCell ref="GH6:GR6"/>
    <mergeCell ref="GL9:GP12"/>
    <mergeCell ref="A14:G15"/>
    <mergeCell ref="H14:BD15"/>
    <mergeCell ref="BE14:BJ15"/>
    <mergeCell ref="BK14:BP15"/>
    <mergeCell ref="BQ14:BV15"/>
    <mergeCell ref="BW14:CB14"/>
    <mergeCell ref="BW15:CB16"/>
    <mergeCell ref="A16:G17"/>
    <mergeCell ref="H16:BD17"/>
    <mergeCell ref="DT9:DW12"/>
    <mergeCell ref="ED9:EG12"/>
    <mergeCell ref="EN9:EQ12"/>
    <mergeCell ref="EX9:FA12"/>
    <mergeCell ref="FH9:FK12"/>
    <mergeCell ref="FR9:FU12"/>
    <mergeCell ref="EI8:EL11"/>
    <mergeCell ref="A7:G13"/>
    <mergeCell ref="H7:BD13"/>
    <mergeCell ref="BE7:CB7"/>
    <mergeCell ref="DA7:DC7"/>
    <mergeCell ref="BE8:BJ13"/>
    <mergeCell ref="BK8:BP13"/>
    <mergeCell ref="BQ8:BV13"/>
    <mergeCell ref="ES8:EV11"/>
    <mergeCell ref="FC8:FF11"/>
    <mergeCell ref="FM8:FP11"/>
    <mergeCell ref="FW8:FZ11"/>
    <mergeCell ref="GG8:GJ11"/>
    <mergeCell ref="GB9:GE12"/>
    <mergeCell ref="BW8:CB13"/>
    <mergeCell ref="BE16:BJ17"/>
    <mergeCell ref="BK16:BP17"/>
    <mergeCell ref="BQ16:BV17"/>
    <mergeCell ref="BW17:CB18"/>
    <mergeCell ref="DE8:DH11"/>
    <mergeCell ref="DO8:DR11"/>
    <mergeCell ref="DY8:EB11"/>
    <mergeCell ref="CF9:CI12"/>
    <mergeCell ref="CP9:CS12"/>
    <mergeCell ref="CZ9:DC12"/>
    <mergeCell ref="DJ9:DM12"/>
    <mergeCell ref="CK8:CN11"/>
    <mergeCell ref="CU8:CX11"/>
    <mergeCell ref="A18:G19"/>
    <mergeCell ref="H18:BD19"/>
    <mergeCell ref="BE18:BJ19"/>
    <mergeCell ref="BK18:BP19"/>
    <mergeCell ref="BQ18:BV19"/>
    <mergeCell ref="BW19:CB20"/>
    <mergeCell ref="A20:G21"/>
    <mergeCell ref="H20:BD21"/>
    <mergeCell ref="BE20:BJ21"/>
    <mergeCell ref="BK20:BP21"/>
    <mergeCell ref="BQ20:BV21"/>
    <mergeCell ref="BW21:CB22"/>
    <mergeCell ref="A22:G23"/>
    <mergeCell ref="H22:BD23"/>
    <mergeCell ref="BE22:BJ23"/>
    <mergeCell ref="BK22:BP23"/>
    <mergeCell ref="BQ22:BV23"/>
    <mergeCell ref="BW23:CB24"/>
    <mergeCell ref="A24:G25"/>
    <mergeCell ref="H24:BD25"/>
    <mergeCell ref="BE24:BJ25"/>
    <mergeCell ref="BK24:BP25"/>
    <mergeCell ref="BQ24:BV25"/>
    <mergeCell ref="BW25:CB26"/>
    <mergeCell ref="A26:G27"/>
    <mergeCell ref="H26:BD27"/>
    <mergeCell ref="BE26:BJ27"/>
    <mergeCell ref="BK26:BP27"/>
    <mergeCell ref="BQ26:BV27"/>
    <mergeCell ref="BW27:CB28"/>
    <mergeCell ref="A28:G29"/>
    <mergeCell ref="H28:BD29"/>
    <mergeCell ref="BE28:BJ29"/>
    <mergeCell ref="BK28:BP29"/>
    <mergeCell ref="BQ28:BV29"/>
    <mergeCell ref="BW29:CB30"/>
    <mergeCell ref="A30:G31"/>
    <mergeCell ref="H30:BD31"/>
    <mergeCell ref="BE30:BJ31"/>
    <mergeCell ref="BK30:BP31"/>
    <mergeCell ref="BQ30:BV31"/>
    <mergeCell ref="BW31:CB32"/>
    <mergeCell ref="A32:G33"/>
    <mergeCell ref="H32:BD33"/>
    <mergeCell ref="BE32:BJ33"/>
    <mergeCell ref="BK32:BP33"/>
    <mergeCell ref="BQ32:BV33"/>
    <mergeCell ref="BW33:CB34"/>
    <mergeCell ref="A34:G35"/>
    <mergeCell ref="H34:BD35"/>
    <mergeCell ref="BE34:BJ35"/>
    <mergeCell ref="BK34:BP35"/>
    <mergeCell ref="BQ34:BV35"/>
    <mergeCell ref="BW35:CB36"/>
    <mergeCell ref="A36:G37"/>
    <mergeCell ref="H36:BD37"/>
    <mergeCell ref="BE36:BJ37"/>
    <mergeCell ref="BK36:BP37"/>
    <mergeCell ref="BQ36:BV37"/>
    <mergeCell ref="BW37:CB38"/>
    <mergeCell ref="A38:G39"/>
    <mergeCell ref="H38:BD39"/>
    <mergeCell ref="BE38:BJ39"/>
    <mergeCell ref="BK38:BP39"/>
    <mergeCell ref="BQ38:BV39"/>
    <mergeCell ref="BW39:CB40"/>
    <mergeCell ref="A40:G41"/>
    <mergeCell ref="H40:BD41"/>
    <mergeCell ref="BE40:BJ41"/>
    <mergeCell ref="BK40:BP41"/>
    <mergeCell ref="BQ40:BV41"/>
    <mergeCell ref="BW41:CB42"/>
    <mergeCell ref="A42:G43"/>
    <mergeCell ref="H42:BD43"/>
    <mergeCell ref="BE42:BJ43"/>
    <mergeCell ref="BK42:BP43"/>
    <mergeCell ref="BQ42:BV43"/>
    <mergeCell ref="BW43:CB44"/>
    <mergeCell ref="A44:G45"/>
    <mergeCell ref="H44:BD45"/>
    <mergeCell ref="BE44:BJ45"/>
    <mergeCell ref="BK44:BP45"/>
    <mergeCell ref="BQ44:BV45"/>
    <mergeCell ref="BW45:CB46"/>
    <mergeCell ref="A46:G47"/>
    <mergeCell ref="H46:BD47"/>
    <mergeCell ref="BE46:BJ47"/>
    <mergeCell ref="BK46:BP47"/>
    <mergeCell ref="BQ46:BV47"/>
    <mergeCell ref="BW47:CB48"/>
    <mergeCell ref="A48:G49"/>
    <mergeCell ref="H48:BD49"/>
    <mergeCell ref="BE48:BJ49"/>
    <mergeCell ref="BK48:BP49"/>
    <mergeCell ref="BQ48:BV49"/>
    <mergeCell ref="BW49:CB50"/>
    <mergeCell ref="BQ52:BV53"/>
    <mergeCell ref="BW53:CB53"/>
    <mergeCell ref="AU54:BD55"/>
    <mergeCell ref="BE54:BJ55"/>
    <mergeCell ref="BK54:BP55"/>
    <mergeCell ref="BQ54:BV55"/>
    <mergeCell ref="BW54:CB55"/>
    <mergeCell ref="A50:G51"/>
    <mergeCell ref="H50:BD51"/>
    <mergeCell ref="BE50:BJ51"/>
    <mergeCell ref="BK50:BP51"/>
    <mergeCell ref="BQ50:BV51"/>
    <mergeCell ref="BW51:CB52"/>
    <mergeCell ref="A52:G53"/>
    <mergeCell ref="H52:BD53"/>
    <mergeCell ref="BE52:BJ53"/>
    <mergeCell ref="BK52:BP53"/>
  </mergeCells>
  <phoneticPr fontId="53" type="noConversion"/>
  <pageMargins left="0.23622047244094491" right="0.23622047244094491" top="0.35433070866141736" bottom="0.35433070866141736" header="0.31496062992125984" footer="0.31496062992125984"/>
  <pageSetup paperSize="9" scale="95" orientation="landscape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A874-4C8A-4622-81E2-9B891239881E}">
  <sheetPr codeName="Лист9"/>
  <dimension ref="A1:AP86"/>
  <sheetViews>
    <sheetView showGridLines="0" view="pageBreakPreview" topLeftCell="A18" zoomScale="70" zoomScaleNormal="70" zoomScaleSheetLayoutView="70" workbookViewId="0">
      <selection activeCell="AD127" sqref="AD127"/>
    </sheetView>
  </sheetViews>
  <sheetFormatPr defaultColWidth="5.6640625" defaultRowHeight="5.0999999999999996" customHeight="1" x14ac:dyDescent="0.3"/>
  <cols>
    <col min="1" max="41" width="3.6640625" customWidth="1"/>
  </cols>
  <sheetData>
    <row r="1" spans="1:42" ht="33.75" customHeight="1" thickBot="1" x14ac:dyDescent="0.35">
      <c r="B1" s="86"/>
      <c r="C1" s="86"/>
      <c r="D1" s="86"/>
      <c r="E1" s="86"/>
      <c r="F1" s="474" t="s">
        <v>63</v>
      </c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</row>
    <row r="2" spans="1:42" ht="15" customHeight="1" thickBot="1" x14ac:dyDescent="0.35">
      <c r="A2" s="483" t="s">
        <v>53</v>
      </c>
      <c r="B2" s="484"/>
      <c r="C2" s="484"/>
      <c r="D2" s="484"/>
      <c r="E2" s="484"/>
      <c r="F2" s="484"/>
      <c r="G2" s="487">
        <v>44418</v>
      </c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68"/>
      <c r="U2" s="69"/>
      <c r="V2" s="69"/>
      <c r="W2" s="69"/>
      <c r="X2" s="69"/>
      <c r="Y2" s="69"/>
      <c r="Z2" s="69"/>
      <c r="AA2" s="69"/>
      <c r="AB2" s="69"/>
      <c r="AC2" s="69"/>
      <c r="AD2" s="69"/>
      <c r="AE2" s="70"/>
      <c r="AF2" s="68"/>
      <c r="AG2" s="69"/>
      <c r="AH2" s="69"/>
      <c r="AI2" s="69"/>
      <c r="AJ2" s="69"/>
      <c r="AK2" s="69"/>
      <c r="AL2" s="69"/>
      <c r="AM2" s="69"/>
      <c r="AN2" s="69"/>
      <c r="AO2" s="70"/>
    </row>
    <row r="3" spans="1:42" ht="15" customHeight="1" thickBot="1" x14ac:dyDescent="0.35">
      <c r="A3" s="485"/>
      <c r="B3" s="486"/>
      <c r="C3" s="486"/>
      <c r="D3" s="486"/>
      <c r="E3" s="486"/>
      <c r="F3" s="486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71"/>
      <c r="U3" s="72"/>
      <c r="W3" s="73"/>
      <c r="Y3" t="s">
        <v>24</v>
      </c>
      <c r="AE3" s="74"/>
      <c r="AF3" s="71"/>
      <c r="AG3" s="489" t="s">
        <v>249</v>
      </c>
      <c r="AH3" s="489"/>
      <c r="AI3" s="489"/>
      <c r="AJ3" s="489"/>
      <c r="AK3" s="489"/>
      <c r="AL3" s="489"/>
      <c r="AM3" s="490" t="s">
        <v>64</v>
      </c>
      <c r="AN3" s="492" t="s">
        <v>65</v>
      </c>
      <c r="AO3" s="493"/>
    </row>
    <row r="4" spans="1:42" ht="15" customHeight="1" thickBot="1" x14ac:dyDescent="0.35">
      <c r="A4" s="485" t="s">
        <v>48</v>
      </c>
      <c r="B4" s="486"/>
      <c r="C4" s="486"/>
      <c r="D4" s="486"/>
      <c r="E4" s="486"/>
      <c r="F4" s="486"/>
      <c r="G4" s="497" t="s">
        <v>140</v>
      </c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7"/>
      <c r="S4" s="497"/>
      <c r="T4" s="71"/>
      <c r="U4" s="72"/>
      <c r="V4" s="75"/>
      <c r="W4" s="76"/>
      <c r="Y4" t="s">
        <v>66</v>
      </c>
      <c r="AE4" s="74"/>
      <c r="AF4" s="71"/>
      <c r="AG4" s="499" t="s">
        <v>52</v>
      </c>
      <c r="AH4" s="499"/>
      <c r="AI4" s="499"/>
      <c r="AJ4" s="499"/>
      <c r="AK4" s="499"/>
      <c r="AL4" s="499"/>
      <c r="AM4" s="491"/>
      <c r="AN4" s="494"/>
      <c r="AO4" s="493"/>
    </row>
    <row r="5" spans="1:42" ht="15.75" customHeight="1" thickBot="1" x14ac:dyDescent="0.35">
      <c r="A5" s="495"/>
      <c r="B5" s="496"/>
      <c r="C5" s="496"/>
      <c r="D5" s="496"/>
      <c r="E5" s="496"/>
      <c r="F5" s="496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71"/>
      <c r="U5" s="72"/>
      <c r="V5" s="77"/>
      <c r="W5" s="78"/>
      <c r="Y5" s="500" t="s">
        <v>67</v>
      </c>
      <c r="Z5" s="500"/>
      <c r="AA5" s="500"/>
      <c r="AB5" s="500"/>
      <c r="AC5" s="500"/>
      <c r="AE5" s="74"/>
      <c r="AF5" s="71"/>
      <c r="AO5" s="74"/>
    </row>
    <row r="6" spans="1:42" ht="15.75" customHeight="1" thickBot="1" x14ac:dyDescent="0.35">
      <c r="T6" s="71"/>
      <c r="U6" s="79"/>
      <c r="V6" s="80"/>
      <c r="W6" s="81"/>
      <c r="X6" s="82"/>
      <c r="Y6" s="500"/>
      <c r="Z6" s="500"/>
      <c r="AA6" s="500"/>
      <c r="AB6" s="500"/>
      <c r="AC6" s="500"/>
      <c r="AE6" s="74"/>
      <c r="AF6" s="71"/>
      <c r="AG6" s="475">
        <f>'t ср.вз.'!C12</f>
        <v>44.924999999999997</v>
      </c>
      <c r="AH6" s="475"/>
      <c r="AI6" s="475"/>
      <c r="AJ6" s="475"/>
      <c r="AK6" s="475"/>
      <c r="AL6" s="475"/>
      <c r="AM6" s="476" t="s">
        <v>64</v>
      </c>
      <c r="AN6" s="478">
        <f>AG6/AG7</f>
        <v>0.95585106382978713</v>
      </c>
      <c r="AO6" s="479"/>
    </row>
    <row r="7" spans="1:42" ht="15.6" thickTop="1" thickBot="1" x14ac:dyDescent="0.35">
      <c r="T7" s="83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83"/>
      <c r="AG7" s="482">
        <v>47</v>
      </c>
      <c r="AH7" s="482"/>
      <c r="AI7" s="482"/>
      <c r="AJ7" s="482"/>
      <c r="AK7" s="482"/>
      <c r="AL7" s="482"/>
      <c r="AM7" s="477"/>
      <c r="AN7" s="480"/>
      <c r="AO7" s="481"/>
    </row>
    <row r="8" spans="1:42" ht="14.4" x14ac:dyDescent="0.3"/>
    <row r="16" spans="1:42" ht="5.0999999999999996" customHeight="1" thickBot="1" x14ac:dyDescent="0.4">
      <c r="D16" s="472"/>
      <c r="E16" s="473"/>
      <c r="F16" s="155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7"/>
    </row>
    <row r="17" spans="4:41" ht="5.0999999999999996" customHeight="1" x14ac:dyDescent="0.35">
      <c r="D17" s="158"/>
      <c r="E17" s="158"/>
      <c r="F17" s="152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4"/>
    </row>
    <row r="18" spans="4:41" ht="5.0999999999999996" customHeight="1" x14ac:dyDescent="0.35">
      <c r="D18" s="158"/>
      <c r="E18" s="158"/>
      <c r="F18" s="136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7"/>
    </row>
    <row r="19" spans="4:41" ht="5.0999999999999996" customHeight="1" x14ac:dyDescent="0.3">
      <c r="D19" s="472">
        <f>D24+5</f>
        <v>65</v>
      </c>
      <c r="E19" s="473"/>
      <c r="F19" s="136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7"/>
    </row>
    <row r="20" spans="4:41" ht="5.0999999999999996" customHeight="1" x14ac:dyDescent="0.3">
      <c r="D20" s="472"/>
      <c r="E20" s="473"/>
      <c r="F20" s="136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7"/>
    </row>
    <row r="21" spans="4:41" ht="5.0999999999999996" customHeight="1" thickBot="1" x14ac:dyDescent="0.35">
      <c r="D21" s="472"/>
      <c r="E21" s="473"/>
      <c r="F21" s="155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7"/>
    </row>
    <row r="22" spans="4:41" ht="5.0999999999999996" customHeight="1" x14ac:dyDescent="0.35">
      <c r="D22" s="158"/>
      <c r="E22" s="158"/>
      <c r="F22" s="152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4"/>
    </row>
    <row r="23" spans="4:41" ht="5.0999999999999996" customHeight="1" x14ac:dyDescent="0.35">
      <c r="D23" s="158"/>
      <c r="E23" s="158"/>
      <c r="F23" s="136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7"/>
    </row>
    <row r="24" spans="4:41" ht="5.0999999999999996" customHeight="1" x14ac:dyDescent="0.3">
      <c r="D24" s="472">
        <f>D29+5</f>
        <v>60</v>
      </c>
      <c r="E24" s="473"/>
      <c r="F24" s="136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7"/>
    </row>
    <row r="25" spans="4:41" ht="5.0999999999999996" customHeight="1" x14ac:dyDescent="0.3">
      <c r="D25" s="472"/>
      <c r="E25" s="473"/>
      <c r="F25" s="136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7"/>
    </row>
    <row r="26" spans="4:41" ht="5.0999999999999996" customHeight="1" thickBot="1" x14ac:dyDescent="0.35">
      <c r="D26" s="472"/>
      <c r="E26" s="473"/>
      <c r="F26" s="155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7"/>
    </row>
    <row r="27" spans="4:41" ht="5.0999999999999996" customHeight="1" x14ac:dyDescent="0.35">
      <c r="D27" s="158"/>
      <c r="E27" s="158"/>
      <c r="F27" s="152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4"/>
    </row>
    <row r="28" spans="4:41" ht="5.0999999999999996" customHeight="1" x14ac:dyDescent="0.35">
      <c r="D28" s="158"/>
      <c r="E28" s="158"/>
      <c r="F28" s="136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7"/>
    </row>
    <row r="29" spans="4:41" ht="5.0999999999999996" customHeight="1" x14ac:dyDescent="0.3">
      <c r="D29" s="472">
        <f>D34+5</f>
        <v>55</v>
      </c>
      <c r="E29" s="473"/>
      <c r="F29" s="136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7"/>
    </row>
    <row r="30" spans="4:41" ht="5.0999999999999996" customHeight="1" x14ac:dyDescent="0.3">
      <c r="D30" s="472"/>
      <c r="E30" s="473"/>
      <c r="F30" s="136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7"/>
    </row>
    <row r="31" spans="4:41" ht="5.0999999999999996" customHeight="1" thickBot="1" x14ac:dyDescent="0.35">
      <c r="D31" s="472"/>
      <c r="E31" s="473"/>
      <c r="F31" s="155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7"/>
    </row>
    <row r="32" spans="4:41" ht="5.0999999999999996" customHeight="1" x14ac:dyDescent="0.35">
      <c r="D32" s="158"/>
      <c r="E32" s="158"/>
      <c r="F32" s="152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4"/>
    </row>
    <row r="33" spans="4:41" ht="5.0999999999999996" customHeight="1" x14ac:dyDescent="0.35">
      <c r="D33" s="158"/>
      <c r="E33" s="158"/>
      <c r="F33" s="136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7"/>
    </row>
    <row r="34" spans="4:41" ht="5.0999999999999996" customHeight="1" x14ac:dyDescent="0.3">
      <c r="D34" s="472">
        <f>D39+5</f>
        <v>50</v>
      </c>
      <c r="E34" s="473"/>
      <c r="F34" s="136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7"/>
    </row>
    <row r="35" spans="4:41" ht="5.0999999999999996" customHeight="1" x14ac:dyDescent="0.3">
      <c r="D35" s="472"/>
      <c r="E35" s="473"/>
      <c r="F35" s="136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7"/>
    </row>
    <row r="36" spans="4:41" ht="5.0999999999999996" customHeight="1" thickBot="1" x14ac:dyDescent="0.35">
      <c r="D36" s="472"/>
      <c r="E36" s="473"/>
      <c r="F36" s="155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7"/>
    </row>
    <row r="37" spans="4:41" ht="5.0999999999999996" customHeight="1" x14ac:dyDescent="0.35">
      <c r="D37" s="158"/>
      <c r="E37" s="158"/>
      <c r="F37" s="152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4"/>
    </row>
    <row r="38" spans="4:41" ht="5.0999999999999996" customHeight="1" x14ac:dyDescent="0.35">
      <c r="D38" s="158"/>
      <c r="E38" s="158"/>
      <c r="F38" s="136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7"/>
    </row>
    <row r="39" spans="4:41" ht="5.0999999999999996" customHeight="1" x14ac:dyDescent="0.3">
      <c r="D39" s="472">
        <f>D44+5</f>
        <v>45</v>
      </c>
      <c r="E39" s="473"/>
      <c r="F39" s="136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7"/>
    </row>
    <row r="40" spans="4:41" ht="5.0999999999999996" customHeight="1" x14ac:dyDescent="0.3">
      <c r="D40" s="472"/>
      <c r="E40" s="473"/>
      <c r="F40" s="136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7"/>
    </row>
    <row r="41" spans="4:41" ht="5.0999999999999996" customHeight="1" thickBot="1" x14ac:dyDescent="0.35">
      <c r="D41" s="472"/>
      <c r="E41" s="473"/>
      <c r="F41" s="155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7"/>
    </row>
    <row r="42" spans="4:41" ht="5.0999999999999996" customHeight="1" x14ac:dyDescent="0.35">
      <c r="D42" s="158"/>
      <c r="E42" s="158"/>
      <c r="F42" s="152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4"/>
    </row>
    <row r="43" spans="4:41" ht="5.0999999999999996" customHeight="1" x14ac:dyDescent="0.35">
      <c r="D43" s="158"/>
      <c r="E43" s="158"/>
      <c r="F43" s="136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7"/>
    </row>
    <row r="44" spans="4:41" ht="5.0999999999999996" customHeight="1" x14ac:dyDescent="0.3">
      <c r="D44" s="472">
        <f>D49+5</f>
        <v>40</v>
      </c>
      <c r="E44" s="473"/>
      <c r="F44" s="136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7"/>
    </row>
    <row r="45" spans="4:41" ht="5.0999999999999996" customHeight="1" x14ac:dyDescent="0.3">
      <c r="D45" s="472"/>
      <c r="E45" s="473"/>
      <c r="F45" s="136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7"/>
    </row>
    <row r="46" spans="4:41" ht="5.0999999999999996" customHeight="1" thickBot="1" x14ac:dyDescent="0.35">
      <c r="D46" s="472"/>
      <c r="E46" s="473"/>
      <c r="F46" s="155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7"/>
    </row>
    <row r="47" spans="4:41" ht="5.0999999999999996" customHeight="1" x14ac:dyDescent="0.35">
      <c r="D47" s="158"/>
      <c r="E47" s="158"/>
      <c r="F47" s="152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4"/>
    </row>
    <row r="48" spans="4:41" ht="5.0999999999999996" customHeight="1" x14ac:dyDescent="0.35">
      <c r="D48" s="158"/>
      <c r="E48" s="158"/>
      <c r="F48" s="136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7"/>
    </row>
    <row r="49" spans="4:41" ht="5.0999999999999996" customHeight="1" x14ac:dyDescent="0.3">
      <c r="D49" s="472">
        <f>D54+5</f>
        <v>35</v>
      </c>
      <c r="E49" s="473"/>
      <c r="F49" s="136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7"/>
    </row>
    <row r="50" spans="4:41" ht="5.0999999999999996" customHeight="1" x14ac:dyDescent="0.3">
      <c r="D50" s="472"/>
      <c r="E50" s="473"/>
      <c r="F50" s="136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7"/>
    </row>
    <row r="51" spans="4:41" ht="5.0999999999999996" customHeight="1" thickBot="1" x14ac:dyDescent="0.35">
      <c r="D51" s="472"/>
      <c r="E51" s="473"/>
      <c r="F51" s="155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7"/>
    </row>
    <row r="52" spans="4:41" ht="5.0999999999999996" customHeight="1" x14ac:dyDescent="0.35">
      <c r="D52" s="158"/>
      <c r="E52" s="158"/>
      <c r="F52" s="152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4"/>
    </row>
    <row r="53" spans="4:41" ht="5.0999999999999996" customHeight="1" x14ac:dyDescent="0.35">
      <c r="D53" s="158"/>
      <c r="E53" s="158"/>
      <c r="F53" s="136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7"/>
    </row>
    <row r="54" spans="4:41" ht="5.0999999999999996" customHeight="1" x14ac:dyDescent="0.3">
      <c r="D54" s="472">
        <f>D59+5</f>
        <v>30</v>
      </c>
      <c r="E54" s="473"/>
      <c r="F54" s="136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7"/>
    </row>
    <row r="55" spans="4:41" ht="5.0999999999999996" customHeight="1" x14ac:dyDescent="0.3">
      <c r="D55" s="472"/>
      <c r="E55" s="473"/>
      <c r="F55" s="136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7"/>
    </row>
    <row r="56" spans="4:41" ht="5.0999999999999996" customHeight="1" thickBot="1" x14ac:dyDescent="0.35">
      <c r="D56" s="472"/>
      <c r="E56" s="473"/>
      <c r="F56" s="155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7"/>
    </row>
    <row r="57" spans="4:41" ht="5.0999999999999996" customHeight="1" x14ac:dyDescent="0.35">
      <c r="D57" s="158"/>
      <c r="E57" s="158"/>
      <c r="F57" s="152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4"/>
    </row>
    <row r="58" spans="4:41" ht="5.0999999999999996" customHeight="1" x14ac:dyDescent="0.35">
      <c r="D58" s="158"/>
      <c r="E58" s="158"/>
      <c r="F58" s="136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7"/>
    </row>
    <row r="59" spans="4:41" ht="5.0999999999999996" customHeight="1" x14ac:dyDescent="0.3">
      <c r="D59" s="472">
        <f>D64+5</f>
        <v>25</v>
      </c>
      <c r="E59" s="473"/>
      <c r="F59" s="136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7"/>
    </row>
    <row r="60" spans="4:41" ht="5.0999999999999996" customHeight="1" x14ac:dyDescent="0.3">
      <c r="D60" s="472"/>
      <c r="E60" s="473"/>
      <c r="F60" s="136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7"/>
    </row>
    <row r="61" spans="4:41" ht="5.0999999999999996" customHeight="1" thickBot="1" x14ac:dyDescent="0.35">
      <c r="D61" s="472"/>
      <c r="E61" s="473"/>
      <c r="F61" s="155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7"/>
    </row>
    <row r="62" spans="4:41" ht="5.0999999999999996" customHeight="1" x14ac:dyDescent="0.35">
      <c r="D62" s="158"/>
      <c r="E62" s="158"/>
      <c r="F62" s="152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4"/>
    </row>
    <row r="63" spans="4:41" ht="5.0999999999999996" customHeight="1" x14ac:dyDescent="0.35">
      <c r="D63" s="158"/>
      <c r="E63" s="158"/>
      <c r="F63" s="136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7"/>
    </row>
    <row r="64" spans="4:41" ht="5.0999999999999996" customHeight="1" x14ac:dyDescent="0.3">
      <c r="D64" s="472">
        <f>D69+5</f>
        <v>20</v>
      </c>
      <c r="E64" s="473"/>
      <c r="F64" s="136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7"/>
    </row>
    <row r="65" spans="4:41" ht="5.0999999999999996" customHeight="1" x14ac:dyDescent="0.3">
      <c r="D65" s="472"/>
      <c r="E65" s="473"/>
      <c r="F65" s="136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7"/>
    </row>
    <row r="66" spans="4:41" ht="5.0999999999999996" customHeight="1" thickBot="1" x14ac:dyDescent="0.35">
      <c r="D66" s="472"/>
      <c r="E66" s="473"/>
      <c r="F66" s="155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7"/>
    </row>
    <row r="67" spans="4:41" ht="5.0999999999999996" customHeight="1" x14ac:dyDescent="0.35">
      <c r="D67" s="158"/>
      <c r="E67" s="158"/>
      <c r="F67" s="152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4"/>
    </row>
    <row r="68" spans="4:41" ht="5.0999999999999996" customHeight="1" x14ac:dyDescent="0.35">
      <c r="D68" s="158"/>
      <c r="E68" s="158"/>
      <c r="F68" s="136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7"/>
    </row>
    <row r="69" spans="4:41" ht="5.0999999999999996" customHeight="1" x14ac:dyDescent="0.3">
      <c r="D69" s="472">
        <f>D74+5</f>
        <v>15</v>
      </c>
      <c r="E69" s="473"/>
      <c r="F69" s="136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7"/>
    </row>
    <row r="70" spans="4:41" ht="5.0999999999999996" customHeight="1" x14ac:dyDescent="0.3">
      <c r="D70" s="472"/>
      <c r="E70" s="473"/>
      <c r="F70" s="136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7"/>
    </row>
    <row r="71" spans="4:41" ht="5.0999999999999996" customHeight="1" thickBot="1" x14ac:dyDescent="0.35">
      <c r="D71" s="472"/>
      <c r="E71" s="473"/>
      <c r="F71" s="155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7"/>
    </row>
    <row r="72" spans="4:41" ht="5.0999999999999996" customHeight="1" x14ac:dyDescent="0.35">
      <c r="D72" s="158"/>
      <c r="E72" s="158"/>
      <c r="F72" s="152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4"/>
    </row>
    <row r="73" spans="4:41" ht="5.0999999999999996" customHeight="1" x14ac:dyDescent="0.35">
      <c r="D73" s="158"/>
      <c r="E73" s="158"/>
      <c r="F73" s="136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7"/>
    </row>
    <row r="74" spans="4:41" ht="5.0999999999999996" customHeight="1" x14ac:dyDescent="0.3">
      <c r="D74" s="472">
        <f>D79+5</f>
        <v>10</v>
      </c>
      <c r="E74" s="473"/>
      <c r="F74" s="136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7"/>
    </row>
    <row r="75" spans="4:41" ht="5.0999999999999996" customHeight="1" x14ac:dyDescent="0.3">
      <c r="D75" s="472"/>
      <c r="E75" s="473"/>
      <c r="F75" s="136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7"/>
    </row>
    <row r="76" spans="4:41" ht="5.0999999999999996" customHeight="1" thickBot="1" x14ac:dyDescent="0.35">
      <c r="D76" s="472"/>
      <c r="E76" s="473"/>
      <c r="F76" s="155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7"/>
    </row>
    <row r="77" spans="4:41" ht="5.0999999999999996" customHeight="1" x14ac:dyDescent="0.35">
      <c r="D77" s="158"/>
      <c r="E77" s="158"/>
      <c r="F77" s="152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4"/>
    </row>
    <row r="78" spans="4:41" ht="5.0999999999999996" customHeight="1" x14ac:dyDescent="0.35">
      <c r="D78" s="158"/>
      <c r="E78" s="158"/>
      <c r="F78" s="136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7"/>
    </row>
    <row r="79" spans="4:41" ht="5.0999999999999996" customHeight="1" x14ac:dyDescent="0.3">
      <c r="D79" s="472">
        <f>D84+5</f>
        <v>5</v>
      </c>
      <c r="E79" s="473"/>
      <c r="F79" s="136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7"/>
    </row>
    <row r="80" spans="4:41" ht="5.0999999999999996" customHeight="1" x14ac:dyDescent="0.3">
      <c r="D80" s="472"/>
      <c r="E80" s="473"/>
      <c r="F80" s="136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7"/>
    </row>
    <row r="81" spans="4:41" ht="5.0999999999999996" customHeight="1" thickBot="1" x14ac:dyDescent="0.35">
      <c r="D81" s="472"/>
      <c r="E81" s="473"/>
      <c r="F81" s="155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7"/>
    </row>
    <row r="82" spans="4:41" ht="5.0999999999999996" customHeight="1" x14ac:dyDescent="0.35">
      <c r="D82" s="158"/>
      <c r="E82" s="159"/>
      <c r="F82" s="152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4"/>
    </row>
    <row r="83" spans="4:41" ht="5.0999999999999996" customHeight="1" x14ac:dyDescent="0.35">
      <c r="D83" s="158"/>
      <c r="E83" s="159"/>
      <c r="F83" s="136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7"/>
    </row>
    <row r="84" spans="4:41" ht="5.0999999999999996" customHeight="1" x14ac:dyDescent="0.3">
      <c r="D84" s="472">
        <v>0</v>
      </c>
      <c r="E84" s="473"/>
      <c r="F84" s="136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7"/>
    </row>
    <row r="85" spans="4:41" ht="5.0999999999999996" customHeight="1" x14ac:dyDescent="0.3">
      <c r="D85" s="472"/>
      <c r="E85" s="473"/>
      <c r="F85" s="136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7"/>
    </row>
    <row r="86" spans="4:41" ht="5.0999999999999996" customHeight="1" thickBot="1" x14ac:dyDescent="0.35">
      <c r="D86" s="472"/>
      <c r="E86" s="473"/>
      <c r="F86" s="155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7"/>
    </row>
  </sheetData>
  <mergeCells count="31">
    <mergeCell ref="A4:F5"/>
    <mergeCell ref="G4:S5"/>
    <mergeCell ref="AG4:AL4"/>
    <mergeCell ref="Y5:AC6"/>
    <mergeCell ref="D44:E46"/>
    <mergeCell ref="D39:E41"/>
    <mergeCell ref="D29:E31"/>
    <mergeCell ref="D24:E26"/>
    <mergeCell ref="D16:E16"/>
    <mergeCell ref="D34:E36"/>
    <mergeCell ref="D79:E81"/>
    <mergeCell ref="D74:E76"/>
    <mergeCell ref="D84:E86"/>
    <mergeCell ref="D19:E21"/>
    <mergeCell ref="F1:AP1"/>
    <mergeCell ref="AG6:AH6"/>
    <mergeCell ref="AI6:AJ6"/>
    <mergeCell ref="AK6:AL6"/>
    <mergeCell ref="AM6:AM7"/>
    <mergeCell ref="AN6:AO7"/>
    <mergeCell ref="AG7:AL7"/>
    <mergeCell ref="A2:F3"/>
    <mergeCell ref="G2:S3"/>
    <mergeCell ref="AG3:AL3"/>
    <mergeCell ref="AM3:AM4"/>
    <mergeCell ref="AN3:AO4"/>
    <mergeCell ref="D49:E51"/>
    <mergeCell ref="D54:E56"/>
    <mergeCell ref="D59:E61"/>
    <mergeCell ref="D64:E66"/>
    <mergeCell ref="D69:E71"/>
  </mergeCells>
  <pageMargins left="0.7" right="0.7" top="0.75" bottom="0.75" header="0.3" footer="0.3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AC1E-173D-4D76-9DA0-9E6B97D7D7D0}">
  <dimension ref="A3:C12"/>
  <sheetViews>
    <sheetView workbookViewId="0">
      <selection activeCell="C5" sqref="C5"/>
    </sheetView>
  </sheetViews>
  <sheetFormatPr defaultRowHeight="14.4" x14ac:dyDescent="0.3"/>
  <cols>
    <col min="1" max="1" width="18.5546875" bestFit="1" customWidth="1"/>
  </cols>
  <sheetData>
    <row r="3" spans="1:3" x14ac:dyDescent="0.3">
      <c r="B3" t="s">
        <v>246</v>
      </c>
      <c r="C3" t="s">
        <v>247</v>
      </c>
    </row>
    <row r="4" spans="1:3" x14ac:dyDescent="0.3">
      <c r="A4" t="s">
        <v>241</v>
      </c>
      <c r="B4">
        <v>80</v>
      </c>
      <c r="C4">
        <v>10</v>
      </c>
    </row>
    <row r="5" spans="1:3" x14ac:dyDescent="0.3">
      <c r="A5" t="s">
        <v>187</v>
      </c>
      <c r="B5">
        <v>20</v>
      </c>
      <c r="C5">
        <v>47</v>
      </c>
    </row>
    <row r="6" spans="1:3" x14ac:dyDescent="0.3">
      <c r="A6" t="s">
        <v>183</v>
      </c>
      <c r="B6">
        <v>20</v>
      </c>
      <c r="C6">
        <v>42</v>
      </c>
    </row>
    <row r="7" spans="1:3" x14ac:dyDescent="0.3">
      <c r="A7" t="s">
        <v>242</v>
      </c>
      <c r="B7">
        <v>240</v>
      </c>
      <c r="C7">
        <v>40</v>
      </c>
    </row>
    <row r="8" spans="1:3" x14ac:dyDescent="0.3">
      <c r="A8" t="s">
        <v>243</v>
      </c>
      <c r="B8">
        <v>40</v>
      </c>
      <c r="C8">
        <v>54</v>
      </c>
    </row>
    <row r="9" spans="1:3" x14ac:dyDescent="0.3">
      <c r="A9" t="s">
        <v>244</v>
      </c>
      <c r="B9">
        <v>80</v>
      </c>
      <c r="C9">
        <v>70</v>
      </c>
    </row>
    <row r="10" spans="1:3" x14ac:dyDescent="0.3">
      <c r="A10" t="s">
        <v>245</v>
      </c>
      <c r="B10">
        <v>320</v>
      </c>
      <c r="C10">
        <v>50</v>
      </c>
    </row>
    <row r="12" spans="1:3" x14ac:dyDescent="0.3">
      <c r="B12" t="s">
        <v>248</v>
      </c>
      <c r="C12">
        <f>SUMPRODUCT(B4:B10,C4:C10)/SUM(B4:B10)</f>
        <v>44.924999999999997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8C3A-6603-4D74-ADF7-79BD465F8614}">
  <dimension ref="A1:AS31"/>
  <sheetViews>
    <sheetView topLeftCell="A13" zoomScale="70" zoomScaleNormal="70" workbookViewId="0">
      <selection activeCell="P23" sqref="P23:AD25"/>
    </sheetView>
  </sheetViews>
  <sheetFormatPr defaultColWidth="5.6640625" defaultRowHeight="30" customHeight="1" x14ac:dyDescent="0.3"/>
  <sheetData>
    <row r="1" spans="1:45" ht="30" customHeight="1" x14ac:dyDescent="0.3">
      <c r="A1" s="537"/>
      <c r="B1" s="499"/>
      <c r="C1" s="499"/>
      <c r="D1" s="499"/>
      <c r="E1" s="499"/>
      <c r="F1" s="499"/>
      <c r="G1" s="499"/>
      <c r="H1" s="540" t="s">
        <v>86</v>
      </c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  <c r="AA1" s="540"/>
      <c r="AB1" s="540"/>
      <c r="AC1" s="540"/>
      <c r="AD1" s="540"/>
      <c r="AE1" s="540"/>
      <c r="AF1" s="540"/>
      <c r="AG1" s="540"/>
      <c r="AH1" s="540"/>
      <c r="AI1" s="540"/>
      <c r="AJ1" s="540"/>
      <c r="AK1" s="540"/>
      <c r="AL1" s="540"/>
      <c r="AM1" s="540"/>
      <c r="AN1" s="540"/>
      <c r="AO1" s="540"/>
      <c r="AP1" s="540"/>
      <c r="AQ1" s="540"/>
      <c r="AR1" s="540"/>
      <c r="AS1" s="541"/>
    </row>
    <row r="2" spans="1:45" ht="30" customHeight="1" x14ac:dyDescent="0.3">
      <c r="A2" s="538"/>
      <c r="B2" s="539"/>
      <c r="C2" s="539"/>
      <c r="D2" s="539"/>
      <c r="E2" s="539"/>
      <c r="F2" s="539"/>
      <c r="G2" s="539"/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542"/>
      <c r="Z2" s="542"/>
      <c r="AA2" s="542"/>
      <c r="AB2" s="542"/>
      <c r="AC2" s="542"/>
      <c r="AD2" s="542"/>
      <c r="AE2" s="542"/>
      <c r="AF2" s="542"/>
      <c r="AG2" s="542"/>
      <c r="AH2" s="542"/>
      <c r="AI2" s="542"/>
      <c r="AJ2" s="542"/>
      <c r="AK2" s="542"/>
      <c r="AL2" s="542"/>
      <c r="AM2" s="542"/>
      <c r="AN2" s="542"/>
      <c r="AO2" s="542"/>
      <c r="AP2" s="542"/>
      <c r="AQ2" s="542"/>
      <c r="AR2" s="542"/>
      <c r="AS2" s="543"/>
    </row>
    <row r="3" spans="1:45" s="6" customFormat="1" ht="30" customHeight="1" x14ac:dyDescent="0.3">
      <c r="A3" s="544" t="s">
        <v>87</v>
      </c>
      <c r="B3" s="545"/>
      <c r="C3" s="545"/>
      <c r="D3" s="545"/>
      <c r="E3" s="545"/>
      <c r="F3" s="546" t="s">
        <v>257</v>
      </c>
      <c r="G3" s="546"/>
      <c r="H3" s="546"/>
      <c r="I3" s="546"/>
      <c r="J3" s="546"/>
      <c r="K3" s="546"/>
      <c r="L3" s="546"/>
      <c r="M3" s="546"/>
      <c r="N3" s="546"/>
      <c r="O3" s="545" t="s">
        <v>29</v>
      </c>
      <c r="P3" s="545"/>
      <c r="Q3" s="545"/>
      <c r="R3" s="545"/>
      <c r="S3" s="545"/>
      <c r="T3" s="547"/>
      <c r="U3" s="547"/>
      <c r="V3" s="547"/>
      <c r="W3" s="547"/>
      <c r="X3" s="547"/>
      <c r="Y3" s="547"/>
      <c r="Z3" s="547"/>
      <c r="AA3" s="547"/>
      <c r="AB3" s="547"/>
      <c r="AC3" s="545" t="s">
        <v>88</v>
      </c>
      <c r="AD3" s="545"/>
      <c r="AE3" s="545"/>
      <c r="AF3" s="545"/>
      <c r="AG3" s="545"/>
      <c r="AH3" s="546" t="s">
        <v>134</v>
      </c>
      <c r="AI3" s="546"/>
      <c r="AJ3" s="546"/>
      <c r="AK3" s="546"/>
      <c r="AL3" s="546"/>
      <c r="AM3" s="546"/>
      <c r="AN3" s="546"/>
      <c r="AO3" s="546"/>
      <c r="AP3" s="546"/>
      <c r="AQ3" s="546"/>
      <c r="AR3" s="548" t="s">
        <v>20</v>
      </c>
      <c r="AS3" s="549"/>
    </row>
    <row r="4" spans="1:45" s="6" customFormat="1" ht="30" customHeight="1" thickBot="1" x14ac:dyDescent="0.35">
      <c r="A4" s="531" t="s">
        <v>89</v>
      </c>
      <c r="B4" s="532"/>
      <c r="C4" s="532"/>
      <c r="D4" s="532"/>
      <c r="E4" s="532"/>
      <c r="F4" s="533" t="s">
        <v>258</v>
      </c>
      <c r="G4" s="533"/>
      <c r="H4" s="533"/>
      <c r="I4" s="533"/>
      <c r="J4" s="533"/>
      <c r="K4" s="533"/>
      <c r="L4" s="533"/>
      <c r="M4" s="533"/>
      <c r="N4" s="533"/>
      <c r="O4" s="532" t="s">
        <v>90</v>
      </c>
      <c r="P4" s="532"/>
      <c r="Q4" s="532"/>
      <c r="R4" s="532"/>
      <c r="S4" s="532"/>
      <c r="T4" s="534" t="s">
        <v>259</v>
      </c>
      <c r="U4" s="534"/>
      <c r="V4" s="534"/>
      <c r="W4" s="534"/>
      <c r="X4" s="534"/>
      <c r="Y4" s="534"/>
      <c r="Z4" s="534"/>
      <c r="AA4" s="534"/>
      <c r="AB4" s="534"/>
      <c r="AC4" s="532" t="s">
        <v>2</v>
      </c>
      <c r="AD4" s="532"/>
      <c r="AE4" s="532"/>
      <c r="AF4" s="532"/>
      <c r="AG4" s="532"/>
      <c r="AH4" s="535">
        <v>44438</v>
      </c>
      <c r="AI4" s="536"/>
      <c r="AJ4" s="536"/>
      <c r="AK4" s="536"/>
      <c r="AL4" s="536"/>
      <c r="AM4" s="536"/>
      <c r="AN4" s="536"/>
      <c r="AO4" s="536"/>
      <c r="AP4" s="536"/>
      <c r="AQ4" s="536"/>
      <c r="AR4" s="523">
        <v>1</v>
      </c>
      <c r="AS4" s="524"/>
    </row>
    <row r="5" spans="1:45" s="6" customFormat="1" ht="30" customHeight="1" thickBot="1" x14ac:dyDescent="0.35">
      <c r="A5" s="525" t="s">
        <v>91</v>
      </c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 t="s">
        <v>92</v>
      </c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6"/>
      <c r="AB5" s="526"/>
      <c r="AC5" s="526" t="s">
        <v>93</v>
      </c>
      <c r="AD5" s="526"/>
      <c r="AE5" s="526"/>
      <c r="AF5" s="526"/>
      <c r="AG5" s="526"/>
      <c r="AH5" s="526"/>
      <c r="AI5" s="526"/>
      <c r="AJ5" s="526"/>
      <c r="AK5" s="526"/>
      <c r="AL5" s="526"/>
      <c r="AM5" s="526"/>
      <c r="AN5" s="526"/>
      <c r="AO5" s="526"/>
      <c r="AP5" s="526"/>
      <c r="AQ5" s="526"/>
      <c r="AR5" s="526"/>
      <c r="AS5" s="527"/>
    </row>
    <row r="6" spans="1:45" ht="30" customHeight="1" x14ac:dyDescent="0.3">
      <c r="A6" s="89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1"/>
      <c r="W6" s="92"/>
      <c r="X6" s="92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3"/>
    </row>
    <row r="7" spans="1:45" ht="30" customHeight="1" x14ac:dyDescent="0.3">
      <c r="A7" s="94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6"/>
      <c r="W7" s="97"/>
      <c r="X7" s="97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8"/>
    </row>
    <row r="8" spans="1:45" ht="30" customHeight="1" x14ac:dyDescent="0.3">
      <c r="A8" s="94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6"/>
      <c r="W8" s="97"/>
      <c r="X8" s="97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8"/>
    </row>
    <row r="9" spans="1:45" ht="30" customHeight="1" x14ac:dyDescent="0.3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6"/>
      <c r="W9" s="97"/>
      <c r="X9" s="97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8"/>
    </row>
    <row r="10" spans="1:45" ht="30" customHeight="1" x14ac:dyDescent="0.3">
      <c r="A10" s="94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6"/>
      <c r="W10" s="97"/>
      <c r="X10" s="97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8"/>
    </row>
    <row r="11" spans="1:45" ht="30" customHeight="1" x14ac:dyDescent="0.3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6"/>
      <c r="W11" s="97"/>
      <c r="X11" s="97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8"/>
    </row>
    <row r="12" spans="1:45" ht="30" customHeight="1" x14ac:dyDescent="0.3">
      <c r="A12" s="94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6"/>
      <c r="W12" s="97"/>
      <c r="X12" s="97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8"/>
    </row>
    <row r="13" spans="1:45" ht="30" customHeight="1" x14ac:dyDescent="0.3">
      <c r="A13" s="94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6"/>
      <c r="W13" s="97"/>
      <c r="X13" s="97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8"/>
    </row>
    <row r="14" spans="1:45" ht="30" customHeight="1" x14ac:dyDescent="0.3">
      <c r="A14" s="94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6"/>
      <c r="W14" s="97"/>
      <c r="X14" s="97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8"/>
    </row>
    <row r="15" spans="1:45" ht="30" customHeight="1" x14ac:dyDescent="0.3">
      <c r="A15" s="94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6"/>
      <c r="W15" s="97"/>
      <c r="X15" s="97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8"/>
    </row>
    <row r="16" spans="1:45" ht="30" customHeight="1" x14ac:dyDescent="0.3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6"/>
      <c r="W16" s="97"/>
      <c r="X16" s="97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8"/>
    </row>
    <row r="17" spans="1:45" ht="30" customHeight="1" x14ac:dyDescent="0.3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6"/>
      <c r="W17" s="97"/>
      <c r="X17" s="97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8"/>
    </row>
    <row r="18" spans="1:45" ht="30" customHeight="1" x14ac:dyDescent="0.3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6"/>
      <c r="W18" s="97"/>
      <c r="X18" s="97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8"/>
    </row>
    <row r="19" spans="1:45" ht="30" customHeight="1" x14ac:dyDescent="0.3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 t="s">
        <v>94</v>
      </c>
      <c r="U19" s="95"/>
      <c r="V19" s="96"/>
      <c r="W19" s="97"/>
      <c r="X19" s="97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8"/>
    </row>
    <row r="20" spans="1:45" ht="30" customHeight="1" thickBot="1" x14ac:dyDescent="0.35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1"/>
      <c r="W20" s="102"/>
      <c r="X20" s="102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3"/>
    </row>
    <row r="21" spans="1:45" ht="30" customHeight="1" thickBot="1" x14ac:dyDescent="0.35">
      <c r="A21" s="528" t="s">
        <v>95</v>
      </c>
      <c r="B21" s="529"/>
      <c r="C21" s="529"/>
      <c r="D21" s="529"/>
      <c r="E21" s="529"/>
      <c r="F21" s="529"/>
      <c r="G21" s="529"/>
      <c r="H21" s="529"/>
      <c r="I21" s="529"/>
      <c r="J21" s="529"/>
      <c r="K21" s="529"/>
      <c r="L21" s="529"/>
      <c r="M21" s="529"/>
      <c r="N21" s="529"/>
      <c r="O21" s="529"/>
      <c r="P21" s="529" t="s">
        <v>96</v>
      </c>
      <c r="Q21" s="529"/>
      <c r="R21" s="529"/>
      <c r="S21" s="529"/>
      <c r="T21" s="529"/>
      <c r="U21" s="529"/>
      <c r="V21" s="529"/>
      <c r="W21" s="529"/>
      <c r="X21" s="529"/>
      <c r="Y21" s="529"/>
      <c r="Z21" s="529"/>
      <c r="AA21" s="529"/>
      <c r="AB21" s="529"/>
      <c r="AC21" s="529"/>
      <c r="AD21" s="529"/>
      <c r="AE21" s="529" t="s">
        <v>97</v>
      </c>
      <c r="AF21" s="529"/>
      <c r="AG21" s="529"/>
      <c r="AH21" s="529"/>
      <c r="AI21" s="529"/>
      <c r="AJ21" s="529"/>
      <c r="AK21" s="529"/>
      <c r="AL21" s="529"/>
      <c r="AM21" s="529"/>
      <c r="AN21" s="529"/>
      <c r="AO21" s="529"/>
      <c r="AP21" s="529"/>
      <c r="AQ21" s="529"/>
      <c r="AR21" s="529"/>
      <c r="AS21" s="530"/>
    </row>
    <row r="22" spans="1:45" ht="30" customHeight="1" x14ac:dyDescent="0.4">
      <c r="A22" s="520"/>
      <c r="B22" s="521"/>
      <c r="C22" s="521"/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1"/>
      <c r="O22" s="522"/>
      <c r="P22" s="520"/>
      <c r="Q22" s="521"/>
      <c r="R22" s="521"/>
      <c r="S22" s="521"/>
      <c r="T22" s="521"/>
      <c r="U22" s="521"/>
      <c r="V22" s="521"/>
      <c r="W22" s="521"/>
      <c r="X22" s="521"/>
      <c r="Y22" s="521"/>
      <c r="Z22" s="521"/>
      <c r="AA22" s="521"/>
      <c r="AB22" s="521"/>
      <c r="AC22" s="521"/>
      <c r="AD22" s="522"/>
      <c r="AE22" s="520"/>
      <c r="AF22" s="521"/>
      <c r="AG22" s="521"/>
      <c r="AH22" s="521"/>
      <c r="AI22" s="521"/>
      <c r="AJ22" s="521"/>
      <c r="AK22" s="521"/>
      <c r="AL22" s="521"/>
      <c r="AM22" s="521"/>
      <c r="AN22" s="521"/>
      <c r="AO22" s="521"/>
      <c r="AP22" s="521"/>
      <c r="AQ22" s="521"/>
      <c r="AR22" s="521"/>
      <c r="AS22" s="522"/>
    </row>
    <row r="23" spans="1:45" ht="30" customHeight="1" x14ac:dyDescent="0.4">
      <c r="A23" s="510" t="s">
        <v>250</v>
      </c>
      <c r="B23" s="511"/>
      <c r="C23" s="511"/>
      <c r="D23" s="511"/>
      <c r="E23" s="511"/>
      <c r="F23" s="511"/>
      <c r="G23" s="511"/>
      <c r="H23" s="511"/>
      <c r="I23" s="511"/>
      <c r="J23" s="511"/>
      <c r="K23" s="511"/>
      <c r="L23" s="511"/>
      <c r="M23" s="511"/>
      <c r="N23" s="511"/>
      <c r="O23" s="512"/>
      <c r="P23" s="510" t="s">
        <v>254</v>
      </c>
      <c r="Q23" s="511"/>
      <c r="R23" s="511"/>
      <c r="S23" s="511"/>
      <c r="T23" s="511"/>
      <c r="U23" s="511"/>
      <c r="V23" s="511"/>
      <c r="W23" s="511"/>
      <c r="X23" s="511"/>
      <c r="Y23" s="511"/>
      <c r="Z23" s="511"/>
      <c r="AA23" s="511"/>
      <c r="AB23" s="511"/>
      <c r="AC23" s="511"/>
      <c r="AD23" s="512"/>
      <c r="AE23" s="510" t="s">
        <v>260</v>
      </c>
      <c r="AF23" s="511"/>
      <c r="AG23" s="511"/>
      <c r="AH23" s="511"/>
      <c r="AI23" s="511"/>
      <c r="AJ23" s="511"/>
      <c r="AK23" s="511"/>
      <c r="AL23" s="511"/>
      <c r="AM23" s="511"/>
      <c r="AN23" s="511"/>
      <c r="AO23" s="511"/>
      <c r="AP23" s="511"/>
      <c r="AQ23" s="511"/>
      <c r="AR23" s="511"/>
      <c r="AS23" s="512"/>
    </row>
    <row r="24" spans="1:45" ht="30" customHeight="1" x14ac:dyDescent="0.4">
      <c r="A24" s="510" t="s">
        <v>251</v>
      </c>
      <c r="B24" s="511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2"/>
      <c r="P24" s="510" t="s">
        <v>255</v>
      </c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  <c r="AB24" s="511"/>
      <c r="AC24" s="511"/>
      <c r="AD24" s="512"/>
      <c r="AE24" s="510" t="s">
        <v>261</v>
      </c>
      <c r="AF24" s="511"/>
      <c r="AG24" s="511"/>
      <c r="AH24" s="511"/>
      <c r="AI24" s="511"/>
      <c r="AJ24" s="511"/>
      <c r="AK24" s="511"/>
      <c r="AL24" s="511"/>
      <c r="AM24" s="511"/>
      <c r="AN24" s="511"/>
      <c r="AO24" s="511"/>
      <c r="AP24" s="511"/>
      <c r="AQ24" s="511"/>
      <c r="AR24" s="511"/>
      <c r="AS24" s="512"/>
    </row>
    <row r="25" spans="1:45" ht="30" customHeight="1" x14ac:dyDescent="0.4">
      <c r="A25" s="510" t="s">
        <v>252</v>
      </c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2"/>
      <c r="P25" s="510" t="s">
        <v>256</v>
      </c>
      <c r="Q25" s="511"/>
      <c r="R25" s="511"/>
      <c r="S25" s="511"/>
      <c r="T25" s="511"/>
      <c r="U25" s="511"/>
      <c r="V25" s="511"/>
      <c r="W25" s="511"/>
      <c r="X25" s="511"/>
      <c r="Y25" s="511"/>
      <c r="Z25" s="511"/>
      <c r="AA25" s="511"/>
      <c r="AB25" s="511"/>
      <c r="AC25" s="511"/>
      <c r="AD25" s="512"/>
      <c r="AE25" s="510" t="s">
        <v>262</v>
      </c>
      <c r="AF25" s="511"/>
      <c r="AG25" s="511"/>
      <c r="AH25" s="511"/>
      <c r="AI25" s="511"/>
      <c r="AJ25" s="511"/>
      <c r="AK25" s="511"/>
      <c r="AL25" s="511"/>
      <c r="AM25" s="511"/>
      <c r="AN25" s="511"/>
      <c r="AO25" s="511"/>
      <c r="AP25" s="511"/>
      <c r="AQ25" s="511"/>
      <c r="AR25" s="511"/>
      <c r="AS25" s="512"/>
    </row>
    <row r="26" spans="1:45" ht="30" customHeight="1" x14ac:dyDescent="0.4">
      <c r="A26" s="510" t="s">
        <v>253</v>
      </c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2"/>
      <c r="P26" s="510"/>
      <c r="Q26" s="511"/>
      <c r="R26" s="511"/>
      <c r="S26" s="511"/>
      <c r="T26" s="511"/>
      <c r="U26" s="511"/>
      <c r="V26" s="511"/>
      <c r="W26" s="511"/>
      <c r="X26" s="511"/>
      <c r="Y26" s="511"/>
      <c r="Z26" s="511"/>
      <c r="AA26" s="511"/>
      <c r="AB26" s="511"/>
      <c r="AC26" s="511"/>
      <c r="AD26" s="512"/>
      <c r="AE26" s="510"/>
      <c r="AF26" s="511"/>
      <c r="AG26" s="511"/>
      <c r="AH26" s="511"/>
      <c r="AI26" s="511"/>
      <c r="AJ26" s="511"/>
      <c r="AK26" s="511"/>
      <c r="AL26" s="511"/>
      <c r="AM26" s="511"/>
      <c r="AN26" s="511"/>
      <c r="AO26" s="511"/>
      <c r="AP26" s="511"/>
      <c r="AQ26" s="511"/>
      <c r="AR26" s="511"/>
      <c r="AS26" s="512"/>
    </row>
    <row r="27" spans="1:45" ht="30" customHeight="1" x14ac:dyDescent="0.4">
      <c r="A27" s="510"/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1"/>
      <c r="N27" s="511"/>
      <c r="O27" s="512"/>
      <c r="P27" s="510"/>
      <c r="Q27" s="511"/>
      <c r="R27" s="511"/>
      <c r="S27" s="511"/>
      <c r="T27" s="511"/>
      <c r="U27" s="511"/>
      <c r="V27" s="511"/>
      <c r="W27" s="511"/>
      <c r="X27" s="511"/>
      <c r="Y27" s="511"/>
      <c r="Z27" s="511"/>
      <c r="AA27" s="511"/>
      <c r="AB27" s="511"/>
      <c r="AC27" s="511"/>
      <c r="AD27" s="512"/>
      <c r="AE27" s="510"/>
      <c r="AF27" s="511"/>
      <c r="AG27" s="511"/>
      <c r="AH27" s="511"/>
      <c r="AI27" s="511"/>
      <c r="AJ27" s="511"/>
      <c r="AK27" s="511"/>
      <c r="AL27" s="511"/>
      <c r="AM27" s="511"/>
      <c r="AN27" s="511"/>
      <c r="AO27" s="511"/>
      <c r="AP27" s="511"/>
      <c r="AQ27" s="511"/>
      <c r="AR27" s="511"/>
      <c r="AS27" s="512"/>
    </row>
    <row r="28" spans="1:45" ht="30" customHeight="1" x14ac:dyDescent="0.4">
      <c r="A28" s="510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2"/>
      <c r="P28" s="510"/>
      <c r="Q28" s="511"/>
      <c r="R28" s="511"/>
      <c r="S28" s="511"/>
      <c r="T28" s="511"/>
      <c r="U28" s="511"/>
      <c r="V28" s="511"/>
      <c r="W28" s="511"/>
      <c r="X28" s="511"/>
      <c r="Y28" s="511"/>
      <c r="Z28" s="511"/>
      <c r="AA28" s="511"/>
      <c r="AB28" s="511"/>
      <c r="AC28" s="511"/>
      <c r="AD28" s="512"/>
      <c r="AE28" s="510"/>
      <c r="AF28" s="511"/>
      <c r="AG28" s="511"/>
      <c r="AH28" s="511"/>
      <c r="AI28" s="511"/>
      <c r="AJ28" s="511"/>
      <c r="AK28" s="511"/>
      <c r="AL28" s="511"/>
      <c r="AM28" s="511"/>
      <c r="AN28" s="511"/>
      <c r="AO28" s="511"/>
      <c r="AP28" s="511"/>
      <c r="AQ28" s="511"/>
      <c r="AR28" s="511"/>
      <c r="AS28" s="512"/>
    </row>
    <row r="29" spans="1:45" ht="30" customHeight="1" thickBot="1" x14ac:dyDescent="0.45">
      <c r="A29" s="516"/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518"/>
      <c r="N29" s="518"/>
      <c r="O29" s="519"/>
      <c r="P29" s="510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  <c r="AC29" s="511"/>
      <c r="AD29" s="512"/>
      <c r="AE29" s="510"/>
      <c r="AF29" s="511"/>
      <c r="AG29" s="511"/>
      <c r="AH29" s="511"/>
      <c r="AI29" s="511"/>
      <c r="AJ29" s="511"/>
      <c r="AK29" s="511"/>
      <c r="AL29" s="511"/>
      <c r="AM29" s="511"/>
      <c r="AN29" s="511"/>
      <c r="AO29" s="511"/>
      <c r="AP29" s="511"/>
      <c r="AQ29" s="511"/>
      <c r="AR29" s="511"/>
      <c r="AS29" s="512"/>
    </row>
    <row r="30" spans="1:45" ht="30" customHeight="1" x14ac:dyDescent="0.4">
      <c r="A30" s="504"/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506"/>
      <c r="M30" s="507" t="s">
        <v>98</v>
      </c>
      <c r="N30" s="508"/>
      <c r="O30" s="509"/>
      <c r="P30" s="510"/>
      <c r="Q30" s="511"/>
      <c r="R30" s="511"/>
      <c r="S30" s="511"/>
      <c r="T30" s="511"/>
      <c r="U30" s="511"/>
      <c r="V30" s="511"/>
      <c r="W30" s="511"/>
      <c r="X30" s="511"/>
      <c r="Y30" s="511"/>
      <c r="Z30" s="511"/>
      <c r="AA30" s="512"/>
      <c r="AB30" s="507" t="s">
        <v>99</v>
      </c>
      <c r="AC30" s="508"/>
      <c r="AD30" s="509"/>
      <c r="AE30" s="510"/>
      <c r="AF30" s="511"/>
      <c r="AG30" s="511"/>
      <c r="AH30" s="511"/>
      <c r="AI30" s="511"/>
      <c r="AJ30" s="511"/>
      <c r="AK30" s="511"/>
      <c r="AL30" s="511"/>
      <c r="AM30" s="511"/>
      <c r="AN30" s="511"/>
      <c r="AO30" s="511"/>
      <c r="AP30" s="512"/>
      <c r="AQ30" s="507" t="s">
        <v>100</v>
      </c>
      <c r="AR30" s="508"/>
      <c r="AS30" s="509"/>
    </row>
    <row r="31" spans="1:45" ht="30" customHeight="1" thickBot="1" x14ac:dyDescent="0.55000000000000004">
      <c r="A31" s="501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3"/>
      <c r="M31" s="501" t="s">
        <v>263</v>
      </c>
      <c r="N31" s="502"/>
      <c r="O31" s="503"/>
      <c r="P31" s="513"/>
      <c r="Q31" s="514"/>
      <c r="R31" s="514"/>
      <c r="S31" s="514"/>
      <c r="T31" s="514"/>
      <c r="U31" s="514"/>
      <c r="V31" s="514"/>
      <c r="W31" s="514"/>
      <c r="X31" s="514"/>
      <c r="Y31" s="514"/>
      <c r="Z31" s="514"/>
      <c r="AA31" s="515"/>
      <c r="AB31" s="501" t="s">
        <v>264</v>
      </c>
      <c r="AC31" s="502"/>
      <c r="AD31" s="503"/>
      <c r="AE31" s="513"/>
      <c r="AF31" s="514"/>
      <c r="AG31" s="514"/>
      <c r="AH31" s="514"/>
      <c r="AI31" s="514"/>
      <c r="AJ31" s="514"/>
      <c r="AK31" s="514"/>
      <c r="AL31" s="514"/>
      <c r="AM31" s="514"/>
      <c r="AN31" s="514"/>
      <c r="AO31" s="514"/>
      <c r="AP31" s="515"/>
      <c r="AQ31" s="501" t="s">
        <v>264</v>
      </c>
      <c r="AR31" s="502"/>
      <c r="AS31" s="503"/>
    </row>
  </sheetData>
  <mergeCells count="58">
    <mergeCell ref="A1:G2"/>
    <mergeCell ref="H1:AS2"/>
    <mergeCell ref="A3:E3"/>
    <mergeCell ref="F3:N3"/>
    <mergeCell ref="O3:S3"/>
    <mergeCell ref="T3:AB3"/>
    <mergeCell ref="AC3:AG3"/>
    <mergeCell ref="AH3:AQ3"/>
    <mergeCell ref="AR3:AS3"/>
    <mergeCell ref="AR4:AS4"/>
    <mergeCell ref="A5:N5"/>
    <mergeCell ref="O5:AB5"/>
    <mergeCell ref="AC5:AS5"/>
    <mergeCell ref="A21:O21"/>
    <mergeCell ref="P21:AD21"/>
    <mergeCell ref="AE21:AS21"/>
    <mergeCell ref="A4:E4"/>
    <mergeCell ref="F4:N4"/>
    <mergeCell ref="O4:S4"/>
    <mergeCell ref="T4:AB4"/>
    <mergeCell ref="AC4:AG4"/>
    <mergeCell ref="AH4:AQ4"/>
    <mergeCell ref="A22:O22"/>
    <mergeCell ref="P22:AD22"/>
    <mergeCell ref="AE22:AS22"/>
    <mergeCell ref="A23:O23"/>
    <mergeCell ref="P23:AD23"/>
    <mergeCell ref="AE23:AS23"/>
    <mergeCell ref="A24:O24"/>
    <mergeCell ref="P24:AD24"/>
    <mergeCell ref="AE24:AS24"/>
    <mergeCell ref="A25:O25"/>
    <mergeCell ref="P25:AD25"/>
    <mergeCell ref="AE25:AS25"/>
    <mergeCell ref="A26:O26"/>
    <mergeCell ref="P26:AD26"/>
    <mergeCell ref="AE26:AS26"/>
    <mergeCell ref="A27:O27"/>
    <mergeCell ref="P27:AD27"/>
    <mergeCell ref="AE27:AS27"/>
    <mergeCell ref="A28:O28"/>
    <mergeCell ref="P28:AD28"/>
    <mergeCell ref="AE28:AS28"/>
    <mergeCell ref="A29:O29"/>
    <mergeCell ref="P29:AD29"/>
    <mergeCell ref="AE29:AS29"/>
    <mergeCell ref="AQ31:AS31"/>
    <mergeCell ref="A30:L30"/>
    <mergeCell ref="M30:O30"/>
    <mergeCell ref="P30:AA30"/>
    <mergeCell ref="AB30:AD30"/>
    <mergeCell ref="AE30:AP30"/>
    <mergeCell ref="AQ30:AS30"/>
    <mergeCell ref="A31:L31"/>
    <mergeCell ref="M31:O31"/>
    <mergeCell ref="P31:AA31"/>
    <mergeCell ref="AB31:AD31"/>
    <mergeCell ref="AE31:AP31"/>
  </mergeCells>
  <pageMargins left="0.7" right="0.7" top="0.75" bottom="0.75" header="0.3" footer="0.3"/>
  <pageSetup paperSize="9" scale="3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B3CF-295A-4581-A083-547D06A9993D}">
  <dimension ref="A1:H19"/>
  <sheetViews>
    <sheetView workbookViewId="0">
      <selection activeCell="B12" sqref="B12:C12"/>
    </sheetView>
  </sheetViews>
  <sheetFormatPr defaultRowHeight="14.4" x14ac:dyDescent="0.3"/>
  <cols>
    <col min="1" max="1" width="3.109375" bestFit="1" customWidth="1"/>
    <col min="2" max="3" width="32.109375" customWidth="1"/>
    <col min="4" max="4" width="38" customWidth="1"/>
    <col min="8" max="8" width="15" customWidth="1"/>
  </cols>
  <sheetData>
    <row r="1" spans="1:8" ht="15" customHeight="1" x14ac:dyDescent="0.3">
      <c r="A1" s="554"/>
      <c r="B1" s="554"/>
      <c r="C1" s="556" t="s">
        <v>120</v>
      </c>
      <c r="D1" s="556"/>
      <c r="E1" s="556"/>
      <c r="F1" s="556"/>
      <c r="G1" s="556"/>
      <c r="H1" s="556"/>
    </row>
    <row r="2" spans="1:8" ht="15" customHeight="1" x14ac:dyDescent="0.3">
      <c r="A2" s="555"/>
      <c r="B2" s="555"/>
      <c r="C2" s="557"/>
      <c r="D2" s="557"/>
      <c r="E2" s="557"/>
      <c r="F2" s="557"/>
      <c r="G2" s="557"/>
      <c r="H2" s="557"/>
    </row>
    <row r="3" spans="1:8" ht="30" customHeight="1" x14ac:dyDescent="0.3">
      <c r="A3" s="558" t="s">
        <v>87</v>
      </c>
      <c r="B3" s="559"/>
      <c r="C3" s="560" t="s">
        <v>257</v>
      </c>
      <c r="D3" s="561"/>
      <c r="E3" s="561"/>
      <c r="F3" s="561"/>
      <c r="G3" s="561"/>
      <c r="H3" s="562"/>
    </row>
    <row r="4" spans="1:8" ht="30" customHeight="1" x14ac:dyDescent="0.3">
      <c r="A4" s="558" t="s">
        <v>29</v>
      </c>
      <c r="B4" s="559"/>
      <c r="C4" s="560" t="s">
        <v>265</v>
      </c>
      <c r="D4" s="561"/>
      <c r="E4" s="561"/>
      <c r="F4" s="561"/>
      <c r="G4" s="561"/>
      <c r="H4" s="562"/>
    </row>
    <row r="5" spans="1:8" x14ac:dyDescent="0.3">
      <c r="A5" s="548" t="s">
        <v>20</v>
      </c>
      <c r="B5" s="563" t="s">
        <v>95</v>
      </c>
      <c r="C5" s="564"/>
      <c r="D5" s="548" t="s">
        <v>266</v>
      </c>
      <c r="E5" s="548" t="s">
        <v>267</v>
      </c>
      <c r="F5" s="548"/>
      <c r="G5" s="548"/>
      <c r="H5" s="567" t="s">
        <v>121</v>
      </c>
    </row>
    <row r="6" spans="1:8" x14ac:dyDescent="0.3">
      <c r="A6" s="548"/>
      <c r="B6" s="565"/>
      <c r="C6" s="566"/>
      <c r="D6" s="548"/>
      <c r="E6" s="138" t="s">
        <v>98</v>
      </c>
      <c r="F6" s="138" t="s">
        <v>122</v>
      </c>
      <c r="G6" s="138" t="s">
        <v>123</v>
      </c>
      <c r="H6" s="567"/>
    </row>
    <row r="7" spans="1:8" ht="70.5" customHeight="1" x14ac:dyDescent="0.3">
      <c r="A7" s="139">
        <v>1</v>
      </c>
      <c r="B7" s="552" t="s">
        <v>268</v>
      </c>
      <c r="C7" s="553"/>
      <c r="D7" s="167" t="s">
        <v>269</v>
      </c>
      <c r="E7" s="139">
        <v>10</v>
      </c>
      <c r="F7" s="139">
        <v>0</v>
      </c>
      <c r="G7" s="139">
        <v>0</v>
      </c>
      <c r="H7" s="139" t="s">
        <v>134</v>
      </c>
    </row>
    <row r="8" spans="1:8" ht="28.8" x14ac:dyDescent="0.3">
      <c r="A8" s="139">
        <v>2</v>
      </c>
      <c r="B8" s="552" t="s">
        <v>270</v>
      </c>
      <c r="C8" s="553"/>
      <c r="D8" s="167" t="s">
        <v>271</v>
      </c>
      <c r="E8" s="139">
        <v>5</v>
      </c>
      <c r="F8" s="139">
        <v>0</v>
      </c>
      <c r="G8" s="139">
        <v>0</v>
      </c>
      <c r="H8" s="139" t="s">
        <v>134</v>
      </c>
    </row>
    <row r="9" spans="1:8" ht="57.6" x14ac:dyDescent="0.3">
      <c r="A9" s="139">
        <v>3</v>
      </c>
      <c r="B9" s="552" t="s">
        <v>272</v>
      </c>
      <c r="C9" s="553"/>
      <c r="D9" s="167" t="s">
        <v>273</v>
      </c>
      <c r="E9" s="139">
        <v>3</v>
      </c>
      <c r="F9" s="139">
        <v>0</v>
      </c>
      <c r="G9" s="139">
        <v>0</v>
      </c>
      <c r="H9" s="139" t="s">
        <v>134</v>
      </c>
    </row>
    <row r="10" spans="1:8" ht="30" customHeight="1" x14ac:dyDescent="0.3">
      <c r="A10" s="139">
        <v>4</v>
      </c>
      <c r="B10" s="550"/>
      <c r="C10" s="551"/>
      <c r="D10" s="139"/>
      <c r="E10" s="139"/>
      <c r="F10" s="139"/>
      <c r="G10" s="139"/>
      <c r="H10" s="139"/>
    </row>
    <row r="11" spans="1:8" ht="30" customHeight="1" x14ac:dyDescent="0.3">
      <c r="A11" s="139">
        <v>5</v>
      </c>
      <c r="B11" s="550"/>
      <c r="C11" s="551"/>
      <c r="D11" s="139"/>
      <c r="E11" s="139"/>
      <c r="F11" s="139"/>
      <c r="G11" s="139"/>
      <c r="H11" s="139"/>
    </row>
    <row r="12" spans="1:8" ht="30" customHeight="1" x14ac:dyDescent="0.3">
      <c r="A12" s="139">
        <v>6</v>
      </c>
      <c r="B12" s="550"/>
      <c r="C12" s="551"/>
      <c r="D12" s="139"/>
      <c r="E12" s="139"/>
      <c r="F12" s="139"/>
      <c r="G12" s="139"/>
      <c r="H12" s="139"/>
    </row>
    <row r="13" spans="1:8" ht="30" customHeight="1" x14ac:dyDescent="0.3">
      <c r="A13" s="139">
        <v>7</v>
      </c>
      <c r="B13" s="550"/>
      <c r="C13" s="551"/>
      <c r="D13" s="139"/>
      <c r="E13" s="139"/>
      <c r="F13" s="139"/>
      <c r="G13" s="139"/>
      <c r="H13" s="139"/>
    </row>
    <row r="14" spans="1:8" ht="30" customHeight="1" x14ac:dyDescent="0.3">
      <c r="A14" s="139">
        <v>8</v>
      </c>
      <c r="B14" s="550"/>
      <c r="C14" s="551"/>
      <c r="D14" s="139"/>
      <c r="E14" s="139"/>
      <c r="F14" s="139"/>
      <c r="G14" s="139"/>
      <c r="H14" s="139"/>
    </row>
    <row r="15" spans="1:8" ht="30" customHeight="1" x14ac:dyDescent="0.3">
      <c r="A15" s="139">
        <v>9</v>
      </c>
      <c r="B15" s="550"/>
      <c r="C15" s="551"/>
      <c r="D15" s="139"/>
      <c r="E15" s="139"/>
      <c r="F15" s="139"/>
      <c r="G15" s="139"/>
      <c r="H15" s="139"/>
    </row>
    <row r="16" spans="1:8" x14ac:dyDescent="0.3">
      <c r="A16" s="139">
        <v>10</v>
      </c>
      <c r="B16" s="550"/>
      <c r="C16" s="551"/>
      <c r="D16" s="139"/>
      <c r="E16" s="139"/>
      <c r="F16" s="139"/>
      <c r="G16" s="139"/>
      <c r="H16" s="139"/>
    </row>
    <row r="17" spans="1:8" x14ac:dyDescent="0.3">
      <c r="A17" s="139">
        <v>11</v>
      </c>
      <c r="B17" s="550"/>
      <c r="C17" s="551"/>
      <c r="D17" s="139"/>
      <c r="E17" s="139"/>
      <c r="F17" s="139"/>
      <c r="G17" s="139"/>
      <c r="H17" s="139"/>
    </row>
    <row r="18" spans="1:8" x14ac:dyDescent="0.3">
      <c r="A18" s="139">
        <v>12</v>
      </c>
      <c r="B18" s="550"/>
      <c r="C18" s="551"/>
      <c r="D18" s="139"/>
      <c r="E18" s="139"/>
      <c r="F18" s="139"/>
      <c r="G18" s="139"/>
      <c r="H18" s="139"/>
    </row>
    <row r="19" spans="1:8" x14ac:dyDescent="0.3">
      <c r="A19" s="139">
        <v>13</v>
      </c>
      <c r="B19" s="550"/>
      <c r="C19" s="551"/>
      <c r="D19" s="139"/>
      <c r="E19" s="139"/>
      <c r="F19" s="139"/>
      <c r="G19" s="139"/>
      <c r="H19" s="139"/>
    </row>
  </sheetData>
  <mergeCells count="24">
    <mergeCell ref="B7:C7"/>
    <mergeCell ref="A1:B2"/>
    <mergeCell ref="C1:H2"/>
    <mergeCell ref="A3:B3"/>
    <mergeCell ref="C3:H3"/>
    <mergeCell ref="A4:B4"/>
    <mergeCell ref="C4:H4"/>
    <mergeCell ref="A5:A6"/>
    <mergeCell ref="B5:C6"/>
    <mergeCell ref="D5:D6"/>
    <mergeCell ref="E5:G5"/>
    <mergeCell ref="H5:H6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F932-85E9-4DAD-997D-AF03B371FD45}">
  <sheetPr>
    <pageSetUpPr fitToPage="1"/>
  </sheetPr>
  <dimension ref="A1:P17"/>
  <sheetViews>
    <sheetView topLeftCell="A3" zoomScale="55" zoomScaleNormal="55" workbookViewId="0">
      <selection activeCell="B14" sqref="B14:C14"/>
    </sheetView>
  </sheetViews>
  <sheetFormatPr defaultColWidth="9.109375" defaultRowHeight="18" x14ac:dyDescent="0.35"/>
  <cols>
    <col min="1" max="1" width="4" style="110" customWidth="1"/>
    <col min="2" max="3" width="26" style="104" customWidth="1"/>
    <col min="4" max="4" width="14.44140625" style="104" customWidth="1"/>
    <col min="5" max="5" width="12.88671875" style="104" customWidth="1"/>
    <col min="6" max="6" width="26.109375" style="104" customWidth="1"/>
    <col min="7" max="7" width="30.88671875" style="104" customWidth="1"/>
    <col min="8" max="8" width="12.44140625" style="110" customWidth="1"/>
    <col min="9" max="9" width="29.5546875" style="104" customWidth="1"/>
    <col min="10" max="10" width="52.44140625" style="104" customWidth="1"/>
    <col min="11" max="16384" width="9.109375" style="104"/>
  </cols>
  <sheetData>
    <row r="1" spans="1:16" ht="18.75" customHeight="1" x14ac:dyDescent="0.35">
      <c r="C1" s="599" t="s">
        <v>101</v>
      </c>
      <c r="D1" s="599"/>
      <c r="E1" s="599"/>
      <c r="F1" s="599"/>
      <c r="G1" s="599"/>
      <c r="H1" s="599"/>
      <c r="I1" s="599"/>
      <c r="J1" s="599"/>
    </row>
    <row r="2" spans="1:16" ht="33" customHeight="1" x14ac:dyDescent="0.35">
      <c r="A2" s="111"/>
      <c r="B2" s="111"/>
      <c r="C2" s="599"/>
      <c r="D2" s="599"/>
      <c r="E2" s="599"/>
      <c r="F2" s="599"/>
      <c r="G2" s="599"/>
      <c r="H2" s="599"/>
      <c r="I2" s="599"/>
      <c r="J2" s="599"/>
    </row>
    <row r="3" spans="1:16" x14ac:dyDescent="0.35">
      <c r="A3" s="578" t="s">
        <v>102</v>
      </c>
      <c r="B3" s="578"/>
      <c r="C3" s="579"/>
      <c r="D3" s="580"/>
      <c r="E3" s="581"/>
      <c r="F3" s="140"/>
      <c r="G3" s="105"/>
      <c r="H3" s="141"/>
      <c r="I3" s="105"/>
      <c r="J3" s="105" t="s">
        <v>103</v>
      </c>
    </row>
    <row r="4" spans="1:16" x14ac:dyDescent="0.35">
      <c r="A4" s="578" t="s">
        <v>48</v>
      </c>
      <c r="B4" s="578"/>
      <c r="C4" s="579" t="s">
        <v>257</v>
      </c>
      <c r="D4" s="580"/>
      <c r="E4" s="581"/>
      <c r="F4" s="140"/>
      <c r="G4" s="105"/>
      <c r="H4" s="141"/>
      <c r="I4" s="105"/>
      <c r="J4" s="105" t="s">
        <v>104</v>
      </c>
    </row>
    <row r="5" spans="1:16" x14ac:dyDescent="0.35">
      <c r="A5" s="578" t="s">
        <v>29</v>
      </c>
      <c r="B5" s="578"/>
      <c r="C5" s="579" t="s">
        <v>274</v>
      </c>
      <c r="D5" s="580"/>
      <c r="E5" s="581"/>
      <c r="F5" s="140"/>
      <c r="G5" s="105"/>
      <c r="H5" s="141"/>
      <c r="I5" s="105"/>
      <c r="J5" s="105"/>
    </row>
    <row r="6" spans="1:16" x14ac:dyDescent="0.35">
      <c r="A6" s="578" t="s">
        <v>105</v>
      </c>
      <c r="B6" s="578"/>
      <c r="C6" s="579">
        <v>1</v>
      </c>
      <c r="D6" s="580"/>
      <c r="E6" s="581"/>
      <c r="F6" s="140"/>
      <c r="G6" s="105"/>
      <c r="H6" s="141"/>
      <c r="I6" s="105"/>
      <c r="J6" s="105" t="s">
        <v>106</v>
      </c>
    </row>
    <row r="7" spans="1:16" x14ac:dyDescent="0.35">
      <c r="A7" s="141"/>
      <c r="B7" s="105"/>
      <c r="C7" s="105"/>
      <c r="D7" s="105"/>
      <c r="E7" s="105"/>
      <c r="F7" s="105"/>
      <c r="G7" s="105"/>
      <c r="H7" s="141"/>
      <c r="I7" s="105"/>
      <c r="J7" s="105"/>
    </row>
    <row r="8" spans="1:16" ht="18.75" customHeight="1" x14ac:dyDescent="0.35">
      <c r="A8" s="582" t="s">
        <v>107</v>
      </c>
      <c r="B8" s="583"/>
      <c r="C8" s="584"/>
      <c r="D8" s="142"/>
      <c r="E8" s="582" t="s">
        <v>108</v>
      </c>
      <c r="F8" s="584"/>
      <c r="G8" s="142" t="s">
        <v>109</v>
      </c>
      <c r="H8" s="585" t="s">
        <v>113</v>
      </c>
      <c r="I8" s="582" t="s">
        <v>110</v>
      </c>
      <c r="J8" s="584"/>
    </row>
    <row r="9" spans="1:16" x14ac:dyDescent="0.35">
      <c r="A9" s="106" t="s">
        <v>111</v>
      </c>
      <c r="B9" s="590" t="s">
        <v>275</v>
      </c>
      <c r="C9" s="591"/>
      <c r="D9" s="143" t="s">
        <v>112</v>
      </c>
      <c r="E9" s="588" t="s">
        <v>276</v>
      </c>
      <c r="F9" s="589"/>
      <c r="G9" s="144"/>
      <c r="H9" s="586"/>
      <c r="I9" s="592"/>
      <c r="J9" s="593"/>
    </row>
    <row r="10" spans="1:16" x14ac:dyDescent="0.35">
      <c r="A10" s="106" t="s">
        <v>114</v>
      </c>
      <c r="B10" s="590" t="s">
        <v>277</v>
      </c>
      <c r="C10" s="591"/>
      <c r="D10" s="143" t="s">
        <v>115</v>
      </c>
      <c r="E10" s="588" t="s">
        <v>134</v>
      </c>
      <c r="F10" s="589"/>
      <c r="G10" s="144"/>
      <c r="H10" s="586"/>
      <c r="I10" s="594"/>
      <c r="J10" s="595"/>
    </row>
    <row r="11" spans="1:16" x14ac:dyDescent="0.35">
      <c r="A11" s="106" t="s">
        <v>116</v>
      </c>
      <c r="B11" s="590"/>
      <c r="C11" s="591"/>
      <c r="D11" s="143" t="s">
        <v>117</v>
      </c>
      <c r="E11" s="588"/>
      <c r="F11" s="589"/>
      <c r="G11" s="144"/>
      <c r="H11" s="587"/>
      <c r="I11" s="594"/>
      <c r="J11" s="595"/>
    </row>
    <row r="12" spans="1:16" x14ac:dyDescent="0.35">
      <c r="A12" s="106" t="s">
        <v>124</v>
      </c>
      <c r="B12" s="160"/>
      <c r="C12" s="161"/>
      <c r="D12" s="143" t="s">
        <v>53</v>
      </c>
      <c r="E12" s="598">
        <v>44438</v>
      </c>
      <c r="F12" s="589"/>
      <c r="G12" s="144"/>
      <c r="H12" s="145"/>
      <c r="I12" s="596"/>
      <c r="J12" s="597"/>
    </row>
    <row r="13" spans="1:16" ht="80.099999999999994" customHeight="1" x14ac:dyDescent="0.35">
      <c r="A13" s="112" t="s">
        <v>20</v>
      </c>
      <c r="B13" s="575" t="s">
        <v>127</v>
      </c>
      <c r="C13" s="576"/>
      <c r="D13" s="575" t="s">
        <v>278</v>
      </c>
      <c r="E13" s="577"/>
      <c r="F13" s="576"/>
      <c r="G13" s="146" t="s">
        <v>125</v>
      </c>
      <c r="H13" s="112" t="s">
        <v>118</v>
      </c>
      <c r="I13" s="575" t="s">
        <v>126</v>
      </c>
      <c r="J13" s="576"/>
      <c r="K13" s="168"/>
      <c r="L13" s="168"/>
      <c r="M13" s="168"/>
      <c r="N13" s="168"/>
      <c r="O13" s="168"/>
      <c r="P13" s="168"/>
    </row>
    <row r="14" spans="1:16" ht="214.5" customHeight="1" x14ac:dyDescent="0.35">
      <c r="A14" s="107" t="s">
        <v>193</v>
      </c>
      <c r="B14" s="568" t="s">
        <v>279</v>
      </c>
      <c r="C14" s="569"/>
      <c r="D14" s="570" t="s">
        <v>280</v>
      </c>
      <c r="E14" s="571"/>
      <c r="F14" s="572"/>
      <c r="G14" s="108" t="s">
        <v>281</v>
      </c>
      <c r="H14" s="109">
        <v>1</v>
      </c>
      <c r="I14" s="573"/>
      <c r="J14" s="574"/>
    </row>
    <row r="15" spans="1:16" ht="148.5" customHeight="1" x14ac:dyDescent="0.35">
      <c r="A15" s="107" t="s">
        <v>200</v>
      </c>
      <c r="B15" s="568" t="s">
        <v>282</v>
      </c>
      <c r="C15" s="569"/>
      <c r="D15" s="570" t="s">
        <v>283</v>
      </c>
      <c r="E15" s="571"/>
      <c r="F15" s="572"/>
      <c r="G15" s="108" t="s">
        <v>284</v>
      </c>
      <c r="H15" s="109">
        <v>6</v>
      </c>
      <c r="I15" s="573"/>
      <c r="J15" s="574"/>
    </row>
    <row r="16" spans="1:16" ht="199.5" customHeight="1" x14ac:dyDescent="0.35">
      <c r="A16" s="107">
        <v>3</v>
      </c>
      <c r="B16" s="568" t="s">
        <v>285</v>
      </c>
      <c r="C16" s="569"/>
      <c r="D16" s="570" t="s">
        <v>286</v>
      </c>
      <c r="E16" s="571"/>
      <c r="F16" s="572"/>
      <c r="G16" s="108" t="s">
        <v>287</v>
      </c>
      <c r="H16" s="109">
        <v>9</v>
      </c>
      <c r="I16" s="573"/>
      <c r="J16" s="574"/>
    </row>
    <row r="17" spans="1:10" ht="227.1" customHeight="1" x14ac:dyDescent="0.35">
      <c r="A17" s="107">
        <v>4</v>
      </c>
      <c r="B17" s="568" t="s">
        <v>288</v>
      </c>
      <c r="C17" s="569"/>
      <c r="D17" s="570" t="s">
        <v>289</v>
      </c>
      <c r="E17" s="571"/>
      <c r="F17" s="572"/>
      <c r="G17" s="108" t="s">
        <v>290</v>
      </c>
      <c r="H17" s="109">
        <v>12</v>
      </c>
      <c r="I17" s="573"/>
      <c r="J17" s="574"/>
    </row>
  </sheetData>
  <mergeCells count="36">
    <mergeCell ref="A5:B5"/>
    <mergeCell ref="C5:E5"/>
    <mergeCell ref="C1:J2"/>
    <mergeCell ref="A3:B3"/>
    <mergeCell ref="C3:E3"/>
    <mergeCell ref="A4:B4"/>
    <mergeCell ref="C4:E4"/>
    <mergeCell ref="I8:J8"/>
    <mergeCell ref="B9:C9"/>
    <mergeCell ref="E9:F9"/>
    <mergeCell ref="I9:J12"/>
    <mergeCell ref="B10:C10"/>
    <mergeCell ref="E12:F12"/>
    <mergeCell ref="A6:B6"/>
    <mergeCell ref="C6:E6"/>
    <mergeCell ref="A8:C8"/>
    <mergeCell ref="E8:F8"/>
    <mergeCell ref="H8:H11"/>
    <mergeCell ref="E10:F10"/>
    <mergeCell ref="B11:C11"/>
    <mergeCell ref="E11:F11"/>
    <mergeCell ref="B13:C13"/>
    <mergeCell ref="D13:F13"/>
    <mergeCell ref="I13:J13"/>
    <mergeCell ref="B14:C14"/>
    <mergeCell ref="D14:F14"/>
    <mergeCell ref="I14:J14"/>
    <mergeCell ref="B17:C17"/>
    <mergeCell ref="D17:F17"/>
    <mergeCell ref="I17:J17"/>
    <mergeCell ref="B15:C15"/>
    <mergeCell ref="D15:F15"/>
    <mergeCell ref="I15:J15"/>
    <mergeCell ref="B16:C16"/>
    <mergeCell ref="D16:F16"/>
    <mergeCell ref="I16:J16"/>
  </mergeCells>
  <pageMargins left="0.25" right="0.25" top="0.75" bottom="0.75" header="0.3" footer="0.3"/>
  <pageSetup paperSize="9" scale="42" fitToHeight="0" orientation="portrait" r:id="rId1"/>
  <headerFooter>
    <oddFooter>&amp;CЕСЛИ ВАМ ИЗВЕСТНЫ БОЛЕЕ БЕЗОПАСНЫЕ / ЭФФЕКТИВНЫЕ МЕТОДЫ РАБОТЫ, ПОЖАЛУЙСТА, СООБЩИТЕ РАЗРАБОТЧИКУ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9</vt:i4>
      </vt:variant>
    </vt:vector>
  </HeadingPairs>
  <TitlesOfParts>
    <vt:vector size="21" baseType="lpstr">
      <vt:lpstr>Время такта</vt:lpstr>
      <vt:lpstr>Лист наблюдений</vt:lpstr>
      <vt:lpstr>Карта СР </vt:lpstr>
      <vt:lpstr>Ручная работа</vt:lpstr>
      <vt:lpstr>Периодическая работа</vt:lpstr>
      <vt:lpstr>Производственная способность</vt:lpstr>
      <vt:lpstr>Объедененная таблица </vt:lpstr>
      <vt:lpstr>Диаграмма</vt:lpstr>
      <vt:lpstr>t ср.вз.</vt:lpstr>
      <vt:lpstr>Отчет об улучшении</vt:lpstr>
      <vt:lpstr>Общий список улучшений</vt:lpstr>
      <vt:lpstr>СОП</vt:lpstr>
      <vt:lpstr>Время_такта</vt:lpstr>
      <vt:lpstr>Диаграмма!Область_печати</vt:lpstr>
      <vt:lpstr>'Карта СР '!Область_печати</vt:lpstr>
      <vt:lpstr>'Лист наблюдений'!Область_печати</vt:lpstr>
      <vt:lpstr>'Периодическая работа'!Область_печати</vt:lpstr>
      <vt:lpstr>'Производственная способность'!Область_печати</vt:lpstr>
      <vt:lpstr>'Ручная работа'!Область_печати</vt:lpstr>
      <vt:lpstr>СОП!Область_печати</vt:lpstr>
      <vt:lpstr>ФРВ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Сеслюков Евгений Владимирович</cp:lastModifiedBy>
  <dcterms:created xsi:type="dcterms:W3CDTF">2021-04-16T10:02:03Z</dcterms:created>
  <dcterms:modified xsi:type="dcterms:W3CDTF">2022-12-12T14:09:50Z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WorkbookGuid">
    <vt:lpwstr>25882deb-845a-4ff4-a4d5-d0b180edf52e</vt:lpwstr>
  </property>
</Properties>
</file>