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NGoryunov\Desktop\"/>
    </mc:Choice>
  </mc:AlternateContent>
  <xr:revisionPtr revIDLastSave="0" documentId="13_ncr:1_{CD114415-EFA5-489A-8BFD-395FA5485B6F}" xr6:coauthVersionLast="47" xr6:coauthVersionMax="47" xr10:uidLastSave="{00000000-0000-0000-0000-000000000000}"/>
  <bookViews>
    <workbookView xWindow="-110" yWindow="-110" windowWidth="18490" windowHeight="11020" firstSheet="1" activeTab="4" xr2:uid="{A157992D-BF28-4CE9-837D-CF54037A7166}"/>
  </bookViews>
  <sheets>
    <sheet name="Время такта" sheetId="1" r:id="rId1"/>
    <sheet name="Лист наблюдений" sheetId="3" r:id="rId2"/>
    <sheet name="Карта СР " sheetId="4" r:id="rId3"/>
    <sheet name="Ручная работа " sheetId="16" r:id="rId4"/>
    <sheet name="Периодическая работа" sheetId="7" r:id="rId5"/>
    <sheet name="Производственная способность" sheetId="10" r:id="rId6"/>
    <sheet name="Объедененная таблица (1 опер)" sheetId="17" r:id="rId7"/>
    <sheet name="Диаграмма" sheetId="9" r:id="rId8"/>
    <sheet name="Отчет об улучшении" sheetId="11" r:id="rId9"/>
    <sheet name="Общий список улучшений" sheetId="14" r:id="rId10"/>
    <sheet name="СОП " sheetId="15" r:id="rId11"/>
  </sheets>
  <externalReferences>
    <externalReference r:id="rId12"/>
  </externalReferences>
  <definedNames>
    <definedName name="Время_такта" localSheetId="1">'[1]Время такта'!$T$13</definedName>
    <definedName name="Время_такта">'Время такта'!$AS$8</definedName>
    <definedName name="_xlnm.Print_Area" localSheetId="7">Диаграмма!$A$1:$BK$150</definedName>
    <definedName name="_xlnm.Print_Area" localSheetId="1">'Лист наблюдений'!$A$1:$AE$18</definedName>
    <definedName name="_xlnm.Print_Area" localSheetId="4">'Периодическая работа'!$A$1:$Q$20</definedName>
    <definedName name="_xlnm.Print_Area" localSheetId="5">'Производственная способность'!$A$1:$L$15</definedName>
    <definedName name="_xlnm.Print_Area" localSheetId="3">'Ручная работа '!$A$1:$U$18</definedName>
    <definedName name="_xlnm.Print_Area" localSheetId="10">'СОП '!$A$1:$J$18</definedName>
    <definedName name="ФРВ" localSheetId="1">'[1]Время такта'!$T$6</definedName>
    <definedName name="ФРВ">'Время такта'!$AS$6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F9" i="17" l="1"/>
  <c r="CP9" i="17" s="1"/>
  <c r="CZ9" i="17" s="1"/>
  <c r="DJ9" i="17" s="1"/>
  <c r="DT9" i="17" s="1"/>
  <c r="ED9" i="17" s="1"/>
  <c r="EN9" i="17" s="1"/>
  <c r="EX9" i="17" s="1"/>
  <c r="FH9" i="17" s="1"/>
  <c r="FR9" i="17" s="1"/>
  <c r="GB9" i="17" s="1"/>
  <c r="GL9" i="17" s="1"/>
  <c r="CK8" i="17"/>
  <c r="CU8" i="17" s="1"/>
  <c r="DE8" i="17" s="1"/>
  <c r="DO8" i="17" s="1"/>
  <c r="DY8" i="17" s="1"/>
  <c r="EI8" i="17" s="1"/>
  <c r="ES8" i="17" s="1"/>
  <c r="FC8" i="17" s="1"/>
  <c r="FM8" i="17" s="1"/>
  <c r="FW8" i="17" s="1"/>
  <c r="GG8" i="17" s="1"/>
  <c r="D132" i="9" l="1"/>
  <c r="D127" i="9" s="1"/>
  <c r="D122" i="9" s="1"/>
  <c r="D117" i="9" s="1"/>
  <c r="D112" i="9" s="1"/>
  <c r="D107" i="9" s="1"/>
  <c r="D102" i="9" s="1"/>
  <c r="D97" i="9" s="1"/>
  <c r="D92" i="9" s="1"/>
  <c r="D87" i="9" s="1"/>
  <c r="D82" i="9" s="1"/>
  <c r="D77" i="9" s="1"/>
  <c r="D72" i="9" s="1"/>
  <c r="D67" i="9" s="1"/>
  <c r="D62" i="9" s="1"/>
  <c r="D57" i="9" s="1"/>
  <c r="D52" i="9" s="1"/>
  <c r="D47" i="9" s="1"/>
  <c r="D42" i="9" s="1"/>
  <c r="D37" i="9" s="1"/>
  <c r="D32" i="9" s="1"/>
  <c r="D27" i="9" s="1"/>
  <c r="D22" i="9" s="1"/>
  <c r="D17" i="9" s="1"/>
</calcChain>
</file>

<file path=xl/sharedStrings.xml><?xml version="1.0" encoding="utf-8"?>
<sst xmlns="http://schemas.openxmlformats.org/spreadsheetml/2006/main" count="214" uniqueCount="161">
  <si>
    <t>Продукт(ы):</t>
  </si>
  <si>
    <t>Дата:</t>
  </si>
  <si>
    <t>Линия/РМ:</t>
  </si>
  <si>
    <t>Подготовил:</t>
  </si>
  <si>
    <t>A</t>
  </si>
  <si>
    <t>Сколько секунд в  смене(ах), сек?</t>
  </si>
  <si>
    <t>B</t>
  </si>
  <si>
    <t>Сколько секунд в смену(ах) уходит на перерывы, сек?</t>
  </si>
  <si>
    <t>C</t>
  </si>
  <si>
    <t>Сколько рабочих секунд в смене (А-В), сек?</t>
  </si>
  <si>
    <t>D</t>
  </si>
  <si>
    <t>Укажите общее количество изделий всех типов, которое нужно произвести за смену(D), шт.?</t>
  </si>
  <si>
    <t>E</t>
  </si>
  <si>
    <t>Какое время такта (C/D), сек?</t>
  </si>
  <si>
    <t>ПОДГОТОВИТЕЛЬНЫЙ ЛИСТ НАБЛЮДЕНИЯ</t>
  </si>
  <si>
    <t xml:space="preserve">От: </t>
  </si>
  <si>
    <t xml:space="preserve">До: </t>
  </si>
  <si>
    <t xml:space="preserve">Время такта: </t>
  </si>
  <si>
    <t xml:space="preserve">Подготовлено: </t>
  </si>
  <si>
    <t>№</t>
  </si>
  <si>
    <t>Общее время цикла</t>
  </si>
  <si>
    <t>Причина колебаний</t>
  </si>
  <si>
    <t>Список рабочих элементов и переходов</t>
  </si>
  <si>
    <t>Колебания</t>
  </si>
  <si>
    <t>Рабочее место:</t>
  </si>
  <si>
    <r>
      <t>Дата:</t>
    </r>
    <r>
      <rPr>
        <sz val="12"/>
        <rFont val="Times New Roman"/>
        <family val="1"/>
        <charset val="204"/>
      </rPr>
      <t xml:space="preserve"> </t>
    </r>
  </si>
  <si>
    <t>№ операции:</t>
  </si>
  <si>
    <t>Границы</t>
  </si>
  <si>
    <t>Операция:</t>
  </si>
  <si>
    <t>Колебания, сек</t>
  </si>
  <si>
    <t>Уровень колебаний, %</t>
  </si>
  <si>
    <t>Карта стандартизированной работы</t>
  </si>
  <si>
    <t>Переходы в цикле</t>
  </si>
  <si>
    <t>Переход в начало цикла</t>
  </si>
  <si>
    <t>Проверка качества</t>
  </si>
  <si>
    <t>Внимание вопросам безопасности</t>
  </si>
  <si>
    <t>Стандартный запас</t>
  </si>
  <si>
    <t>ЛИСТ НАБЛЮДЕНИЯ РУЧНОЙ РАБОТЫ</t>
  </si>
  <si>
    <t>Рабочий элемент</t>
  </si>
  <si>
    <t>Точка отсчета</t>
  </si>
  <si>
    <t>Комментарии</t>
  </si>
  <si>
    <t>Σ</t>
  </si>
  <si>
    <t>Лист периодических работ</t>
  </si>
  <si>
    <t>Время</t>
  </si>
  <si>
    <t>Частота повторения (количество циклов)</t>
  </si>
  <si>
    <r>
      <t xml:space="preserve">Объяснение условных знаков:                   </t>
    </r>
    <r>
      <rPr>
        <b/>
        <sz val="10"/>
        <color theme="3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-  наименьшее время цикла</t>
    </r>
  </si>
  <si>
    <t>Объединённая таблица стандартизированной работы</t>
  </si>
  <si>
    <t>Участок</t>
  </si>
  <si>
    <t>Ручная раб.</t>
  </si>
  <si>
    <t>Автом. раб.</t>
  </si>
  <si>
    <t>Изделие</t>
  </si>
  <si>
    <t>Время такта</t>
  </si>
  <si>
    <t>Дата</t>
  </si>
  <si>
    <t>Переход</t>
  </si>
  <si>
    <t>Ожидание</t>
  </si>
  <si>
    <t>Наименование выполняемых элементов</t>
  </si>
  <si>
    <t>Цена деления =</t>
  </si>
  <si>
    <t>Руч. раб.</t>
  </si>
  <si>
    <t>Авто. раб.</t>
  </si>
  <si>
    <t>Пере-ход</t>
  </si>
  <si>
    <t>Итого:</t>
  </si>
  <si>
    <t>Ожид.</t>
  </si>
  <si>
    <t>Цикл.р. + Период.р.</t>
  </si>
  <si>
    <t>=</t>
  </si>
  <si>
    <t>кол-во
человек</t>
  </si>
  <si>
    <t>Периодическая работа</t>
  </si>
  <si>
    <t>Цикл. работа</t>
  </si>
  <si>
    <t>Лист производственной способности оборудования</t>
  </si>
  <si>
    <t>Необходимое кол-во. изделий в смену, шт</t>
  </si>
  <si>
    <t>ФРВ, сек</t>
  </si>
  <si>
    <t>Порядок операций</t>
  </si>
  <si>
    <t>Наименование операций</t>
  </si>
  <si>
    <t>Базовое время</t>
  </si>
  <si>
    <t>Замена инструмента</t>
  </si>
  <si>
    <t xml:space="preserve">Графическое отображение
Ручная работа 
Машинная работа  </t>
  </si>
  <si>
    <t>Время ручной работы, сек</t>
  </si>
  <si>
    <t>Время машинной работы, сек</t>
  </si>
  <si>
    <t>Общее время, сек</t>
  </si>
  <si>
    <t>Переодич. (кол-во. деталей)</t>
  </si>
  <si>
    <t>Время замены, сек</t>
  </si>
  <si>
    <t>А</t>
  </si>
  <si>
    <t>В</t>
  </si>
  <si>
    <t>Г</t>
  </si>
  <si>
    <t>Д</t>
  </si>
  <si>
    <t>Е</t>
  </si>
  <si>
    <t>Отчет о внедрении улучшения</t>
  </si>
  <si>
    <t>Участок:</t>
  </si>
  <si>
    <t>Подготовлено:</t>
  </si>
  <si>
    <t>Направленность:</t>
  </si>
  <si>
    <t>Виды потерь:</t>
  </si>
  <si>
    <t>До усовершенствования</t>
  </si>
  <si>
    <t>Эскиз (фото)</t>
  </si>
  <si>
    <t>После усовершенствования</t>
  </si>
  <si>
    <t xml:space="preserve"> </t>
  </si>
  <si>
    <t>Проблема</t>
  </si>
  <si>
    <t>Внедренное изменение</t>
  </si>
  <si>
    <t>Результат</t>
  </si>
  <si>
    <t>До</t>
  </si>
  <si>
    <t>ЦЕЛЬ</t>
  </si>
  <si>
    <t>ФАКТ</t>
  </si>
  <si>
    <t>СТАНДАРТ ОПЕРАЦИОННОЙ ПРОЦЕДУРЫ</t>
  </si>
  <si>
    <t>Цех</t>
  </si>
  <si>
    <t>УТВЕРЖДАЮ:</t>
  </si>
  <si>
    <t>Директор по производству</t>
  </si>
  <si>
    <t>№ документа</t>
  </si>
  <si>
    <t>_______________________</t>
  </si>
  <si>
    <t>Исполнители</t>
  </si>
  <si>
    <t>Разработал</t>
  </si>
  <si>
    <t>Согласовано</t>
  </si>
  <si>
    <t>Средства индивидуальной защиты</t>
  </si>
  <si>
    <t>I</t>
  </si>
  <si>
    <t>Должность</t>
  </si>
  <si>
    <t>Лист/ листов</t>
  </si>
  <si>
    <t>II</t>
  </si>
  <si>
    <t>ФИО</t>
  </si>
  <si>
    <t>III</t>
  </si>
  <si>
    <t>Подпись</t>
  </si>
  <si>
    <t>Инструмент</t>
  </si>
  <si>
    <t>Время, сек.</t>
  </si>
  <si>
    <t>Ключевые моменты</t>
  </si>
  <si>
    <t>+</t>
  </si>
  <si>
    <t>Составил:</t>
  </si>
  <si>
    <t>СПИСОК УЛУЧШЕНИЙ</t>
  </si>
  <si>
    <t>Участок/Бригада:</t>
  </si>
  <si>
    <t>Проблемы</t>
  </si>
  <si>
    <t>Внедренные  изменения</t>
  </si>
  <si>
    <t>Отв./срок исполнения</t>
  </si>
  <si>
    <t>Цель</t>
  </si>
  <si>
    <t>После</t>
  </si>
  <si>
    <t>Участок/Бригада</t>
  </si>
  <si>
    <t>Время цикла, сек</t>
  </si>
  <si>
    <t>Каменщик</t>
  </si>
  <si>
    <t>Прораб</t>
  </si>
  <si>
    <t>Нач. ПТО</t>
  </si>
  <si>
    <t>Помощник каменщика</t>
  </si>
  <si>
    <t>Иванов А.И.</t>
  </si>
  <si>
    <t>Дятлов А.Ю.</t>
  </si>
  <si>
    <t>IV</t>
  </si>
  <si>
    <t>1/2</t>
  </si>
  <si>
    <t>Причины выделения ключевых моментов</t>
  </si>
  <si>
    <t>Иллюстрация / Схема</t>
  </si>
  <si>
    <t>Основные этапы</t>
  </si>
  <si>
    <t xml:space="preserve">Дата: </t>
  </si>
  <si>
    <t>Объяснение условных знаков:</t>
  </si>
  <si>
    <t xml:space="preserve"> - наибольшее время цикла
 -  наименьшее время цикла
 -  ошибка</t>
  </si>
  <si>
    <t>"</t>
  </si>
  <si>
    <t xml:space="preserve">№ п/п. </t>
  </si>
  <si>
    <t>Время периодической работы на цикл</t>
  </si>
  <si>
    <t xml:space="preserve">Производственная способность, шт
</t>
  </si>
  <si>
    <t>Модель станка</t>
  </si>
  <si>
    <t>t мин</t>
  </si>
  <si>
    <t>t отрег</t>
  </si>
  <si>
    <t>t макс-t мин</t>
  </si>
  <si>
    <r>
      <t>Σt</t>
    </r>
    <r>
      <rPr>
        <sz val="9"/>
        <color theme="1"/>
        <rFont val="Times New Roman"/>
        <family val="1"/>
        <charset val="204"/>
      </rPr>
      <t>мин</t>
    </r>
    <r>
      <rPr>
        <sz val="14"/>
        <color theme="1"/>
        <rFont val="Times New Roman"/>
        <family val="1"/>
        <charset val="204"/>
      </rPr>
      <t>=</t>
    </r>
  </si>
  <si>
    <t>Т-Σtмин=</t>
  </si>
  <si>
    <t>Кол-во рег.сек.</t>
  </si>
  <si>
    <r>
      <rPr>
        <b/>
        <sz val="14"/>
        <color theme="1"/>
        <rFont val="Times New Roman"/>
        <family val="1"/>
        <charset val="204"/>
      </rPr>
      <t xml:space="preserve"> Объяснение условных знаков:</t>
    </r>
    <r>
      <rPr>
        <sz val="14"/>
        <color theme="1"/>
        <rFont val="Times New Roman"/>
        <family val="1"/>
        <charset val="204"/>
      </rPr>
      <t xml:space="preserve">
-  наибольшее время элемента
-  наименьшее время цикла
-  ошибка</t>
    </r>
  </si>
  <si>
    <r>
      <t>(Т-Σtмин)/</t>
    </r>
    <r>
      <rPr>
        <sz val="16"/>
        <color theme="1"/>
        <rFont val="Symbol"/>
        <family val="1"/>
        <charset val="2"/>
      </rPr>
      <t>å</t>
    </r>
    <r>
      <rPr>
        <sz val="16"/>
        <color theme="1"/>
        <rFont val="Times New Roman"/>
        <family val="1"/>
        <charset val="204"/>
      </rPr>
      <t>(Σtмакс-Σtмин)=</t>
    </r>
  </si>
  <si>
    <r>
      <t>Дата:</t>
    </r>
    <r>
      <rPr>
        <sz val="16"/>
        <rFont val="Times New Roman"/>
        <family val="1"/>
        <charset val="204"/>
      </rPr>
      <t xml:space="preserve"> </t>
    </r>
  </si>
  <si>
    <t>ЛИСТ ВЫЧИСЛЕНИЯ ВРЕМЕНИ ТАКТА</t>
  </si>
  <si>
    <t>ДИАГРАММА СБАЛАНСИРОВАННОЙ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</si>
</sst>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''&quot;"/>
    <numFmt numFmtId="165" formatCode="#,##0.0&quot;''&quot;"/>
  </numFmts>
  <fonts count="7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Verdana"/>
      <family val="2"/>
      <charset val="204"/>
    </font>
    <font>
      <sz val="8"/>
      <color theme="1"/>
      <name val="Verdana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3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3"/>
      <name val="Times New Roman"/>
      <family val="1"/>
      <charset val="204"/>
    </font>
    <font>
      <b/>
      <sz val="1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20"/>
      <color theme="3"/>
      <name val="Times New Roman"/>
      <family val="1"/>
      <charset val="204"/>
    </font>
    <font>
      <b/>
      <sz val="18"/>
      <color theme="0"/>
      <name val="Verdana"/>
      <family val="2"/>
      <charset val="204"/>
    </font>
    <font>
      <sz val="18"/>
      <color theme="0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6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22"/>
      <color theme="0"/>
      <name val="Times New Roman"/>
      <family val="1"/>
      <charset val="204"/>
    </font>
    <font>
      <sz val="20"/>
      <color theme="1"/>
      <name val="Verdana"/>
      <family val="2"/>
      <charset val="204"/>
    </font>
    <font>
      <sz val="20"/>
      <color theme="0"/>
      <name val="Verdana"/>
      <family val="2"/>
      <charset val="204"/>
    </font>
    <font>
      <sz val="22"/>
      <color theme="0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48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26"/>
      <color theme="0"/>
      <name val="Times New Roman"/>
      <family val="1"/>
      <charset val="204"/>
    </font>
    <font>
      <i/>
      <sz val="12"/>
      <color theme="4"/>
      <name val="Times New Roman"/>
      <family val="1"/>
      <charset val="204"/>
    </font>
    <font>
      <i/>
      <sz val="11"/>
      <color theme="4"/>
      <name val="Times New Roman"/>
      <family val="1"/>
      <charset val="204"/>
    </font>
    <font>
      <i/>
      <sz val="10"/>
      <color theme="4"/>
      <name val="Times New Roman"/>
      <family val="1"/>
      <charset val="204"/>
    </font>
    <font>
      <i/>
      <sz val="14"/>
      <color theme="4"/>
      <name val="Times New Roman"/>
      <family val="1"/>
      <charset val="204"/>
    </font>
    <font>
      <i/>
      <sz val="8"/>
      <color theme="4"/>
      <name val="Verdana"/>
      <family val="2"/>
      <charset val="204"/>
    </font>
    <font>
      <sz val="8"/>
      <name val="Times New Roman"/>
      <family val="1"/>
      <charset val="204"/>
    </font>
    <font>
      <i/>
      <sz val="11"/>
      <color theme="3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4"/>
      <color theme="3"/>
      <name val="Times New Roman"/>
      <family val="1"/>
      <charset val="204"/>
    </font>
    <font>
      <i/>
      <sz val="16"/>
      <color theme="4"/>
      <name val="Calibri"/>
      <family val="2"/>
      <charset val="204"/>
      <scheme val="minor"/>
    </font>
    <font>
      <i/>
      <sz val="20"/>
      <color theme="4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i/>
      <sz val="11"/>
      <color rgb="FF0070C0"/>
      <name val="Times New Roman"/>
      <family val="1"/>
      <charset val="204"/>
    </font>
    <font>
      <i/>
      <sz val="12"/>
      <color rgb="FF0070C0"/>
      <name val="Times New Roman"/>
      <family val="1"/>
      <charset val="204"/>
    </font>
    <font>
      <i/>
      <sz val="14"/>
      <color theme="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6"/>
      <color theme="3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Symbol"/>
      <family val="1"/>
      <charset val="2"/>
    </font>
    <font>
      <b/>
      <sz val="20"/>
      <color theme="0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i/>
      <sz val="16"/>
      <color theme="4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i/>
      <sz val="20"/>
      <color theme="4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36"/>
      <color theme="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lightUp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</fills>
  <borders count="9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24994659260841701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/>
      <right style="dashed">
        <color theme="0" tint="-0.24994659260841701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dashed">
        <color theme="0" tint="-0.24994659260841701"/>
      </left>
      <right style="dashed">
        <color theme="0" tint="-0.34998626667073579"/>
      </right>
      <top style="medium">
        <color theme="0" tint="-0.24994659260841701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medium">
        <color theme="0" tint="-0.24994659260841701"/>
      </top>
      <bottom style="dashed">
        <color theme="0" tint="-0.34998626667073579"/>
      </bottom>
      <diagonal/>
    </border>
    <border>
      <left style="dashed">
        <color theme="0" tint="-0.24994659260841701"/>
      </left>
      <right style="dashed">
        <color theme="0" tint="-0.34998626667073579"/>
      </right>
      <top style="dashed">
        <color theme="0" tint="-0.34998626667073579"/>
      </top>
      <bottom style="medium">
        <color theme="0" tint="-0.24994659260841701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thin">
        <color indexed="64"/>
      </right>
      <top style="dashed">
        <color theme="0" tint="-0.34998626667073579"/>
      </top>
      <bottom style="medium">
        <color theme="0" tint="-0.24994659260841701"/>
      </bottom>
      <diagonal/>
    </border>
    <border>
      <left style="dashed">
        <color theme="0" tint="-0.34998626667073579"/>
      </left>
      <right style="thin">
        <color indexed="64"/>
      </right>
      <top style="medium">
        <color theme="0" tint="-0.24994659260841701"/>
      </top>
      <bottom style="dashed">
        <color theme="0" tint="-0.34998626667073579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indexed="64"/>
      </right>
      <top/>
      <bottom style="dashed">
        <color auto="1"/>
      </bottom>
      <diagonal/>
    </border>
    <border>
      <left style="dashed">
        <color theme="0" tint="-0.34998626667073579"/>
      </left>
      <right/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/>
      <top style="dashed">
        <color theme="0" tint="-0.34998626667073579"/>
      </top>
      <bottom style="medium">
        <color theme="0" tint="-0.24994659260841701"/>
      </bottom>
      <diagonal/>
    </border>
    <border>
      <left style="dashed">
        <color theme="0" tint="-0.34998626667073579"/>
      </left>
      <right/>
      <top style="medium">
        <color theme="0" tint="-0.24994659260841701"/>
      </top>
      <bottom style="dashed">
        <color theme="0" tint="-0.34998626667073579"/>
      </bottom>
      <diagonal/>
    </border>
  </borders>
  <cellStyleXfs count="3">
    <xf numFmtId="0" fontId="0" fillId="0" borderId="0"/>
    <xf numFmtId="0" fontId="34" fillId="0" borderId="0"/>
    <xf numFmtId="9" fontId="57" fillId="0" borderId="0" applyFont="0" applyFill="0" applyBorder="0" applyAlignment="0" applyProtection="0"/>
  </cellStyleXfs>
  <cellXfs count="58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7" fillId="0" borderId="16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22" fillId="0" borderId="0" xfId="0" applyFont="1"/>
    <xf numFmtId="0" fontId="22" fillId="0" borderId="1" xfId="0" applyFont="1" applyBorder="1"/>
    <xf numFmtId="0" fontId="22" fillId="0" borderId="2" xfId="0" applyFont="1" applyBorder="1"/>
    <xf numFmtId="0" fontId="22" fillId="0" borderId="14" xfId="0" applyFont="1" applyBorder="1"/>
    <xf numFmtId="0" fontId="22" fillId="0" borderId="12" xfId="0" applyFont="1" applyBorder="1"/>
    <xf numFmtId="0" fontId="22" fillId="0" borderId="11" xfId="0" applyFont="1" applyBorder="1"/>
    <xf numFmtId="0" fontId="6" fillId="0" borderId="1" xfId="0" applyFont="1" applyBorder="1"/>
    <xf numFmtId="0" fontId="22" fillId="0" borderId="3" xfId="0" applyFont="1" applyBorder="1"/>
    <xf numFmtId="4" fontId="23" fillId="0" borderId="12" xfId="0" applyNumberFormat="1" applyFont="1" applyBorder="1" applyAlignment="1">
      <alignment vertical="center" wrapText="1"/>
    </xf>
    <xf numFmtId="0" fontId="22" fillId="0" borderId="13" xfId="0" applyFont="1" applyBorder="1"/>
    <xf numFmtId="0" fontId="6" fillId="0" borderId="2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30" xfId="0" applyBorder="1"/>
    <xf numFmtId="0" fontId="0" fillId="0" borderId="31" xfId="0" applyBorder="1"/>
    <xf numFmtId="0" fontId="0" fillId="0" borderId="20" xfId="0" applyBorder="1"/>
    <xf numFmtId="0" fontId="0" fillId="0" borderId="32" xfId="0" applyBorder="1"/>
    <xf numFmtId="0" fontId="0" fillId="0" borderId="33" xfId="0" applyBorder="1"/>
    <xf numFmtId="0" fontId="0" fillId="4" borderId="17" xfId="0" applyFill="1" applyBorder="1"/>
    <xf numFmtId="0" fontId="0" fillId="4" borderId="19" xfId="0" applyFill="1" applyBorder="1"/>
    <xf numFmtId="0" fontId="0" fillId="0" borderId="34" xfId="0" applyBorder="1"/>
    <xf numFmtId="0" fontId="0" fillId="4" borderId="35" xfId="0" applyFill="1" applyBorder="1"/>
    <xf numFmtId="0" fontId="0" fillId="4" borderId="36" xfId="0" applyFill="1" applyBorder="1"/>
    <xf numFmtId="0" fontId="0" fillId="0" borderId="37" xfId="0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5" fillId="0" borderId="0" xfId="1" applyFont="1"/>
    <xf numFmtId="0" fontId="36" fillId="5" borderId="7" xfId="1" applyFont="1" applyFill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7" xfId="1" applyFont="1" applyBorder="1" applyAlignment="1">
      <alignment horizontal="left" vertical="center" wrapText="1"/>
    </xf>
    <xf numFmtId="0" fontId="24" fillId="0" borderId="7" xfId="1" applyFont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6" fillId="5" borderId="7" xfId="1" applyFont="1" applyFill="1" applyBorder="1" applyAlignment="1">
      <alignment horizontal="center" vertical="center" wrapText="1"/>
    </xf>
    <xf numFmtId="0" fontId="7" fillId="0" borderId="70" xfId="0" applyFont="1" applyBorder="1"/>
    <xf numFmtId="0" fontId="7" fillId="0" borderId="71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2" xfId="0" applyFont="1" applyBorder="1"/>
    <xf numFmtId="0" fontId="7" fillId="0" borderId="11" xfId="0" applyFont="1" applyBorder="1"/>
    <xf numFmtId="0" fontId="38" fillId="0" borderId="7" xfId="0" quotePrefix="1" applyFont="1" applyBorder="1" applyAlignment="1">
      <alignment vertical="center" wrapText="1"/>
    </xf>
    <xf numFmtId="0" fontId="39" fillId="0" borderId="7" xfId="0" applyFont="1" applyBorder="1" applyAlignment="1">
      <alignment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7" xfId="0" applyFont="1" applyBorder="1" applyAlignment="1">
      <alignment vertical="center" wrapText="1"/>
    </xf>
    <xf numFmtId="14" fontId="40" fillId="0" borderId="7" xfId="0" applyNumberFormat="1" applyFont="1" applyBorder="1" applyAlignment="1">
      <alignment horizontal="center" vertical="center"/>
    </xf>
    <xf numFmtId="0" fontId="39" fillId="0" borderId="2" xfId="0" applyFont="1" applyBorder="1"/>
    <xf numFmtId="0" fontId="22" fillId="0" borderId="72" xfId="0" applyFont="1" applyBorder="1"/>
    <xf numFmtId="0" fontId="22" fillId="0" borderId="73" xfId="0" applyFont="1" applyBorder="1"/>
    <xf numFmtId="0" fontId="22" fillId="0" borderId="74" xfId="0" applyFont="1" applyBorder="1"/>
    <xf numFmtId="4" fontId="43" fillId="0" borderId="14" xfId="0" applyNumberFormat="1" applyFont="1" applyBorder="1" applyAlignment="1">
      <alignment vertical="center" wrapText="1"/>
    </xf>
    <xf numFmtId="0" fontId="0" fillId="0" borderId="75" xfId="0" applyBorder="1"/>
    <xf numFmtId="0" fontId="0" fillId="0" borderId="76" xfId="0" applyBorder="1"/>
    <xf numFmtId="0" fontId="47" fillId="0" borderId="57" xfId="0" applyFont="1" applyBorder="1" applyAlignment="1">
      <alignment horizontal="left"/>
    </xf>
    <xf numFmtId="0" fontId="47" fillId="0" borderId="58" xfId="0" applyFont="1" applyBorder="1" applyAlignment="1">
      <alignment horizontal="left"/>
    </xf>
    <xf numFmtId="0" fontId="47" fillId="0" borderId="59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horizontal="left" vertical="center" wrapText="1"/>
    </xf>
    <xf numFmtId="0" fontId="41" fillId="0" borderId="7" xfId="0" applyFont="1" applyBorder="1" applyAlignment="1">
      <alignment horizontal="left" vertical="center"/>
    </xf>
    <xf numFmtId="0" fontId="36" fillId="5" borderId="7" xfId="1" applyFont="1" applyFill="1" applyBorder="1" applyAlignment="1">
      <alignment horizontal="center"/>
    </xf>
    <xf numFmtId="0" fontId="36" fillId="5" borderId="7" xfId="1" applyFont="1" applyFill="1" applyBorder="1" applyAlignment="1">
      <alignment horizontal="right"/>
    </xf>
    <xf numFmtId="0" fontId="36" fillId="0" borderId="7" xfId="1" applyFont="1" applyBorder="1" applyAlignment="1">
      <alignment horizontal="center" vertical="center"/>
    </xf>
    <xf numFmtId="14" fontId="36" fillId="0" borderId="7" xfId="1" applyNumberFormat="1" applyFont="1" applyBorder="1" applyAlignment="1">
      <alignment horizontal="center" vertical="center"/>
    </xf>
    <xf numFmtId="49" fontId="36" fillId="2" borderId="7" xfId="1" applyNumberFormat="1" applyFont="1" applyFill="1" applyBorder="1" applyAlignment="1">
      <alignment horizontal="center" vertical="center"/>
    </xf>
    <xf numFmtId="0" fontId="36" fillId="5" borderId="6" xfId="1" applyFont="1" applyFill="1" applyBorder="1" applyAlignment="1">
      <alignment vertical="center" wrapText="1"/>
    </xf>
    <xf numFmtId="0" fontId="24" fillId="0" borderId="6" xfId="1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164" fontId="43" fillId="0" borderId="0" xfId="0" applyNumberFormat="1" applyFont="1"/>
    <xf numFmtId="164" fontId="43" fillId="0" borderId="0" xfId="0" applyNumberFormat="1" applyFont="1" applyAlignment="1">
      <alignment vertical="center"/>
    </xf>
    <xf numFmtId="164" fontId="43" fillId="0" borderId="15" xfId="0" applyNumberFormat="1" applyFont="1" applyBorder="1"/>
    <xf numFmtId="164" fontId="43" fillId="0" borderId="14" xfId="0" applyNumberFormat="1" applyFont="1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164" fontId="41" fillId="0" borderId="77" xfId="0" applyNumberFormat="1" applyFont="1" applyBorder="1"/>
    <xf numFmtId="0" fontId="38" fillId="0" borderId="7" xfId="0" applyFont="1" applyBorder="1" applyAlignment="1">
      <alignment horizontal="center" vertical="center" wrapText="1"/>
    </xf>
    <xf numFmtId="164" fontId="40" fillId="0" borderId="7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39" fillId="0" borderId="7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36" fillId="0" borderId="4" xfId="1" applyFont="1" applyBorder="1" applyAlignment="1">
      <alignment horizontal="center"/>
    </xf>
    <xf numFmtId="0" fontId="36" fillId="0" borderId="6" xfId="1" applyFont="1" applyBorder="1" applyAlignment="1">
      <alignment horizontal="center"/>
    </xf>
    <xf numFmtId="14" fontId="50" fillId="0" borderId="7" xfId="0" applyNumberFormat="1" applyFont="1" applyBorder="1" applyAlignment="1">
      <alignment horizontal="left" vertical="center"/>
    </xf>
    <xf numFmtId="0" fontId="20" fillId="6" borderId="4" xfId="0" applyFont="1" applyFill="1" applyBorder="1" applyAlignment="1">
      <alignment vertical="center"/>
    </xf>
    <xf numFmtId="0" fontId="20" fillId="6" borderId="5" xfId="0" applyFont="1" applyFill="1" applyBorder="1" applyAlignment="1">
      <alignment vertical="center"/>
    </xf>
    <xf numFmtId="0" fontId="0" fillId="6" borderId="1" xfId="0" applyFill="1" applyBorder="1"/>
    <xf numFmtId="0" fontId="27" fillId="6" borderId="2" xfId="0" applyFont="1" applyFill="1" applyBorder="1" applyAlignment="1">
      <alignment vertical="center"/>
    </xf>
    <xf numFmtId="0" fontId="0" fillId="0" borderId="84" xfId="0" applyBorder="1"/>
    <xf numFmtId="0" fontId="0" fillId="0" borderId="15" xfId="0" applyBorder="1"/>
    <xf numFmtId="0" fontId="0" fillId="0" borderId="14" xfId="0" applyBorder="1"/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36" fillId="0" borderId="0" xfId="1" applyFont="1" applyAlignment="1">
      <alignment horizontal="center" wrapText="1"/>
    </xf>
    <xf numFmtId="0" fontId="36" fillId="0" borderId="0" xfId="1" applyFont="1"/>
    <xf numFmtId="0" fontId="36" fillId="0" borderId="0" xfId="1" applyFont="1" applyAlignment="1">
      <alignment horizontal="center" vertical="center"/>
    </xf>
    <xf numFmtId="0" fontId="36" fillId="0" borderId="15" xfId="1" applyFont="1" applyBorder="1"/>
    <xf numFmtId="0" fontId="40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14" fontId="51" fillId="0" borderId="8" xfId="0" applyNumberFormat="1" applyFont="1" applyBorder="1" applyAlignment="1">
      <alignment horizontal="left" vertical="center"/>
    </xf>
    <xf numFmtId="0" fontId="9" fillId="0" borderId="14" xfId="0" applyFont="1" applyBorder="1"/>
    <xf numFmtId="9" fontId="9" fillId="0" borderId="0" xfId="2" applyFont="1" applyBorder="1"/>
    <xf numFmtId="0" fontId="9" fillId="0" borderId="12" xfId="0" applyFont="1" applyBorder="1"/>
    <xf numFmtId="0" fontId="9" fillId="0" borderId="11" xfId="0" applyFont="1" applyBorder="1"/>
    <xf numFmtId="164" fontId="38" fillId="0" borderId="7" xfId="0" applyNumberFormat="1" applyFont="1" applyBorder="1" applyAlignment="1">
      <alignment horizontal="center" vertical="center"/>
    </xf>
    <xf numFmtId="0" fontId="10" fillId="0" borderId="7" xfId="0" applyFont="1" applyBorder="1"/>
    <xf numFmtId="0" fontId="38" fillId="0" borderId="6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61" fillId="6" borderId="0" xfId="0" applyFont="1" applyFill="1" applyAlignment="1">
      <alignment vertical="center" wrapText="1"/>
    </xf>
    <xf numFmtId="0" fontId="62" fillId="0" borderId="0" xfId="0" applyFont="1"/>
    <xf numFmtId="0" fontId="4" fillId="0" borderId="7" xfId="0" applyFont="1" applyBorder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8" fillId="0" borderId="4" xfId="0" applyFont="1" applyBorder="1" applyAlignment="1">
      <alignment horizontal="left" vertical="center"/>
    </xf>
    <xf numFmtId="0" fontId="38" fillId="0" borderId="5" xfId="0" applyFont="1" applyBorder="1" applyAlignment="1">
      <alignment horizontal="left" vertical="center"/>
    </xf>
    <xf numFmtId="0" fontId="38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8" fillId="0" borderId="4" xfId="0" applyFont="1" applyBorder="1" applyAlignment="1">
      <alignment horizontal="left" vertical="center" wrapText="1"/>
    </xf>
    <xf numFmtId="0" fontId="38" fillId="0" borderId="5" xfId="0" applyFont="1" applyBorder="1" applyAlignment="1">
      <alignment horizontal="left" vertical="center" wrapText="1"/>
    </xf>
    <xf numFmtId="0" fontId="38" fillId="0" borderId="6" xfId="0" applyFont="1" applyBorder="1" applyAlignment="1">
      <alignment horizontal="left" vertical="center" wrapText="1"/>
    </xf>
    <xf numFmtId="14" fontId="40" fillId="0" borderId="1" xfId="0" applyNumberFormat="1" applyFont="1" applyBorder="1" applyAlignment="1">
      <alignment horizontal="center" vertical="center"/>
    </xf>
    <xf numFmtId="14" fontId="40" fillId="0" borderId="2" xfId="0" applyNumberFormat="1" applyFont="1" applyBorder="1" applyAlignment="1">
      <alignment horizontal="center" vertical="center"/>
    </xf>
    <xf numFmtId="14" fontId="40" fillId="0" borderId="3" xfId="0" applyNumberFormat="1" applyFont="1" applyBorder="1" applyAlignment="1">
      <alignment horizontal="center" vertical="center"/>
    </xf>
    <xf numFmtId="14" fontId="40" fillId="0" borderId="12" xfId="0" applyNumberFormat="1" applyFont="1" applyBorder="1" applyAlignment="1">
      <alignment horizontal="center" vertical="center"/>
    </xf>
    <xf numFmtId="14" fontId="40" fillId="0" borderId="11" xfId="0" applyNumberFormat="1" applyFont="1" applyBorder="1" applyAlignment="1">
      <alignment horizontal="center" vertical="center"/>
    </xf>
    <xf numFmtId="14" fontId="40" fillId="0" borderId="1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2" fontId="38" fillId="0" borderId="2" xfId="0" applyNumberFormat="1" applyFont="1" applyBorder="1" applyAlignment="1">
      <alignment horizontal="center" vertical="center"/>
    </xf>
    <xf numFmtId="2" fontId="38" fillId="0" borderId="3" xfId="0" applyNumberFormat="1" applyFont="1" applyBorder="1" applyAlignment="1">
      <alignment horizontal="center" vertical="center"/>
    </xf>
    <xf numFmtId="2" fontId="38" fillId="0" borderId="11" xfId="0" applyNumberFormat="1" applyFont="1" applyBorder="1" applyAlignment="1">
      <alignment horizontal="center" vertical="center"/>
    </xf>
    <xf numFmtId="2" fontId="38" fillId="0" borderId="13" xfId="0" applyNumberFormat="1" applyFont="1" applyBorder="1" applyAlignment="1">
      <alignment horizontal="center" vertical="center"/>
    </xf>
    <xf numFmtId="0" fontId="59" fillId="0" borderId="4" xfId="0" applyFont="1" applyBorder="1" applyAlignment="1">
      <alignment horizontal="left" vertical="center"/>
    </xf>
    <xf numFmtId="0" fontId="59" fillId="0" borderId="5" xfId="0" applyFont="1" applyBorder="1" applyAlignment="1">
      <alignment horizontal="left" vertical="center"/>
    </xf>
    <xf numFmtId="0" fontId="59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39" fillId="0" borderId="7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40" fillId="0" borderId="7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left" vertical="center"/>
    </xf>
    <xf numFmtId="2" fontId="38" fillId="0" borderId="7" xfId="0" applyNumberFormat="1" applyFont="1" applyBorder="1" applyAlignment="1">
      <alignment horizontal="center" vertical="center" wrapText="1"/>
    </xf>
    <xf numFmtId="14" fontId="38" fillId="0" borderId="7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21" fillId="6" borderId="7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165" fontId="40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9" fillId="6" borderId="0" xfId="0" applyFont="1" applyFill="1" applyAlignment="1">
      <alignment horizontal="center"/>
    </xf>
    <xf numFmtId="0" fontId="29" fillId="6" borderId="11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38" fillId="0" borderId="8" xfId="0" applyFont="1" applyBorder="1" applyAlignment="1">
      <alignment horizontal="center" vertical="top" wrapText="1"/>
    </xf>
    <xf numFmtId="0" fontId="38" fillId="0" borderId="9" xfId="0" applyFont="1" applyBorder="1" applyAlignment="1">
      <alignment horizontal="center" vertical="top" wrapText="1"/>
    </xf>
    <xf numFmtId="0" fontId="38" fillId="0" borderId="10" xfId="0" applyFont="1" applyBorder="1" applyAlignment="1">
      <alignment horizontal="center" vertical="top" wrapText="1"/>
    </xf>
    <xf numFmtId="0" fontId="38" fillId="0" borderId="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164" fontId="22" fillId="0" borderId="1" xfId="0" applyNumberFormat="1" applyFont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164" fontId="22" fillId="0" borderId="3" xfId="0" applyNumberFormat="1" applyFont="1" applyBorder="1" applyAlignment="1">
      <alignment horizontal="center"/>
    </xf>
    <xf numFmtId="164" fontId="22" fillId="0" borderId="12" xfId="0" applyNumberFormat="1" applyFont="1" applyBorder="1" applyAlignment="1">
      <alignment horizontal="center"/>
    </xf>
    <xf numFmtId="164" fontId="22" fillId="0" borderId="11" xfId="0" applyNumberFormat="1" applyFont="1" applyBorder="1" applyAlignment="1">
      <alignment horizontal="center"/>
    </xf>
    <xf numFmtId="164" fontId="22" fillId="0" borderId="13" xfId="0" applyNumberFormat="1" applyFont="1" applyBorder="1" applyAlignment="1">
      <alignment horizontal="center"/>
    </xf>
    <xf numFmtId="164" fontId="22" fillId="0" borderId="4" xfId="0" applyNumberFormat="1" applyFont="1" applyBorder="1" applyAlignment="1">
      <alignment horizontal="center"/>
    </xf>
    <xf numFmtId="164" fontId="22" fillId="0" borderId="5" xfId="0" applyNumberFormat="1" applyFont="1" applyBorder="1" applyAlignment="1">
      <alignment horizontal="center"/>
    </xf>
    <xf numFmtId="164" fontId="22" fillId="0" borderId="6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64" fontId="39" fillId="0" borderId="1" xfId="0" applyNumberFormat="1" applyFont="1" applyBorder="1" applyAlignment="1">
      <alignment horizontal="center"/>
    </xf>
    <xf numFmtId="164" fontId="39" fillId="0" borderId="2" xfId="0" applyNumberFormat="1" applyFont="1" applyBorder="1" applyAlignment="1">
      <alignment horizontal="center"/>
    </xf>
    <xf numFmtId="164" fontId="39" fillId="0" borderId="3" xfId="0" applyNumberFormat="1" applyFont="1" applyBorder="1" applyAlignment="1">
      <alignment horizontal="center"/>
    </xf>
    <xf numFmtId="164" fontId="39" fillId="0" borderId="12" xfId="0" applyNumberFormat="1" applyFont="1" applyBorder="1" applyAlignment="1">
      <alignment horizontal="center"/>
    </xf>
    <xf numFmtId="164" fontId="39" fillId="0" borderId="11" xfId="0" applyNumberFormat="1" applyFont="1" applyBorder="1" applyAlignment="1">
      <alignment horizontal="center"/>
    </xf>
    <xf numFmtId="164" fontId="39" fillId="0" borderId="13" xfId="0" applyNumberFormat="1" applyFont="1" applyBorder="1" applyAlignment="1">
      <alignment horizontal="center"/>
    </xf>
    <xf numFmtId="49" fontId="39" fillId="0" borderId="1" xfId="0" applyNumberFormat="1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/>
    </xf>
    <xf numFmtId="0" fontId="40" fillId="0" borderId="1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0" fillId="0" borderId="12" xfId="0" applyFont="1" applyBorder="1" applyAlignment="1">
      <alignment horizontal="left" vertical="center" wrapText="1"/>
    </xf>
    <xf numFmtId="0" fontId="40" fillId="0" borderId="11" xfId="0" applyFont="1" applyBorder="1" applyAlignment="1">
      <alignment horizontal="left" vertical="center" wrapText="1"/>
    </xf>
    <xf numFmtId="0" fontId="40" fillId="0" borderId="13" xfId="0" applyFont="1" applyBorder="1" applyAlignment="1">
      <alignment horizontal="left" vertical="center" wrapText="1"/>
    </xf>
    <xf numFmtId="164" fontId="50" fillId="0" borderId="1" xfId="0" applyNumberFormat="1" applyFont="1" applyBorder="1" applyAlignment="1">
      <alignment horizontal="center"/>
    </xf>
    <xf numFmtId="164" fontId="50" fillId="0" borderId="2" xfId="0" applyNumberFormat="1" applyFont="1" applyBorder="1" applyAlignment="1">
      <alignment horizontal="center"/>
    </xf>
    <xf numFmtId="164" fontId="50" fillId="0" borderId="3" xfId="0" applyNumberFormat="1" applyFont="1" applyBorder="1" applyAlignment="1">
      <alignment horizontal="center"/>
    </xf>
    <xf numFmtId="164" fontId="50" fillId="0" borderId="12" xfId="0" applyNumberFormat="1" applyFont="1" applyBorder="1" applyAlignment="1">
      <alignment horizontal="center"/>
    </xf>
    <xf numFmtId="164" fontId="50" fillId="0" borderId="11" xfId="0" applyNumberFormat="1" applyFont="1" applyBorder="1" applyAlignment="1">
      <alignment horizontal="center"/>
    </xf>
    <xf numFmtId="164" fontId="50" fillId="0" borderId="13" xfId="0" applyNumberFormat="1" applyFont="1" applyBorder="1" applyAlignment="1">
      <alignment horizontal="center"/>
    </xf>
    <xf numFmtId="164" fontId="43" fillId="0" borderId="0" xfId="0" applyNumberFormat="1" applyFont="1" applyAlignment="1">
      <alignment horizontal="center"/>
    </xf>
    <xf numFmtId="4" fontId="23" fillId="0" borderId="7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textRotation="90" wrapText="1"/>
    </xf>
    <xf numFmtId="0" fontId="22" fillId="0" borderId="2" xfId="0" applyFont="1" applyBorder="1" applyAlignment="1">
      <alignment horizontal="center" textRotation="90" wrapText="1"/>
    </xf>
    <xf numFmtId="0" fontId="22" fillId="0" borderId="3" xfId="0" applyFont="1" applyBorder="1" applyAlignment="1">
      <alignment horizontal="center" textRotation="90" wrapText="1"/>
    </xf>
    <xf numFmtId="0" fontId="22" fillId="0" borderId="14" xfId="0" applyFont="1" applyBorder="1" applyAlignment="1">
      <alignment horizontal="center" textRotation="90" wrapText="1"/>
    </xf>
    <xf numFmtId="0" fontId="22" fillId="0" borderId="0" xfId="0" applyFont="1" applyAlignment="1">
      <alignment horizontal="center" textRotation="90" wrapText="1"/>
    </xf>
    <xf numFmtId="0" fontId="22" fillId="0" borderId="15" xfId="0" applyFont="1" applyBorder="1" applyAlignment="1">
      <alignment horizontal="center" textRotation="90" wrapText="1"/>
    </xf>
    <xf numFmtId="0" fontId="22" fillId="0" borderId="12" xfId="0" applyFont="1" applyBorder="1" applyAlignment="1">
      <alignment horizontal="center" textRotation="90" wrapText="1"/>
    </xf>
    <xf numFmtId="0" fontId="22" fillId="0" borderId="11" xfId="0" applyFont="1" applyBorder="1" applyAlignment="1">
      <alignment horizontal="center" textRotation="90" wrapText="1"/>
    </xf>
    <xf numFmtId="0" fontId="22" fillId="0" borderId="13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39" fillId="0" borderId="2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left" vertical="center"/>
    </xf>
    <xf numFmtId="0" fontId="42" fillId="0" borderId="5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0" fontId="42" fillId="0" borderId="7" xfId="0" applyFont="1" applyBorder="1" applyAlignment="1">
      <alignment horizontal="center" vertical="center" wrapText="1"/>
    </xf>
    <xf numFmtId="14" fontId="42" fillId="0" borderId="7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6" fillId="6" borderId="14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26" fillId="6" borderId="12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164" fontId="52" fillId="0" borderId="77" xfId="0" applyNumberFormat="1" applyFont="1" applyBorder="1" applyAlignment="1">
      <alignment horizontal="center"/>
    </xf>
    <xf numFmtId="0" fontId="28" fillId="6" borderId="2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44" fillId="0" borderId="22" xfId="0" applyFont="1" applyBorder="1" applyAlignment="1">
      <alignment horizontal="center"/>
    </xf>
    <xf numFmtId="0" fontId="45" fillId="0" borderId="22" xfId="0" applyFont="1" applyBorder="1" applyAlignment="1">
      <alignment horizontal="center" vertical="center"/>
    </xf>
    <xf numFmtId="2" fontId="55" fillId="0" borderId="15" xfId="0" applyNumberFormat="1" applyFont="1" applyBorder="1" applyAlignment="1">
      <alignment horizontal="center" vertical="center"/>
    </xf>
    <xf numFmtId="2" fontId="55" fillId="0" borderId="22" xfId="0" applyNumberFormat="1" applyFont="1" applyBorder="1" applyAlignment="1">
      <alignment horizontal="center" vertical="center"/>
    </xf>
    <xf numFmtId="2" fontId="55" fillId="0" borderId="86" xfId="0" applyNumberFormat="1" applyFont="1" applyBorder="1" applyAlignment="1">
      <alignment horizontal="center" vertical="center"/>
    </xf>
    <xf numFmtId="0" fontId="44" fillId="0" borderId="38" xfId="0" applyFont="1" applyBorder="1" applyAlignment="1">
      <alignment horizontal="center"/>
    </xf>
    <xf numFmtId="0" fontId="18" fillId="0" borderId="83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14" fontId="46" fillId="0" borderId="18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4" fillId="0" borderId="15" xfId="0" applyFont="1" applyBorder="1" applyAlignment="1">
      <alignment horizontal="left" vertical="center"/>
    </xf>
    <xf numFmtId="0" fontId="18" fillId="0" borderId="85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46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33" fillId="6" borderId="18" xfId="0" applyFont="1" applyFill="1" applyBorder="1" applyAlignment="1">
      <alignment horizontal="center"/>
    </xf>
    <xf numFmtId="0" fontId="33" fillId="6" borderId="19" xfId="0" applyFont="1" applyFill="1" applyBorder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20" xfId="0" applyFont="1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0" xfId="0" applyFill="1" applyAlignment="1">
      <alignment horizontal="center"/>
    </xf>
    <xf numFmtId="14" fontId="47" fillId="0" borderId="7" xfId="0" applyNumberFormat="1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30" fillId="0" borderId="27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0" fontId="48" fillId="0" borderId="28" xfId="0" applyFont="1" applyBorder="1" applyAlignment="1">
      <alignment horizontal="center" vertical="center"/>
    </xf>
    <xf numFmtId="14" fontId="47" fillId="0" borderId="28" xfId="0" applyNumberFormat="1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0" fillId="0" borderId="25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48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47" fillId="0" borderId="57" xfId="0" applyFont="1" applyBorder="1" applyAlignment="1">
      <alignment horizontal="left"/>
    </xf>
    <xf numFmtId="0" fontId="47" fillId="0" borderId="58" xfId="0" applyFont="1" applyBorder="1" applyAlignment="1">
      <alignment horizontal="left"/>
    </xf>
    <xf numFmtId="0" fontId="47" fillId="0" borderId="59" xfId="0" applyFont="1" applyBorder="1" applyAlignment="1">
      <alignment horizontal="left"/>
    </xf>
    <xf numFmtId="0" fontId="31" fillId="0" borderId="57" xfId="0" applyFont="1" applyBorder="1" applyAlignment="1">
      <alignment horizontal="left"/>
    </xf>
    <xf numFmtId="0" fontId="31" fillId="0" borderId="58" xfId="0" applyFont="1" applyBorder="1" applyAlignment="1">
      <alignment horizontal="left"/>
    </xf>
    <xf numFmtId="0" fontId="31" fillId="0" borderId="59" xfId="0" applyFont="1" applyBorder="1" applyAlignment="1">
      <alignment horizontal="left"/>
    </xf>
    <xf numFmtId="0" fontId="47" fillId="0" borderId="54" xfId="0" applyFont="1" applyBorder="1" applyAlignment="1">
      <alignment horizontal="left"/>
    </xf>
    <xf numFmtId="0" fontId="47" fillId="0" borderId="55" xfId="0" applyFont="1" applyBorder="1" applyAlignment="1">
      <alignment horizontal="left"/>
    </xf>
    <xf numFmtId="0" fontId="47" fillId="0" borderId="56" xfId="0" applyFont="1" applyBorder="1" applyAlignment="1">
      <alignment horizontal="left"/>
    </xf>
    <xf numFmtId="0" fontId="47" fillId="0" borderId="23" xfId="0" applyFont="1" applyBorder="1" applyAlignment="1">
      <alignment horizontal="center"/>
    </xf>
    <xf numFmtId="0" fontId="47" fillId="0" borderId="22" xfId="0" applyFont="1" applyBorder="1" applyAlignment="1">
      <alignment horizontal="center"/>
    </xf>
    <xf numFmtId="0" fontId="47" fillId="0" borderId="24" xfId="0" applyFont="1" applyBorder="1" applyAlignment="1">
      <alignment horizontal="center"/>
    </xf>
    <xf numFmtId="0" fontId="47" fillId="0" borderId="60" xfId="0" applyFont="1" applyBorder="1" applyAlignment="1">
      <alignment horizontal="left"/>
    </xf>
    <xf numFmtId="0" fontId="47" fillId="0" borderId="61" xfId="0" applyFont="1" applyBorder="1" applyAlignment="1">
      <alignment horizontal="left"/>
    </xf>
    <xf numFmtId="0" fontId="47" fillId="0" borderId="62" xfId="0" applyFont="1" applyBorder="1" applyAlignment="1">
      <alignment horizontal="left"/>
    </xf>
    <xf numFmtId="0" fontId="47" fillId="0" borderId="63" xfId="0" applyFont="1" applyBorder="1" applyAlignment="1">
      <alignment horizontal="left"/>
    </xf>
    <xf numFmtId="0" fontId="31" fillId="0" borderId="17" xfId="0" applyFont="1" applyBorder="1" applyAlignment="1">
      <alignment horizontal="left"/>
    </xf>
    <xf numFmtId="0" fontId="31" fillId="0" borderId="18" xfId="0" applyFont="1" applyBorder="1" applyAlignment="1">
      <alignment horizontal="left"/>
    </xf>
    <xf numFmtId="0" fontId="31" fillId="0" borderId="19" xfId="0" applyFont="1" applyBorder="1" applyAlignment="1">
      <alignment horizontal="left"/>
    </xf>
    <xf numFmtId="0" fontId="31" fillId="0" borderId="64" xfId="0" applyFont="1" applyBorder="1" applyAlignment="1">
      <alignment horizontal="center"/>
    </xf>
    <xf numFmtId="0" fontId="31" fillId="0" borderId="65" xfId="0" applyFont="1" applyBorder="1" applyAlignment="1">
      <alignment horizontal="center"/>
    </xf>
    <xf numFmtId="0" fontId="31" fillId="0" borderId="66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22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0" fontId="31" fillId="0" borderId="67" xfId="0" applyFont="1" applyBorder="1" applyAlignment="1">
      <alignment horizontal="left"/>
    </xf>
    <xf numFmtId="0" fontId="31" fillId="0" borderId="68" xfId="0" applyFont="1" applyBorder="1" applyAlignment="1">
      <alignment horizontal="left"/>
    </xf>
    <xf numFmtId="0" fontId="31" fillId="0" borderId="69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left" vertical="center" wrapText="1"/>
    </xf>
    <xf numFmtId="0" fontId="41" fillId="0" borderId="6" xfId="0" applyFont="1" applyBorder="1" applyAlignment="1">
      <alignment horizontal="left" vertical="center" wrapText="1"/>
    </xf>
    <xf numFmtId="0" fontId="33" fillId="6" borderId="11" xfId="0" applyFont="1" applyFill="1" applyBorder="1" applyAlignment="1">
      <alignment horizontal="center"/>
    </xf>
    <xf numFmtId="0" fontId="49" fillId="6" borderId="18" xfId="0" applyFont="1" applyFill="1" applyBorder="1" applyAlignment="1">
      <alignment horizontal="center" vertical="center"/>
    </xf>
    <xf numFmtId="0" fontId="49" fillId="6" borderId="11" xfId="0" applyFont="1" applyFill="1" applyBorder="1" applyAlignment="1">
      <alignment horizontal="center" vertical="center"/>
    </xf>
    <xf numFmtId="0" fontId="30" fillId="0" borderId="78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47" fillId="0" borderId="4" xfId="0" applyFont="1" applyBorder="1" applyAlignment="1">
      <alignment horizontal="left" vertical="center"/>
    </xf>
    <xf numFmtId="0" fontId="47" fillId="0" borderId="5" xfId="0" applyFont="1" applyBorder="1" applyAlignment="1">
      <alignment horizontal="left" vertical="center"/>
    </xf>
    <xf numFmtId="0" fontId="47" fillId="0" borderId="6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7" fillId="6" borderId="1" xfId="1" applyFont="1" applyFill="1" applyBorder="1" applyAlignment="1">
      <alignment horizontal="center" vertical="center"/>
    </xf>
    <xf numFmtId="0" fontId="37" fillId="6" borderId="2" xfId="1" applyFont="1" applyFill="1" applyBorder="1" applyAlignment="1">
      <alignment horizontal="center" vertical="center"/>
    </xf>
    <xf numFmtId="0" fontId="37" fillId="6" borderId="3" xfId="1" applyFont="1" applyFill="1" applyBorder="1" applyAlignment="1">
      <alignment horizontal="center" vertical="center"/>
    </xf>
    <xf numFmtId="0" fontId="37" fillId="6" borderId="14" xfId="1" applyFont="1" applyFill="1" applyBorder="1" applyAlignment="1">
      <alignment horizontal="center" vertical="center"/>
    </xf>
    <xf numFmtId="0" fontId="37" fillId="6" borderId="0" xfId="1" applyFont="1" applyFill="1" applyAlignment="1">
      <alignment horizontal="center" vertical="center"/>
    </xf>
    <xf numFmtId="0" fontId="37" fillId="6" borderId="15" xfId="1" applyFont="1" applyFill="1" applyBorder="1" applyAlignment="1">
      <alignment horizontal="center" vertical="center"/>
    </xf>
    <xf numFmtId="0" fontId="36" fillId="5" borderId="7" xfId="1" applyFont="1" applyFill="1" applyBorder="1" applyAlignment="1">
      <alignment horizontal="right" wrapText="1"/>
    </xf>
    <xf numFmtId="0" fontId="36" fillId="0" borderId="4" xfId="1" applyFont="1" applyBorder="1" applyAlignment="1">
      <alignment horizontal="center" wrapText="1"/>
    </xf>
    <xf numFmtId="0" fontId="36" fillId="0" borderId="5" xfId="1" applyFont="1" applyBorder="1" applyAlignment="1">
      <alignment horizontal="center" wrapText="1"/>
    </xf>
    <xf numFmtId="0" fontId="36" fillId="0" borderId="6" xfId="1" applyFont="1" applyBorder="1" applyAlignment="1">
      <alignment horizontal="center" wrapText="1"/>
    </xf>
    <xf numFmtId="49" fontId="36" fillId="0" borderId="4" xfId="1" applyNumberFormat="1" applyFont="1" applyBorder="1" applyAlignment="1">
      <alignment horizontal="center" wrapText="1"/>
    </xf>
    <xf numFmtId="49" fontId="36" fillId="0" borderId="5" xfId="1" applyNumberFormat="1" applyFont="1" applyBorder="1" applyAlignment="1">
      <alignment horizontal="center" wrapText="1"/>
    </xf>
    <xf numFmtId="49" fontId="36" fillId="0" borderId="6" xfId="1" applyNumberFormat="1" applyFont="1" applyBorder="1" applyAlignment="1">
      <alignment horizontal="center" wrapText="1"/>
    </xf>
    <xf numFmtId="0" fontId="36" fillId="5" borderId="4" xfId="1" applyFont="1" applyFill="1" applyBorder="1" applyAlignment="1">
      <alignment horizontal="center"/>
    </xf>
    <xf numFmtId="0" fontId="36" fillId="5" borderId="5" xfId="1" applyFont="1" applyFill="1" applyBorder="1" applyAlignment="1">
      <alignment horizontal="center"/>
    </xf>
    <xf numFmtId="0" fontId="36" fillId="5" borderId="6" xfId="1" applyFont="1" applyFill="1" applyBorder="1" applyAlignment="1">
      <alignment horizontal="center"/>
    </xf>
    <xf numFmtId="0" fontId="36" fillId="5" borderId="8" xfId="1" applyFont="1" applyFill="1" applyBorder="1" applyAlignment="1">
      <alignment horizontal="center" vertical="center" wrapText="1"/>
    </xf>
    <xf numFmtId="0" fontId="36" fillId="5" borderId="9" xfId="1" applyFont="1" applyFill="1" applyBorder="1" applyAlignment="1">
      <alignment horizontal="center" vertical="center" wrapText="1"/>
    </xf>
    <xf numFmtId="0" fontId="36" fillId="5" borderId="10" xfId="1" applyFont="1" applyFill="1" applyBorder="1" applyAlignment="1">
      <alignment horizontal="center" vertical="center" wrapText="1"/>
    </xf>
    <xf numFmtId="0" fontId="36" fillId="0" borderId="4" xfId="1" applyFont="1" applyBorder="1" applyAlignment="1">
      <alignment horizontal="left"/>
    </xf>
    <xf numFmtId="0" fontId="36" fillId="0" borderId="6" xfId="1" applyFont="1" applyBorder="1" applyAlignment="1">
      <alignment horizontal="left"/>
    </xf>
    <xf numFmtId="0" fontId="36" fillId="0" borderId="4" xfId="1" applyFont="1" applyBorder="1" applyAlignment="1">
      <alignment horizontal="center" vertical="center"/>
    </xf>
    <xf numFmtId="0" fontId="36" fillId="0" borderId="6" xfId="1" applyFont="1" applyBorder="1" applyAlignment="1">
      <alignment horizontal="center" vertical="center"/>
    </xf>
    <xf numFmtId="0" fontId="36" fillId="0" borderId="1" xfId="1" applyFont="1" applyBorder="1" applyAlignment="1">
      <alignment horizontal="center" vertical="center" wrapText="1"/>
    </xf>
    <xf numFmtId="0" fontId="36" fillId="0" borderId="3" xfId="1" applyFont="1" applyBorder="1" applyAlignment="1">
      <alignment horizontal="center" vertical="center" wrapText="1"/>
    </xf>
    <xf numFmtId="0" fontId="36" fillId="0" borderId="14" xfId="1" applyFont="1" applyBorder="1" applyAlignment="1">
      <alignment horizontal="center" vertical="center" wrapText="1"/>
    </xf>
    <xf numFmtId="0" fontId="36" fillId="0" borderId="15" xfId="1" applyFont="1" applyBorder="1" applyAlignment="1">
      <alignment horizontal="center" vertical="center" wrapText="1"/>
    </xf>
    <xf numFmtId="0" fontId="36" fillId="0" borderId="12" xfId="1" applyFont="1" applyBorder="1" applyAlignment="1">
      <alignment horizontal="center" vertical="center" wrapText="1"/>
    </xf>
    <xf numFmtId="0" fontId="36" fillId="0" borderId="13" xfId="1" applyFont="1" applyBorder="1" applyAlignment="1">
      <alignment horizontal="center" vertical="center" wrapText="1"/>
    </xf>
    <xf numFmtId="0" fontId="36" fillId="0" borderId="4" xfId="1" applyFont="1" applyBorder="1" applyAlignment="1">
      <alignment horizontal="center"/>
    </xf>
    <xf numFmtId="0" fontId="36" fillId="0" borderId="6" xfId="1" applyFont="1" applyBorder="1" applyAlignment="1">
      <alignment horizontal="center"/>
    </xf>
    <xf numFmtId="14" fontId="36" fillId="0" borderId="4" xfId="1" applyNumberFormat="1" applyFont="1" applyBorder="1" applyAlignment="1">
      <alignment horizontal="center" vertical="center"/>
    </xf>
    <xf numFmtId="0" fontId="36" fillId="5" borderId="4" xfId="1" applyFont="1" applyFill="1" applyBorder="1" applyAlignment="1">
      <alignment horizontal="center" vertical="center" wrapText="1"/>
    </xf>
    <xf numFmtId="0" fontId="36" fillId="5" borderId="6" xfId="1" applyFont="1" applyFill="1" applyBorder="1" applyAlignment="1">
      <alignment horizontal="center" vertical="center" wrapText="1"/>
    </xf>
    <xf numFmtId="0" fontId="18" fillId="0" borderId="4" xfId="1" applyFont="1" applyBorder="1" applyAlignment="1">
      <alignment horizontal="left" vertical="center" wrapText="1"/>
    </xf>
    <xf numFmtId="0" fontId="18" fillId="0" borderId="6" xfId="1" applyFont="1" applyBorder="1" applyAlignment="1">
      <alignment horizontal="left" vertical="center" wrapText="1"/>
    </xf>
    <xf numFmtId="0" fontId="24" fillId="0" borderId="4" xfId="1" applyFont="1" applyBorder="1" applyAlignment="1">
      <alignment horizontal="left" vertical="center" wrapText="1"/>
    </xf>
    <xf numFmtId="0" fontId="24" fillId="0" borderId="6" xfId="1" applyFont="1" applyBorder="1" applyAlignment="1">
      <alignment horizontal="left" vertical="center" wrapText="1"/>
    </xf>
    <xf numFmtId="0" fontId="24" fillId="0" borderId="4" xfId="1" applyFont="1" applyBorder="1" applyAlignment="1">
      <alignment horizontal="center" vertical="center" wrapText="1"/>
    </xf>
    <xf numFmtId="0" fontId="24" fillId="0" borderId="6" xfId="1" applyFont="1" applyBorder="1" applyAlignment="1">
      <alignment horizontal="center" vertical="center" wrapText="1"/>
    </xf>
    <xf numFmtId="0" fontId="37" fillId="6" borderId="0" xfId="0" applyFont="1" applyFill="1" applyAlignment="1">
      <alignment horizontal="center" vertical="center" wrapText="1"/>
    </xf>
    <xf numFmtId="0" fontId="63" fillId="0" borderId="7" xfId="0" applyFont="1" applyBorder="1" applyAlignment="1">
      <alignment horizontal="center" vertical="center"/>
    </xf>
    <xf numFmtId="0" fontId="63" fillId="0" borderId="7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63" fillId="0" borderId="7" xfId="0" applyFont="1" applyBorder="1" applyAlignment="1">
      <alignment vertical="center"/>
    </xf>
    <xf numFmtId="0" fontId="65" fillId="0" borderId="7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 wrapText="1"/>
    </xf>
    <xf numFmtId="0" fontId="65" fillId="0" borderId="7" xfId="0" applyFont="1" applyBorder="1" applyAlignment="1">
      <alignment horizontal="center" vertical="center" wrapText="1"/>
    </xf>
    <xf numFmtId="0" fontId="66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65" fillId="0" borderId="7" xfId="0" applyFont="1" applyBorder="1" applyAlignment="1">
      <alignment vertical="center"/>
    </xf>
    <xf numFmtId="2" fontId="66" fillId="0" borderId="7" xfId="0" applyNumberFormat="1" applyFont="1" applyBorder="1" applyAlignment="1">
      <alignment horizontal="center" vertical="center"/>
    </xf>
    <xf numFmtId="0" fontId="63" fillId="0" borderId="7" xfId="0" applyFont="1" applyBorder="1" applyAlignment="1">
      <alignment horizontal="center" vertical="center"/>
    </xf>
    <xf numFmtId="164" fontId="41" fillId="0" borderId="7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horizontal="left" vertical="center" wrapText="1"/>
    </xf>
    <xf numFmtId="0" fontId="63" fillId="0" borderId="7" xfId="0" applyFont="1" applyBorder="1" applyAlignment="1">
      <alignment horizontal="center" vertical="top" wrapText="1"/>
    </xf>
    <xf numFmtId="0" fontId="63" fillId="0" borderId="7" xfId="0" applyFont="1" applyBorder="1" applyAlignment="1">
      <alignment horizontal="left" vertical="top" wrapText="1"/>
    </xf>
    <xf numFmtId="0" fontId="61" fillId="3" borderId="7" xfId="0" applyFont="1" applyFill="1" applyBorder="1" applyAlignment="1">
      <alignment horizontal="center" vertical="center" wrapText="1"/>
    </xf>
    <xf numFmtId="0" fontId="67" fillId="0" borderId="7" xfId="0" applyFont="1" applyBorder="1" applyAlignment="1">
      <alignment horizontal="center" vertical="center"/>
    </xf>
    <xf numFmtId="0" fontId="68" fillId="0" borderId="7" xfId="0" applyFont="1" applyBorder="1" applyAlignment="1">
      <alignment horizontal="center" vertical="center"/>
    </xf>
    <xf numFmtId="0" fontId="69" fillId="0" borderId="7" xfId="0" applyFont="1" applyBorder="1" applyAlignment="1">
      <alignment horizontal="center"/>
    </xf>
    <xf numFmtId="0" fontId="69" fillId="0" borderId="7" xfId="0" applyFont="1" applyBorder="1" applyAlignment="1">
      <alignment horizontal="center" vertical="center"/>
    </xf>
    <xf numFmtId="0" fontId="69" fillId="0" borderId="7" xfId="0" applyFont="1" applyBorder="1" applyAlignment="1">
      <alignment horizontal="left" vertical="center"/>
    </xf>
    <xf numFmtId="0" fontId="69" fillId="0" borderId="7" xfId="0" applyFont="1" applyBorder="1"/>
    <xf numFmtId="0" fontId="69" fillId="0" borderId="7" xfId="0" applyFont="1" applyBorder="1" applyAlignment="1">
      <alignment horizontal="left" vertical="center" wrapText="1"/>
    </xf>
    <xf numFmtId="0" fontId="7" fillId="0" borderId="90" xfId="0" applyFont="1" applyBorder="1"/>
    <xf numFmtId="0" fontId="7" fillId="0" borderId="91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0" fillId="3" borderId="7" xfId="0" applyFont="1" applyFill="1" applyBorder="1" applyAlignment="1">
      <alignment horizontal="center" vertical="center"/>
    </xf>
    <xf numFmtId="0" fontId="41" fillId="0" borderId="4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63" fillId="0" borderId="8" xfId="0" applyFont="1" applyBorder="1" applyAlignment="1">
      <alignment horizontal="center" vertical="center" wrapText="1"/>
    </xf>
    <xf numFmtId="0" fontId="63" fillId="0" borderId="8" xfId="0" applyFont="1" applyBorder="1" applyAlignment="1">
      <alignment vertical="center"/>
    </xf>
    <xf numFmtId="0" fontId="41" fillId="0" borderId="8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63" fillId="0" borderId="4" xfId="0" applyFont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 textRotation="90" wrapText="1"/>
    </xf>
    <xf numFmtId="0" fontId="28" fillId="6" borderId="2" xfId="0" applyFont="1" applyFill="1" applyBorder="1" applyAlignment="1">
      <alignment vertical="center"/>
    </xf>
    <xf numFmtId="0" fontId="0" fillId="0" borderId="0" xfId="0" applyBorder="1"/>
    <xf numFmtId="0" fontId="0" fillId="0" borderId="92" xfId="0" applyBorder="1"/>
    <xf numFmtId="0" fontId="0" fillId="0" borderId="93" xfId="0" applyBorder="1"/>
    <xf numFmtId="0" fontId="0" fillId="0" borderId="94" xfId="0" applyBorder="1"/>
    <xf numFmtId="14" fontId="46" fillId="0" borderId="19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14" fontId="46" fillId="0" borderId="0" xfId="0" applyNumberFormat="1" applyFont="1" applyBorder="1" applyAlignment="1">
      <alignment horizontal="center" vertical="center"/>
    </xf>
    <xf numFmtId="14" fontId="46" fillId="0" borderId="20" xfId="0" applyNumberFormat="1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14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5" fillId="0" borderId="0" xfId="0" quotePrefix="1" applyFont="1" applyBorder="1" applyAlignment="1">
      <alignment horizontal="center" vertical="center"/>
    </xf>
    <xf numFmtId="2" fontId="55" fillId="0" borderId="0" xfId="0" applyNumberFormat="1" applyFont="1" applyBorder="1" applyAlignment="1">
      <alignment horizontal="center" vertical="center" wrapText="1"/>
    </xf>
    <xf numFmtId="164" fontId="52" fillId="0" borderId="0" xfId="0" applyNumberFormat="1" applyFont="1" applyBorder="1" applyAlignment="1">
      <alignment horizontal="center"/>
    </xf>
    <xf numFmtId="164" fontId="53" fillId="0" borderId="0" xfId="0" applyNumberFormat="1" applyFont="1" applyBorder="1"/>
  </cellXfs>
  <cellStyles count="3">
    <cellStyle name="Обычный" xfId="0" builtinId="0"/>
    <cellStyle name="Обычный 2" xfId="1" xr:uid="{371EBAA5-2AB1-40EE-BDF1-A3E5AABD1543}"/>
    <cellStyle name="Процентный" xfId="2" builtinId="5"/>
  </cellStyles>
  <dxfs count="0"/>
  <tableStyles count="0" defaultTableStyle="TableStyleMedium2" defaultPivotStyle="PivotStyleLight16"/>
  <colors>
    <mruColors>
      <color rgb="FFFFCC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1.pn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16711</xdr:colOff>
      <xdr:row>0</xdr:row>
      <xdr:rowOff>28141</xdr:rowOff>
    </xdr:from>
    <xdr:to>
      <xdr:col>18</xdr:col>
      <xdr:colOff>23896</xdr:colOff>
      <xdr:row>0</xdr:row>
      <xdr:rowOff>829011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F909149-A1AC-2689-823A-C439E4DD6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11" y="28141"/>
          <a:ext cx="4819817" cy="800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107027</xdr:colOff>
      <xdr:row>17</xdr:row>
      <xdr:rowOff>38082</xdr:rowOff>
    </xdr:from>
    <xdr:to>
      <xdr:col>11</xdr:col>
      <xdr:colOff>15529</xdr:colOff>
      <xdr:row>17</xdr:row>
      <xdr:rowOff>196884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DE3D71D4-1C43-43B4-9AD9-967B5C03ADCD}"/>
            </a:ext>
          </a:extLst>
        </xdr:cNvPr>
        <xdr:cNvSpPr/>
      </xdr:nvSpPr>
      <xdr:spPr>
        <a:xfrm>
          <a:off x="4526627" y="4181457"/>
          <a:ext cx="270452" cy="15880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99609</xdr:colOff>
      <xdr:row>17</xdr:row>
      <xdr:rowOff>337721</xdr:rowOff>
    </xdr:from>
    <xdr:to>
      <xdr:col>11</xdr:col>
      <xdr:colOff>29448</xdr:colOff>
      <xdr:row>17</xdr:row>
      <xdr:rowOff>343674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211CD07B-E364-4BBC-8324-4E78C181F09C}"/>
            </a:ext>
          </a:extLst>
        </xdr:cNvPr>
        <xdr:cNvCxnSpPr/>
      </xdr:nvCxnSpPr>
      <xdr:spPr>
        <a:xfrm flipV="1">
          <a:off x="4747809" y="4521101"/>
          <a:ext cx="295599" cy="595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152348</xdr:colOff>
      <xdr:row>17</xdr:row>
      <xdr:rowOff>445767</xdr:rowOff>
    </xdr:from>
    <xdr:to>
      <xdr:col>10</xdr:col>
      <xdr:colOff>154687</xdr:colOff>
      <xdr:row>17</xdr:row>
      <xdr:rowOff>555719</xdr:rowOff>
    </xdr:to>
    <xdr:grpSp>
      <xdr:nvGrpSpPr>
        <xdr:cNvPr id="23" name="Группа 22">
          <a:extLst>
            <a:ext uri="{FF2B5EF4-FFF2-40B4-BE49-F238E27FC236}">
              <a16:creationId xmlns:a16="http://schemas.microsoft.com/office/drawing/2014/main" id="{6B0AF962-83B4-4569-AC84-ED7D66FB992D}"/>
            </a:ext>
          </a:extLst>
        </xdr:cNvPr>
        <xdr:cNvGrpSpPr/>
      </xdr:nvGrpSpPr>
      <xdr:grpSpPr>
        <a:xfrm>
          <a:off x="6750153" y="8483938"/>
          <a:ext cx="188193" cy="109952"/>
          <a:chOff x="6140123" y="3967975"/>
          <a:chExt cx="183548" cy="109952"/>
        </a:xfrm>
      </xdr:grpSpPr>
      <xdr:cxnSp macro="">
        <xdr:nvCxnSpPr>
          <xdr:cNvPr id="17" name="Прямая соединительная линия 16">
            <a:extLst>
              <a:ext uri="{FF2B5EF4-FFF2-40B4-BE49-F238E27FC236}">
                <a16:creationId xmlns:a16="http://schemas.microsoft.com/office/drawing/2014/main" id="{F2172ED3-B091-448E-BFA3-07C563CA9E0C}"/>
              </a:ext>
            </a:extLst>
          </xdr:cNvPr>
          <xdr:cNvCxnSpPr/>
        </xdr:nvCxnSpPr>
        <xdr:spPr>
          <a:xfrm flipV="1">
            <a:off x="6140123" y="3967975"/>
            <a:ext cx="178901" cy="10995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Прямая соединительная линия 18">
            <a:extLst>
              <a:ext uri="{FF2B5EF4-FFF2-40B4-BE49-F238E27FC236}">
                <a16:creationId xmlns:a16="http://schemas.microsoft.com/office/drawing/2014/main" id="{C6DB594B-EBE2-4C95-BFD5-E24DA86DC23A}"/>
              </a:ext>
            </a:extLst>
          </xdr:cNvPr>
          <xdr:cNvCxnSpPr/>
        </xdr:nvCxnSpPr>
        <xdr:spPr>
          <a:xfrm>
            <a:off x="6151756" y="3977268"/>
            <a:ext cx="171915" cy="9292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92927</xdr:colOff>
      <xdr:row>0</xdr:row>
      <xdr:rowOff>145959</xdr:rowOff>
    </xdr:from>
    <xdr:to>
      <xdr:col>1</xdr:col>
      <xdr:colOff>2525979</xdr:colOff>
      <xdr:row>2</xdr:row>
      <xdr:rowOff>154878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95270697-69C1-489D-8C0A-0C17C3606C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13"/>
        <a:stretch/>
      </xdr:blipFill>
      <xdr:spPr>
        <a:xfrm>
          <a:off x="92927" y="145959"/>
          <a:ext cx="2711832" cy="1201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103586</xdr:colOff>
      <xdr:row>31</xdr:row>
      <xdr:rowOff>139899</xdr:rowOff>
    </xdr:from>
    <xdr:to>
      <xdr:col>46</xdr:col>
      <xdr:colOff>10717</xdr:colOff>
      <xdr:row>33</xdr:row>
      <xdr:rowOff>44649</xdr:rowOff>
    </xdr:to>
    <xdr:sp macro="" textlink="">
      <xdr:nvSpPr>
        <xdr:cNvPr id="2" name="Крест 1">
          <a:extLst>
            <a:ext uri="{FF2B5EF4-FFF2-40B4-BE49-F238E27FC236}">
              <a16:creationId xmlns:a16="http://schemas.microsoft.com/office/drawing/2014/main" id="{3CB6C6FA-5887-4CEC-9653-39C7D7F761FB}"/>
            </a:ext>
          </a:extLst>
        </xdr:cNvPr>
        <xdr:cNvSpPr/>
      </xdr:nvSpPr>
      <xdr:spPr>
        <a:xfrm>
          <a:off x="7592207" y="6818347"/>
          <a:ext cx="301269" cy="255095"/>
        </a:xfrm>
        <a:prstGeom prst="plus">
          <a:avLst>
            <a:gd name="adj" fmla="val 32143"/>
          </a:avLst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39</xdr:col>
      <xdr:colOff>154777</xdr:colOff>
      <xdr:row>31</xdr:row>
      <xdr:rowOff>121608</xdr:rowOff>
    </xdr:from>
    <xdr:to>
      <xdr:col>41</xdr:col>
      <xdr:colOff>60390</xdr:colOff>
      <xdr:row>33</xdr:row>
      <xdr:rowOff>27220</xdr:rowOff>
    </xdr:to>
    <xdr:sp macro="" textlink="">
      <xdr:nvSpPr>
        <xdr:cNvPr id="3" name="Ромб 2">
          <a:extLst>
            <a:ext uri="{FF2B5EF4-FFF2-40B4-BE49-F238E27FC236}">
              <a16:creationId xmlns:a16="http://schemas.microsoft.com/office/drawing/2014/main" id="{46776840-2086-4F62-BF84-47B899C0C7A0}"/>
            </a:ext>
          </a:extLst>
        </xdr:cNvPr>
        <xdr:cNvSpPr/>
      </xdr:nvSpPr>
      <xdr:spPr>
        <a:xfrm>
          <a:off x="6126952" y="6722433"/>
          <a:ext cx="267563" cy="267562"/>
        </a:xfrm>
        <a:prstGeom prst="diamond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49</xdr:col>
      <xdr:colOff>95246</xdr:colOff>
      <xdr:row>31</xdr:row>
      <xdr:rowOff>122038</xdr:rowOff>
    </xdr:from>
    <xdr:to>
      <xdr:col>50</xdr:col>
      <xdr:colOff>178592</xdr:colOff>
      <xdr:row>33</xdr:row>
      <xdr:rowOff>26788</xdr:rowOff>
    </xdr:to>
    <xdr:grpSp>
      <xdr:nvGrpSpPr>
        <xdr:cNvPr id="4" name="Группа 3">
          <a:extLst>
            <a:ext uri="{FF2B5EF4-FFF2-40B4-BE49-F238E27FC236}">
              <a16:creationId xmlns:a16="http://schemas.microsoft.com/office/drawing/2014/main" id="{5D9D1D44-F38B-4388-B56F-083D394C66A4}"/>
            </a:ext>
          </a:extLst>
        </xdr:cNvPr>
        <xdr:cNvGrpSpPr/>
      </xdr:nvGrpSpPr>
      <xdr:grpSpPr>
        <a:xfrm>
          <a:off x="10175871" y="6789538"/>
          <a:ext cx="273846" cy="254000"/>
          <a:chOff x="4029072" y="6649045"/>
          <a:chExt cx="264320" cy="266700"/>
        </a:xfrm>
      </xdr:grpSpPr>
      <xdr:sp macro="" textlink="">
        <xdr:nvSpPr>
          <xdr:cNvPr id="5" name="Овал 4">
            <a:extLst>
              <a:ext uri="{FF2B5EF4-FFF2-40B4-BE49-F238E27FC236}">
                <a16:creationId xmlns:a16="http://schemas.microsoft.com/office/drawing/2014/main" id="{B186D72A-BAA7-48F1-9669-44C6084E8F7B}"/>
              </a:ext>
            </a:extLst>
          </xdr:cNvPr>
          <xdr:cNvSpPr/>
        </xdr:nvSpPr>
        <xdr:spPr>
          <a:xfrm>
            <a:off x="4029072" y="6649045"/>
            <a:ext cx="264320" cy="266700"/>
          </a:xfrm>
          <a:prstGeom prst="ellipse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4519EF26-7C7B-429B-B759-7591DC28F2ED}"/>
              </a:ext>
            </a:extLst>
          </xdr:cNvPr>
          <xdr:cNvCxnSpPr>
            <a:stCxn id="5" idx="3"/>
            <a:endCxn id="5" idx="7"/>
          </xdr:cNvCxnSpPr>
        </xdr:nvCxnSpPr>
        <xdr:spPr>
          <a:xfrm flipV="1">
            <a:off x="4067781" y="6688102"/>
            <a:ext cx="186902" cy="18858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Прямая соединительная линия 6">
            <a:extLst>
              <a:ext uri="{FF2B5EF4-FFF2-40B4-BE49-F238E27FC236}">
                <a16:creationId xmlns:a16="http://schemas.microsoft.com/office/drawing/2014/main" id="{5B04A27C-1326-490B-B758-CC366D1427B8}"/>
              </a:ext>
            </a:extLst>
          </xdr:cNvPr>
          <xdr:cNvCxnSpPr>
            <a:stCxn id="5" idx="2"/>
            <a:endCxn id="5" idx="0"/>
          </xdr:cNvCxnSpPr>
        </xdr:nvCxnSpPr>
        <xdr:spPr>
          <a:xfrm flipV="1">
            <a:off x="4029072" y="6649045"/>
            <a:ext cx="132160" cy="133350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Прямая соединительная линия 7">
            <a:extLst>
              <a:ext uri="{FF2B5EF4-FFF2-40B4-BE49-F238E27FC236}">
                <a16:creationId xmlns:a16="http://schemas.microsoft.com/office/drawing/2014/main" id="{DD688CA1-6F44-4B81-A6AC-5F04D39D7266}"/>
              </a:ext>
            </a:extLst>
          </xdr:cNvPr>
          <xdr:cNvCxnSpPr>
            <a:stCxn id="5" idx="4"/>
            <a:endCxn id="5" idx="6"/>
          </xdr:cNvCxnSpPr>
        </xdr:nvCxnSpPr>
        <xdr:spPr>
          <a:xfrm flipV="1">
            <a:off x="4161232" y="6782395"/>
            <a:ext cx="132160" cy="133350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Прямая соединительная линия 8">
            <a:extLst>
              <a:ext uri="{FF2B5EF4-FFF2-40B4-BE49-F238E27FC236}">
                <a16:creationId xmlns:a16="http://schemas.microsoft.com/office/drawing/2014/main" id="{F81E6121-A14D-446B-9702-59EFD91BBE5D}"/>
              </a:ext>
            </a:extLst>
          </xdr:cNvPr>
          <xdr:cNvCxnSpPr/>
        </xdr:nvCxnSpPr>
        <xdr:spPr>
          <a:xfrm flipV="1">
            <a:off x="4037209" y="6663335"/>
            <a:ext cx="176408" cy="17799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Прямая соединительная линия 9">
            <a:extLst>
              <a:ext uri="{FF2B5EF4-FFF2-40B4-BE49-F238E27FC236}">
                <a16:creationId xmlns:a16="http://schemas.microsoft.com/office/drawing/2014/main" id="{83A7D49F-9A0F-4F5A-AB85-CDD825CB5EEE}"/>
              </a:ext>
            </a:extLst>
          </xdr:cNvPr>
          <xdr:cNvCxnSpPr/>
        </xdr:nvCxnSpPr>
        <xdr:spPr>
          <a:xfrm flipV="1">
            <a:off x="4111228" y="6727031"/>
            <a:ext cx="175228" cy="176806"/>
          </a:xfrm>
          <a:prstGeom prst="line">
            <a:avLst/>
          </a:prstGeom>
          <a:ln w="635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17600</xdr:colOff>
      <xdr:row>31</xdr:row>
      <xdr:rowOff>152192</xdr:rowOff>
    </xdr:from>
    <xdr:to>
      <xdr:col>31</xdr:col>
      <xdr:colOff>133557</xdr:colOff>
      <xdr:row>33</xdr:row>
      <xdr:rowOff>39859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02EE95F1-CD1D-4B81-AFEA-37B38BB881F9}"/>
            </a:ext>
          </a:extLst>
        </xdr:cNvPr>
        <xdr:cNvCxnSpPr/>
      </xdr:nvCxnSpPr>
      <xdr:spPr>
        <a:xfrm flipV="1">
          <a:off x="4180025" y="6753017"/>
          <a:ext cx="477907" cy="249617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17601</xdr:colOff>
      <xdr:row>31</xdr:row>
      <xdr:rowOff>158145</xdr:rowOff>
    </xdr:from>
    <xdr:to>
      <xdr:col>36</xdr:col>
      <xdr:colOff>133557</xdr:colOff>
      <xdr:row>33</xdr:row>
      <xdr:rowOff>45812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29E6EA8F-DC46-481C-9545-D12B6E2F40C9}"/>
            </a:ext>
          </a:extLst>
        </xdr:cNvPr>
        <xdr:cNvCxnSpPr/>
      </xdr:nvCxnSpPr>
      <xdr:spPr>
        <a:xfrm flipV="1">
          <a:off x="5535532" y="6836593"/>
          <a:ext cx="510094" cy="238012"/>
        </a:xfrm>
        <a:prstGeom prst="straightConnector1">
          <a:avLst/>
        </a:prstGeom>
        <a:ln w="6350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19758</xdr:colOff>
      <xdr:row>20</xdr:row>
      <xdr:rowOff>9774</xdr:rowOff>
    </xdr:from>
    <xdr:to>
      <xdr:col>41</xdr:col>
      <xdr:colOff>34816</xdr:colOff>
      <xdr:row>21</xdr:row>
      <xdr:rowOff>71377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2B0BA1F-3E60-4E47-8425-FFAFAEFB8C46}"/>
            </a:ext>
          </a:extLst>
        </xdr:cNvPr>
        <xdr:cNvSpPr txBox="1"/>
      </xdr:nvSpPr>
      <xdr:spPr>
        <a:xfrm>
          <a:off x="7086843" y="3996335"/>
          <a:ext cx="377473" cy="242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 sz="900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9285</xdr:rowOff>
    </xdr:from>
    <xdr:to>
      <xdr:col>11</xdr:col>
      <xdr:colOff>59457</xdr:colOff>
      <xdr:row>1</xdr:row>
      <xdr:rowOff>1260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862E300F-7A62-4B0D-9CC3-C9F1F1486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85"/>
          <a:ext cx="2228306" cy="3976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252042</xdr:colOff>
      <xdr:row>18</xdr:row>
      <xdr:rowOff>352168</xdr:rowOff>
    </xdr:from>
    <xdr:to>
      <xdr:col>17</xdr:col>
      <xdr:colOff>501592</xdr:colOff>
      <xdr:row>18</xdr:row>
      <xdr:rowOff>467439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9B5C9EC2-E90E-4BC2-848C-DEC48AD1195A}"/>
            </a:ext>
          </a:extLst>
        </xdr:cNvPr>
        <xdr:cNvSpPr/>
      </xdr:nvSpPr>
      <xdr:spPr>
        <a:xfrm rot="21287971">
          <a:off x="12345906" y="11176032"/>
          <a:ext cx="249550" cy="115271"/>
        </a:xfrm>
        <a:prstGeom prst="ellipse">
          <a:avLst/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268464</xdr:colOff>
      <xdr:row>19</xdr:row>
      <xdr:rowOff>90990</xdr:rowOff>
    </xdr:from>
    <xdr:to>
      <xdr:col>17</xdr:col>
      <xdr:colOff>485170</xdr:colOff>
      <xdr:row>19</xdr:row>
      <xdr:rowOff>126709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3908E0DC-3508-4C6C-86A1-924E5897EFEC}"/>
            </a:ext>
          </a:extLst>
        </xdr:cNvPr>
        <xdr:cNvCxnSpPr/>
      </xdr:nvCxnSpPr>
      <xdr:spPr>
        <a:xfrm flipV="1">
          <a:off x="12362328" y="11477695"/>
          <a:ext cx="216706" cy="35719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 editAs="oneCell">
    <xdr:from>
      <xdr:col>0</xdr:col>
      <xdr:colOff>89646</xdr:colOff>
      <xdr:row>0</xdr:row>
      <xdr:rowOff>298504</xdr:rowOff>
    </xdr:from>
    <xdr:to>
      <xdr:col>1</xdr:col>
      <xdr:colOff>2845995</xdr:colOff>
      <xdr:row>2</xdr:row>
      <xdr:rowOff>226786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6AAC517-3013-7BAC-9C3B-6310DB4A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6" y="298504"/>
          <a:ext cx="3028492" cy="1198282"/>
        </a:xfrm>
        <a:prstGeom prst="rect">
          <a:avLst/>
        </a:prstGeom>
      </xdr:spPr>
    </xdr:pic>
    <xdr:clientData/>
  </xdr:twoCellAnchor>
  <xdr:twoCellAnchor>
    <xdr:from>
      <xdr:col>17</xdr:col>
      <xdr:colOff>221675</xdr:colOff>
      <xdr:row>19</xdr:row>
      <xdr:rowOff>194829</xdr:rowOff>
    </xdr:from>
    <xdr:to>
      <xdr:col>17</xdr:col>
      <xdr:colOff>531959</xdr:colOff>
      <xdr:row>19</xdr:row>
      <xdr:rowOff>533976</xdr:rowOff>
    </xdr:to>
    <xdr:sp macro="" textlink="">
      <xdr:nvSpPr>
        <xdr:cNvPr id="2" name="Знак умножения 1">
          <a:extLst>
            <a:ext uri="{FF2B5EF4-FFF2-40B4-BE49-F238E27FC236}">
              <a16:creationId xmlns:a16="http://schemas.microsoft.com/office/drawing/2014/main" id="{84463D13-D51B-7E24-A45E-764BF2532429}"/>
            </a:ext>
          </a:extLst>
        </xdr:cNvPr>
        <xdr:cNvSpPr/>
      </xdr:nvSpPr>
      <xdr:spPr>
        <a:xfrm>
          <a:off x="12315539" y="11581534"/>
          <a:ext cx="310284" cy="339147"/>
        </a:xfrm>
        <a:prstGeom prst="mathMultiply">
          <a:avLst>
            <a:gd name="adj1" fmla="val 2590"/>
          </a:avLst>
        </a:prstGeom>
        <a:noFill/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567488</xdr:colOff>
      <xdr:row>18</xdr:row>
      <xdr:rowOff>85587</xdr:rowOff>
    </xdr:from>
    <xdr:to>
      <xdr:col>13</xdr:col>
      <xdr:colOff>61290</xdr:colOff>
      <xdr:row>18</xdr:row>
      <xdr:rowOff>112604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7E1EDD76-F283-46C7-8472-CE9462B4963D}"/>
            </a:ext>
          </a:extLst>
        </xdr:cNvPr>
        <xdr:cNvCxnSpPr/>
      </xdr:nvCxnSpPr>
      <xdr:spPr>
        <a:xfrm flipV="1">
          <a:off x="3135097" y="2943087"/>
          <a:ext cx="294454" cy="27017"/>
        </a:xfrm>
        <a:prstGeom prst="line">
          <a:avLst/>
        </a:prstGeom>
        <a:noFill/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 editAs="oneCell">
    <xdr:from>
      <xdr:col>0</xdr:col>
      <xdr:colOff>26504</xdr:colOff>
      <xdr:row>0</xdr:row>
      <xdr:rowOff>9525</xdr:rowOff>
    </xdr:from>
    <xdr:to>
      <xdr:col>10</xdr:col>
      <xdr:colOff>125141</xdr:colOff>
      <xdr:row>1</xdr:row>
      <xdr:rowOff>1785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E8FEF92-DE34-40A6-B7A2-0E384F490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04" y="9525"/>
          <a:ext cx="2295737" cy="4284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406174</xdr:colOff>
      <xdr:row>6</xdr:row>
      <xdr:rowOff>243568</xdr:rowOff>
    </xdr:from>
    <xdr:to>
      <xdr:col>11</xdr:col>
      <xdr:colOff>1353911</xdr:colOff>
      <xdr:row>6</xdr:row>
      <xdr:rowOff>243568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069D26CF-5191-473B-89F4-1761B47B6902}"/>
            </a:ext>
          </a:extLst>
        </xdr:cNvPr>
        <xdr:cNvCxnSpPr/>
      </xdr:nvCxnSpPr>
      <xdr:spPr>
        <a:xfrm>
          <a:off x="7911874" y="1996168"/>
          <a:ext cx="947737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471488</xdr:colOff>
      <xdr:row>5</xdr:row>
      <xdr:rowOff>446314</xdr:rowOff>
    </xdr:from>
    <xdr:to>
      <xdr:col>11</xdr:col>
      <xdr:colOff>1419225</xdr:colOff>
      <xdr:row>5</xdr:row>
      <xdr:rowOff>446314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2E80B33A-B132-4613-A07B-5923E53682FA}"/>
            </a:ext>
          </a:extLst>
        </xdr:cNvPr>
        <xdr:cNvCxnSpPr/>
      </xdr:nvCxnSpPr>
      <xdr:spPr>
        <a:xfrm>
          <a:off x="7977188" y="1713139"/>
          <a:ext cx="947737" cy="0"/>
        </a:xfrm>
        <a:prstGeom prst="line">
          <a:avLst/>
        </a:prstGeom>
        <a:ln w="285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</xdr:colOff>
      <xdr:row>5</xdr:row>
      <xdr:rowOff>357187</xdr:rowOff>
    </xdr:from>
    <xdr:ext cx="1781174" cy="3492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516B02F-CE49-4F67-891C-39EE85792237}"/>
                </a:ext>
              </a:extLst>
            </xdr:cNvPr>
            <xdr:cNvSpPr txBox="1"/>
          </xdr:nvSpPr>
          <xdr:spPr>
            <a:xfrm>
              <a:off x="5572126" y="1624012"/>
              <a:ext cx="1781174" cy="3492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ФРВ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Г+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Е/Д</m:t>
                            </m:r>
                          </m:e>
                        </m:nary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516B02F-CE49-4F67-891C-39EE85792237}"/>
                </a:ext>
              </a:extLst>
            </xdr:cNvPr>
            <xdr:cNvSpPr txBox="1"/>
          </xdr:nvSpPr>
          <xdr:spPr>
            <a:xfrm>
              <a:off x="5572126" y="1624012"/>
              <a:ext cx="1781174" cy="3492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ФРВ/(Г+∑▒〖Е/Д〗)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0</xdr:row>
      <xdr:rowOff>1</xdr:rowOff>
    </xdr:from>
    <xdr:to>
      <xdr:col>3</xdr:col>
      <xdr:colOff>524434</xdr:colOff>
      <xdr:row>2</xdr:row>
      <xdr:rowOff>1716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A049371-A0EE-463A-ACD2-5F7D95BAB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228754" cy="3809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180</xdr:col>
      <xdr:colOff>15544</xdr:colOff>
      <xdr:row>2</xdr:row>
      <xdr:rowOff>54998</xdr:rowOff>
    </xdr:from>
    <xdr:to>
      <xdr:col>187</xdr:col>
      <xdr:colOff>1093</xdr:colOff>
      <xdr:row>2</xdr:row>
      <xdr:rowOff>113072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57E2EFA4-0262-438E-8C2E-C16EF747722E}"/>
            </a:ext>
          </a:extLst>
        </xdr:cNvPr>
        <xdr:cNvSpPr/>
      </xdr:nvSpPr>
      <xdr:spPr>
        <a:xfrm>
          <a:off x="10992154" y="439808"/>
          <a:ext cx="408459" cy="54264"/>
        </a:xfrm>
        <a:prstGeom prst="rect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180</xdr:col>
      <xdr:colOff>21867</xdr:colOff>
      <xdr:row>4</xdr:row>
      <xdr:rowOff>56013</xdr:rowOff>
    </xdr:from>
    <xdr:to>
      <xdr:col>187</xdr:col>
      <xdr:colOff>16503</xdr:colOff>
      <xdr:row>4</xdr:row>
      <xdr:rowOff>134583</xdr:rowOff>
    </xdr:to>
    <xdr:sp macro="" textlink="">
      <xdr:nvSpPr>
        <xdr:cNvPr id="3" name="Полилиния 18">
          <a:extLst>
            <a:ext uri="{FF2B5EF4-FFF2-40B4-BE49-F238E27FC236}">
              <a16:creationId xmlns:a16="http://schemas.microsoft.com/office/drawing/2014/main" id="{8052E812-4BCE-4C77-BEF6-3E85987EC86F}"/>
            </a:ext>
          </a:extLst>
        </xdr:cNvPr>
        <xdr:cNvSpPr/>
      </xdr:nvSpPr>
      <xdr:spPr>
        <a:xfrm>
          <a:off x="10990857" y="821823"/>
          <a:ext cx="428976" cy="70950"/>
        </a:xfrm>
        <a:custGeom>
          <a:avLst/>
          <a:gdLst>
            <a:gd name="connsiteX0" fmla="*/ 0 w 535781"/>
            <a:gd name="connsiteY0" fmla="*/ 55008 h 74064"/>
            <a:gd name="connsiteX1" fmla="*/ 90488 w 535781"/>
            <a:gd name="connsiteY1" fmla="*/ 239 h 74064"/>
            <a:gd name="connsiteX2" fmla="*/ 173831 w 535781"/>
            <a:gd name="connsiteY2" fmla="*/ 74058 h 74064"/>
            <a:gd name="connsiteX3" fmla="*/ 276225 w 535781"/>
            <a:gd name="connsiteY3" fmla="*/ 5002 h 74064"/>
            <a:gd name="connsiteX4" fmla="*/ 352425 w 535781"/>
            <a:gd name="connsiteY4" fmla="*/ 71677 h 74064"/>
            <a:gd name="connsiteX5" fmla="*/ 440531 w 535781"/>
            <a:gd name="connsiteY5" fmla="*/ 5002 h 74064"/>
            <a:gd name="connsiteX6" fmla="*/ 535781 w 535781"/>
            <a:gd name="connsiteY6" fmla="*/ 74058 h 74064"/>
            <a:gd name="connsiteX7" fmla="*/ 535781 w 535781"/>
            <a:gd name="connsiteY7" fmla="*/ 74058 h 740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535781" h="74064">
              <a:moveTo>
                <a:pt x="0" y="55008"/>
              </a:moveTo>
              <a:cubicBezTo>
                <a:pt x="30758" y="26036"/>
                <a:pt x="61516" y="-2936"/>
                <a:pt x="90488" y="239"/>
              </a:cubicBezTo>
              <a:cubicBezTo>
                <a:pt x="119460" y="3414"/>
                <a:pt x="142875" y="73264"/>
                <a:pt x="173831" y="74058"/>
              </a:cubicBezTo>
              <a:cubicBezTo>
                <a:pt x="204787" y="74852"/>
                <a:pt x="246459" y="5399"/>
                <a:pt x="276225" y="5002"/>
              </a:cubicBezTo>
              <a:cubicBezTo>
                <a:pt x="305991" y="4605"/>
                <a:pt x="325041" y="71677"/>
                <a:pt x="352425" y="71677"/>
              </a:cubicBezTo>
              <a:cubicBezTo>
                <a:pt x="379809" y="71677"/>
                <a:pt x="409972" y="4605"/>
                <a:pt x="440531" y="5002"/>
              </a:cubicBezTo>
              <a:cubicBezTo>
                <a:pt x="471090" y="5399"/>
                <a:pt x="535781" y="74058"/>
                <a:pt x="535781" y="74058"/>
              </a:cubicBezTo>
              <a:lnTo>
                <a:pt x="535781" y="74058"/>
              </a:lnTo>
            </a:path>
          </a:pathLst>
        </a:cu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absolute">
    <xdr:from>
      <xdr:col>180</xdr:col>
      <xdr:colOff>21289</xdr:colOff>
      <xdr:row>5</xdr:row>
      <xdr:rowOff>38873</xdr:rowOff>
    </xdr:from>
    <xdr:to>
      <xdr:col>187</xdr:col>
      <xdr:colOff>16662</xdr:colOff>
      <xdr:row>5</xdr:row>
      <xdr:rowOff>131949</xdr:rowOff>
    </xdr:to>
    <xdr:sp macro="" textlink="">
      <xdr:nvSpPr>
        <xdr:cNvPr id="4" name="Двойная стрелка влево/вправо 19">
          <a:extLst>
            <a:ext uri="{FF2B5EF4-FFF2-40B4-BE49-F238E27FC236}">
              <a16:creationId xmlns:a16="http://schemas.microsoft.com/office/drawing/2014/main" id="{04E80691-3F93-4DBE-93D8-DF55CA3C259C}"/>
            </a:ext>
          </a:extLst>
        </xdr:cNvPr>
        <xdr:cNvSpPr/>
      </xdr:nvSpPr>
      <xdr:spPr>
        <a:xfrm>
          <a:off x="10990279" y="991373"/>
          <a:ext cx="429713" cy="96886"/>
        </a:xfrm>
        <a:prstGeom prst="leftRightArrow">
          <a:avLst>
            <a:gd name="adj1" fmla="val 50000"/>
            <a:gd name="adj2" fmla="val 101021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181</xdr:col>
      <xdr:colOff>16251</xdr:colOff>
      <xdr:row>3</xdr:row>
      <xdr:rowOff>57058</xdr:rowOff>
    </xdr:from>
    <xdr:to>
      <xdr:col>186</xdr:col>
      <xdr:colOff>54620</xdr:colOff>
      <xdr:row>3</xdr:row>
      <xdr:rowOff>103672</xdr:rowOff>
    </xdr:to>
    <xdr:grpSp>
      <xdr:nvGrpSpPr>
        <xdr:cNvPr id="5" name="Group 6">
          <a:extLst>
            <a:ext uri="{FF2B5EF4-FFF2-40B4-BE49-F238E27FC236}">
              <a16:creationId xmlns:a16="http://schemas.microsoft.com/office/drawing/2014/main" id="{78771453-8019-4842-9F56-0A5E9EE95CD1}"/>
            </a:ext>
          </a:extLst>
        </xdr:cNvPr>
        <xdr:cNvGrpSpPr/>
      </xdr:nvGrpSpPr>
      <xdr:grpSpPr>
        <a:xfrm>
          <a:off x="11786357" y="630844"/>
          <a:ext cx="363489" cy="46360"/>
          <a:chOff x="8467417" y="574416"/>
          <a:chExt cx="379202" cy="46614"/>
        </a:xfrm>
      </xdr:grpSpPr>
      <xdr:cxnSp macro="">
        <xdr:nvCxnSpPr>
          <xdr:cNvPr id="6" name="Прямая соединительная линия 5">
            <a:extLst>
              <a:ext uri="{FF2B5EF4-FFF2-40B4-BE49-F238E27FC236}">
                <a16:creationId xmlns:a16="http://schemas.microsoft.com/office/drawing/2014/main" id="{415622C7-7389-4381-84C2-1A61D58B6C68}"/>
              </a:ext>
            </a:extLst>
          </xdr:cNvPr>
          <xdr:cNvCxnSpPr/>
        </xdr:nvCxnSpPr>
        <xdr:spPr>
          <a:xfrm>
            <a:off x="8467417" y="597276"/>
            <a:ext cx="368720" cy="0"/>
          </a:xfrm>
          <a:prstGeom prst="line">
            <a:avLst/>
          </a:prstGeom>
          <a:ln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Прямая соединительная линия 3">
            <a:extLst>
              <a:ext uri="{FF2B5EF4-FFF2-40B4-BE49-F238E27FC236}">
                <a16:creationId xmlns:a16="http://schemas.microsoft.com/office/drawing/2014/main" id="{DAD1CA7E-A6E5-46A1-A73B-36029EF25120}"/>
              </a:ext>
            </a:extLst>
          </xdr:cNvPr>
          <xdr:cNvCxnSpPr/>
        </xdr:nvCxnSpPr>
        <xdr:spPr>
          <a:xfrm flipV="1">
            <a:off x="8846619" y="574416"/>
            <a:ext cx="0" cy="46614"/>
          </a:xfrm>
          <a:prstGeom prst="line">
            <a:avLst/>
          </a:prstGeom>
          <a:ln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39</xdr:col>
      <xdr:colOff>1653</xdr:colOff>
      <xdr:row>1</xdr:row>
      <xdr:rowOff>190499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CF832D57-D20A-4D10-A3B3-833CC9427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30503" cy="3809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5674</xdr:colOff>
      <xdr:row>67</xdr:row>
      <xdr:rowOff>33833</xdr:rowOff>
    </xdr:from>
    <xdr:ext cx="655885" cy="257910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58EB51-2AD4-4C94-85CB-8A82EB33BC18}"/>
            </a:ext>
          </a:extLst>
        </xdr:cNvPr>
        <xdr:cNvSpPr txBox="1"/>
      </xdr:nvSpPr>
      <xdr:spPr>
        <a:xfrm rot="16200000">
          <a:off x="-955935" y="6463913"/>
          <a:ext cx="2579104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3600"/>
            <a:t>Время</a:t>
          </a:r>
          <a:r>
            <a:rPr lang="ru-RU" sz="3600" baseline="0"/>
            <a:t> (сек.)</a:t>
          </a:r>
          <a:endParaRPr lang="ru-RU" sz="3600"/>
        </a:p>
      </xdr:txBody>
    </xdr:sp>
    <xdr:clientData/>
  </xdr:oneCellAnchor>
  <xdr:oneCellAnchor>
    <xdr:from>
      <xdr:col>28</xdr:col>
      <xdr:colOff>248656</xdr:colOff>
      <xdr:row>140</xdr:row>
      <xdr:rowOff>20010</xdr:rowOff>
    </xdr:from>
    <xdr:ext cx="2780633" cy="65588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F0F320-9F89-48C8-8973-9A4D9CEC1B9E}"/>
            </a:ext>
          </a:extLst>
        </xdr:cNvPr>
        <xdr:cNvSpPr txBox="1"/>
      </xdr:nvSpPr>
      <xdr:spPr>
        <a:xfrm>
          <a:off x="7605897" y="10858803"/>
          <a:ext cx="278063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3600"/>
            <a:t>Оператор (ы)</a:t>
          </a:r>
        </a:p>
      </xdr:txBody>
    </xdr:sp>
    <xdr:clientData/>
  </xdr:oneCellAnchor>
  <xdr:twoCellAnchor>
    <xdr:from>
      <xdr:col>5</xdr:col>
      <xdr:colOff>12286</xdr:colOff>
      <xdr:row>12</xdr:row>
      <xdr:rowOff>4954</xdr:rowOff>
    </xdr:from>
    <xdr:to>
      <xdr:col>5</xdr:col>
      <xdr:colOff>17128</xdr:colOff>
      <xdr:row>139</xdr:row>
      <xdr:rowOff>24069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53F4279A-2737-4659-89D8-22B1631DF990}"/>
            </a:ext>
          </a:extLst>
        </xdr:cNvPr>
        <xdr:cNvCxnSpPr/>
      </xdr:nvCxnSpPr>
      <xdr:spPr>
        <a:xfrm flipH="1" flipV="1">
          <a:off x="1259195" y="2000009"/>
          <a:ext cx="4842" cy="7057224"/>
        </a:xfrm>
        <a:prstGeom prst="straightConnector1">
          <a:avLst/>
        </a:prstGeom>
        <a:ln w="57150"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238314</xdr:colOff>
      <xdr:row>139</xdr:row>
      <xdr:rowOff>15221</xdr:rowOff>
    </xdr:from>
    <xdr:to>
      <xdr:col>63</xdr:col>
      <xdr:colOff>0</xdr:colOff>
      <xdr:row>139</xdr:row>
      <xdr:rowOff>15221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55D86736-8861-4CB2-BCE0-42236DB1F0EE}"/>
            </a:ext>
          </a:extLst>
        </xdr:cNvPr>
        <xdr:cNvCxnSpPr/>
      </xdr:nvCxnSpPr>
      <xdr:spPr>
        <a:xfrm>
          <a:off x="1226092" y="11409943"/>
          <a:ext cx="15178075" cy="0"/>
        </a:xfrm>
        <a:prstGeom prst="straightConnector1">
          <a:avLst/>
        </a:prstGeom>
        <a:ln w="57150"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17</xdr:col>
      <xdr:colOff>235917</xdr:colOff>
      <xdr:row>0</xdr:row>
      <xdr:rowOff>788276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41B719E9-6BC3-4F78-AD75-44C8F2369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02814" cy="78827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34636</xdr:colOff>
      <xdr:row>0</xdr:row>
      <xdr:rowOff>34635</xdr:rowOff>
    </xdr:from>
    <xdr:to>
      <xdr:col>10</xdr:col>
      <xdr:colOff>34635</xdr:colOff>
      <xdr:row>1</xdr:row>
      <xdr:rowOff>375056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21C70D43-6A7B-4DD3-95E2-39E156198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6" y="34635"/>
          <a:ext cx="3983181" cy="7214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548701</xdr:colOff>
      <xdr:row>2</xdr:row>
      <xdr:rowOff>7315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5AADD42-F3E1-4236-B9D7-997E5F66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58526" cy="54292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68031</xdr:colOff>
      <xdr:row>9</xdr:row>
      <xdr:rowOff>42182</xdr:rowOff>
    </xdr:from>
    <xdr:to>
      <xdr:col>8</xdr:col>
      <xdr:colOff>625323</xdr:colOff>
      <xdr:row>11</xdr:row>
      <xdr:rowOff>92326</xdr:rowOff>
    </xdr:to>
    <xdr:pic>
      <xdr:nvPicPr>
        <xdr:cNvPr id="2" name="Рисунок 11">
          <a:extLst>
            <a:ext uri="{FF2B5EF4-FFF2-40B4-BE49-F238E27FC236}">
              <a16:creationId xmlns:a16="http://schemas.microsoft.com/office/drawing/2014/main" id="{976FAA01-635B-417D-B13B-5E3101813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0497906" y="2366282"/>
          <a:ext cx="564912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2815316</xdr:colOff>
      <xdr:row>9</xdr:row>
      <xdr:rowOff>43545</xdr:rowOff>
    </xdr:from>
    <xdr:to>
      <xdr:col>9</xdr:col>
      <xdr:colOff>3355315</xdr:colOff>
      <xdr:row>11</xdr:row>
      <xdr:rowOff>93686</xdr:rowOff>
    </xdr:to>
    <xdr:pic>
      <xdr:nvPicPr>
        <xdr:cNvPr id="3" name="Рисунок 12">
          <a:extLst>
            <a:ext uri="{FF2B5EF4-FFF2-40B4-BE49-F238E27FC236}">
              <a16:creationId xmlns:a16="http://schemas.microsoft.com/office/drawing/2014/main" id="{81A38F89-1357-4FB9-8394-595C1252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216866" y="2367645"/>
          <a:ext cx="539999" cy="5263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467612</xdr:colOff>
      <xdr:row>9</xdr:row>
      <xdr:rowOff>51707</xdr:rowOff>
    </xdr:from>
    <xdr:to>
      <xdr:col>9</xdr:col>
      <xdr:colOff>1007613</xdr:colOff>
      <xdr:row>11</xdr:row>
      <xdr:rowOff>94231</xdr:rowOff>
    </xdr:to>
    <xdr:pic>
      <xdr:nvPicPr>
        <xdr:cNvPr id="4" name="Рисунок 13">
          <a:extLst>
            <a:ext uri="{FF2B5EF4-FFF2-40B4-BE49-F238E27FC236}">
              <a16:creationId xmlns:a16="http://schemas.microsoft.com/office/drawing/2014/main" id="{4EB3BCBB-E8E3-49C8-B569-9BD975070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869162" y="2375807"/>
          <a:ext cx="540001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1853721</xdr:colOff>
      <xdr:row>9</xdr:row>
      <xdr:rowOff>61233</xdr:rowOff>
    </xdr:from>
    <xdr:to>
      <xdr:col>9</xdr:col>
      <xdr:colOff>420685</xdr:colOff>
      <xdr:row>11</xdr:row>
      <xdr:rowOff>111377</xdr:rowOff>
    </xdr:to>
    <xdr:pic>
      <xdr:nvPicPr>
        <xdr:cNvPr id="5" name="Рисунок 14">
          <a:extLst>
            <a:ext uri="{FF2B5EF4-FFF2-40B4-BE49-F238E27FC236}">
              <a16:creationId xmlns:a16="http://schemas.microsoft.com/office/drawing/2014/main" id="{1487FCDC-80E3-4EC5-B076-441C360A8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283596" y="2385333"/>
          <a:ext cx="538639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1266797</xdr:colOff>
      <xdr:row>9</xdr:row>
      <xdr:rowOff>51708</xdr:rowOff>
    </xdr:from>
    <xdr:to>
      <xdr:col>8</xdr:col>
      <xdr:colOff>1806795</xdr:colOff>
      <xdr:row>11</xdr:row>
      <xdr:rowOff>94232</xdr:rowOff>
    </xdr:to>
    <xdr:pic>
      <xdr:nvPicPr>
        <xdr:cNvPr id="6" name="Рисунок 15">
          <a:extLst>
            <a:ext uri="{FF2B5EF4-FFF2-40B4-BE49-F238E27FC236}">
              <a16:creationId xmlns:a16="http://schemas.microsoft.com/office/drawing/2014/main" id="{A4041418-50BA-4269-B0A9-3F53BCF17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696672" y="2375808"/>
          <a:ext cx="539998" cy="526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13110</xdr:colOff>
      <xdr:row>0</xdr:row>
      <xdr:rowOff>0</xdr:rowOff>
    </xdr:from>
    <xdr:to>
      <xdr:col>2</xdr:col>
      <xdr:colOff>1391793</xdr:colOff>
      <xdr:row>1</xdr:row>
      <xdr:rowOff>403411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B54D96DA-CABE-4085-B71A-FF0B7B622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10" y="0"/>
          <a:ext cx="3440565" cy="638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7;&#1056;%203.0/II%20&#1090;&#1080;&#108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ремя такта"/>
      <sheetName val="Листы наблюдений"/>
      <sheetName val="Сводная таблица работ"/>
      <sheetName val="Загрузка операторов"/>
      <sheetName val="Диаграмма на поток"/>
    </sheetNames>
    <sheetDataSet>
      <sheetData sheetId="0">
        <row r="6">
          <cell r="T6">
            <v>25800</v>
          </cell>
        </row>
        <row r="13">
          <cell r="T13">
            <v>90.526315789473685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  <a:headEnd type="none" w="med" len="med"/>
          <a:tailEnd type="triangle" w="med" len="med"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FBF6-3FF3-4957-8370-48413F5D2730}">
  <sheetPr codeName="Лист1"/>
  <dimension ref="A1:AU13"/>
  <sheetViews>
    <sheetView view="pageLayout" zoomScale="40" zoomScaleNormal="100" zoomScalePageLayoutView="40" workbookViewId="0">
      <selection activeCell="J7" sqref="P8"/>
    </sheetView>
  </sheetViews>
  <sheetFormatPr defaultColWidth="3.6328125" defaultRowHeight="15.5" x14ac:dyDescent="0.35"/>
  <cols>
    <col min="1" max="21" width="3.6328125" style="2"/>
    <col min="22" max="22" width="7.6328125" style="2" customWidth="1"/>
    <col min="23" max="16384" width="3.6328125" style="1"/>
  </cols>
  <sheetData>
    <row r="1" spans="1:47" ht="67" customHeight="1" x14ac:dyDescent="0.35">
      <c r="A1" s="159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1"/>
      <c r="P1" s="161"/>
      <c r="Q1" s="161"/>
      <c r="R1" s="161"/>
      <c r="S1" s="509" t="s">
        <v>159</v>
      </c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  <c r="AI1" s="509"/>
      <c r="AJ1" s="509"/>
      <c r="AK1" s="509"/>
      <c r="AL1" s="509"/>
      <c r="AM1" s="509"/>
      <c r="AN1" s="509"/>
      <c r="AO1" s="509"/>
      <c r="AP1" s="509"/>
      <c r="AQ1" s="509"/>
      <c r="AR1" s="509"/>
      <c r="AS1" s="509"/>
      <c r="AT1" s="509"/>
      <c r="AU1" s="509"/>
    </row>
    <row r="2" spans="1:47" s="162" customFormat="1" ht="51.5" customHeight="1" x14ac:dyDescent="0.55000000000000004">
      <c r="A2" s="529" t="s">
        <v>0</v>
      </c>
      <c r="B2" s="529"/>
      <c r="C2" s="529"/>
      <c r="D2" s="529"/>
      <c r="E2" s="529"/>
      <c r="F2" s="529"/>
      <c r="G2" s="529"/>
      <c r="H2" s="529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29" t="s">
        <v>1</v>
      </c>
      <c r="Z2" s="529"/>
      <c r="AA2" s="529"/>
      <c r="AB2" s="529"/>
      <c r="AC2" s="529"/>
      <c r="AD2" s="529"/>
      <c r="AE2" s="529"/>
      <c r="AF2" s="531"/>
      <c r="AG2" s="531"/>
      <c r="AH2" s="531"/>
      <c r="AI2" s="531"/>
      <c r="AJ2" s="531"/>
      <c r="AK2" s="531"/>
      <c r="AL2" s="531"/>
      <c r="AM2" s="531"/>
      <c r="AN2" s="531"/>
      <c r="AO2" s="531"/>
      <c r="AP2" s="531"/>
      <c r="AQ2" s="531"/>
      <c r="AR2" s="531"/>
      <c r="AS2" s="531"/>
      <c r="AT2" s="531"/>
      <c r="AU2" s="531"/>
    </row>
    <row r="3" spans="1:47" s="162" customFormat="1" ht="51.5" customHeight="1" x14ac:dyDescent="0.55000000000000004">
      <c r="A3" s="529" t="s">
        <v>2</v>
      </c>
      <c r="B3" s="529"/>
      <c r="C3" s="529"/>
      <c r="D3" s="529"/>
      <c r="E3" s="529"/>
      <c r="F3" s="529"/>
      <c r="G3" s="529"/>
      <c r="H3" s="529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29" t="s">
        <v>3</v>
      </c>
      <c r="Z3" s="529"/>
      <c r="AA3" s="529"/>
      <c r="AB3" s="529"/>
      <c r="AC3" s="529"/>
      <c r="AD3" s="529"/>
      <c r="AE3" s="529"/>
      <c r="AF3" s="531"/>
      <c r="AG3" s="531"/>
      <c r="AH3" s="531"/>
      <c r="AI3" s="531"/>
      <c r="AJ3" s="531"/>
      <c r="AK3" s="531"/>
      <c r="AL3" s="531"/>
      <c r="AM3" s="531"/>
      <c r="AN3" s="531"/>
      <c r="AO3" s="531"/>
      <c r="AP3" s="531"/>
      <c r="AQ3" s="531"/>
      <c r="AR3" s="531"/>
      <c r="AS3" s="531"/>
      <c r="AT3" s="531"/>
      <c r="AU3" s="531"/>
    </row>
    <row r="4" spans="1:47" ht="90.5" customHeight="1" x14ac:dyDescent="0.55000000000000004">
      <c r="A4" s="532" t="s">
        <v>4</v>
      </c>
      <c r="B4" s="533" t="s">
        <v>5</v>
      </c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  <c r="V4" s="533"/>
      <c r="W4" s="533"/>
      <c r="X4" s="533"/>
      <c r="Y4" s="533"/>
      <c r="Z4" s="533"/>
      <c r="AA4" s="533"/>
      <c r="AB4" s="533"/>
      <c r="AC4" s="533"/>
      <c r="AD4" s="533"/>
      <c r="AE4" s="533"/>
      <c r="AF4" s="533"/>
      <c r="AG4" s="533"/>
      <c r="AH4" s="533"/>
      <c r="AI4" s="533"/>
      <c r="AJ4" s="533"/>
      <c r="AK4" s="533"/>
      <c r="AL4" s="533"/>
      <c r="AM4" s="533"/>
      <c r="AN4" s="534"/>
      <c r="AO4" s="534"/>
      <c r="AP4" s="534"/>
      <c r="AQ4" s="534"/>
      <c r="AR4" s="534"/>
      <c r="AS4" s="534"/>
      <c r="AT4" s="534"/>
      <c r="AU4" s="534"/>
    </row>
    <row r="5" spans="1:47" ht="90.5" customHeight="1" x14ac:dyDescent="0.55000000000000004">
      <c r="A5" s="532" t="s">
        <v>6</v>
      </c>
      <c r="B5" s="535" t="s">
        <v>7</v>
      </c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5"/>
      <c r="AB5" s="535"/>
      <c r="AC5" s="535"/>
      <c r="AD5" s="535"/>
      <c r="AE5" s="535"/>
      <c r="AF5" s="535"/>
      <c r="AG5" s="535"/>
      <c r="AH5" s="535"/>
      <c r="AI5" s="535"/>
      <c r="AJ5" s="535"/>
      <c r="AK5" s="535"/>
      <c r="AL5" s="535"/>
      <c r="AM5" s="535"/>
      <c r="AN5" s="534"/>
      <c r="AO5" s="534"/>
      <c r="AP5" s="534"/>
      <c r="AQ5" s="534"/>
      <c r="AR5" s="534"/>
      <c r="AS5" s="534"/>
      <c r="AT5" s="534"/>
      <c r="AU5" s="534"/>
    </row>
    <row r="6" spans="1:47" ht="90.5" customHeight="1" x14ac:dyDescent="0.55000000000000004">
      <c r="A6" s="532" t="s">
        <v>8</v>
      </c>
      <c r="B6" s="533" t="s">
        <v>9</v>
      </c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  <c r="AI6" s="533"/>
      <c r="AJ6" s="533"/>
      <c r="AK6" s="533"/>
      <c r="AL6" s="533"/>
      <c r="AM6" s="533"/>
      <c r="AN6" s="534"/>
      <c r="AO6" s="534"/>
      <c r="AP6" s="534"/>
      <c r="AQ6" s="534"/>
      <c r="AR6" s="534"/>
      <c r="AS6" s="534"/>
      <c r="AT6" s="534"/>
      <c r="AU6" s="534"/>
    </row>
    <row r="7" spans="1:47" ht="90.5" customHeight="1" x14ac:dyDescent="0.55000000000000004">
      <c r="A7" s="532" t="s">
        <v>10</v>
      </c>
      <c r="B7" s="535" t="s">
        <v>11</v>
      </c>
      <c r="C7" s="535"/>
      <c r="D7" s="535"/>
      <c r="E7" s="535"/>
      <c r="F7" s="535"/>
      <c r="G7" s="535"/>
      <c r="H7" s="535"/>
      <c r="I7" s="535"/>
      <c r="J7" s="535"/>
      <c r="K7" s="535"/>
      <c r="L7" s="535"/>
      <c r="M7" s="535"/>
      <c r="N7" s="535"/>
      <c r="O7" s="535"/>
      <c r="P7" s="535"/>
      <c r="Q7" s="535"/>
      <c r="R7" s="535"/>
      <c r="S7" s="535"/>
      <c r="T7" s="535"/>
      <c r="U7" s="535"/>
      <c r="V7" s="535"/>
      <c r="W7" s="535"/>
      <c r="X7" s="535"/>
      <c r="Y7" s="535"/>
      <c r="Z7" s="535"/>
      <c r="AA7" s="535"/>
      <c r="AB7" s="535"/>
      <c r="AC7" s="535"/>
      <c r="AD7" s="535"/>
      <c r="AE7" s="535"/>
      <c r="AF7" s="535"/>
      <c r="AG7" s="535"/>
      <c r="AH7" s="535"/>
      <c r="AI7" s="535"/>
      <c r="AJ7" s="535"/>
      <c r="AK7" s="535"/>
      <c r="AL7" s="535"/>
      <c r="AM7" s="535"/>
      <c r="AN7" s="534"/>
      <c r="AO7" s="534"/>
      <c r="AP7" s="534"/>
      <c r="AQ7" s="534"/>
      <c r="AR7" s="534"/>
      <c r="AS7" s="534"/>
      <c r="AT7" s="534"/>
      <c r="AU7" s="534"/>
    </row>
    <row r="8" spans="1:47" ht="90.5" customHeight="1" x14ac:dyDescent="0.55000000000000004">
      <c r="A8" s="532" t="s">
        <v>12</v>
      </c>
      <c r="B8" s="533" t="s">
        <v>13</v>
      </c>
      <c r="C8" s="533"/>
      <c r="D8" s="533"/>
      <c r="E8" s="533"/>
      <c r="F8" s="533"/>
      <c r="G8" s="533"/>
      <c r="H8" s="533"/>
      <c r="I8" s="533"/>
      <c r="J8" s="533"/>
      <c r="K8" s="533"/>
      <c r="L8" s="533"/>
      <c r="M8" s="533"/>
      <c r="N8" s="533"/>
      <c r="O8" s="533"/>
      <c r="P8" s="533"/>
      <c r="Q8" s="533"/>
      <c r="R8" s="533"/>
      <c r="S8" s="533"/>
      <c r="T8" s="533"/>
      <c r="U8" s="533"/>
      <c r="V8" s="533"/>
      <c r="W8" s="533"/>
      <c r="X8" s="533"/>
      <c r="Y8" s="533"/>
      <c r="Z8" s="533"/>
      <c r="AA8" s="533"/>
      <c r="AB8" s="533"/>
      <c r="AC8" s="533"/>
      <c r="AD8" s="533"/>
      <c r="AE8" s="533"/>
      <c r="AF8" s="533"/>
      <c r="AG8" s="533"/>
      <c r="AH8" s="533"/>
      <c r="AI8" s="533"/>
      <c r="AJ8" s="533"/>
      <c r="AK8" s="533"/>
      <c r="AL8" s="533"/>
      <c r="AM8" s="533"/>
      <c r="AN8" s="534"/>
      <c r="AO8" s="534"/>
      <c r="AP8" s="534"/>
      <c r="AQ8" s="534"/>
      <c r="AR8" s="534"/>
      <c r="AS8" s="534"/>
      <c r="AT8" s="534"/>
      <c r="AU8" s="534"/>
    </row>
    <row r="13" spans="1:47" x14ac:dyDescent="0.35">
      <c r="V13" s="1"/>
    </row>
  </sheetData>
  <mergeCells count="19">
    <mergeCell ref="B6:AM6"/>
    <mergeCell ref="AN7:AU7"/>
    <mergeCell ref="AN8:AU8"/>
    <mergeCell ref="B7:AM7"/>
    <mergeCell ref="B8:AM8"/>
    <mergeCell ref="S1:AU1"/>
    <mergeCell ref="Y2:AE2"/>
    <mergeCell ref="Y3:AE3"/>
    <mergeCell ref="AF2:AU2"/>
    <mergeCell ref="AF3:AU3"/>
    <mergeCell ref="A2:H2"/>
    <mergeCell ref="A3:H3"/>
    <mergeCell ref="I2:X2"/>
    <mergeCell ref="I3:X3"/>
    <mergeCell ref="AN4:AU4"/>
    <mergeCell ref="AN5:AU5"/>
    <mergeCell ref="AN6:AU6"/>
    <mergeCell ref="B4:AM4"/>
    <mergeCell ref="B5:AM5"/>
  </mergeCells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D8DC-160E-4CB1-A649-AF3A84267948}">
  <sheetPr codeName="Лист2">
    <pageSetUpPr fitToPage="1"/>
  </sheetPr>
  <dimension ref="A1:AE18"/>
  <sheetViews>
    <sheetView view="pageLayout" zoomScale="41" zoomScaleNormal="100" zoomScalePageLayoutView="41" workbookViewId="0">
      <selection sqref="A1:B5"/>
    </sheetView>
  </sheetViews>
  <sheetFormatPr defaultColWidth="2.6328125" defaultRowHeight="15.5" x14ac:dyDescent="0.35"/>
  <cols>
    <col min="1" max="1" width="3.81640625" style="4" customWidth="1"/>
    <col min="2" max="2" width="35.81640625" style="4" customWidth="1"/>
    <col min="3" max="3" width="2.6328125" style="4"/>
    <col min="4" max="4" width="6.36328125" style="4" customWidth="1"/>
    <col min="5" max="7" width="2.6328125" style="4"/>
    <col min="8" max="8" width="4.6328125" style="4" customWidth="1"/>
    <col min="9" max="9" width="30.90625" style="4" customWidth="1"/>
    <col min="10" max="11" width="2.6328125" style="4"/>
    <col min="12" max="12" width="11.81640625" style="4" customWidth="1"/>
    <col min="13" max="15" width="2.6328125" style="4"/>
    <col min="16" max="16" width="7.1796875" style="4" customWidth="1"/>
    <col min="17" max="17" width="8" style="4" customWidth="1"/>
    <col min="18" max="18" width="9.81640625" style="4" customWidth="1"/>
    <col min="19" max="24" width="2.6328125" style="4"/>
    <col min="25" max="25" width="6.26953125" style="4" customWidth="1"/>
    <col min="26" max="26" width="7.26953125" style="4" customWidth="1"/>
    <col min="27" max="27" width="5.6328125" style="4" customWidth="1"/>
    <col min="28" max="28" width="3.54296875" style="4" customWidth="1"/>
    <col min="29" max="29" width="7.6328125" style="4" customWidth="1"/>
    <col min="30" max="16384" width="2.6328125" style="4"/>
  </cols>
  <sheetData>
    <row r="1" spans="1:31" ht="62" customHeight="1" x14ac:dyDescent="0.35">
      <c r="A1" s="163"/>
      <c r="B1" s="163"/>
      <c r="C1" s="528" t="s">
        <v>14</v>
      </c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  <c r="AE1" s="528"/>
    </row>
    <row r="2" spans="1:31" ht="32" customHeight="1" x14ac:dyDescent="0.35">
      <c r="A2" s="163"/>
      <c r="B2" s="163"/>
      <c r="C2" s="515" t="s">
        <v>0</v>
      </c>
      <c r="D2" s="515"/>
      <c r="E2" s="515"/>
      <c r="F2" s="515"/>
      <c r="G2" s="515"/>
      <c r="H2" s="515"/>
      <c r="I2" s="516"/>
      <c r="J2" s="517" t="s">
        <v>24</v>
      </c>
      <c r="K2" s="517"/>
      <c r="L2" s="517"/>
      <c r="M2" s="517"/>
      <c r="N2" s="517"/>
      <c r="O2" s="518"/>
      <c r="P2" s="518"/>
      <c r="Q2" s="518"/>
      <c r="R2" s="518"/>
      <c r="S2" s="518"/>
      <c r="T2" s="515" t="s">
        <v>158</v>
      </c>
      <c r="U2" s="515"/>
      <c r="V2" s="515"/>
      <c r="W2" s="515"/>
      <c r="X2" s="515"/>
      <c r="Y2" s="515"/>
      <c r="Z2" s="164"/>
      <c r="AA2" s="164"/>
      <c r="AB2" s="164"/>
      <c r="AC2" s="164"/>
      <c r="AD2" s="164"/>
      <c r="AE2" s="164"/>
    </row>
    <row r="3" spans="1:31" ht="32" customHeight="1" x14ac:dyDescent="0.35">
      <c r="A3" s="163"/>
      <c r="B3" s="163"/>
      <c r="C3" s="515" t="s">
        <v>26</v>
      </c>
      <c r="D3" s="515"/>
      <c r="E3" s="515"/>
      <c r="F3" s="515"/>
      <c r="G3" s="515"/>
      <c r="H3" s="515"/>
      <c r="I3" s="519"/>
      <c r="J3" s="517"/>
      <c r="K3" s="517"/>
      <c r="L3" s="517"/>
      <c r="M3" s="517"/>
      <c r="N3" s="517"/>
      <c r="O3" s="518"/>
      <c r="P3" s="518"/>
      <c r="Q3" s="518"/>
      <c r="R3" s="518"/>
      <c r="S3" s="518"/>
      <c r="T3" s="515"/>
      <c r="U3" s="515"/>
      <c r="V3" s="515"/>
      <c r="W3" s="515"/>
      <c r="X3" s="515"/>
      <c r="Y3" s="515"/>
      <c r="Z3" s="164"/>
      <c r="AA3" s="164"/>
      <c r="AB3" s="164"/>
      <c r="AC3" s="164"/>
      <c r="AD3" s="164"/>
      <c r="AE3" s="164"/>
    </row>
    <row r="4" spans="1:31" ht="32" customHeight="1" x14ac:dyDescent="0.35">
      <c r="A4" s="163"/>
      <c r="B4" s="163"/>
      <c r="C4" s="517" t="s">
        <v>27</v>
      </c>
      <c r="D4" s="517"/>
      <c r="E4" s="517"/>
      <c r="F4" s="517"/>
      <c r="G4" s="520" t="s">
        <v>15</v>
      </c>
      <c r="H4" s="520"/>
      <c r="I4" s="516"/>
      <c r="J4" s="517" t="s">
        <v>17</v>
      </c>
      <c r="K4" s="517"/>
      <c r="L4" s="517"/>
      <c r="M4" s="517"/>
      <c r="N4" s="517"/>
      <c r="O4" s="521"/>
      <c r="P4" s="521"/>
      <c r="Q4" s="521"/>
      <c r="R4" s="521"/>
      <c r="S4" s="521"/>
      <c r="T4" s="517" t="s">
        <v>18</v>
      </c>
      <c r="U4" s="517"/>
      <c r="V4" s="517"/>
      <c r="W4" s="517"/>
      <c r="X4" s="517"/>
      <c r="Y4" s="517"/>
      <c r="Z4" s="165"/>
      <c r="AA4" s="165"/>
      <c r="AB4" s="165"/>
      <c r="AC4" s="165"/>
      <c r="AD4" s="165"/>
      <c r="AE4" s="165"/>
    </row>
    <row r="5" spans="1:31" ht="32" customHeight="1" x14ac:dyDescent="0.35">
      <c r="A5" s="163"/>
      <c r="B5" s="163"/>
      <c r="C5" s="517"/>
      <c r="D5" s="517"/>
      <c r="E5" s="517"/>
      <c r="F5" s="517"/>
      <c r="G5" s="520" t="s">
        <v>16</v>
      </c>
      <c r="H5" s="520"/>
      <c r="I5" s="516"/>
      <c r="J5" s="517"/>
      <c r="K5" s="517"/>
      <c r="L5" s="517"/>
      <c r="M5" s="517"/>
      <c r="N5" s="517"/>
      <c r="O5" s="521"/>
      <c r="P5" s="521"/>
      <c r="Q5" s="521"/>
      <c r="R5" s="521"/>
      <c r="S5" s="521"/>
      <c r="T5" s="517"/>
      <c r="U5" s="517"/>
      <c r="V5" s="517"/>
      <c r="W5" s="517"/>
      <c r="X5" s="517"/>
      <c r="Y5" s="517"/>
      <c r="Z5" s="165"/>
      <c r="AA5" s="165"/>
      <c r="AB5" s="165"/>
      <c r="AC5" s="165"/>
      <c r="AD5" s="165"/>
      <c r="AE5" s="165"/>
    </row>
    <row r="6" spans="1:31" ht="38.5" customHeight="1" x14ac:dyDescent="0.35">
      <c r="A6" s="522" t="s">
        <v>19</v>
      </c>
      <c r="B6" s="522" t="s">
        <v>20</v>
      </c>
      <c r="C6" s="510" t="s">
        <v>21</v>
      </c>
      <c r="D6" s="510"/>
      <c r="E6" s="510"/>
      <c r="F6" s="510"/>
      <c r="G6" s="510"/>
      <c r="H6" s="510"/>
      <c r="I6" s="510"/>
      <c r="J6" s="510" t="s">
        <v>22</v>
      </c>
      <c r="K6" s="510"/>
      <c r="L6" s="510"/>
      <c r="M6" s="510"/>
      <c r="N6" s="510"/>
      <c r="O6" s="510"/>
      <c r="P6" s="510"/>
      <c r="Q6" s="510"/>
      <c r="R6" s="510"/>
      <c r="S6" s="510"/>
      <c r="T6" s="510"/>
      <c r="U6" s="510"/>
      <c r="V6" s="510"/>
      <c r="W6" s="510"/>
      <c r="X6" s="510"/>
      <c r="Y6" s="510"/>
      <c r="Z6" s="510"/>
      <c r="AA6" s="510"/>
      <c r="AB6" s="510"/>
      <c r="AC6" s="510"/>
      <c r="AD6" s="510"/>
      <c r="AE6" s="510"/>
    </row>
    <row r="7" spans="1:31" ht="36" customHeight="1" x14ac:dyDescent="0.35">
      <c r="A7" s="513">
        <v>1</v>
      </c>
      <c r="B7" s="523"/>
      <c r="C7" s="524"/>
      <c r="D7" s="524"/>
      <c r="E7" s="524"/>
      <c r="F7" s="524"/>
      <c r="G7" s="524"/>
      <c r="H7" s="524"/>
      <c r="I7" s="524"/>
      <c r="J7" s="525"/>
      <c r="K7" s="525"/>
      <c r="L7" s="525"/>
      <c r="M7" s="525"/>
      <c r="N7" s="525"/>
      <c r="O7" s="525"/>
      <c r="P7" s="525"/>
      <c r="Q7" s="525"/>
      <c r="R7" s="525"/>
      <c r="S7" s="525"/>
      <c r="T7" s="525"/>
      <c r="U7" s="525"/>
      <c r="V7" s="525"/>
      <c r="W7" s="525"/>
      <c r="X7" s="525"/>
      <c r="Y7" s="525"/>
      <c r="Z7" s="525"/>
      <c r="AA7" s="525"/>
      <c r="AB7" s="525"/>
      <c r="AC7" s="525"/>
      <c r="AD7" s="525"/>
      <c r="AE7" s="525"/>
    </row>
    <row r="8" spans="1:31" ht="36" customHeight="1" x14ac:dyDescent="0.35">
      <c r="A8" s="513">
        <v>2</v>
      </c>
      <c r="B8" s="523"/>
      <c r="C8" s="524"/>
      <c r="D8" s="524"/>
      <c r="E8" s="524"/>
      <c r="F8" s="524"/>
      <c r="G8" s="524"/>
      <c r="H8" s="524"/>
      <c r="I8" s="524"/>
      <c r="J8" s="525"/>
      <c r="K8" s="525"/>
      <c r="L8" s="525"/>
      <c r="M8" s="525"/>
      <c r="N8" s="525"/>
      <c r="O8" s="525"/>
      <c r="P8" s="525"/>
      <c r="Q8" s="525"/>
      <c r="R8" s="525"/>
      <c r="S8" s="525"/>
      <c r="T8" s="525"/>
      <c r="U8" s="525"/>
      <c r="V8" s="525"/>
      <c r="W8" s="525"/>
      <c r="X8" s="525"/>
      <c r="Y8" s="525"/>
      <c r="Z8" s="525"/>
      <c r="AA8" s="525"/>
      <c r="AB8" s="525"/>
      <c r="AC8" s="525"/>
      <c r="AD8" s="525"/>
      <c r="AE8" s="525"/>
    </row>
    <row r="9" spans="1:31" ht="36" customHeight="1" x14ac:dyDescent="0.35">
      <c r="A9" s="513">
        <v>3</v>
      </c>
      <c r="B9" s="523"/>
      <c r="C9" s="524"/>
      <c r="D9" s="524"/>
      <c r="E9" s="524"/>
      <c r="F9" s="524"/>
      <c r="G9" s="524"/>
      <c r="H9" s="524"/>
      <c r="I9" s="524"/>
      <c r="J9" s="525"/>
      <c r="K9" s="525"/>
      <c r="L9" s="525"/>
      <c r="M9" s="525"/>
      <c r="N9" s="525"/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  <c r="AA9" s="525"/>
      <c r="AB9" s="525"/>
      <c r="AC9" s="525"/>
      <c r="AD9" s="525"/>
      <c r="AE9" s="525"/>
    </row>
    <row r="10" spans="1:31" ht="36" customHeight="1" x14ac:dyDescent="0.35">
      <c r="A10" s="513">
        <v>4</v>
      </c>
      <c r="B10" s="523"/>
      <c r="C10" s="524"/>
      <c r="D10" s="524"/>
      <c r="E10" s="524"/>
      <c r="F10" s="524"/>
      <c r="G10" s="524"/>
      <c r="H10" s="524"/>
      <c r="I10" s="524"/>
      <c r="J10" s="525"/>
      <c r="K10" s="525"/>
      <c r="L10" s="525"/>
      <c r="M10" s="525"/>
      <c r="N10" s="525"/>
      <c r="O10" s="525"/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  <c r="AA10" s="525"/>
      <c r="AB10" s="525"/>
      <c r="AC10" s="525"/>
      <c r="AD10" s="525"/>
      <c r="AE10" s="525"/>
    </row>
    <row r="11" spans="1:31" ht="36" customHeight="1" x14ac:dyDescent="0.35">
      <c r="A11" s="513">
        <v>5</v>
      </c>
      <c r="B11" s="523"/>
      <c r="C11" s="524"/>
      <c r="D11" s="524"/>
      <c r="E11" s="524"/>
      <c r="F11" s="524"/>
      <c r="G11" s="524"/>
      <c r="H11" s="524"/>
      <c r="I11" s="524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  <c r="AA11" s="525"/>
      <c r="AB11" s="525"/>
      <c r="AC11" s="525"/>
      <c r="AD11" s="525"/>
      <c r="AE11" s="525"/>
    </row>
    <row r="12" spans="1:31" ht="36" customHeight="1" x14ac:dyDescent="0.35">
      <c r="A12" s="513">
        <v>6</v>
      </c>
      <c r="B12" s="523"/>
      <c r="C12" s="524"/>
      <c r="D12" s="524"/>
      <c r="E12" s="524"/>
      <c r="F12" s="524"/>
      <c r="G12" s="524"/>
      <c r="H12" s="524"/>
      <c r="I12" s="524"/>
      <c r="J12" s="525"/>
      <c r="K12" s="525"/>
      <c r="L12" s="525"/>
      <c r="M12" s="525"/>
      <c r="N12" s="525"/>
      <c r="O12" s="525"/>
      <c r="P12" s="525"/>
      <c r="Q12" s="525"/>
      <c r="R12" s="525"/>
      <c r="S12" s="525"/>
      <c r="T12" s="525"/>
      <c r="U12" s="525"/>
      <c r="V12" s="525"/>
      <c r="W12" s="525"/>
      <c r="X12" s="525"/>
      <c r="Y12" s="525"/>
      <c r="Z12" s="525"/>
      <c r="AA12" s="525"/>
      <c r="AB12" s="525"/>
      <c r="AC12" s="525"/>
      <c r="AD12" s="525"/>
      <c r="AE12" s="525"/>
    </row>
    <row r="13" spans="1:31" ht="36" customHeight="1" x14ac:dyDescent="0.35">
      <c r="A13" s="513">
        <v>7</v>
      </c>
      <c r="B13" s="523"/>
      <c r="C13" s="524"/>
      <c r="D13" s="524"/>
      <c r="E13" s="524"/>
      <c r="F13" s="524"/>
      <c r="G13" s="524"/>
      <c r="H13" s="524"/>
      <c r="I13" s="524"/>
      <c r="J13" s="525"/>
      <c r="K13" s="525"/>
      <c r="L13" s="525"/>
      <c r="M13" s="525"/>
      <c r="N13" s="525"/>
      <c r="O13" s="525"/>
      <c r="P13" s="525"/>
      <c r="Q13" s="525"/>
      <c r="R13" s="525"/>
      <c r="S13" s="525"/>
      <c r="T13" s="525"/>
      <c r="U13" s="525"/>
      <c r="V13" s="525"/>
      <c r="W13" s="525"/>
      <c r="X13" s="525"/>
      <c r="Y13" s="525"/>
      <c r="Z13" s="525"/>
      <c r="AA13" s="525"/>
      <c r="AB13" s="525"/>
      <c r="AC13" s="525"/>
      <c r="AD13" s="525"/>
      <c r="AE13" s="525"/>
    </row>
    <row r="14" spans="1:31" ht="36" customHeight="1" x14ac:dyDescent="0.35">
      <c r="A14" s="513">
        <v>8</v>
      </c>
      <c r="B14" s="523"/>
      <c r="C14" s="524"/>
      <c r="D14" s="524"/>
      <c r="E14" s="524"/>
      <c r="F14" s="524"/>
      <c r="G14" s="524"/>
      <c r="H14" s="524"/>
      <c r="I14" s="524"/>
      <c r="J14" s="525"/>
      <c r="K14" s="525"/>
      <c r="L14" s="525"/>
      <c r="M14" s="525"/>
      <c r="N14" s="525"/>
      <c r="O14" s="525"/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525"/>
      <c r="AA14" s="525"/>
      <c r="AB14" s="525"/>
      <c r="AC14" s="525"/>
      <c r="AD14" s="525"/>
      <c r="AE14" s="525"/>
    </row>
    <row r="15" spans="1:31" ht="36" customHeight="1" x14ac:dyDescent="0.35">
      <c r="A15" s="513">
        <v>9</v>
      </c>
      <c r="B15" s="523"/>
      <c r="C15" s="524"/>
      <c r="D15" s="524"/>
      <c r="E15" s="524"/>
      <c r="F15" s="524"/>
      <c r="G15" s="524"/>
      <c r="H15" s="524"/>
      <c r="I15" s="524"/>
      <c r="J15" s="525"/>
      <c r="K15" s="525"/>
      <c r="L15" s="525"/>
      <c r="M15" s="525"/>
      <c r="N15" s="525"/>
      <c r="O15" s="525"/>
      <c r="P15" s="525"/>
      <c r="Q15" s="525"/>
      <c r="R15" s="525"/>
      <c r="S15" s="525"/>
      <c r="T15" s="525"/>
      <c r="U15" s="525"/>
      <c r="V15" s="525"/>
      <c r="W15" s="525"/>
      <c r="X15" s="525"/>
      <c r="Y15" s="525"/>
      <c r="Z15" s="525"/>
      <c r="AA15" s="525"/>
      <c r="AB15" s="525"/>
      <c r="AC15" s="525"/>
      <c r="AD15" s="525"/>
      <c r="AE15" s="525"/>
    </row>
    <row r="16" spans="1:31" ht="36" customHeight="1" x14ac:dyDescent="0.35">
      <c r="A16" s="513">
        <v>10</v>
      </c>
      <c r="B16" s="523"/>
      <c r="C16" s="524"/>
      <c r="D16" s="524"/>
      <c r="E16" s="524"/>
      <c r="F16" s="524"/>
      <c r="G16" s="524"/>
      <c r="H16" s="524"/>
      <c r="I16" s="524"/>
      <c r="J16" s="525"/>
      <c r="K16" s="525"/>
      <c r="L16" s="525"/>
      <c r="M16" s="525"/>
      <c r="N16" s="525"/>
      <c r="O16" s="525"/>
      <c r="P16" s="525"/>
      <c r="Q16" s="525"/>
      <c r="R16" s="525"/>
      <c r="S16" s="525"/>
      <c r="T16" s="525"/>
      <c r="U16" s="525"/>
      <c r="V16" s="525"/>
      <c r="W16" s="525"/>
      <c r="X16" s="525"/>
      <c r="Y16" s="525"/>
      <c r="Z16" s="525"/>
      <c r="AA16" s="525"/>
      <c r="AB16" s="525"/>
      <c r="AC16" s="525"/>
      <c r="AD16" s="525"/>
      <c r="AE16" s="525"/>
    </row>
    <row r="17" spans="1:31" ht="39.5" customHeight="1" x14ac:dyDescent="0.35">
      <c r="A17" s="511" t="s">
        <v>29</v>
      </c>
      <c r="B17" s="511"/>
      <c r="C17" s="524"/>
      <c r="D17" s="524"/>
      <c r="E17" s="524"/>
      <c r="F17" s="524"/>
      <c r="G17" s="524"/>
      <c r="H17" s="524"/>
      <c r="I17" s="524"/>
      <c r="J17" s="511" t="s">
        <v>143</v>
      </c>
      <c r="K17" s="511"/>
      <c r="L17" s="511"/>
      <c r="M17" s="511"/>
      <c r="N17" s="511"/>
      <c r="O17" s="511"/>
      <c r="P17" s="511"/>
      <c r="Q17" s="511"/>
      <c r="R17" s="511"/>
      <c r="S17" s="511"/>
      <c r="T17" s="511"/>
      <c r="U17" s="511"/>
      <c r="V17" s="511"/>
      <c r="W17" s="511"/>
      <c r="X17" s="511"/>
      <c r="Y17" s="511"/>
      <c r="Z17" s="511"/>
      <c r="AA17" s="511"/>
      <c r="AB17" s="511"/>
      <c r="AC17" s="511"/>
      <c r="AD17" s="511"/>
      <c r="AE17" s="511"/>
    </row>
    <row r="18" spans="1:31" ht="52.75" customHeight="1" x14ac:dyDescent="0.35">
      <c r="A18" s="510" t="s">
        <v>30</v>
      </c>
      <c r="B18" s="510"/>
      <c r="C18" s="524"/>
      <c r="D18" s="524"/>
      <c r="E18" s="524"/>
      <c r="F18" s="524"/>
      <c r="G18" s="524"/>
      <c r="H18" s="524"/>
      <c r="I18" s="524"/>
      <c r="J18" s="526"/>
      <c r="K18" s="526"/>
      <c r="L18" s="526"/>
      <c r="M18" s="527" t="s">
        <v>144</v>
      </c>
      <c r="N18" s="527"/>
      <c r="O18" s="527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7"/>
      <c r="AB18" s="527"/>
      <c r="AC18" s="527"/>
      <c r="AD18" s="527"/>
      <c r="AE18" s="527"/>
    </row>
  </sheetData>
  <mergeCells count="33">
    <mergeCell ref="C7:I7"/>
    <mergeCell ref="C6:I6"/>
    <mergeCell ref="C16:I16"/>
    <mergeCell ref="C8:I8"/>
    <mergeCell ref="C9:I9"/>
    <mergeCell ref="C10:I10"/>
    <mergeCell ref="C12:I12"/>
    <mergeCell ref="C13:I13"/>
    <mergeCell ref="C11:I11"/>
    <mergeCell ref="C14:I14"/>
    <mergeCell ref="C15:I15"/>
    <mergeCell ref="A17:B17"/>
    <mergeCell ref="A18:B18"/>
    <mergeCell ref="M18:AE18"/>
    <mergeCell ref="J18:L18"/>
    <mergeCell ref="C17:I17"/>
    <mergeCell ref="C18:I18"/>
    <mergeCell ref="J7:AE16"/>
    <mergeCell ref="J17:AE17"/>
    <mergeCell ref="O2:S3"/>
    <mergeCell ref="O4:S5"/>
    <mergeCell ref="T4:Y5"/>
    <mergeCell ref="T2:Y3"/>
    <mergeCell ref="J2:N3"/>
    <mergeCell ref="J4:N5"/>
    <mergeCell ref="C1:AE1"/>
    <mergeCell ref="A1:B5"/>
    <mergeCell ref="Z2:AE3"/>
    <mergeCell ref="Z4:AE5"/>
    <mergeCell ref="J6:AE6"/>
    <mergeCell ref="C2:H2"/>
    <mergeCell ref="C3:H3"/>
    <mergeCell ref="C4:F5"/>
  </mergeCells>
  <pageMargins left="0.7" right="0.7" top="0.75" bottom="0.75" header="0.3" footer="0.3"/>
  <pageSetup paperSize="9" scale="6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9156-7288-49D6-91F9-E4F076BD631A}">
  <sheetPr codeName="Лист3">
    <pageSetUpPr fitToPage="1"/>
  </sheetPr>
  <dimension ref="A1:BA43"/>
  <sheetViews>
    <sheetView showGridLines="0" view="pageLayout" zoomScale="40" zoomScaleNormal="70" zoomScalePageLayoutView="40" workbookViewId="0">
      <selection activeCell="Q30" sqref="Q30"/>
    </sheetView>
  </sheetViews>
  <sheetFormatPr defaultColWidth="2.6328125" defaultRowHeight="14.25" customHeight="1" x14ac:dyDescent="0.25"/>
  <cols>
    <col min="1" max="47" width="2.81640625" style="5" customWidth="1"/>
    <col min="48" max="16384" width="2.6328125" style="5"/>
  </cols>
  <sheetData>
    <row r="1" spans="1:53" ht="32.4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70" t="s">
        <v>31</v>
      </c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1"/>
    </row>
    <row r="2" spans="1:53" ht="17" customHeight="1" x14ac:dyDescent="0.25">
      <c r="A2" s="212" t="s">
        <v>0</v>
      </c>
      <c r="B2" s="213"/>
      <c r="C2" s="213"/>
      <c r="D2" s="213"/>
      <c r="E2" s="213"/>
      <c r="F2" s="214"/>
      <c r="G2" s="180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2"/>
      <c r="U2" s="183" t="s">
        <v>24</v>
      </c>
      <c r="V2" s="184"/>
      <c r="W2" s="184"/>
      <c r="X2" s="184"/>
      <c r="Y2" s="184"/>
      <c r="Z2" s="184"/>
      <c r="AA2" s="185"/>
      <c r="AB2" s="189"/>
      <c r="AC2" s="190"/>
      <c r="AD2" s="190"/>
      <c r="AE2" s="190"/>
      <c r="AF2" s="190"/>
      <c r="AG2" s="190"/>
      <c r="AH2" s="190"/>
      <c r="AI2" s="190"/>
      <c r="AJ2" s="190"/>
      <c r="AK2" s="190"/>
      <c r="AL2" s="191"/>
      <c r="AM2" s="541" t="s">
        <v>25</v>
      </c>
      <c r="AN2" s="542"/>
      <c r="AO2" s="542"/>
      <c r="AP2" s="542"/>
      <c r="AQ2" s="542"/>
      <c r="AR2" s="543"/>
      <c r="AS2" s="206"/>
      <c r="AT2" s="207"/>
      <c r="AU2" s="207"/>
      <c r="AV2" s="207"/>
      <c r="AW2" s="207"/>
      <c r="AX2" s="207"/>
      <c r="AY2" s="207"/>
      <c r="AZ2" s="207"/>
      <c r="BA2" s="208"/>
    </row>
    <row r="3" spans="1:53" ht="17" customHeight="1" x14ac:dyDescent="0.25">
      <c r="A3" s="212" t="s">
        <v>26</v>
      </c>
      <c r="B3" s="213"/>
      <c r="C3" s="213"/>
      <c r="D3" s="213"/>
      <c r="E3" s="213"/>
      <c r="F3" s="214"/>
      <c r="G3" s="180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2"/>
      <c r="U3" s="186"/>
      <c r="V3" s="187"/>
      <c r="W3" s="187"/>
      <c r="X3" s="187"/>
      <c r="Y3" s="187"/>
      <c r="Z3" s="187"/>
      <c r="AA3" s="188"/>
      <c r="AB3" s="192"/>
      <c r="AC3" s="193"/>
      <c r="AD3" s="193"/>
      <c r="AE3" s="193"/>
      <c r="AF3" s="193"/>
      <c r="AG3" s="193"/>
      <c r="AH3" s="193"/>
      <c r="AI3" s="193"/>
      <c r="AJ3" s="193"/>
      <c r="AK3" s="193"/>
      <c r="AL3" s="194"/>
      <c r="AM3" s="544"/>
      <c r="AN3" s="545"/>
      <c r="AO3" s="545"/>
      <c r="AP3" s="545"/>
      <c r="AQ3" s="545"/>
      <c r="AR3" s="546"/>
      <c r="AS3" s="209"/>
      <c r="AT3" s="210"/>
      <c r="AU3" s="210"/>
      <c r="AV3" s="210"/>
      <c r="AW3" s="210"/>
      <c r="AX3" s="210"/>
      <c r="AY3" s="210"/>
      <c r="AZ3" s="210"/>
      <c r="BA3" s="211"/>
    </row>
    <row r="4" spans="1:53" ht="17" customHeight="1" x14ac:dyDescent="0.25">
      <c r="A4" s="183" t="s">
        <v>27</v>
      </c>
      <c r="B4" s="184"/>
      <c r="C4" s="184"/>
      <c r="D4" s="185"/>
      <c r="E4" s="201" t="s">
        <v>15</v>
      </c>
      <c r="F4" s="202"/>
      <c r="G4" s="180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2"/>
      <c r="U4" s="183" t="s">
        <v>17</v>
      </c>
      <c r="V4" s="184"/>
      <c r="W4" s="184"/>
      <c r="X4" s="184"/>
      <c r="Y4" s="184"/>
      <c r="Z4" s="184"/>
      <c r="AA4" s="18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6"/>
      <c r="AM4" s="541" t="s">
        <v>18</v>
      </c>
      <c r="AN4" s="542"/>
      <c r="AO4" s="542"/>
      <c r="AP4" s="542"/>
      <c r="AQ4" s="542"/>
      <c r="AR4" s="543"/>
      <c r="AS4" s="206"/>
      <c r="AT4" s="207"/>
      <c r="AU4" s="207"/>
      <c r="AV4" s="207"/>
      <c r="AW4" s="207"/>
      <c r="AX4" s="207"/>
      <c r="AY4" s="207"/>
      <c r="AZ4" s="207"/>
      <c r="BA4" s="208"/>
    </row>
    <row r="5" spans="1:53" ht="17" customHeight="1" x14ac:dyDescent="0.25">
      <c r="A5" s="186"/>
      <c r="B5" s="187"/>
      <c r="C5" s="187"/>
      <c r="D5" s="188"/>
      <c r="E5" s="201" t="s">
        <v>16</v>
      </c>
      <c r="F5" s="202"/>
      <c r="G5" s="203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5"/>
      <c r="U5" s="186"/>
      <c r="V5" s="187"/>
      <c r="W5" s="187"/>
      <c r="X5" s="187"/>
      <c r="Y5" s="187"/>
      <c r="Z5" s="187"/>
      <c r="AA5" s="188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8"/>
      <c r="AM5" s="544"/>
      <c r="AN5" s="545"/>
      <c r="AO5" s="545"/>
      <c r="AP5" s="545"/>
      <c r="AQ5" s="545"/>
      <c r="AR5" s="546"/>
      <c r="AS5" s="209"/>
      <c r="AT5" s="210"/>
      <c r="AU5" s="210"/>
      <c r="AV5" s="210"/>
      <c r="AW5" s="210"/>
      <c r="AX5" s="210"/>
      <c r="AY5" s="210"/>
      <c r="AZ5" s="210"/>
      <c r="BA5" s="211"/>
    </row>
    <row r="6" spans="1:53" ht="16" customHeight="1" x14ac:dyDescent="0.25">
      <c r="A6" s="7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536"/>
      <c r="AK6" s="536"/>
      <c r="AL6" s="536"/>
      <c r="AM6" s="536"/>
      <c r="AN6" s="536"/>
      <c r="AO6" s="536"/>
      <c r="AP6" s="536"/>
      <c r="AQ6" s="536"/>
      <c r="AR6" s="536"/>
      <c r="AS6" s="536"/>
      <c r="AT6" s="536"/>
      <c r="AU6" s="536"/>
      <c r="AV6" s="536"/>
      <c r="AW6" s="536"/>
      <c r="AX6" s="536"/>
      <c r="AY6" s="536"/>
      <c r="AZ6" s="536"/>
      <c r="BA6" s="537"/>
    </row>
    <row r="7" spans="1:53" ht="16" customHeight="1" x14ac:dyDescent="0.25">
      <c r="A7" s="7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5"/>
    </row>
    <row r="8" spans="1:53" ht="16" customHeight="1" x14ac:dyDescent="0.25">
      <c r="A8" s="7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5"/>
    </row>
    <row r="9" spans="1:53" ht="16" customHeight="1" x14ac:dyDescent="0.25">
      <c r="A9" s="7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5"/>
    </row>
    <row r="10" spans="1:53" ht="16" customHeight="1" x14ac:dyDescent="0.25">
      <c r="A10" s="7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5"/>
    </row>
    <row r="11" spans="1:53" ht="16" customHeight="1" x14ac:dyDescent="0.25">
      <c r="A11" s="7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5"/>
    </row>
    <row r="12" spans="1:53" ht="16" customHeight="1" x14ac:dyDescent="0.25">
      <c r="A12" s="7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5"/>
    </row>
    <row r="13" spans="1:53" ht="16" customHeight="1" x14ac:dyDescent="0.25">
      <c r="A13" s="7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5"/>
    </row>
    <row r="14" spans="1:53" ht="16" customHeight="1" x14ac:dyDescent="0.25">
      <c r="A14" s="7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5"/>
    </row>
    <row r="15" spans="1:53" ht="16" customHeight="1" x14ac:dyDescent="0.25">
      <c r="A15" s="7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5"/>
    </row>
    <row r="16" spans="1:53" ht="16" customHeight="1" x14ac:dyDescent="0.25">
      <c r="A16" s="7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5"/>
    </row>
    <row r="17" spans="1:53" ht="16" customHeight="1" x14ac:dyDescent="0.25">
      <c r="A17" s="7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5"/>
    </row>
    <row r="18" spans="1:53" ht="16" customHeight="1" x14ac:dyDescent="0.25">
      <c r="A18" s="7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5"/>
    </row>
    <row r="19" spans="1:53" ht="16" customHeight="1" x14ac:dyDescent="0.25">
      <c r="A19" s="7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5"/>
    </row>
    <row r="20" spans="1:53" ht="16" customHeight="1" x14ac:dyDescent="0.25">
      <c r="A20" s="7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5"/>
    </row>
    <row r="21" spans="1:53" ht="16" customHeight="1" x14ac:dyDescent="0.25">
      <c r="A21" s="7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5"/>
    </row>
    <row r="22" spans="1:53" ht="16" customHeight="1" x14ac:dyDescent="0.25">
      <c r="A22" s="7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5"/>
    </row>
    <row r="23" spans="1:53" ht="16" customHeight="1" x14ac:dyDescent="0.25">
      <c r="A23" s="7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5"/>
    </row>
    <row r="24" spans="1:53" ht="16" customHeight="1" x14ac:dyDescent="0.25">
      <c r="A24" s="7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5"/>
    </row>
    <row r="25" spans="1:53" ht="16" customHeight="1" x14ac:dyDescent="0.25">
      <c r="A25" s="7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5"/>
    </row>
    <row r="26" spans="1:53" ht="16" customHeight="1" x14ac:dyDescent="0.25">
      <c r="A26" s="7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5"/>
    </row>
    <row r="27" spans="1:53" ht="16" customHeight="1" x14ac:dyDescent="0.25">
      <c r="A27" s="7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5"/>
    </row>
    <row r="28" spans="1:53" ht="16" customHeight="1" x14ac:dyDescent="0.25">
      <c r="A28" s="7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5"/>
    </row>
    <row r="29" spans="1:53" ht="14.25" customHeight="1" x14ac:dyDescent="0.25">
      <c r="A29" s="76"/>
      <c r="B29" s="538"/>
      <c r="C29" s="538"/>
      <c r="D29" s="538"/>
      <c r="E29" s="538"/>
      <c r="F29" s="538"/>
      <c r="G29" s="538"/>
      <c r="H29" s="538"/>
      <c r="I29" s="538"/>
      <c r="J29" s="538"/>
      <c r="K29" s="538"/>
      <c r="L29" s="538"/>
      <c r="M29" s="538"/>
      <c r="N29" s="538"/>
      <c r="O29" s="538"/>
      <c r="P29" s="538"/>
      <c r="Q29" s="538"/>
      <c r="R29" s="538"/>
      <c r="S29" s="538"/>
      <c r="T29" s="538"/>
      <c r="U29" s="538"/>
      <c r="V29" s="538"/>
      <c r="W29" s="538"/>
      <c r="X29" s="538"/>
      <c r="Y29" s="538"/>
      <c r="Z29" s="538"/>
      <c r="AA29" s="538"/>
      <c r="AB29" s="538"/>
      <c r="AC29" s="538"/>
      <c r="AD29" s="538"/>
      <c r="AE29" s="538"/>
      <c r="AF29" s="538"/>
      <c r="AG29" s="538"/>
      <c r="AH29" s="538"/>
      <c r="AI29" s="538"/>
      <c r="AJ29" s="538"/>
      <c r="AK29" s="538"/>
      <c r="AL29" s="538"/>
      <c r="AM29" s="538"/>
      <c r="AN29" s="538"/>
      <c r="AO29" s="538"/>
      <c r="AP29" s="538"/>
      <c r="AQ29" s="538"/>
      <c r="AR29" s="538"/>
      <c r="AS29" s="538"/>
      <c r="AT29" s="538"/>
      <c r="AU29" s="538"/>
      <c r="AV29" s="538"/>
      <c r="AW29" s="538"/>
      <c r="AX29" s="538"/>
      <c r="AY29" s="538"/>
      <c r="AZ29" s="538"/>
      <c r="BA29" s="77"/>
    </row>
    <row r="30" spans="1:53" ht="14.25" customHeight="1" x14ac:dyDescent="0.25">
      <c r="A30" s="76"/>
      <c r="B30" s="538"/>
      <c r="C30" s="538"/>
      <c r="D30" s="538"/>
      <c r="E30" s="538"/>
      <c r="F30" s="538"/>
      <c r="G30" s="538"/>
      <c r="H30" s="538"/>
      <c r="I30" s="538"/>
      <c r="J30" s="538"/>
      <c r="K30" s="538"/>
      <c r="L30" s="538"/>
      <c r="M30" s="538"/>
      <c r="N30" s="538"/>
      <c r="O30" s="538"/>
      <c r="P30" s="538"/>
      <c r="Q30" s="538"/>
      <c r="R30" s="538"/>
      <c r="S30" s="538"/>
      <c r="T30" s="538"/>
      <c r="U30" s="538"/>
      <c r="V30" s="538"/>
      <c r="W30" s="538"/>
      <c r="X30" s="538"/>
      <c r="Y30" s="538"/>
      <c r="Z30" s="538"/>
      <c r="AA30" s="538"/>
      <c r="AB30" s="538"/>
      <c r="AC30" s="195" t="s">
        <v>32</v>
      </c>
      <c r="AD30" s="196"/>
      <c r="AE30" s="196"/>
      <c r="AF30" s="196"/>
      <c r="AG30" s="197"/>
      <c r="AH30" s="195" t="s">
        <v>33</v>
      </c>
      <c r="AI30" s="196"/>
      <c r="AJ30" s="196"/>
      <c r="AK30" s="196"/>
      <c r="AL30" s="197"/>
      <c r="AM30" s="195" t="s">
        <v>34</v>
      </c>
      <c r="AN30" s="196"/>
      <c r="AO30" s="196"/>
      <c r="AP30" s="196"/>
      <c r="AQ30" s="197"/>
      <c r="AR30" s="195" t="s">
        <v>35</v>
      </c>
      <c r="AS30" s="196"/>
      <c r="AT30" s="196"/>
      <c r="AU30" s="196"/>
      <c r="AV30" s="197"/>
      <c r="AW30" s="195" t="s">
        <v>36</v>
      </c>
      <c r="AX30" s="196"/>
      <c r="AY30" s="196"/>
      <c r="AZ30" s="196"/>
      <c r="BA30" s="197"/>
    </row>
    <row r="31" spans="1:53" ht="21" customHeight="1" x14ac:dyDescent="0.25">
      <c r="A31" s="76"/>
      <c r="B31" s="538"/>
      <c r="C31" s="538"/>
      <c r="D31" s="538"/>
      <c r="E31" s="538"/>
      <c r="F31" s="538"/>
      <c r="G31" s="538"/>
      <c r="H31" s="538"/>
      <c r="I31" s="538"/>
      <c r="J31" s="538"/>
      <c r="K31" s="538"/>
      <c r="L31" s="538"/>
      <c r="M31" s="538"/>
      <c r="N31" s="538"/>
      <c r="O31" s="538"/>
      <c r="P31" s="538"/>
      <c r="Q31" s="538"/>
      <c r="R31" s="538"/>
      <c r="S31" s="538"/>
      <c r="T31" s="538"/>
      <c r="U31" s="538"/>
      <c r="V31" s="538"/>
      <c r="W31" s="538"/>
      <c r="X31" s="538"/>
      <c r="Y31" s="538"/>
      <c r="Z31" s="538"/>
      <c r="AA31" s="538"/>
      <c r="AB31" s="538"/>
      <c r="AC31" s="198"/>
      <c r="AD31" s="199"/>
      <c r="AE31" s="199"/>
      <c r="AF31" s="199"/>
      <c r="AG31" s="200"/>
      <c r="AH31" s="198"/>
      <c r="AI31" s="199"/>
      <c r="AJ31" s="199"/>
      <c r="AK31" s="199"/>
      <c r="AL31" s="200"/>
      <c r="AM31" s="198"/>
      <c r="AN31" s="199"/>
      <c r="AO31" s="199"/>
      <c r="AP31" s="199"/>
      <c r="AQ31" s="200"/>
      <c r="AR31" s="198"/>
      <c r="AS31" s="199"/>
      <c r="AT31" s="199"/>
      <c r="AU31" s="199"/>
      <c r="AV31" s="200"/>
      <c r="AW31" s="198"/>
      <c r="AX31" s="199"/>
      <c r="AY31" s="199"/>
      <c r="AZ31" s="199"/>
      <c r="BA31" s="200"/>
    </row>
    <row r="32" spans="1:53" ht="14.25" customHeight="1" x14ac:dyDescent="0.25">
      <c r="A32" s="76"/>
      <c r="B32" s="538"/>
      <c r="C32" s="538"/>
      <c r="D32" s="538"/>
      <c r="E32" s="538"/>
      <c r="F32" s="538"/>
      <c r="G32" s="538"/>
      <c r="H32" s="538"/>
      <c r="I32" s="538"/>
      <c r="J32" s="538"/>
      <c r="K32" s="538"/>
      <c r="L32" s="538"/>
      <c r="M32" s="538"/>
      <c r="N32" s="538"/>
      <c r="O32" s="538"/>
      <c r="P32" s="538"/>
      <c r="Q32" s="538"/>
      <c r="R32" s="538"/>
      <c r="S32" s="538"/>
      <c r="T32" s="538"/>
      <c r="U32" s="538"/>
      <c r="V32" s="538"/>
      <c r="W32" s="538"/>
      <c r="X32" s="538"/>
      <c r="Y32" s="538"/>
      <c r="Z32" s="538"/>
      <c r="AA32" s="538"/>
      <c r="AB32" s="538"/>
      <c r="AC32" s="172"/>
      <c r="AD32" s="173"/>
      <c r="AE32" s="173"/>
      <c r="AF32" s="173"/>
      <c r="AG32" s="174"/>
      <c r="AH32" s="172"/>
      <c r="AI32" s="173"/>
      <c r="AJ32" s="173"/>
      <c r="AK32" s="173"/>
      <c r="AL32" s="174"/>
      <c r="AM32" s="172"/>
      <c r="AN32" s="173"/>
      <c r="AO32" s="173"/>
      <c r="AP32" s="173"/>
      <c r="AQ32" s="174"/>
      <c r="AR32" s="172"/>
      <c r="AS32" s="173"/>
      <c r="AT32" s="173"/>
      <c r="AU32" s="173"/>
      <c r="AV32" s="174"/>
      <c r="AW32" s="7"/>
      <c r="AX32" s="8"/>
      <c r="AY32" s="8"/>
      <c r="AZ32" s="8"/>
      <c r="BA32" s="9"/>
    </row>
    <row r="33" spans="1:53" ht="14.25" customHeight="1" x14ac:dyDescent="0.25">
      <c r="A33" s="76"/>
      <c r="B33" s="538"/>
      <c r="C33" s="538"/>
      <c r="D33" s="538"/>
      <c r="E33" s="538"/>
      <c r="F33" s="538"/>
      <c r="G33" s="538"/>
      <c r="H33" s="538"/>
      <c r="I33" s="538"/>
      <c r="J33" s="538"/>
      <c r="K33" s="538"/>
      <c r="L33" s="538"/>
      <c r="M33" s="538"/>
      <c r="N33" s="538"/>
      <c r="O33" s="538"/>
      <c r="P33" s="538"/>
      <c r="Q33" s="538"/>
      <c r="R33" s="538"/>
      <c r="S33" s="538"/>
      <c r="T33" s="538"/>
      <c r="U33" s="538"/>
      <c r="V33" s="538"/>
      <c r="W33" s="538"/>
      <c r="X33" s="538"/>
      <c r="Y33" s="538"/>
      <c r="Z33" s="538"/>
      <c r="AA33" s="538"/>
      <c r="AB33" s="538"/>
      <c r="AC33" s="175"/>
      <c r="AD33" s="539"/>
      <c r="AE33" s="539"/>
      <c r="AF33" s="539"/>
      <c r="AG33" s="176"/>
      <c r="AH33" s="175"/>
      <c r="AI33" s="539"/>
      <c r="AJ33" s="539"/>
      <c r="AK33" s="539"/>
      <c r="AL33" s="176"/>
      <c r="AM33" s="175"/>
      <c r="AN33" s="539"/>
      <c r="AO33" s="539"/>
      <c r="AP33" s="539"/>
      <c r="AQ33" s="176"/>
      <c r="AR33" s="175"/>
      <c r="AS33" s="539"/>
      <c r="AT33" s="539"/>
      <c r="AU33" s="539"/>
      <c r="AV33" s="176"/>
      <c r="AW33" s="10"/>
      <c r="AX33" s="540"/>
      <c r="AY33" s="540"/>
      <c r="AZ33" s="540"/>
      <c r="BA33" s="11"/>
    </row>
    <row r="34" spans="1:53" ht="14.25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177"/>
      <c r="AD34" s="178"/>
      <c r="AE34" s="178"/>
      <c r="AF34" s="178"/>
      <c r="AG34" s="179"/>
      <c r="AH34" s="177"/>
      <c r="AI34" s="178"/>
      <c r="AJ34" s="178"/>
      <c r="AK34" s="178"/>
      <c r="AL34" s="179"/>
      <c r="AM34" s="177"/>
      <c r="AN34" s="178"/>
      <c r="AO34" s="178"/>
      <c r="AP34" s="178"/>
      <c r="AQ34" s="179"/>
      <c r="AR34" s="177"/>
      <c r="AS34" s="178"/>
      <c r="AT34" s="178"/>
      <c r="AU34" s="178"/>
      <c r="AV34" s="179"/>
      <c r="AW34" s="12"/>
      <c r="AX34" s="13"/>
      <c r="AY34" s="13"/>
      <c r="AZ34" s="13"/>
      <c r="BA34" s="14"/>
    </row>
    <row r="43" spans="1:53" ht="14.25" customHeight="1" x14ac:dyDescent="0.25">
      <c r="J43" s="15"/>
    </row>
  </sheetData>
  <mergeCells count="27">
    <mergeCell ref="AM2:AR3"/>
    <mergeCell ref="AS2:BA3"/>
    <mergeCell ref="AS4:BA5"/>
    <mergeCell ref="U2:AA3"/>
    <mergeCell ref="AB2:AL3"/>
    <mergeCell ref="U4:AA5"/>
    <mergeCell ref="AB4:AL5"/>
    <mergeCell ref="E5:F5"/>
    <mergeCell ref="G5:T5"/>
    <mergeCell ref="A3:F3"/>
    <mergeCell ref="G3:T3"/>
    <mergeCell ref="A4:D5"/>
    <mergeCell ref="E4:F4"/>
    <mergeCell ref="G4:T4"/>
    <mergeCell ref="A2:F2"/>
    <mergeCell ref="AC32:AG34"/>
    <mergeCell ref="AH32:AL34"/>
    <mergeCell ref="AM32:AQ34"/>
    <mergeCell ref="AR32:AV34"/>
    <mergeCell ref="G2:T2"/>
    <mergeCell ref="AC30:AG31"/>
    <mergeCell ref="AH30:AL31"/>
    <mergeCell ref="AM30:AQ31"/>
    <mergeCell ref="AR30:AV31"/>
    <mergeCell ref="AW30:BA31"/>
    <mergeCell ref="M1:BA1"/>
    <mergeCell ref="AM4:AR5"/>
  </mergeCells>
  <pageMargins left="0.23622047244094491" right="0.23622047244094491" top="0.35433070866141736" bottom="0.35433070866141736" header="0.31496062992125984" footer="0.31496062992125984"/>
  <pageSetup paperSize="9" scale="9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2092-0487-4388-85DB-D63A24C6BE97}">
  <sheetPr codeName="Лист4">
    <pageSetUpPr fitToPage="1"/>
  </sheetPr>
  <dimension ref="A1:U20"/>
  <sheetViews>
    <sheetView showGridLines="0" view="pageLayout" zoomScale="24" zoomScaleNormal="33" zoomScalePageLayoutView="24" workbookViewId="0">
      <selection activeCell="A10" sqref="A10:XFD10"/>
    </sheetView>
  </sheetViews>
  <sheetFormatPr defaultColWidth="2.90625" defaultRowHeight="14" x14ac:dyDescent="0.3"/>
  <cols>
    <col min="1" max="1" width="3.6328125" style="16" customWidth="1"/>
    <col min="2" max="2" width="40.81640625" style="16" customWidth="1"/>
    <col min="3" max="3" width="14.453125" style="16" customWidth="1"/>
    <col min="4" max="14" width="5.90625" style="16" customWidth="1"/>
    <col min="15" max="15" width="8.81640625" style="16" customWidth="1"/>
    <col min="16" max="16" width="21.54296875" style="16" customWidth="1"/>
    <col min="17" max="17" width="8.81640625" style="16" customWidth="1"/>
    <col min="18" max="18" width="7.90625" style="16" customWidth="1"/>
    <col min="19" max="19" width="10.08984375" style="16" customWidth="1"/>
    <col min="20" max="20" width="8.81640625" style="16" customWidth="1"/>
    <col min="21" max="21" width="46" style="16" customWidth="1"/>
    <col min="22" max="16384" width="2.90625" style="16"/>
  </cols>
  <sheetData>
    <row r="1" spans="1:21" ht="62.5" customHeight="1" x14ac:dyDescent="0.3">
      <c r="A1" s="242"/>
      <c r="B1" s="242"/>
      <c r="C1" s="547" t="s">
        <v>37</v>
      </c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</row>
    <row r="2" spans="1:21" ht="37" customHeight="1" x14ac:dyDescent="0.3">
      <c r="A2" s="242"/>
      <c r="B2" s="242"/>
      <c r="C2" s="511" t="s">
        <v>27</v>
      </c>
      <c r="D2" s="514" t="s">
        <v>15</v>
      </c>
      <c r="E2" s="512"/>
      <c r="F2" s="512"/>
      <c r="G2" s="512"/>
      <c r="H2" s="512"/>
      <c r="I2" s="511" t="s">
        <v>24</v>
      </c>
      <c r="J2" s="511"/>
      <c r="K2" s="512"/>
      <c r="L2" s="512"/>
      <c r="M2" s="512"/>
      <c r="N2" s="514" t="s">
        <v>0</v>
      </c>
      <c r="O2" s="514"/>
      <c r="P2" s="548"/>
      <c r="Q2" s="549"/>
      <c r="R2" s="550"/>
      <c r="S2" s="510" t="s">
        <v>142</v>
      </c>
      <c r="T2" s="510"/>
      <c r="U2" s="131"/>
    </row>
    <row r="3" spans="1:21" ht="37" customHeight="1" x14ac:dyDescent="0.3">
      <c r="A3" s="243"/>
      <c r="B3" s="243"/>
      <c r="C3" s="551"/>
      <c r="D3" s="552" t="s">
        <v>16</v>
      </c>
      <c r="E3" s="553"/>
      <c r="F3" s="553"/>
      <c r="G3" s="553"/>
      <c r="H3" s="553"/>
      <c r="I3" s="551" t="s">
        <v>17</v>
      </c>
      <c r="J3" s="551"/>
      <c r="K3" s="553"/>
      <c r="L3" s="553"/>
      <c r="M3" s="553"/>
      <c r="N3" s="552" t="s">
        <v>26</v>
      </c>
      <c r="O3" s="552"/>
      <c r="P3" s="554"/>
      <c r="Q3" s="555"/>
      <c r="R3" s="556"/>
      <c r="S3" s="557" t="s">
        <v>18</v>
      </c>
      <c r="T3" s="558"/>
      <c r="U3" s="151"/>
    </row>
    <row r="4" spans="1:21" s="17" customFormat="1" ht="49.5" customHeight="1" x14ac:dyDescent="0.3">
      <c r="A4" s="126" t="s">
        <v>19</v>
      </c>
      <c r="B4" s="126" t="s">
        <v>38</v>
      </c>
      <c r="C4" s="127" t="s">
        <v>39</v>
      </c>
      <c r="D4" s="126">
        <v>1</v>
      </c>
      <c r="E4" s="126">
        <v>2</v>
      </c>
      <c r="F4" s="126">
        <v>3</v>
      </c>
      <c r="G4" s="126">
        <v>4</v>
      </c>
      <c r="H4" s="126">
        <v>5</v>
      </c>
      <c r="I4" s="126">
        <v>6</v>
      </c>
      <c r="J4" s="126">
        <v>7</v>
      </c>
      <c r="K4" s="126">
        <v>8</v>
      </c>
      <c r="L4" s="126">
        <v>9</v>
      </c>
      <c r="M4" s="126">
        <v>10</v>
      </c>
      <c r="N4" s="559" t="s">
        <v>150</v>
      </c>
      <c r="O4" s="559" t="s">
        <v>152</v>
      </c>
      <c r="P4" s="559" t="s">
        <v>155</v>
      </c>
      <c r="Q4" s="559" t="s">
        <v>151</v>
      </c>
      <c r="R4" s="559" t="s">
        <v>23</v>
      </c>
      <c r="S4" s="238" t="s">
        <v>40</v>
      </c>
      <c r="T4" s="238"/>
      <c r="U4" s="238"/>
    </row>
    <row r="5" spans="1:21" ht="45" customHeight="1" x14ac:dyDescent="0.3">
      <c r="A5" s="120"/>
      <c r="B5" s="83"/>
      <c r="C5" s="125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1"/>
      <c r="P5" s="156"/>
      <c r="Q5" s="121"/>
      <c r="R5" s="124"/>
      <c r="S5" s="237"/>
      <c r="T5" s="237"/>
      <c r="U5" s="237"/>
    </row>
    <row r="6" spans="1:21" ht="45" customHeight="1" x14ac:dyDescent="0.3">
      <c r="A6" s="120"/>
      <c r="B6" s="83"/>
      <c r="C6" s="125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1"/>
      <c r="P6" s="121"/>
      <c r="Q6" s="121"/>
      <c r="R6" s="124"/>
      <c r="S6" s="237"/>
      <c r="T6" s="237"/>
      <c r="U6" s="237"/>
    </row>
    <row r="7" spans="1:21" ht="45" customHeight="1" x14ac:dyDescent="0.3">
      <c r="A7" s="120"/>
      <c r="B7" s="83"/>
      <c r="C7" s="125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1"/>
      <c r="P7" s="121"/>
      <c r="Q7" s="121"/>
      <c r="R7" s="124"/>
      <c r="S7" s="237"/>
      <c r="T7" s="237"/>
      <c r="U7" s="237"/>
    </row>
    <row r="8" spans="1:21" ht="45" customHeight="1" x14ac:dyDescent="0.3">
      <c r="A8" s="120"/>
      <c r="B8" s="83"/>
      <c r="C8" s="125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1"/>
      <c r="P8" s="121"/>
      <c r="Q8" s="121"/>
      <c r="R8" s="124"/>
      <c r="S8" s="237"/>
      <c r="T8" s="237"/>
      <c r="U8" s="237"/>
    </row>
    <row r="9" spans="1:21" ht="45" customHeight="1" x14ac:dyDescent="0.3">
      <c r="A9" s="120"/>
      <c r="B9" s="83"/>
      <c r="C9" s="125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1"/>
      <c r="P9" s="121"/>
      <c r="Q9" s="121"/>
      <c r="R9" s="124"/>
      <c r="S9" s="237"/>
      <c r="T9" s="237"/>
      <c r="U9" s="237"/>
    </row>
    <row r="10" spans="1:21" ht="45" customHeight="1" x14ac:dyDescent="0.3">
      <c r="A10" s="120"/>
      <c r="B10" s="83"/>
      <c r="C10" s="125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1"/>
      <c r="P10" s="121"/>
      <c r="Q10" s="121"/>
      <c r="R10" s="124"/>
      <c r="S10" s="237"/>
      <c r="T10" s="237"/>
      <c r="U10" s="237"/>
    </row>
    <row r="11" spans="1:21" ht="45" customHeight="1" x14ac:dyDescent="0.3">
      <c r="A11" s="120"/>
      <c r="B11" s="83"/>
      <c r="C11" s="125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1"/>
      <c r="P11" s="121"/>
      <c r="Q11" s="121"/>
      <c r="R11" s="124"/>
      <c r="S11" s="237"/>
      <c r="T11" s="237"/>
      <c r="U11" s="237"/>
    </row>
    <row r="12" spans="1:21" ht="45" customHeight="1" x14ac:dyDescent="0.3">
      <c r="A12" s="120"/>
      <c r="B12" s="83"/>
      <c r="C12" s="125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1"/>
      <c r="P12" s="121"/>
      <c r="Q12" s="121"/>
      <c r="R12" s="124"/>
      <c r="S12" s="237"/>
      <c r="T12" s="237"/>
      <c r="U12" s="237"/>
    </row>
    <row r="13" spans="1:21" ht="45" customHeight="1" x14ac:dyDescent="0.3">
      <c r="A13" s="120"/>
      <c r="B13" s="83"/>
      <c r="C13" s="125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1"/>
      <c r="P13" s="121"/>
      <c r="Q13" s="121"/>
      <c r="R13" s="124"/>
      <c r="S13" s="237"/>
      <c r="T13" s="237"/>
      <c r="U13" s="237"/>
    </row>
    <row r="14" spans="1:21" ht="45" customHeight="1" x14ac:dyDescent="0.3">
      <c r="A14" s="120"/>
      <c r="B14" s="83"/>
      <c r="C14" s="125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1"/>
      <c r="P14" s="121"/>
      <c r="Q14" s="121"/>
      <c r="R14" s="124"/>
      <c r="S14" s="237"/>
      <c r="T14" s="237"/>
      <c r="U14" s="237"/>
    </row>
    <row r="15" spans="1:21" ht="44.5" customHeight="1" x14ac:dyDescent="0.3">
      <c r="A15" s="120"/>
      <c r="B15" s="83"/>
      <c r="C15" s="125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1"/>
      <c r="P15" s="121"/>
      <c r="Q15" s="121"/>
      <c r="R15" s="124"/>
      <c r="S15" s="237"/>
      <c r="T15" s="237"/>
      <c r="U15" s="237"/>
    </row>
    <row r="16" spans="1:21" ht="44.5" customHeight="1" x14ac:dyDescent="0.3">
      <c r="A16" s="120"/>
      <c r="B16" s="83"/>
      <c r="C16" s="125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1"/>
      <c r="P16" s="121"/>
      <c r="Q16" s="121"/>
      <c r="R16" s="124"/>
      <c r="S16" s="237"/>
      <c r="T16" s="237"/>
      <c r="U16" s="237"/>
    </row>
    <row r="17" spans="1:21" ht="44.5" customHeight="1" x14ac:dyDescent="0.3">
      <c r="A17" s="120"/>
      <c r="B17" s="83"/>
      <c r="C17" s="125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1"/>
      <c r="P17" s="121"/>
      <c r="Q17" s="121"/>
      <c r="R17" s="124"/>
      <c r="S17" s="237"/>
      <c r="T17" s="237"/>
      <c r="U17" s="237"/>
    </row>
    <row r="18" spans="1:21" ht="44.5" customHeight="1" x14ac:dyDescent="0.3">
      <c r="A18" s="152"/>
      <c r="B18" s="153"/>
      <c r="C18" s="150" t="s">
        <v>41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1"/>
      <c r="R18" s="121"/>
      <c r="S18" s="219"/>
      <c r="T18" s="220"/>
      <c r="U18" s="221"/>
    </row>
    <row r="19" spans="1:21" ht="44.5" customHeight="1" x14ac:dyDescent="0.3">
      <c r="A19" s="152"/>
      <c r="C19" s="225" t="s">
        <v>153</v>
      </c>
      <c r="D19" s="225"/>
      <c r="E19" s="225"/>
      <c r="F19" s="226"/>
      <c r="G19" s="226"/>
      <c r="H19" s="226"/>
      <c r="I19" s="226"/>
      <c r="J19" s="227" t="s">
        <v>157</v>
      </c>
      <c r="K19" s="228"/>
      <c r="L19" s="228"/>
      <c r="M19" s="228"/>
      <c r="N19" s="228"/>
      <c r="O19" s="229"/>
      <c r="P19" s="233"/>
      <c r="Q19" s="234"/>
      <c r="R19" s="223"/>
      <c r="S19" s="222" t="s">
        <v>156</v>
      </c>
      <c r="T19" s="222"/>
      <c r="U19" s="222"/>
    </row>
    <row r="20" spans="1:21" ht="44.5" customHeight="1" x14ac:dyDescent="0.3">
      <c r="A20" s="154"/>
      <c r="B20" s="155"/>
      <c r="C20" s="225" t="s">
        <v>154</v>
      </c>
      <c r="D20" s="225"/>
      <c r="E20" s="225"/>
      <c r="F20" s="226"/>
      <c r="G20" s="226"/>
      <c r="H20" s="226"/>
      <c r="I20" s="226"/>
      <c r="J20" s="230"/>
      <c r="K20" s="231"/>
      <c r="L20" s="231"/>
      <c r="M20" s="231"/>
      <c r="N20" s="231"/>
      <c r="O20" s="232"/>
      <c r="P20" s="235"/>
      <c r="Q20" s="236"/>
      <c r="R20" s="224"/>
      <c r="S20" s="222"/>
      <c r="T20" s="222"/>
      <c r="U20" s="222"/>
    </row>
  </sheetData>
  <mergeCells count="36">
    <mergeCell ref="S15:U15"/>
    <mergeCell ref="S16:U16"/>
    <mergeCell ref="S17:U17"/>
    <mergeCell ref="C2:C3"/>
    <mergeCell ref="A1:B3"/>
    <mergeCell ref="C1:U1"/>
    <mergeCell ref="S5:U5"/>
    <mergeCell ref="S11:U11"/>
    <mergeCell ref="S9:U9"/>
    <mergeCell ref="S10:U10"/>
    <mergeCell ref="S8:U8"/>
    <mergeCell ref="S6:U6"/>
    <mergeCell ref="S7:U7"/>
    <mergeCell ref="S4:U4"/>
    <mergeCell ref="E2:H2"/>
    <mergeCell ref="E3:H3"/>
    <mergeCell ref="I2:J2"/>
    <mergeCell ref="I3:J3"/>
    <mergeCell ref="S3:T3"/>
    <mergeCell ref="S2:T2"/>
    <mergeCell ref="P2:R2"/>
    <mergeCell ref="P3:R3"/>
    <mergeCell ref="K2:M2"/>
    <mergeCell ref="K3:M3"/>
    <mergeCell ref="S12:U12"/>
    <mergeCell ref="S13:U13"/>
    <mergeCell ref="S14:U14"/>
    <mergeCell ref="S18:U18"/>
    <mergeCell ref="S19:U20"/>
    <mergeCell ref="R19:R20"/>
    <mergeCell ref="C20:E20"/>
    <mergeCell ref="F20:I20"/>
    <mergeCell ref="F19:I19"/>
    <mergeCell ref="C19:E19"/>
    <mergeCell ref="J19:O20"/>
    <mergeCell ref="P19:Q20"/>
  </mergeCells>
  <pageMargins left="0.23622047244094491" right="0.23622047244094491" top="0.35433070866141736" bottom="0.35433070866141736" header="0.31496062992125984" footer="0.31496062992125984"/>
  <pageSetup paperSize="9" scale="6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5690-F6F7-4FDF-B348-BFE0E672620C}">
  <sheetPr codeName="Лист6">
    <pageSetUpPr fitToPage="1"/>
  </sheetPr>
  <dimension ref="A1:Q19"/>
  <sheetViews>
    <sheetView tabSelected="1" view="pageLayout" zoomScale="46" zoomScaleNormal="115" zoomScalePageLayoutView="46" workbookViewId="0">
      <selection activeCell="B6" sqref="P8"/>
    </sheetView>
  </sheetViews>
  <sheetFormatPr defaultColWidth="2.90625" defaultRowHeight="13" x14ac:dyDescent="0.3"/>
  <cols>
    <col min="1" max="1" width="4.36328125" style="17" customWidth="1"/>
    <col min="2" max="4" width="2.6328125" style="17" customWidth="1"/>
    <col min="5" max="5" width="6" style="17" customWidth="1"/>
    <col min="6" max="12" width="2.6328125" style="17" customWidth="1"/>
    <col min="13" max="13" width="10.81640625" style="17" customWidth="1"/>
    <col min="14" max="16" width="20.81640625" style="17" customWidth="1"/>
    <col min="17" max="17" width="29" style="17" customWidth="1"/>
    <col min="18" max="16384" width="2.90625" style="17"/>
  </cols>
  <sheetData>
    <row r="1" spans="1:17" ht="34.75" customHeight="1" x14ac:dyDescent="0.3">
      <c r="A1" s="248"/>
      <c r="B1" s="248"/>
      <c r="C1" s="248"/>
      <c r="D1" s="249" t="s">
        <v>42</v>
      </c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</row>
    <row r="2" spans="1:17" ht="21.5" customHeight="1" x14ac:dyDescent="0.3">
      <c r="A2" s="166" t="s">
        <v>0</v>
      </c>
      <c r="B2" s="166"/>
      <c r="C2" s="166"/>
      <c r="D2" s="166"/>
      <c r="E2" s="166"/>
      <c r="F2" s="245"/>
      <c r="G2" s="245"/>
      <c r="H2" s="245"/>
      <c r="I2" s="245"/>
      <c r="J2" s="245"/>
      <c r="K2" s="245"/>
      <c r="L2" s="245"/>
      <c r="M2" s="245"/>
      <c r="N2" s="167" t="s">
        <v>24</v>
      </c>
      <c r="O2" s="168"/>
      <c r="P2" s="166" t="s">
        <v>25</v>
      </c>
      <c r="Q2" s="247"/>
    </row>
    <row r="3" spans="1:17" ht="21.5" customHeight="1" x14ac:dyDescent="0.3">
      <c r="A3" s="110" t="s">
        <v>26</v>
      </c>
      <c r="B3" s="110"/>
      <c r="C3" s="110"/>
      <c r="D3" s="157"/>
      <c r="E3" s="149"/>
      <c r="F3" s="245"/>
      <c r="G3" s="245"/>
      <c r="H3" s="245"/>
      <c r="I3" s="245"/>
      <c r="J3" s="245"/>
      <c r="K3" s="245"/>
      <c r="L3" s="245"/>
      <c r="M3" s="245"/>
      <c r="N3" s="167"/>
      <c r="O3" s="168"/>
      <c r="P3" s="166"/>
      <c r="Q3" s="247"/>
    </row>
    <row r="4" spans="1:17" ht="21.5" customHeight="1" x14ac:dyDescent="0.3">
      <c r="A4" s="167" t="s">
        <v>27</v>
      </c>
      <c r="B4" s="167"/>
      <c r="C4" s="167"/>
      <c r="D4" s="167"/>
      <c r="E4" s="123" t="s">
        <v>15</v>
      </c>
      <c r="F4" s="245"/>
      <c r="G4" s="245"/>
      <c r="H4" s="245"/>
      <c r="I4" s="245"/>
      <c r="J4" s="245"/>
      <c r="K4" s="245"/>
      <c r="L4" s="245"/>
      <c r="M4" s="245"/>
      <c r="N4" s="167" t="s">
        <v>17</v>
      </c>
      <c r="O4" s="246"/>
      <c r="P4" s="167" t="s">
        <v>18</v>
      </c>
      <c r="Q4" s="247"/>
    </row>
    <row r="5" spans="1:17" ht="21.5" customHeight="1" x14ac:dyDescent="0.3">
      <c r="A5" s="167"/>
      <c r="B5" s="167"/>
      <c r="C5" s="167"/>
      <c r="D5" s="167"/>
      <c r="E5" s="123" t="s">
        <v>16</v>
      </c>
      <c r="F5" s="244"/>
      <c r="G5" s="244"/>
      <c r="H5" s="244"/>
      <c r="I5" s="244"/>
      <c r="J5" s="244"/>
      <c r="K5" s="244"/>
      <c r="L5" s="244"/>
      <c r="M5" s="244"/>
      <c r="N5" s="167"/>
      <c r="O5" s="246"/>
      <c r="P5" s="167"/>
      <c r="Q5" s="247"/>
    </row>
    <row r="6" spans="1:17" ht="20.5" customHeight="1" x14ac:dyDescent="0.3">
      <c r="A6" s="238" t="s">
        <v>19</v>
      </c>
      <c r="B6" s="238" t="s">
        <v>38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51" t="s">
        <v>44</v>
      </c>
      <c r="N6" s="238" t="s">
        <v>43</v>
      </c>
      <c r="O6" s="238"/>
      <c r="P6" s="238"/>
      <c r="Q6" s="256" t="s">
        <v>147</v>
      </c>
    </row>
    <row r="7" spans="1:17" ht="32" customHeight="1" x14ac:dyDescent="0.3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51"/>
      <c r="N7" s="126">
        <v>1</v>
      </c>
      <c r="O7" s="126">
        <v>2</v>
      </c>
      <c r="P7" s="126">
        <v>3</v>
      </c>
      <c r="Q7" s="257"/>
    </row>
    <row r="8" spans="1:17" ht="29" customHeight="1" x14ac:dyDescent="0.3">
      <c r="A8" s="128">
        <v>1</v>
      </c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125"/>
      <c r="N8" s="121"/>
      <c r="O8" s="121"/>
      <c r="P8" s="121"/>
      <c r="Q8" s="125"/>
    </row>
    <row r="9" spans="1:17" ht="29" customHeight="1" x14ac:dyDescent="0.3">
      <c r="A9" s="128">
        <v>2</v>
      </c>
      <c r="B9" s="252"/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125"/>
      <c r="N9" s="121"/>
      <c r="O9" s="121"/>
      <c r="P9" s="121"/>
      <c r="Q9" s="125"/>
    </row>
    <row r="10" spans="1:17" ht="29" customHeight="1" x14ac:dyDescent="0.3">
      <c r="A10" s="128">
        <v>3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125"/>
      <c r="N10" s="121"/>
      <c r="O10" s="121"/>
      <c r="P10" s="121"/>
      <c r="Q10" s="125"/>
    </row>
    <row r="11" spans="1:17" ht="29" customHeight="1" x14ac:dyDescent="0.3">
      <c r="A11" s="128">
        <v>4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122"/>
      <c r="N11" s="121"/>
      <c r="O11" s="121"/>
      <c r="P11" s="121"/>
      <c r="Q11" s="125"/>
    </row>
    <row r="12" spans="1:17" ht="29" customHeight="1" x14ac:dyDescent="0.3">
      <c r="A12" s="128">
        <v>5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122"/>
      <c r="N12" s="121"/>
      <c r="O12" s="121"/>
      <c r="P12" s="121"/>
      <c r="Q12" s="125"/>
    </row>
    <row r="13" spans="1:17" ht="29" customHeight="1" x14ac:dyDescent="0.3">
      <c r="A13" s="128">
        <v>6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122"/>
      <c r="N13" s="121"/>
      <c r="O13" s="121"/>
      <c r="P13" s="121"/>
      <c r="Q13" s="125"/>
    </row>
    <row r="14" spans="1:17" ht="29" customHeight="1" x14ac:dyDescent="0.3">
      <c r="A14" s="128">
        <v>7</v>
      </c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122"/>
      <c r="N14" s="121"/>
      <c r="O14" s="121"/>
      <c r="P14" s="121"/>
      <c r="Q14" s="125"/>
    </row>
    <row r="15" spans="1:17" ht="29" customHeight="1" x14ac:dyDescent="0.3">
      <c r="A15" s="128">
        <v>8</v>
      </c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122"/>
      <c r="N15" s="121"/>
      <c r="O15" s="121"/>
      <c r="P15" s="121"/>
      <c r="Q15" s="125"/>
    </row>
    <row r="16" spans="1:17" ht="29" customHeight="1" x14ac:dyDescent="0.3">
      <c r="A16" s="128">
        <v>9</v>
      </c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122"/>
      <c r="N16" s="121"/>
      <c r="O16" s="121"/>
      <c r="P16" s="121"/>
      <c r="Q16" s="125"/>
    </row>
    <row r="17" spans="1:17" ht="29" customHeight="1" x14ac:dyDescent="0.3">
      <c r="A17" s="128">
        <v>10</v>
      </c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122"/>
      <c r="N17" s="121"/>
      <c r="O17" s="121"/>
      <c r="P17" s="121"/>
      <c r="Q17" s="125"/>
    </row>
    <row r="18" spans="1:17" x14ac:dyDescent="0.3">
      <c r="A18" s="250" t="s">
        <v>45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5" t="s">
        <v>41</v>
      </c>
      <c r="Q18" s="254"/>
    </row>
    <row r="19" spans="1:17" x14ac:dyDescent="0.3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5"/>
      <c r="Q19" s="254"/>
    </row>
  </sheetData>
  <mergeCells count="34">
    <mergeCell ref="B17:L17"/>
    <mergeCell ref="B12:L12"/>
    <mergeCell ref="B13:L13"/>
    <mergeCell ref="B14:L14"/>
    <mergeCell ref="B15:L15"/>
    <mergeCell ref="B16:L16"/>
    <mergeCell ref="A1:C1"/>
    <mergeCell ref="D1:Q1"/>
    <mergeCell ref="A18:O19"/>
    <mergeCell ref="N4:N5"/>
    <mergeCell ref="N2:N3"/>
    <mergeCell ref="A6:A7"/>
    <mergeCell ref="B6:L7"/>
    <mergeCell ref="M6:M7"/>
    <mergeCell ref="N6:P6"/>
    <mergeCell ref="B8:L8"/>
    <mergeCell ref="B9:L9"/>
    <mergeCell ref="B10:L10"/>
    <mergeCell ref="Q18:Q19"/>
    <mergeCell ref="P18:P19"/>
    <mergeCell ref="B11:L11"/>
    <mergeCell ref="Q6:Q7"/>
    <mergeCell ref="O4:O5"/>
    <mergeCell ref="O2:O3"/>
    <mergeCell ref="P2:P3"/>
    <mergeCell ref="P4:P5"/>
    <mergeCell ref="Q2:Q3"/>
    <mergeCell ref="Q4:Q5"/>
    <mergeCell ref="F5:M5"/>
    <mergeCell ref="F4:M4"/>
    <mergeCell ref="A4:D5"/>
    <mergeCell ref="F2:M2"/>
    <mergeCell ref="F3:M3"/>
    <mergeCell ref="A2:E2"/>
  </mergeCells>
  <pageMargins left="0.25" right="0.25" top="0.75" bottom="0.75" header="0.3" footer="0.3"/>
  <pageSetup paperSize="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E8D6-AC4F-4FC9-813A-C58411E26388}">
  <sheetPr codeName="Лист7">
    <pageSetUpPr fitToPage="1"/>
  </sheetPr>
  <dimension ref="A1:L19"/>
  <sheetViews>
    <sheetView view="pageLayout" zoomScale="37" zoomScaleNormal="115" zoomScalePageLayoutView="37" workbookViewId="0">
      <selection activeCell="J7" sqref="P8"/>
    </sheetView>
  </sheetViews>
  <sheetFormatPr defaultColWidth="9.08984375" defaultRowHeight="14" x14ac:dyDescent="0.3"/>
  <cols>
    <col min="1" max="1" width="6" style="16" customWidth="1"/>
    <col min="2" max="2" width="4.08984375" style="16" customWidth="1"/>
    <col min="3" max="3" width="14.90625" style="16" customWidth="1"/>
    <col min="4" max="4" width="11" style="16" customWidth="1"/>
    <col min="5" max="5" width="10.453125" style="16" customWidth="1"/>
    <col min="6" max="6" width="12.36328125" style="16" customWidth="1"/>
    <col min="7" max="7" width="8.36328125" style="16" customWidth="1"/>
    <col min="8" max="8" width="9.54296875" style="16" customWidth="1"/>
    <col min="9" max="9" width="8" style="16" customWidth="1"/>
    <col min="10" max="10" width="12" style="16" customWidth="1"/>
    <col min="11" max="11" width="17" style="16" customWidth="1"/>
    <col min="12" max="12" width="28.08984375" style="16" customWidth="1"/>
    <col min="13" max="16384" width="9.08984375" style="16"/>
  </cols>
  <sheetData>
    <row r="1" spans="1:12" ht="15" customHeight="1" x14ac:dyDescent="0.3">
      <c r="A1" s="260"/>
      <c r="B1" s="260"/>
      <c r="C1" s="260"/>
      <c r="D1" s="258" t="s">
        <v>67</v>
      </c>
      <c r="E1" s="258"/>
      <c r="F1" s="258"/>
      <c r="G1" s="258"/>
      <c r="H1" s="258"/>
      <c r="I1" s="258"/>
      <c r="J1" s="258"/>
      <c r="K1" s="258"/>
      <c r="L1" s="258"/>
    </row>
    <row r="2" spans="1:12" ht="15.75" customHeight="1" x14ac:dyDescent="0.3">
      <c r="A2" s="261"/>
      <c r="B2" s="261"/>
      <c r="C2" s="261"/>
      <c r="D2" s="259"/>
      <c r="E2" s="259"/>
      <c r="F2" s="259"/>
      <c r="G2" s="259"/>
      <c r="H2" s="259"/>
      <c r="I2" s="259"/>
      <c r="J2" s="259"/>
      <c r="K2" s="259"/>
      <c r="L2" s="259"/>
    </row>
    <row r="3" spans="1:12" s="1" customFormat="1" ht="31.5" customHeight="1" x14ac:dyDescent="0.35">
      <c r="A3" s="262" t="s">
        <v>47</v>
      </c>
      <c r="B3" s="263"/>
      <c r="C3" s="169"/>
      <c r="D3" s="169"/>
      <c r="E3" s="264" t="s">
        <v>68</v>
      </c>
      <c r="F3" s="264"/>
      <c r="G3" s="264"/>
      <c r="H3" s="165"/>
      <c r="I3" s="165"/>
      <c r="J3" s="265" t="s">
        <v>1</v>
      </c>
      <c r="K3" s="266"/>
      <c r="L3" s="84"/>
    </row>
    <row r="4" spans="1:12" s="1" customFormat="1" ht="22.5" customHeight="1" x14ac:dyDescent="0.35">
      <c r="A4" s="281" t="s">
        <v>50</v>
      </c>
      <c r="B4" s="282"/>
      <c r="C4" s="169"/>
      <c r="D4" s="169"/>
      <c r="E4" s="283" t="s">
        <v>69</v>
      </c>
      <c r="F4" s="283"/>
      <c r="G4" s="283"/>
      <c r="H4" s="165"/>
      <c r="I4" s="165"/>
      <c r="J4" s="281" t="s">
        <v>121</v>
      </c>
      <c r="K4" s="284"/>
      <c r="L4" s="84"/>
    </row>
    <row r="5" spans="1:12" ht="15" customHeight="1" x14ac:dyDescent="0.3">
      <c r="A5" s="267" t="s">
        <v>70</v>
      </c>
      <c r="B5" s="262" t="s">
        <v>71</v>
      </c>
      <c r="C5" s="263"/>
      <c r="D5" s="274" t="s">
        <v>149</v>
      </c>
      <c r="E5" s="277" t="s">
        <v>72</v>
      </c>
      <c r="F5" s="278"/>
      <c r="G5" s="278"/>
      <c r="H5" s="279" t="s">
        <v>73</v>
      </c>
      <c r="I5" s="280"/>
      <c r="J5" s="285" t="s">
        <v>148</v>
      </c>
      <c r="K5" s="286"/>
      <c r="L5" s="274" t="s">
        <v>74</v>
      </c>
    </row>
    <row r="6" spans="1:12" ht="39" x14ac:dyDescent="0.3">
      <c r="A6" s="268"/>
      <c r="B6" s="270"/>
      <c r="C6" s="271"/>
      <c r="D6" s="275"/>
      <c r="E6" s="50" t="s">
        <v>75</v>
      </c>
      <c r="F6" s="50" t="s">
        <v>76</v>
      </c>
      <c r="G6" s="18" t="s">
        <v>77</v>
      </c>
      <c r="H6" s="50" t="s">
        <v>78</v>
      </c>
      <c r="I6" s="50" t="s">
        <v>79</v>
      </c>
      <c r="J6" s="287"/>
      <c r="K6" s="288"/>
      <c r="L6" s="275"/>
    </row>
    <row r="7" spans="1:12" ht="26" customHeight="1" x14ac:dyDescent="0.3">
      <c r="A7" s="269"/>
      <c r="B7" s="272"/>
      <c r="C7" s="273"/>
      <c r="D7" s="276"/>
      <c r="E7" s="19" t="s">
        <v>80</v>
      </c>
      <c r="F7" s="19" t="s">
        <v>81</v>
      </c>
      <c r="G7" s="19" t="s">
        <v>82</v>
      </c>
      <c r="H7" s="51" t="s">
        <v>83</v>
      </c>
      <c r="I7" s="51" t="s">
        <v>84</v>
      </c>
      <c r="J7" s="289"/>
      <c r="K7" s="290"/>
      <c r="L7" s="276"/>
    </row>
    <row r="8" spans="1:12" ht="32" customHeight="1" x14ac:dyDescent="0.3">
      <c r="A8" s="80"/>
      <c r="B8" s="240"/>
      <c r="C8" s="241"/>
      <c r="D8" s="81"/>
      <c r="E8" s="82"/>
      <c r="F8" s="82"/>
      <c r="G8" s="82"/>
      <c r="H8" s="83"/>
      <c r="I8" s="83"/>
      <c r="J8" s="240"/>
      <c r="K8" s="241"/>
      <c r="L8" s="291"/>
    </row>
    <row r="9" spans="1:12" ht="32" customHeight="1" x14ac:dyDescent="0.3">
      <c r="A9" s="83"/>
      <c r="B9" s="240"/>
      <c r="C9" s="241"/>
      <c r="D9" s="83"/>
      <c r="E9" s="82"/>
      <c r="F9" s="82"/>
      <c r="G9" s="82"/>
      <c r="H9" s="83"/>
      <c r="I9" s="83"/>
      <c r="J9" s="240"/>
      <c r="K9" s="241"/>
      <c r="L9" s="292"/>
    </row>
    <row r="10" spans="1:12" ht="32" customHeight="1" x14ac:dyDescent="0.3">
      <c r="A10" s="83"/>
      <c r="B10" s="240"/>
      <c r="C10" s="241"/>
      <c r="D10" s="83"/>
      <c r="E10" s="82"/>
      <c r="F10" s="82"/>
      <c r="G10" s="82"/>
      <c r="H10" s="83"/>
      <c r="I10" s="83"/>
      <c r="J10" s="240"/>
      <c r="K10" s="241"/>
      <c r="L10" s="292"/>
    </row>
    <row r="11" spans="1:12" ht="32" customHeight="1" x14ac:dyDescent="0.3">
      <c r="A11" s="83"/>
      <c r="B11" s="240"/>
      <c r="C11" s="241"/>
      <c r="D11" s="83"/>
      <c r="E11" s="82"/>
      <c r="F11" s="82"/>
      <c r="G11" s="82"/>
      <c r="H11" s="83"/>
      <c r="I11" s="83"/>
      <c r="J11" s="240"/>
      <c r="K11" s="241"/>
      <c r="L11" s="293"/>
    </row>
    <row r="12" spans="1:12" ht="32.5" customHeight="1" x14ac:dyDescent="0.3">
      <c r="A12" s="80"/>
      <c r="B12" s="240"/>
      <c r="C12" s="241"/>
      <c r="D12" s="81"/>
      <c r="E12" s="82"/>
      <c r="F12" s="82"/>
      <c r="G12" s="82"/>
      <c r="H12" s="83"/>
      <c r="I12" s="83"/>
      <c r="J12" s="240"/>
      <c r="K12" s="241"/>
      <c r="L12" s="239"/>
    </row>
    <row r="13" spans="1:12" ht="32.5" customHeight="1" x14ac:dyDescent="0.3">
      <c r="A13" s="80"/>
      <c r="B13" s="82"/>
      <c r="C13" s="158"/>
      <c r="D13" s="81"/>
      <c r="E13" s="82"/>
      <c r="F13" s="82"/>
      <c r="G13" s="82"/>
      <c r="H13" s="83"/>
      <c r="I13" s="83"/>
      <c r="J13" s="82"/>
      <c r="K13" s="158"/>
      <c r="L13" s="294"/>
    </row>
    <row r="14" spans="1:12" ht="32.5" customHeight="1" x14ac:dyDescent="0.3">
      <c r="A14" s="83"/>
      <c r="B14" s="240"/>
      <c r="C14" s="241"/>
      <c r="D14" s="83"/>
      <c r="E14" s="82"/>
      <c r="F14" s="82"/>
      <c r="G14" s="82"/>
      <c r="H14" s="83"/>
      <c r="I14" s="83"/>
      <c r="J14" s="240"/>
      <c r="K14" s="241"/>
      <c r="L14" s="294"/>
    </row>
    <row r="15" spans="1:12" ht="32.5" customHeight="1" x14ac:dyDescent="0.3">
      <c r="A15" s="83"/>
      <c r="B15" s="240"/>
      <c r="C15" s="241"/>
      <c r="D15" s="83"/>
      <c r="E15" s="82"/>
      <c r="F15" s="82"/>
      <c r="G15" s="82"/>
      <c r="H15" s="83"/>
      <c r="I15" s="83"/>
      <c r="J15" s="240"/>
      <c r="K15" s="241"/>
      <c r="L15" s="295"/>
    </row>
    <row r="16" spans="1:12" ht="32.5" customHeight="1" x14ac:dyDescent="0.3">
      <c r="A16" s="80"/>
      <c r="B16" s="240"/>
      <c r="C16" s="241"/>
      <c r="D16" s="81"/>
      <c r="E16" s="82"/>
      <c r="F16" s="82"/>
      <c r="G16" s="82"/>
      <c r="H16" s="83"/>
      <c r="I16" s="83"/>
      <c r="J16" s="240"/>
      <c r="K16" s="241"/>
      <c r="L16" s="239"/>
    </row>
    <row r="17" spans="1:12" ht="32.5" customHeight="1" x14ac:dyDescent="0.3">
      <c r="A17" s="80"/>
      <c r="B17" s="82"/>
      <c r="C17" s="158"/>
      <c r="D17" s="81"/>
      <c r="E17" s="82"/>
      <c r="F17" s="82"/>
      <c r="G17" s="82"/>
      <c r="H17" s="83"/>
      <c r="I17" s="83"/>
      <c r="J17" s="82"/>
      <c r="K17" s="158"/>
      <c r="L17" s="294"/>
    </row>
    <row r="18" spans="1:12" ht="32.5" customHeight="1" x14ac:dyDescent="0.3">
      <c r="A18" s="83"/>
      <c r="B18" s="240"/>
      <c r="C18" s="241"/>
      <c r="D18" s="83"/>
      <c r="E18" s="82"/>
      <c r="F18" s="82"/>
      <c r="G18" s="82"/>
      <c r="H18" s="83"/>
      <c r="I18" s="83"/>
      <c r="J18" s="240"/>
      <c r="K18" s="241"/>
      <c r="L18" s="294"/>
    </row>
    <row r="19" spans="1:12" ht="32.5" customHeight="1" x14ac:dyDescent="0.3">
      <c r="A19" s="83"/>
      <c r="B19" s="240"/>
      <c r="C19" s="241"/>
      <c r="D19" s="83"/>
      <c r="E19" s="82"/>
      <c r="F19" s="82"/>
      <c r="G19" s="82"/>
      <c r="H19" s="83"/>
      <c r="I19" s="83"/>
      <c r="J19" s="240"/>
      <c r="K19" s="241"/>
      <c r="L19" s="295"/>
    </row>
  </sheetData>
  <mergeCells count="43">
    <mergeCell ref="B16:C16"/>
    <mergeCell ref="J16:K16"/>
    <mergeCell ref="L16:L19"/>
    <mergeCell ref="B18:C18"/>
    <mergeCell ref="J18:K18"/>
    <mergeCell ref="B19:C19"/>
    <mergeCell ref="J19:K19"/>
    <mergeCell ref="B12:C12"/>
    <mergeCell ref="J12:K12"/>
    <mergeCell ref="L12:L15"/>
    <mergeCell ref="B14:C14"/>
    <mergeCell ref="J14:K14"/>
    <mergeCell ref="B15:C15"/>
    <mergeCell ref="J15:K15"/>
    <mergeCell ref="J5:K6"/>
    <mergeCell ref="L5:L7"/>
    <mergeCell ref="J7:K7"/>
    <mergeCell ref="B8:C8"/>
    <mergeCell ref="J8:K8"/>
    <mergeCell ref="L8:L11"/>
    <mergeCell ref="B9:C9"/>
    <mergeCell ref="J9:K9"/>
    <mergeCell ref="B10:C10"/>
    <mergeCell ref="J10:K10"/>
    <mergeCell ref="B11:C11"/>
    <mergeCell ref="J11:K11"/>
    <mergeCell ref="A4:B4"/>
    <mergeCell ref="C4:D4"/>
    <mergeCell ref="E4:G4"/>
    <mergeCell ref="H4:I4"/>
    <mergeCell ref="J4:K4"/>
    <mergeCell ref="A5:A7"/>
    <mergeCell ref="B5:C7"/>
    <mergeCell ref="D5:D7"/>
    <mergeCell ref="E5:G5"/>
    <mergeCell ref="H5:I5"/>
    <mergeCell ref="D1:L2"/>
    <mergeCell ref="A1:C2"/>
    <mergeCell ref="A3:B3"/>
    <mergeCell ref="C3:D3"/>
    <mergeCell ref="E3:G3"/>
    <mergeCell ref="H3:I3"/>
    <mergeCell ref="J3:K3"/>
  </mergeCells>
  <pageMargins left="0.23622047244094491" right="0.23622047244094491" top="0.35433070866141736" bottom="0.35433070866141736" header="0.31496062992125984" footer="0.31496062992125984"/>
  <pageSetup paperSize="9" scale="9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6E14-D35D-410B-976E-B4046179E11C}">
  <sheetPr codeName="Лист13">
    <pageSetUpPr fitToPage="1"/>
  </sheetPr>
  <dimension ref="A1:GR63"/>
  <sheetViews>
    <sheetView showGridLines="0" view="pageLayout" zoomScale="41" zoomScaleNormal="100" zoomScalePageLayoutView="41" workbookViewId="0">
      <selection activeCell="J7" sqref="P8"/>
    </sheetView>
  </sheetViews>
  <sheetFormatPr defaultColWidth="0.90625" defaultRowHeight="14" x14ac:dyDescent="0.3"/>
  <cols>
    <col min="1" max="16384" width="0.90625" style="20"/>
  </cols>
  <sheetData>
    <row r="1" spans="1:200" ht="15" customHeight="1" x14ac:dyDescent="0.3">
      <c r="A1" s="370" t="s">
        <v>46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1"/>
      <c r="AX1" s="371"/>
      <c r="AY1" s="371"/>
      <c r="AZ1" s="371"/>
      <c r="BA1" s="371"/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71"/>
      <c r="BP1" s="371"/>
      <c r="BQ1" s="371"/>
      <c r="BR1" s="371"/>
      <c r="BS1" s="371"/>
      <c r="BT1" s="371"/>
      <c r="BU1" s="371"/>
      <c r="BV1" s="371"/>
      <c r="BW1" s="371"/>
      <c r="BX1" s="371"/>
      <c r="BY1" s="371"/>
      <c r="BZ1" s="371"/>
      <c r="CA1" s="371"/>
      <c r="CB1" s="371"/>
      <c r="CC1" s="371"/>
      <c r="CD1" s="371"/>
      <c r="CE1" s="371"/>
      <c r="CF1" s="371"/>
      <c r="CG1" s="371"/>
      <c r="CH1" s="371"/>
      <c r="CI1" s="371"/>
      <c r="CJ1" s="371"/>
      <c r="CK1" s="371"/>
      <c r="CL1" s="371"/>
      <c r="CM1" s="371"/>
      <c r="CN1" s="371"/>
      <c r="CO1" s="371"/>
      <c r="CP1" s="371"/>
      <c r="CQ1" s="371"/>
      <c r="CR1" s="371"/>
      <c r="CS1" s="371"/>
      <c r="CT1" s="371"/>
      <c r="CU1" s="371"/>
      <c r="CV1" s="371"/>
      <c r="CW1" s="371"/>
      <c r="CX1" s="371"/>
      <c r="CY1" s="371"/>
      <c r="CZ1" s="371"/>
      <c r="DA1" s="371"/>
      <c r="DB1" s="371"/>
      <c r="DC1" s="371"/>
      <c r="DD1" s="371"/>
      <c r="DE1" s="371"/>
      <c r="DF1" s="371"/>
      <c r="DG1" s="371"/>
      <c r="DH1" s="371"/>
      <c r="DI1" s="371"/>
      <c r="DJ1" s="371"/>
      <c r="DK1" s="371"/>
      <c r="DL1" s="371"/>
      <c r="DM1" s="371"/>
      <c r="DN1" s="371"/>
      <c r="DO1" s="371"/>
      <c r="DP1" s="371"/>
      <c r="DQ1" s="371"/>
      <c r="DR1" s="371"/>
      <c r="DS1" s="371"/>
      <c r="DT1" s="371"/>
      <c r="DU1" s="371"/>
      <c r="DV1" s="371"/>
      <c r="DW1" s="371"/>
      <c r="DX1" s="371"/>
      <c r="DY1" s="371"/>
      <c r="DZ1" s="371"/>
      <c r="EA1" s="371"/>
      <c r="EB1" s="371"/>
      <c r="EC1" s="371"/>
      <c r="ED1" s="371"/>
      <c r="EE1" s="371"/>
      <c r="EF1" s="371"/>
      <c r="EG1" s="371"/>
      <c r="EH1" s="371"/>
      <c r="EI1" s="371"/>
      <c r="EJ1" s="371"/>
      <c r="EK1" s="371"/>
      <c r="EL1" s="371"/>
      <c r="EM1" s="371"/>
      <c r="EN1" s="371"/>
      <c r="EO1" s="371"/>
      <c r="EP1" s="371"/>
      <c r="EQ1" s="371"/>
      <c r="ER1" s="371"/>
      <c r="ES1" s="371"/>
      <c r="ET1" s="371"/>
      <c r="EU1" s="371"/>
      <c r="EV1" s="371"/>
      <c r="EW1" s="371"/>
      <c r="EX1" s="371"/>
      <c r="EY1" s="371"/>
      <c r="EZ1" s="371"/>
      <c r="FA1" s="371"/>
      <c r="FB1" s="371"/>
      <c r="FC1" s="371"/>
      <c r="FD1" s="371"/>
      <c r="FE1" s="371"/>
      <c r="FF1" s="371"/>
      <c r="FG1" s="371"/>
      <c r="FH1" s="371"/>
      <c r="FI1" s="371"/>
      <c r="FJ1" s="371"/>
      <c r="FK1" s="371"/>
      <c r="FL1" s="371"/>
      <c r="FM1" s="371"/>
      <c r="FN1" s="371"/>
      <c r="FO1" s="371"/>
      <c r="FP1" s="371"/>
      <c r="FQ1" s="371"/>
      <c r="FR1" s="371"/>
      <c r="FS1" s="371"/>
      <c r="FT1" s="371"/>
      <c r="FU1" s="371"/>
      <c r="FV1" s="371"/>
      <c r="FW1" s="371"/>
      <c r="FX1" s="371"/>
      <c r="FY1" s="371"/>
      <c r="FZ1" s="371"/>
      <c r="GA1" s="371"/>
      <c r="GB1" s="371"/>
      <c r="GC1" s="371"/>
      <c r="GD1" s="371"/>
      <c r="GE1" s="371"/>
      <c r="GF1" s="371"/>
      <c r="GG1" s="371"/>
      <c r="GH1" s="371"/>
      <c r="GI1" s="371"/>
      <c r="GJ1" s="371"/>
      <c r="GK1" s="371"/>
      <c r="GL1" s="371"/>
      <c r="GM1" s="371"/>
      <c r="GN1" s="371"/>
      <c r="GO1" s="371"/>
      <c r="GP1" s="371"/>
      <c r="GQ1" s="371"/>
      <c r="GR1" s="371"/>
    </row>
    <row r="2" spans="1:200" ht="15" customHeight="1" x14ac:dyDescent="0.3">
      <c r="A2" s="372"/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3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  <c r="BX2" s="373"/>
      <c r="BY2" s="373"/>
      <c r="BZ2" s="373"/>
      <c r="CA2" s="373"/>
      <c r="CB2" s="373"/>
      <c r="CC2" s="373"/>
      <c r="CD2" s="373"/>
      <c r="CE2" s="373"/>
      <c r="CF2" s="373"/>
      <c r="CG2" s="373"/>
      <c r="CH2" s="373"/>
      <c r="CI2" s="373"/>
      <c r="CJ2" s="373"/>
      <c r="CK2" s="373"/>
      <c r="CL2" s="373"/>
      <c r="CM2" s="373"/>
      <c r="CN2" s="373"/>
      <c r="CO2" s="373"/>
      <c r="CP2" s="373"/>
      <c r="CQ2" s="373"/>
      <c r="CR2" s="373"/>
      <c r="CS2" s="373"/>
      <c r="CT2" s="373"/>
      <c r="CU2" s="373"/>
      <c r="CV2" s="373"/>
      <c r="CW2" s="373"/>
      <c r="CX2" s="373"/>
      <c r="CY2" s="373"/>
      <c r="CZ2" s="373"/>
      <c r="DA2" s="373"/>
      <c r="DB2" s="373"/>
      <c r="DC2" s="373"/>
      <c r="DD2" s="373"/>
      <c r="DE2" s="373"/>
      <c r="DF2" s="373"/>
      <c r="DG2" s="373"/>
      <c r="DH2" s="373"/>
      <c r="DI2" s="373"/>
      <c r="DJ2" s="373"/>
      <c r="DK2" s="373"/>
      <c r="DL2" s="373"/>
      <c r="DM2" s="373"/>
      <c r="DN2" s="373"/>
      <c r="DO2" s="373"/>
      <c r="DP2" s="373"/>
      <c r="DQ2" s="373"/>
      <c r="DR2" s="373"/>
      <c r="DS2" s="373"/>
      <c r="DT2" s="373"/>
      <c r="DU2" s="373"/>
      <c r="DV2" s="373"/>
      <c r="DW2" s="373"/>
      <c r="DX2" s="373"/>
      <c r="DY2" s="373"/>
      <c r="DZ2" s="373"/>
      <c r="EA2" s="373"/>
      <c r="EB2" s="373"/>
      <c r="EC2" s="373"/>
      <c r="ED2" s="373"/>
      <c r="EE2" s="373"/>
      <c r="EF2" s="373"/>
      <c r="EG2" s="373"/>
      <c r="EH2" s="373"/>
      <c r="EI2" s="373"/>
      <c r="EJ2" s="373"/>
      <c r="EK2" s="373"/>
      <c r="EL2" s="373"/>
      <c r="EM2" s="373"/>
      <c r="EN2" s="373"/>
      <c r="EO2" s="373"/>
      <c r="EP2" s="373"/>
      <c r="EQ2" s="373"/>
      <c r="ER2" s="373"/>
      <c r="ES2" s="373"/>
      <c r="ET2" s="373"/>
      <c r="EU2" s="373"/>
      <c r="EV2" s="373"/>
      <c r="EW2" s="373"/>
      <c r="EX2" s="373"/>
      <c r="EY2" s="373"/>
      <c r="EZ2" s="373"/>
      <c r="FA2" s="373"/>
      <c r="FB2" s="373"/>
      <c r="FC2" s="373"/>
      <c r="FD2" s="373"/>
      <c r="FE2" s="373"/>
      <c r="FF2" s="373"/>
      <c r="FG2" s="373"/>
      <c r="FH2" s="373"/>
      <c r="FI2" s="373"/>
      <c r="FJ2" s="373"/>
      <c r="FK2" s="373"/>
      <c r="FL2" s="373"/>
      <c r="FM2" s="373"/>
      <c r="FN2" s="373"/>
      <c r="FO2" s="373"/>
      <c r="FP2" s="373"/>
      <c r="FQ2" s="373"/>
      <c r="FR2" s="373"/>
      <c r="FS2" s="373"/>
      <c r="FT2" s="373"/>
      <c r="FU2" s="373"/>
      <c r="FV2" s="373"/>
      <c r="FW2" s="373"/>
      <c r="FX2" s="373"/>
      <c r="FY2" s="373"/>
      <c r="FZ2" s="373"/>
      <c r="GA2" s="373"/>
      <c r="GB2" s="373"/>
      <c r="GC2" s="373"/>
      <c r="GD2" s="373"/>
      <c r="GE2" s="373"/>
      <c r="GF2" s="373"/>
      <c r="GG2" s="373"/>
      <c r="GH2" s="373"/>
      <c r="GI2" s="373"/>
      <c r="GJ2" s="373"/>
      <c r="GK2" s="373"/>
      <c r="GL2" s="373"/>
      <c r="GM2" s="373"/>
      <c r="GN2" s="373"/>
      <c r="GO2" s="373"/>
      <c r="GP2" s="373"/>
      <c r="GQ2" s="373"/>
      <c r="GR2" s="373"/>
    </row>
    <row r="3" spans="1:200" ht="15" customHeight="1" x14ac:dyDescent="0.3">
      <c r="A3" s="166" t="s">
        <v>0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360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1"/>
      <c r="AX3" s="361"/>
      <c r="AY3" s="361"/>
      <c r="AZ3" s="361"/>
      <c r="BA3" s="361"/>
      <c r="BB3" s="361"/>
      <c r="BC3" s="361"/>
      <c r="BD3" s="361"/>
      <c r="BE3" s="361"/>
      <c r="BF3" s="361"/>
      <c r="BG3" s="361"/>
      <c r="BH3" s="361"/>
      <c r="BI3" s="361"/>
      <c r="BJ3" s="361"/>
      <c r="BK3" s="361"/>
      <c r="BL3" s="361"/>
      <c r="BM3" s="361"/>
      <c r="BN3" s="361"/>
      <c r="BO3" s="361"/>
      <c r="BP3" s="361"/>
      <c r="BQ3" s="361"/>
      <c r="BR3" s="361"/>
      <c r="BS3" s="362"/>
      <c r="BT3" s="183" t="s">
        <v>24</v>
      </c>
      <c r="BU3" s="184"/>
      <c r="BV3" s="184"/>
      <c r="BW3" s="184"/>
      <c r="BX3" s="184"/>
      <c r="BY3" s="184"/>
      <c r="BZ3" s="184"/>
      <c r="CA3" s="184"/>
      <c r="CB3" s="184"/>
      <c r="CC3" s="184"/>
      <c r="CD3" s="184"/>
      <c r="CE3" s="184"/>
      <c r="CF3" s="184"/>
      <c r="CG3" s="184"/>
      <c r="CH3" s="185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363"/>
      <c r="CZ3" s="363"/>
      <c r="DA3" s="363"/>
      <c r="DB3" s="363"/>
      <c r="DC3" s="363"/>
      <c r="DD3" s="363"/>
      <c r="DE3" s="363"/>
      <c r="DF3" s="363"/>
      <c r="DG3" s="363"/>
      <c r="DH3" s="363"/>
      <c r="DI3" s="363"/>
      <c r="DJ3" s="363"/>
      <c r="DK3" s="363"/>
      <c r="DL3" s="363"/>
      <c r="DM3" s="363"/>
      <c r="DN3" s="363"/>
      <c r="DO3" s="363"/>
      <c r="DP3" s="363"/>
      <c r="DQ3" s="363"/>
      <c r="DR3" s="363"/>
      <c r="DS3" s="363"/>
      <c r="DT3" s="363"/>
      <c r="DU3" s="363"/>
      <c r="DV3" s="363"/>
      <c r="DW3" s="363"/>
      <c r="DX3" s="166" t="s">
        <v>25</v>
      </c>
      <c r="DY3" s="166"/>
      <c r="DZ3" s="166"/>
      <c r="EA3" s="166"/>
      <c r="EB3" s="166"/>
      <c r="EC3" s="166"/>
      <c r="ED3" s="166"/>
      <c r="EE3" s="166"/>
      <c r="EF3" s="166"/>
      <c r="EG3" s="166"/>
      <c r="EH3" s="166"/>
      <c r="EI3" s="166"/>
      <c r="EJ3" s="166"/>
      <c r="EK3" s="166"/>
      <c r="EL3" s="166"/>
      <c r="EM3" s="166"/>
      <c r="EN3" s="166"/>
      <c r="EO3" s="166"/>
      <c r="EP3" s="166"/>
      <c r="EQ3" s="364"/>
      <c r="ER3" s="363"/>
      <c r="ES3" s="363"/>
      <c r="ET3" s="363"/>
      <c r="EU3" s="363"/>
      <c r="EV3" s="363"/>
      <c r="EW3" s="363"/>
      <c r="EX3" s="363"/>
      <c r="EY3" s="363"/>
      <c r="EZ3" s="363"/>
      <c r="FA3" s="363"/>
      <c r="FB3" s="363"/>
      <c r="FC3" s="363"/>
      <c r="FD3" s="363"/>
      <c r="FE3" s="363"/>
      <c r="FF3" s="363"/>
      <c r="FG3" s="363"/>
      <c r="FH3" s="363"/>
      <c r="FI3" s="363"/>
      <c r="FJ3" s="363"/>
      <c r="FK3" s="363"/>
      <c r="FL3" s="363"/>
      <c r="FM3" s="363"/>
      <c r="FN3" s="363"/>
      <c r="FO3" s="363"/>
      <c r="FP3" s="363"/>
      <c r="FQ3" s="363"/>
      <c r="FR3" s="363"/>
      <c r="FS3" s="363"/>
      <c r="FT3" s="363"/>
      <c r="FU3" s="363"/>
      <c r="FV3" s="363"/>
      <c r="FW3" s="363"/>
      <c r="FX3" s="21"/>
      <c r="FY3" s="22"/>
      <c r="FZ3" s="22"/>
      <c r="GA3" s="22"/>
      <c r="GB3" s="22"/>
      <c r="GC3" s="22"/>
      <c r="GD3" s="22"/>
      <c r="GE3" s="22"/>
      <c r="GF3" s="22"/>
      <c r="GG3" s="22"/>
      <c r="GH3" s="374" t="s">
        <v>48</v>
      </c>
      <c r="GI3" s="374"/>
      <c r="GJ3" s="374"/>
      <c r="GK3" s="374"/>
      <c r="GL3" s="374"/>
      <c r="GM3" s="374"/>
      <c r="GN3" s="374"/>
      <c r="GO3" s="374"/>
      <c r="GP3" s="374"/>
      <c r="GQ3" s="374"/>
      <c r="GR3" s="375"/>
    </row>
    <row r="4" spans="1:200" ht="15" customHeight="1" x14ac:dyDescent="0.3">
      <c r="A4" s="166" t="s">
        <v>26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360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  <c r="AI4" s="361"/>
      <c r="AJ4" s="361"/>
      <c r="AK4" s="361"/>
      <c r="AL4" s="361"/>
      <c r="AM4" s="361"/>
      <c r="AN4" s="361"/>
      <c r="AO4" s="361"/>
      <c r="AP4" s="361"/>
      <c r="AQ4" s="361"/>
      <c r="AR4" s="361"/>
      <c r="AS4" s="361"/>
      <c r="AT4" s="361"/>
      <c r="AU4" s="361"/>
      <c r="AV4" s="361"/>
      <c r="AW4" s="361"/>
      <c r="AX4" s="361"/>
      <c r="AY4" s="361"/>
      <c r="AZ4" s="361"/>
      <c r="BA4" s="361"/>
      <c r="BB4" s="361"/>
      <c r="BC4" s="361"/>
      <c r="BD4" s="361"/>
      <c r="BE4" s="361"/>
      <c r="BF4" s="361"/>
      <c r="BG4" s="361"/>
      <c r="BH4" s="361"/>
      <c r="BI4" s="361"/>
      <c r="BJ4" s="361"/>
      <c r="BK4" s="361"/>
      <c r="BL4" s="361"/>
      <c r="BM4" s="361"/>
      <c r="BN4" s="361"/>
      <c r="BO4" s="361"/>
      <c r="BP4" s="361"/>
      <c r="BQ4" s="361"/>
      <c r="BR4" s="361"/>
      <c r="BS4" s="362"/>
      <c r="BT4" s="186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8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/>
      <c r="CV4" s="363"/>
      <c r="CW4" s="363"/>
      <c r="CX4" s="363"/>
      <c r="CY4" s="363"/>
      <c r="CZ4" s="363"/>
      <c r="DA4" s="363"/>
      <c r="DB4" s="363"/>
      <c r="DC4" s="363"/>
      <c r="DD4" s="363"/>
      <c r="DE4" s="363"/>
      <c r="DF4" s="363"/>
      <c r="DG4" s="363"/>
      <c r="DH4" s="363"/>
      <c r="DI4" s="363"/>
      <c r="DJ4" s="363"/>
      <c r="DK4" s="363"/>
      <c r="DL4" s="363"/>
      <c r="DM4" s="363"/>
      <c r="DN4" s="363"/>
      <c r="DO4" s="363"/>
      <c r="DP4" s="363"/>
      <c r="DQ4" s="363"/>
      <c r="DR4" s="363"/>
      <c r="DS4" s="363"/>
      <c r="DT4" s="363"/>
      <c r="DU4" s="363"/>
      <c r="DV4" s="363"/>
      <c r="DW4" s="363"/>
      <c r="DX4" s="166"/>
      <c r="DY4" s="166"/>
      <c r="DZ4" s="166"/>
      <c r="EA4" s="166"/>
      <c r="EB4" s="166"/>
      <c r="EC4" s="166"/>
      <c r="ED4" s="166"/>
      <c r="EE4" s="166"/>
      <c r="EF4" s="166"/>
      <c r="EG4" s="166"/>
      <c r="EH4" s="166"/>
      <c r="EI4" s="166"/>
      <c r="EJ4" s="166"/>
      <c r="EK4" s="166"/>
      <c r="EL4" s="166"/>
      <c r="EM4" s="166"/>
      <c r="EN4" s="166"/>
      <c r="EO4" s="166"/>
      <c r="EP4" s="166"/>
      <c r="EQ4" s="363"/>
      <c r="ER4" s="363"/>
      <c r="ES4" s="363"/>
      <c r="ET4" s="363"/>
      <c r="EU4" s="363"/>
      <c r="EV4" s="363"/>
      <c r="EW4" s="363"/>
      <c r="EX4" s="363"/>
      <c r="EY4" s="363"/>
      <c r="EZ4" s="363"/>
      <c r="FA4" s="363"/>
      <c r="FB4" s="363"/>
      <c r="FC4" s="363"/>
      <c r="FD4" s="363"/>
      <c r="FE4" s="363"/>
      <c r="FF4" s="363"/>
      <c r="FG4" s="363"/>
      <c r="FH4" s="363"/>
      <c r="FI4" s="363"/>
      <c r="FJ4" s="363"/>
      <c r="FK4" s="363"/>
      <c r="FL4" s="363"/>
      <c r="FM4" s="363"/>
      <c r="FN4" s="363"/>
      <c r="FO4" s="363"/>
      <c r="FP4" s="363"/>
      <c r="FQ4" s="363"/>
      <c r="FR4" s="363"/>
      <c r="FS4" s="363"/>
      <c r="FT4" s="363"/>
      <c r="FU4" s="363"/>
      <c r="FV4" s="363"/>
      <c r="FW4" s="363"/>
      <c r="FX4" s="23"/>
      <c r="GH4" s="365" t="s">
        <v>49</v>
      </c>
      <c r="GI4" s="365"/>
      <c r="GJ4" s="365"/>
      <c r="GK4" s="365"/>
      <c r="GL4" s="365"/>
      <c r="GM4" s="365"/>
      <c r="GN4" s="365"/>
      <c r="GO4" s="365"/>
      <c r="GP4" s="365"/>
      <c r="GQ4" s="365"/>
      <c r="GR4" s="366"/>
    </row>
    <row r="5" spans="1:200" ht="15" customHeight="1" x14ac:dyDescent="0.3">
      <c r="A5" s="183" t="s">
        <v>27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5"/>
      <c r="P5" s="166" t="s">
        <v>15</v>
      </c>
      <c r="Q5" s="166"/>
      <c r="R5" s="166"/>
      <c r="S5" s="166"/>
      <c r="T5" s="166"/>
      <c r="U5" s="166"/>
      <c r="V5" s="360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  <c r="AI5" s="361"/>
      <c r="AJ5" s="361"/>
      <c r="AK5" s="361"/>
      <c r="AL5" s="361"/>
      <c r="AM5" s="361"/>
      <c r="AN5" s="361"/>
      <c r="AO5" s="361"/>
      <c r="AP5" s="361"/>
      <c r="AQ5" s="361"/>
      <c r="AR5" s="361"/>
      <c r="AS5" s="361"/>
      <c r="AT5" s="361"/>
      <c r="AU5" s="361"/>
      <c r="AV5" s="361"/>
      <c r="AW5" s="361"/>
      <c r="AX5" s="361"/>
      <c r="AY5" s="361"/>
      <c r="AZ5" s="361"/>
      <c r="BA5" s="361"/>
      <c r="BB5" s="361"/>
      <c r="BC5" s="361"/>
      <c r="BD5" s="361"/>
      <c r="BE5" s="361"/>
      <c r="BF5" s="361"/>
      <c r="BG5" s="361"/>
      <c r="BH5" s="361"/>
      <c r="BI5" s="361"/>
      <c r="BJ5" s="361"/>
      <c r="BK5" s="361"/>
      <c r="BL5" s="361"/>
      <c r="BM5" s="361"/>
      <c r="BN5" s="361"/>
      <c r="BO5" s="361"/>
      <c r="BP5" s="361"/>
      <c r="BQ5" s="361"/>
      <c r="BR5" s="361"/>
      <c r="BS5" s="362"/>
      <c r="BT5" s="183" t="s">
        <v>17</v>
      </c>
      <c r="BU5" s="184"/>
      <c r="BV5" s="184"/>
      <c r="BW5" s="184"/>
      <c r="BX5" s="184"/>
      <c r="BY5" s="184"/>
      <c r="BZ5" s="184"/>
      <c r="CA5" s="184"/>
      <c r="CB5" s="184"/>
      <c r="CC5" s="184"/>
      <c r="CD5" s="184"/>
      <c r="CE5" s="184"/>
      <c r="CF5" s="184"/>
      <c r="CG5" s="184"/>
      <c r="CH5" s="185"/>
      <c r="CI5" s="363"/>
      <c r="CJ5" s="363"/>
      <c r="CK5" s="363"/>
      <c r="CL5" s="363"/>
      <c r="CM5" s="363"/>
      <c r="CN5" s="363"/>
      <c r="CO5" s="363"/>
      <c r="CP5" s="363"/>
      <c r="CQ5" s="363"/>
      <c r="CR5" s="363"/>
      <c r="CS5" s="363"/>
      <c r="CT5" s="363"/>
      <c r="CU5" s="363"/>
      <c r="CV5" s="363"/>
      <c r="CW5" s="363"/>
      <c r="CX5" s="363"/>
      <c r="CY5" s="363"/>
      <c r="CZ5" s="363"/>
      <c r="DA5" s="363"/>
      <c r="DB5" s="363"/>
      <c r="DC5" s="363"/>
      <c r="DD5" s="363"/>
      <c r="DE5" s="363"/>
      <c r="DF5" s="363"/>
      <c r="DG5" s="363"/>
      <c r="DH5" s="363"/>
      <c r="DI5" s="363"/>
      <c r="DJ5" s="363"/>
      <c r="DK5" s="363"/>
      <c r="DL5" s="363"/>
      <c r="DM5" s="363"/>
      <c r="DN5" s="363"/>
      <c r="DO5" s="363"/>
      <c r="DP5" s="363"/>
      <c r="DQ5" s="363"/>
      <c r="DR5" s="363"/>
      <c r="DS5" s="363"/>
      <c r="DT5" s="363"/>
      <c r="DU5" s="363"/>
      <c r="DV5" s="363"/>
      <c r="DW5" s="363"/>
      <c r="DX5" s="166" t="s">
        <v>18</v>
      </c>
      <c r="DY5" s="166"/>
      <c r="DZ5" s="166"/>
      <c r="EA5" s="166"/>
      <c r="EB5" s="166"/>
      <c r="EC5" s="166"/>
      <c r="ED5" s="166"/>
      <c r="EE5" s="166"/>
      <c r="EF5" s="166"/>
      <c r="EG5" s="166"/>
      <c r="EH5" s="166"/>
      <c r="EI5" s="166"/>
      <c r="EJ5" s="166"/>
      <c r="EK5" s="166"/>
      <c r="EL5" s="166"/>
      <c r="EM5" s="166"/>
      <c r="EN5" s="166"/>
      <c r="EO5" s="166"/>
      <c r="EP5" s="166"/>
      <c r="EQ5" s="364"/>
      <c r="ER5" s="363"/>
      <c r="ES5" s="363"/>
      <c r="ET5" s="363"/>
      <c r="EU5" s="363"/>
      <c r="EV5" s="363"/>
      <c r="EW5" s="363"/>
      <c r="EX5" s="363"/>
      <c r="EY5" s="363"/>
      <c r="EZ5" s="363"/>
      <c r="FA5" s="363"/>
      <c r="FB5" s="363"/>
      <c r="FC5" s="363"/>
      <c r="FD5" s="363"/>
      <c r="FE5" s="363"/>
      <c r="FF5" s="363"/>
      <c r="FG5" s="363"/>
      <c r="FH5" s="363"/>
      <c r="FI5" s="363"/>
      <c r="FJ5" s="363"/>
      <c r="FK5" s="363"/>
      <c r="FL5" s="363"/>
      <c r="FM5" s="363"/>
      <c r="FN5" s="363"/>
      <c r="FO5" s="363"/>
      <c r="FP5" s="363"/>
      <c r="FQ5" s="363"/>
      <c r="FR5" s="363"/>
      <c r="FS5" s="363"/>
      <c r="FT5" s="363"/>
      <c r="FU5" s="363"/>
      <c r="FV5" s="363"/>
      <c r="FW5" s="363"/>
      <c r="FX5" s="23"/>
      <c r="GH5" s="365" t="s">
        <v>53</v>
      </c>
      <c r="GI5" s="365"/>
      <c r="GJ5" s="365"/>
      <c r="GK5" s="365"/>
      <c r="GL5" s="365"/>
      <c r="GM5" s="365"/>
      <c r="GN5" s="365"/>
      <c r="GO5" s="365"/>
      <c r="GP5" s="365"/>
      <c r="GQ5" s="365"/>
      <c r="GR5" s="366"/>
    </row>
    <row r="6" spans="1:200" ht="15" customHeight="1" x14ac:dyDescent="0.3">
      <c r="A6" s="186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8"/>
      <c r="P6" s="201" t="s">
        <v>16</v>
      </c>
      <c r="Q6" s="367"/>
      <c r="R6" s="367"/>
      <c r="S6" s="367"/>
      <c r="T6" s="367"/>
      <c r="U6" s="202"/>
      <c r="V6" s="360"/>
      <c r="W6" s="361"/>
      <c r="X6" s="361"/>
      <c r="Y6" s="361"/>
      <c r="Z6" s="361"/>
      <c r="AA6" s="361"/>
      <c r="AB6" s="361"/>
      <c r="AC6" s="361"/>
      <c r="AD6" s="361"/>
      <c r="AE6" s="361"/>
      <c r="AF6" s="361"/>
      <c r="AG6" s="361"/>
      <c r="AH6" s="361"/>
      <c r="AI6" s="361"/>
      <c r="AJ6" s="361"/>
      <c r="AK6" s="361"/>
      <c r="AL6" s="361"/>
      <c r="AM6" s="361"/>
      <c r="AN6" s="361"/>
      <c r="AO6" s="361"/>
      <c r="AP6" s="361"/>
      <c r="AQ6" s="361"/>
      <c r="AR6" s="361"/>
      <c r="AS6" s="361"/>
      <c r="AT6" s="361"/>
      <c r="AU6" s="361"/>
      <c r="AV6" s="361"/>
      <c r="AW6" s="361"/>
      <c r="AX6" s="361"/>
      <c r="AY6" s="361"/>
      <c r="AZ6" s="361"/>
      <c r="BA6" s="361"/>
      <c r="BB6" s="361"/>
      <c r="BC6" s="361"/>
      <c r="BD6" s="361"/>
      <c r="BE6" s="361"/>
      <c r="BF6" s="361"/>
      <c r="BG6" s="361"/>
      <c r="BH6" s="361"/>
      <c r="BI6" s="361"/>
      <c r="BJ6" s="361"/>
      <c r="BK6" s="361"/>
      <c r="BL6" s="361"/>
      <c r="BM6" s="361"/>
      <c r="BN6" s="361"/>
      <c r="BO6" s="361"/>
      <c r="BP6" s="361"/>
      <c r="BQ6" s="361"/>
      <c r="BR6" s="361"/>
      <c r="BS6" s="362"/>
      <c r="BT6" s="186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8"/>
      <c r="CI6" s="363"/>
      <c r="CJ6" s="363"/>
      <c r="CK6" s="363"/>
      <c r="CL6" s="363"/>
      <c r="CM6" s="363"/>
      <c r="CN6" s="363"/>
      <c r="CO6" s="363"/>
      <c r="CP6" s="363"/>
      <c r="CQ6" s="363"/>
      <c r="CR6" s="363"/>
      <c r="CS6" s="363"/>
      <c r="CT6" s="363"/>
      <c r="CU6" s="363"/>
      <c r="CV6" s="363"/>
      <c r="CW6" s="363"/>
      <c r="CX6" s="363"/>
      <c r="CY6" s="363"/>
      <c r="CZ6" s="363"/>
      <c r="DA6" s="363"/>
      <c r="DB6" s="363"/>
      <c r="DC6" s="363"/>
      <c r="DD6" s="363"/>
      <c r="DE6" s="363"/>
      <c r="DF6" s="363"/>
      <c r="DG6" s="363"/>
      <c r="DH6" s="363"/>
      <c r="DI6" s="363"/>
      <c r="DJ6" s="363"/>
      <c r="DK6" s="363"/>
      <c r="DL6" s="363"/>
      <c r="DM6" s="363"/>
      <c r="DN6" s="363"/>
      <c r="DO6" s="363"/>
      <c r="DP6" s="363"/>
      <c r="DQ6" s="363"/>
      <c r="DR6" s="363"/>
      <c r="DS6" s="363"/>
      <c r="DT6" s="363"/>
      <c r="DU6" s="363"/>
      <c r="DV6" s="363"/>
      <c r="DW6" s="363"/>
      <c r="DX6" s="166"/>
      <c r="DY6" s="166"/>
      <c r="DZ6" s="166"/>
      <c r="EA6" s="166"/>
      <c r="EB6" s="166"/>
      <c r="EC6" s="166"/>
      <c r="ED6" s="166"/>
      <c r="EE6" s="166"/>
      <c r="EF6" s="166"/>
      <c r="EG6" s="166"/>
      <c r="EH6" s="166"/>
      <c r="EI6" s="166"/>
      <c r="EJ6" s="166"/>
      <c r="EK6" s="166"/>
      <c r="EL6" s="166"/>
      <c r="EM6" s="166"/>
      <c r="EN6" s="166"/>
      <c r="EO6" s="166"/>
      <c r="EP6" s="166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363"/>
      <c r="FN6" s="363"/>
      <c r="FO6" s="363"/>
      <c r="FP6" s="363"/>
      <c r="FQ6" s="363"/>
      <c r="FR6" s="363"/>
      <c r="FS6" s="363"/>
      <c r="FT6" s="363"/>
      <c r="FU6" s="363"/>
      <c r="FV6" s="363"/>
      <c r="FW6" s="363"/>
      <c r="FX6" s="24"/>
      <c r="FY6" s="25"/>
      <c r="FZ6" s="25"/>
      <c r="GA6" s="25"/>
      <c r="GB6" s="25"/>
      <c r="GC6" s="25"/>
      <c r="GD6" s="25"/>
      <c r="GE6" s="25"/>
      <c r="GF6" s="25"/>
      <c r="GG6" s="25"/>
      <c r="GH6" s="368" t="s">
        <v>54</v>
      </c>
      <c r="GI6" s="368"/>
      <c r="GJ6" s="368"/>
      <c r="GK6" s="368"/>
      <c r="GL6" s="368"/>
      <c r="GM6" s="368"/>
      <c r="GN6" s="368"/>
      <c r="GO6" s="368"/>
      <c r="GP6" s="368"/>
      <c r="GQ6" s="368"/>
      <c r="GR6" s="369"/>
    </row>
    <row r="7" spans="1:200" ht="15" customHeight="1" x14ac:dyDescent="0.3">
      <c r="A7" s="342" t="s">
        <v>146</v>
      </c>
      <c r="B7" s="343"/>
      <c r="C7" s="343"/>
      <c r="D7" s="343"/>
      <c r="E7" s="343"/>
      <c r="F7" s="343"/>
      <c r="G7" s="344"/>
      <c r="H7" s="351" t="s">
        <v>55</v>
      </c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  <c r="AK7" s="352"/>
      <c r="AL7" s="352"/>
      <c r="AM7" s="352"/>
      <c r="AN7" s="352"/>
      <c r="AO7" s="352"/>
      <c r="AP7" s="352"/>
      <c r="AQ7" s="352"/>
      <c r="AR7" s="352"/>
      <c r="AS7" s="352"/>
      <c r="AT7" s="352"/>
      <c r="AU7" s="352"/>
      <c r="AV7" s="352"/>
      <c r="AW7" s="352"/>
      <c r="AX7" s="352"/>
      <c r="AY7" s="352"/>
      <c r="AZ7" s="352"/>
      <c r="BA7" s="352"/>
      <c r="BB7" s="352"/>
      <c r="BC7" s="352"/>
      <c r="BD7" s="352"/>
      <c r="BE7" s="357" t="s">
        <v>43</v>
      </c>
      <c r="BF7" s="357"/>
      <c r="BG7" s="357"/>
      <c r="BH7" s="357"/>
      <c r="BI7" s="357"/>
      <c r="BJ7" s="357"/>
      <c r="BK7" s="357"/>
      <c r="BL7" s="357"/>
      <c r="BM7" s="357"/>
      <c r="BN7" s="357"/>
      <c r="BO7" s="357"/>
      <c r="BP7" s="357"/>
      <c r="BQ7" s="357"/>
      <c r="BR7" s="357"/>
      <c r="BS7" s="357"/>
      <c r="BT7" s="357"/>
      <c r="BU7" s="357"/>
      <c r="BV7" s="357"/>
      <c r="BW7" s="357"/>
      <c r="BX7" s="357"/>
      <c r="BY7" s="357"/>
      <c r="BZ7" s="357"/>
      <c r="CA7" s="357"/>
      <c r="CB7" s="357"/>
      <c r="CC7" s="26"/>
      <c r="CD7" s="22"/>
      <c r="CE7" s="22"/>
      <c r="CF7" s="22"/>
      <c r="CG7" s="22"/>
      <c r="CH7" s="22"/>
      <c r="CI7" s="22"/>
      <c r="CJ7" s="22"/>
      <c r="CK7" s="22"/>
      <c r="CL7" s="30" t="s">
        <v>56</v>
      </c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58">
        <v>1</v>
      </c>
      <c r="DB7" s="358"/>
      <c r="DC7" s="358"/>
      <c r="DD7" s="85" t="s">
        <v>145</v>
      </c>
      <c r="DE7" s="85"/>
      <c r="DF7" s="85"/>
      <c r="DG7" s="85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7"/>
    </row>
    <row r="8" spans="1:200" ht="3.75" customHeight="1" x14ac:dyDescent="0.3">
      <c r="A8" s="345"/>
      <c r="B8" s="346"/>
      <c r="C8" s="346"/>
      <c r="D8" s="346"/>
      <c r="E8" s="346"/>
      <c r="F8" s="346"/>
      <c r="G8" s="347"/>
      <c r="H8" s="353"/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/>
      <c r="T8" s="354"/>
      <c r="U8" s="354"/>
      <c r="V8" s="354"/>
      <c r="W8" s="354"/>
      <c r="X8" s="354"/>
      <c r="Y8" s="354"/>
      <c r="Z8" s="354"/>
      <c r="AA8" s="354"/>
      <c r="AB8" s="354"/>
      <c r="AC8" s="354"/>
      <c r="AD8" s="354"/>
      <c r="AE8" s="354"/>
      <c r="AF8" s="354"/>
      <c r="AG8" s="354"/>
      <c r="AH8" s="354"/>
      <c r="AI8" s="354"/>
      <c r="AJ8" s="354"/>
      <c r="AK8" s="354"/>
      <c r="AL8" s="354"/>
      <c r="AM8" s="354"/>
      <c r="AN8" s="354"/>
      <c r="AO8" s="354"/>
      <c r="AP8" s="354"/>
      <c r="AQ8" s="354"/>
      <c r="AR8" s="354"/>
      <c r="AS8" s="354"/>
      <c r="AT8" s="354"/>
      <c r="AU8" s="354"/>
      <c r="AV8" s="354"/>
      <c r="AW8" s="354"/>
      <c r="AX8" s="354"/>
      <c r="AY8" s="354"/>
      <c r="AZ8" s="354"/>
      <c r="BA8" s="354"/>
      <c r="BB8" s="354"/>
      <c r="BC8" s="354"/>
      <c r="BD8" s="354"/>
      <c r="BE8" s="359" t="s">
        <v>57</v>
      </c>
      <c r="BF8" s="359"/>
      <c r="BG8" s="359"/>
      <c r="BH8" s="359"/>
      <c r="BI8" s="359"/>
      <c r="BJ8" s="359"/>
      <c r="BK8" s="359" t="s">
        <v>58</v>
      </c>
      <c r="BL8" s="359"/>
      <c r="BM8" s="359"/>
      <c r="BN8" s="359"/>
      <c r="BO8" s="359"/>
      <c r="BP8" s="359"/>
      <c r="BQ8" s="359" t="s">
        <v>61</v>
      </c>
      <c r="BR8" s="359"/>
      <c r="BS8" s="359"/>
      <c r="BT8" s="359"/>
      <c r="BU8" s="359"/>
      <c r="BV8" s="359"/>
      <c r="BW8" s="341" t="s">
        <v>59</v>
      </c>
      <c r="BX8" s="341"/>
      <c r="BY8" s="341"/>
      <c r="BZ8" s="341"/>
      <c r="CA8" s="341"/>
      <c r="CB8" s="341"/>
      <c r="CC8" s="89"/>
      <c r="CD8" s="111"/>
      <c r="CE8" s="111"/>
      <c r="CF8" s="111"/>
      <c r="CG8" s="111"/>
      <c r="CH8" s="111"/>
      <c r="CI8" s="111"/>
      <c r="CJ8" s="111"/>
      <c r="CK8" s="340">
        <f>10*$DA$7</f>
        <v>10</v>
      </c>
      <c r="CL8" s="340"/>
      <c r="CM8" s="340"/>
      <c r="CN8" s="340"/>
      <c r="CO8" s="112"/>
      <c r="CP8" s="112"/>
      <c r="CQ8" s="112"/>
      <c r="CR8" s="112"/>
      <c r="CS8" s="112"/>
      <c r="CT8" s="112"/>
      <c r="CU8" s="340">
        <f>CK8+10*$DA$7</f>
        <v>20</v>
      </c>
      <c r="CV8" s="340"/>
      <c r="CW8" s="340"/>
      <c r="CX8" s="340"/>
      <c r="CY8" s="112"/>
      <c r="CZ8" s="112"/>
      <c r="DA8" s="112"/>
      <c r="DB8" s="111"/>
      <c r="DC8" s="111"/>
      <c r="DD8" s="111"/>
      <c r="DE8" s="340">
        <f>CU8+10*$DA$7</f>
        <v>30</v>
      </c>
      <c r="DF8" s="340"/>
      <c r="DG8" s="340"/>
      <c r="DH8" s="340"/>
      <c r="DI8" s="111"/>
      <c r="DJ8" s="111"/>
      <c r="DK8" s="111"/>
      <c r="DL8" s="111"/>
      <c r="DM8" s="111"/>
      <c r="DN8" s="111"/>
      <c r="DO8" s="340">
        <f>DE8+10*$DA$7</f>
        <v>40</v>
      </c>
      <c r="DP8" s="340"/>
      <c r="DQ8" s="340"/>
      <c r="DR8" s="340"/>
      <c r="DS8" s="111"/>
      <c r="DT8" s="111"/>
      <c r="DU8" s="111"/>
      <c r="DV8" s="111"/>
      <c r="DW8" s="111"/>
      <c r="DX8" s="111"/>
      <c r="DY8" s="340">
        <f>DO8+10*$DA$7</f>
        <v>50</v>
      </c>
      <c r="DZ8" s="340"/>
      <c r="EA8" s="340"/>
      <c r="EB8" s="340"/>
      <c r="EC8" s="111"/>
      <c r="ED8" s="111"/>
      <c r="EE8" s="111"/>
      <c r="EF8" s="111"/>
      <c r="EG8" s="111"/>
      <c r="EH8" s="111"/>
      <c r="EI8" s="340">
        <f>DY8+10*$DA$7</f>
        <v>60</v>
      </c>
      <c r="EJ8" s="340"/>
      <c r="EK8" s="340"/>
      <c r="EL8" s="340"/>
      <c r="EM8" s="111"/>
      <c r="EN8" s="111"/>
      <c r="EO8" s="111"/>
      <c r="EP8" s="111"/>
      <c r="EQ8" s="111"/>
      <c r="ER8" s="111"/>
      <c r="ES8" s="340">
        <f>EI8+10*$DA$7</f>
        <v>70</v>
      </c>
      <c r="ET8" s="340"/>
      <c r="EU8" s="340"/>
      <c r="EV8" s="340"/>
      <c r="EW8" s="111"/>
      <c r="EX8" s="111"/>
      <c r="EY8" s="111"/>
      <c r="EZ8" s="111"/>
      <c r="FA8" s="111"/>
      <c r="FB8" s="111"/>
      <c r="FC8" s="340">
        <f>ES8+10*$DA$7</f>
        <v>80</v>
      </c>
      <c r="FD8" s="340"/>
      <c r="FE8" s="340"/>
      <c r="FF8" s="340"/>
      <c r="FG8" s="111"/>
      <c r="FH8" s="111"/>
      <c r="FI8" s="111"/>
      <c r="FJ8" s="111"/>
      <c r="FK8" s="111"/>
      <c r="FL8" s="111"/>
      <c r="FM8" s="340">
        <f>FC8+10*$DA$7</f>
        <v>90</v>
      </c>
      <c r="FN8" s="340"/>
      <c r="FO8" s="340"/>
      <c r="FP8" s="340"/>
      <c r="FQ8" s="111"/>
      <c r="FR8" s="111"/>
      <c r="FS8" s="111"/>
      <c r="FT8" s="111"/>
      <c r="FU8" s="111"/>
      <c r="FV8" s="111"/>
      <c r="FW8" s="340">
        <f>FM8+10*$DA$7</f>
        <v>100</v>
      </c>
      <c r="FX8" s="340"/>
      <c r="FY8" s="340"/>
      <c r="FZ8" s="340"/>
      <c r="GA8" s="111"/>
      <c r="GB8" s="111"/>
      <c r="GC8" s="111"/>
      <c r="GD8" s="111"/>
      <c r="GE8" s="111"/>
      <c r="GF8" s="111"/>
      <c r="GG8" s="340">
        <f>FW8+10*$DA$7</f>
        <v>110</v>
      </c>
      <c r="GH8" s="340"/>
      <c r="GI8" s="340"/>
      <c r="GJ8" s="340"/>
      <c r="GK8" s="111"/>
      <c r="GL8" s="111"/>
      <c r="GM8" s="111"/>
      <c r="GN8" s="111"/>
      <c r="GO8" s="111"/>
      <c r="GP8" s="111"/>
      <c r="GQ8" s="111"/>
      <c r="GR8" s="113"/>
    </row>
    <row r="9" spans="1:200" ht="3.75" customHeight="1" x14ac:dyDescent="0.3">
      <c r="A9" s="345"/>
      <c r="B9" s="346"/>
      <c r="C9" s="346"/>
      <c r="D9" s="346"/>
      <c r="E9" s="346"/>
      <c r="F9" s="346"/>
      <c r="G9" s="347"/>
      <c r="H9" s="353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  <c r="T9" s="354"/>
      <c r="U9" s="354"/>
      <c r="V9" s="354"/>
      <c r="W9" s="354"/>
      <c r="X9" s="354"/>
      <c r="Y9" s="354"/>
      <c r="Z9" s="354"/>
      <c r="AA9" s="354"/>
      <c r="AB9" s="354"/>
      <c r="AC9" s="354"/>
      <c r="AD9" s="354"/>
      <c r="AE9" s="354"/>
      <c r="AF9" s="354"/>
      <c r="AG9" s="354"/>
      <c r="AH9" s="354"/>
      <c r="AI9" s="354"/>
      <c r="AJ9" s="354"/>
      <c r="AK9" s="354"/>
      <c r="AL9" s="354"/>
      <c r="AM9" s="354"/>
      <c r="AN9" s="354"/>
      <c r="AO9" s="354"/>
      <c r="AP9" s="354"/>
      <c r="AQ9" s="354"/>
      <c r="AR9" s="354"/>
      <c r="AS9" s="354"/>
      <c r="AT9" s="354"/>
      <c r="AU9" s="354"/>
      <c r="AV9" s="354"/>
      <c r="AW9" s="354"/>
      <c r="AX9" s="354"/>
      <c r="AY9" s="354"/>
      <c r="AZ9" s="354"/>
      <c r="BA9" s="354"/>
      <c r="BB9" s="354"/>
      <c r="BC9" s="354"/>
      <c r="BD9" s="354"/>
      <c r="BE9" s="359"/>
      <c r="BF9" s="359"/>
      <c r="BG9" s="359"/>
      <c r="BH9" s="359"/>
      <c r="BI9" s="359"/>
      <c r="BJ9" s="359"/>
      <c r="BK9" s="359"/>
      <c r="BL9" s="359"/>
      <c r="BM9" s="359"/>
      <c r="BN9" s="359"/>
      <c r="BO9" s="359"/>
      <c r="BP9" s="359"/>
      <c r="BQ9" s="359"/>
      <c r="BR9" s="359"/>
      <c r="BS9" s="359"/>
      <c r="BT9" s="359"/>
      <c r="BU9" s="359"/>
      <c r="BV9" s="359"/>
      <c r="BW9" s="341"/>
      <c r="BX9" s="341"/>
      <c r="BY9" s="341"/>
      <c r="BZ9" s="341"/>
      <c r="CA9" s="341"/>
      <c r="CB9" s="341"/>
      <c r="CC9" s="89"/>
      <c r="CD9" s="111"/>
      <c r="CE9" s="111"/>
      <c r="CF9" s="340">
        <f>5*$DA$7</f>
        <v>5</v>
      </c>
      <c r="CG9" s="340"/>
      <c r="CH9" s="340"/>
      <c r="CI9" s="340"/>
      <c r="CJ9" s="111"/>
      <c r="CK9" s="340"/>
      <c r="CL9" s="340"/>
      <c r="CM9" s="340"/>
      <c r="CN9" s="340"/>
      <c r="CO9" s="111"/>
      <c r="CP9" s="340">
        <f>CF9+10*$DA$7</f>
        <v>15</v>
      </c>
      <c r="CQ9" s="340"/>
      <c r="CR9" s="340"/>
      <c r="CS9" s="340"/>
      <c r="CT9" s="111"/>
      <c r="CU9" s="340"/>
      <c r="CV9" s="340"/>
      <c r="CW9" s="340"/>
      <c r="CX9" s="340"/>
      <c r="CY9" s="111"/>
      <c r="CZ9" s="340">
        <f>CP9+10*$DA$7</f>
        <v>25</v>
      </c>
      <c r="DA9" s="340"/>
      <c r="DB9" s="340"/>
      <c r="DC9" s="340"/>
      <c r="DD9" s="111"/>
      <c r="DE9" s="340"/>
      <c r="DF9" s="340"/>
      <c r="DG9" s="340"/>
      <c r="DH9" s="340"/>
      <c r="DI9" s="111"/>
      <c r="DJ9" s="340">
        <f>CZ9+10*$DA$7</f>
        <v>35</v>
      </c>
      <c r="DK9" s="340"/>
      <c r="DL9" s="340"/>
      <c r="DM9" s="340"/>
      <c r="DN9" s="111"/>
      <c r="DO9" s="340"/>
      <c r="DP9" s="340"/>
      <c r="DQ9" s="340"/>
      <c r="DR9" s="340"/>
      <c r="DS9" s="111"/>
      <c r="DT9" s="340">
        <f>DJ9+10*$DA$7</f>
        <v>45</v>
      </c>
      <c r="DU9" s="340"/>
      <c r="DV9" s="340"/>
      <c r="DW9" s="340"/>
      <c r="DX9" s="111"/>
      <c r="DY9" s="340"/>
      <c r="DZ9" s="340"/>
      <c r="EA9" s="340"/>
      <c r="EB9" s="340"/>
      <c r="EC9" s="111"/>
      <c r="ED9" s="340">
        <f>DT9+10*$DA$7</f>
        <v>55</v>
      </c>
      <c r="EE9" s="340"/>
      <c r="EF9" s="340"/>
      <c r="EG9" s="340"/>
      <c r="EH9" s="111"/>
      <c r="EI9" s="340"/>
      <c r="EJ9" s="340"/>
      <c r="EK9" s="340"/>
      <c r="EL9" s="340"/>
      <c r="EM9" s="111"/>
      <c r="EN9" s="340">
        <f>ED9+10*$DA$7</f>
        <v>65</v>
      </c>
      <c r="EO9" s="340"/>
      <c r="EP9" s="340"/>
      <c r="EQ9" s="340"/>
      <c r="ER9" s="111"/>
      <c r="ES9" s="340"/>
      <c r="ET9" s="340"/>
      <c r="EU9" s="340"/>
      <c r="EV9" s="340"/>
      <c r="EW9" s="111"/>
      <c r="EX9" s="340">
        <f>EN9+10*$DA$7</f>
        <v>75</v>
      </c>
      <c r="EY9" s="340"/>
      <c r="EZ9" s="340"/>
      <c r="FA9" s="340"/>
      <c r="FB9" s="111"/>
      <c r="FC9" s="340"/>
      <c r="FD9" s="340"/>
      <c r="FE9" s="340"/>
      <c r="FF9" s="340"/>
      <c r="FG9" s="111"/>
      <c r="FH9" s="340">
        <f>EX9+10*$DA$7</f>
        <v>85</v>
      </c>
      <c r="FI9" s="340"/>
      <c r="FJ9" s="340"/>
      <c r="FK9" s="340"/>
      <c r="FL9" s="111"/>
      <c r="FM9" s="340"/>
      <c r="FN9" s="340"/>
      <c r="FO9" s="340"/>
      <c r="FP9" s="340"/>
      <c r="FQ9" s="111"/>
      <c r="FR9" s="340">
        <f>FH9+10*$DA$7</f>
        <v>95</v>
      </c>
      <c r="FS9" s="340"/>
      <c r="FT9" s="340"/>
      <c r="FU9" s="340"/>
      <c r="FV9" s="111"/>
      <c r="FW9" s="340"/>
      <c r="FX9" s="340"/>
      <c r="FY9" s="340"/>
      <c r="FZ9" s="340"/>
      <c r="GA9" s="111"/>
      <c r="GB9" s="340">
        <f>FR9+10*$DA$7</f>
        <v>105</v>
      </c>
      <c r="GC9" s="340"/>
      <c r="GD9" s="340"/>
      <c r="GE9" s="340"/>
      <c r="GF9" s="111"/>
      <c r="GG9" s="340"/>
      <c r="GH9" s="340"/>
      <c r="GI9" s="340"/>
      <c r="GJ9" s="340"/>
      <c r="GK9" s="111"/>
      <c r="GL9" s="340">
        <f>GB9+10*$DA$7</f>
        <v>115</v>
      </c>
      <c r="GM9" s="340"/>
      <c r="GN9" s="340"/>
      <c r="GO9" s="340"/>
      <c r="GP9" s="340"/>
      <c r="GQ9" s="111"/>
      <c r="GR9" s="113"/>
    </row>
    <row r="10" spans="1:200" ht="3.75" customHeight="1" x14ac:dyDescent="0.3">
      <c r="A10" s="345"/>
      <c r="B10" s="346"/>
      <c r="C10" s="346"/>
      <c r="D10" s="346"/>
      <c r="E10" s="346"/>
      <c r="F10" s="346"/>
      <c r="G10" s="347"/>
      <c r="H10" s="353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354"/>
      <c r="BD10" s="354"/>
      <c r="BE10" s="359"/>
      <c r="BF10" s="359"/>
      <c r="BG10" s="359"/>
      <c r="BH10" s="359"/>
      <c r="BI10" s="359"/>
      <c r="BJ10" s="359"/>
      <c r="BK10" s="359"/>
      <c r="BL10" s="359"/>
      <c r="BM10" s="359"/>
      <c r="BN10" s="359"/>
      <c r="BO10" s="359"/>
      <c r="BP10" s="359"/>
      <c r="BQ10" s="359"/>
      <c r="BR10" s="359"/>
      <c r="BS10" s="359"/>
      <c r="BT10" s="359"/>
      <c r="BU10" s="359"/>
      <c r="BV10" s="359"/>
      <c r="BW10" s="341"/>
      <c r="BX10" s="341"/>
      <c r="BY10" s="341"/>
      <c r="BZ10" s="341"/>
      <c r="CA10" s="341"/>
      <c r="CB10" s="341"/>
      <c r="CC10" s="89"/>
      <c r="CD10" s="111"/>
      <c r="CE10" s="111"/>
      <c r="CF10" s="340"/>
      <c r="CG10" s="340"/>
      <c r="CH10" s="340"/>
      <c r="CI10" s="340"/>
      <c r="CJ10" s="111"/>
      <c r="CK10" s="340"/>
      <c r="CL10" s="340"/>
      <c r="CM10" s="340"/>
      <c r="CN10" s="340"/>
      <c r="CO10" s="111"/>
      <c r="CP10" s="340"/>
      <c r="CQ10" s="340"/>
      <c r="CR10" s="340"/>
      <c r="CS10" s="340"/>
      <c r="CT10" s="111"/>
      <c r="CU10" s="340"/>
      <c r="CV10" s="340"/>
      <c r="CW10" s="340"/>
      <c r="CX10" s="340"/>
      <c r="CY10" s="111"/>
      <c r="CZ10" s="340"/>
      <c r="DA10" s="340"/>
      <c r="DB10" s="340"/>
      <c r="DC10" s="340"/>
      <c r="DD10" s="111"/>
      <c r="DE10" s="340"/>
      <c r="DF10" s="340"/>
      <c r="DG10" s="340"/>
      <c r="DH10" s="340"/>
      <c r="DI10" s="111"/>
      <c r="DJ10" s="340"/>
      <c r="DK10" s="340"/>
      <c r="DL10" s="340"/>
      <c r="DM10" s="340"/>
      <c r="DN10" s="111"/>
      <c r="DO10" s="340"/>
      <c r="DP10" s="340"/>
      <c r="DQ10" s="340"/>
      <c r="DR10" s="340"/>
      <c r="DS10" s="111"/>
      <c r="DT10" s="340"/>
      <c r="DU10" s="340"/>
      <c r="DV10" s="340"/>
      <c r="DW10" s="340"/>
      <c r="DX10" s="111"/>
      <c r="DY10" s="340"/>
      <c r="DZ10" s="340"/>
      <c r="EA10" s="340"/>
      <c r="EB10" s="340"/>
      <c r="EC10" s="111"/>
      <c r="ED10" s="340"/>
      <c r="EE10" s="340"/>
      <c r="EF10" s="340"/>
      <c r="EG10" s="340"/>
      <c r="EH10" s="111"/>
      <c r="EI10" s="340"/>
      <c r="EJ10" s="340"/>
      <c r="EK10" s="340"/>
      <c r="EL10" s="340"/>
      <c r="EM10" s="111"/>
      <c r="EN10" s="340"/>
      <c r="EO10" s="340"/>
      <c r="EP10" s="340"/>
      <c r="EQ10" s="340"/>
      <c r="ER10" s="111"/>
      <c r="ES10" s="340"/>
      <c r="ET10" s="340"/>
      <c r="EU10" s="340"/>
      <c r="EV10" s="340"/>
      <c r="EW10" s="111"/>
      <c r="EX10" s="340"/>
      <c r="EY10" s="340"/>
      <c r="EZ10" s="340"/>
      <c r="FA10" s="340"/>
      <c r="FB10" s="111"/>
      <c r="FC10" s="340"/>
      <c r="FD10" s="340"/>
      <c r="FE10" s="340"/>
      <c r="FF10" s="340"/>
      <c r="FG10" s="111"/>
      <c r="FH10" s="340"/>
      <c r="FI10" s="340"/>
      <c r="FJ10" s="340"/>
      <c r="FK10" s="340"/>
      <c r="FL10" s="111"/>
      <c r="FM10" s="340"/>
      <c r="FN10" s="340"/>
      <c r="FO10" s="340"/>
      <c r="FP10" s="340"/>
      <c r="FQ10" s="111"/>
      <c r="FR10" s="340"/>
      <c r="FS10" s="340"/>
      <c r="FT10" s="340"/>
      <c r="FU10" s="340"/>
      <c r="FV10" s="111"/>
      <c r="FW10" s="340"/>
      <c r="FX10" s="340"/>
      <c r="FY10" s="340"/>
      <c r="FZ10" s="340"/>
      <c r="GA10" s="111"/>
      <c r="GB10" s="340"/>
      <c r="GC10" s="340"/>
      <c r="GD10" s="340"/>
      <c r="GE10" s="340"/>
      <c r="GF10" s="111"/>
      <c r="GG10" s="340"/>
      <c r="GH10" s="340"/>
      <c r="GI10" s="340"/>
      <c r="GJ10" s="340"/>
      <c r="GK10" s="111"/>
      <c r="GL10" s="340"/>
      <c r="GM10" s="340"/>
      <c r="GN10" s="340"/>
      <c r="GO10" s="340"/>
      <c r="GP10" s="340"/>
      <c r="GQ10" s="111"/>
      <c r="GR10" s="113"/>
    </row>
    <row r="11" spans="1:200" ht="3.75" customHeight="1" x14ac:dyDescent="0.3">
      <c r="A11" s="345"/>
      <c r="B11" s="346"/>
      <c r="C11" s="346"/>
      <c r="D11" s="346"/>
      <c r="E11" s="346"/>
      <c r="F11" s="346"/>
      <c r="G11" s="347"/>
      <c r="H11" s="353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4"/>
      <c r="AG11" s="354"/>
      <c r="AH11" s="354"/>
      <c r="AI11" s="354"/>
      <c r="AJ11" s="354"/>
      <c r="AK11" s="354"/>
      <c r="AL11" s="354"/>
      <c r="AM11" s="354"/>
      <c r="AN11" s="354"/>
      <c r="AO11" s="354"/>
      <c r="AP11" s="354"/>
      <c r="AQ11" s="354"/>
      <c r="AR11" s="354"/>
      <c r="AS11" s="354"/>
      <c r="AT11" s="354"/>
      <c r="AU11" s="354"/>
      <c r="AV11" s="354"/>
      <c r="AW11" s="354"/>
      <c r="AX11" s="354"/>
      <c r="AY11" s="354"/>
      <c r="AZ11" s="354"/>
      <c r="BA11" s="354"/>
      <c r="BB11" s="354"/>
      <c r="BC11" s="354"/>
      <c r="BD11" s="354"/>
      <c r="BE11" s="359"/>
      <c r="BF11" s="359"/>
      <c r="BG11" s="359"/>
      <c r="BH11" s="359"/>
      <c r="BI11" s="359"/>
      <c r="BJ11" s="359"/>
      <c r="BK11" s="359"/>
      <c r="BL11" s="359"/>
      <c r="BM11" s="359"/>
      <c r="BN11" s="359"/>
      <c r="BO11" s="359"/>
      <c r="BP11" s="359"/>
      <c r="BQ11" s="359"/>
      <c r="BR11" s="359"/>
      <c r="BS11" s="359"/>
      <c r="BT11" s="359"/>
      <c r="BU11" s="359"/>
      <c r="BV11" s="359"/>
      <c r="BW11" s="341"/>
      <c r="BX11" s="341"/>
      <c r="BY11" s="341"/>
      <c r="BZ11" s="341"/>
      <c r="CA11" s="341"/>
      <c r="CB11" s="341"/>
      <c r="CC11" s="89"/>
      <c r="CD11" s="111"/>
      <c r="CE11" s="111"/>
      <c r="CF11" s="340"/>
      <c r="CG11" s="340"/>
      <c r="CH11" s="340"/>
      <c r="CI11" s="340"/>
      <c r="CJ11" s="111"/>
      <c r="CK11" s="340"/>
      <c r="CL11" s="340"/>
      <c r="CM11" s="340"/>
      <c r="CN11" s="340"/>
      <c r="CO11" s="111"/>
      <c r="CP11" s="340"/>
      <c r="CQ11" s="340"/>
      <c r="CR11" s="340"/>
      <c r="CS11" s="340"/>
      <c r="CT11" s="111"/>
      <c r="CU11" s="340"/>
      <c r="CV11" s="340"/>
      <c r="CW11" s="340"/>
      <c r="CX11" s="340"/>
      <c r="CY11" s="111"/>
      <c r="CZ11" s="340"/>
      <c r="DA11" s="340"/>
      <c r="DB11" s="340"/>
      <c r="DC11" s="340"/>
      <c r="DD11" s="111"/>
      <c r="DE11" s="340"/>
      <c r="DF11" s="340"/>
      <c r="DG11" s="340"/>
      <c r="DH11" s="340"/>
      <c r="DI11" s="111"/>
      <c r="DJ11" s="340"/>
      <c r="DK11" s="340"/>
      <c r="DL11" s="340"/>
      <c r="DM11" s="340"/>
      <c r="DN11" s="111"/>
      <c r="DO11" s="340"/>
      <c r="DP11" s="340"/>
      <c r="DQ11" s="340"/>
      <c r="DR11" s="340"/>
      <c r="DS11" s="111"/>
      <c r="DT11" s="340"/>
      <c r="DU11" s="340"/>
      <c r="DV11" s="340"/>
      <c r="DW11" s="340"/>
      <c r="DX11" s="111"/>
      <c r="DY11" s="340"/>
      <c r="DZ11" s="340"/>
      <c r="EA11" s="340"/>
      <c r="EB11" s="340"/>
      <c r="EC11" s="111"/>
      <c r="ED11" s="340"/>
      <c r="EE11" s="340"/>
      <c r="EF11" s="340"/>
      <c r="EG11" s="340"/>
      <c r="EH11" s="111"/>
      <c r="EI11" s="340"/>
      <c r="EJ11" s="340"/>
      <c r="EK11" s="340"/>
      <c r="EL11" s="340"/>
      <c r="EM11" s="111"/>
      <c r="EN11" s="340"/>
      <c r="EO11" s="340"/>
      <c r="EP11" s="340"/>
      <c r="EQ11" s="340"/>
      <c r="ER11" s="111"/>
      <c r="ES11" s="340"/>
      <c r="ET11" s="340"/>
      <c r="EU11" s="340"/>
      <c r="EV11" s="340"/>
      <c r="EW11" s="111"/>
      <c r="EX11" s="340"/>
      <c r="EY11" s="340"/>
      <c r="EZ11" s="340"/>
      <c r="FA11" s="340"/>
      <c r="FB11" s="111"/>
      <c r="FC11" s="340"/>
      <c r="FD11" s="340"/>
      <c r="FE11" s="340"/>
      <c r="FF11" s="340"/>
      <c r="FG11" s="111"/>
      <c r="FH11" s="340"/>
      <c r="FI11" s="340"/>
      <c r="FJ11" s="340"/>
      <c r="FK11" s="340"/>
      <c r="FL11" s="111"/>
      <c r="FM11" s="340"/>
      <c r="FN11" s="340"/>
      <c r="FO11" s="340"/>
      <c r="FP11" s="340"/>
      <c r="FQ11" s="111"/>
      <c r="FR11" s="340"/>
      <c r="FS11" s="340"/>
      <c r="FT11" s="340"/>
      <c r="FU11" s="340"/>
      <c r="FV11" s="111"/>
      <c r="FW11" s="340"/>
      <c r="FX11" s="340"/>
      <c r="FY11" s="340"/>
      <c r="FZ11" s="340"/>
      <c r="GA11" s="111"/>
      <c r="GB11" s="340"/>
      <c r="GC11" s="340"/>
      <c r="GD11" s="340"/>
      <c r="GE11" s="340"/>
      <c r="GF11" s="111"/>
      <c r="GG11" s="340"/>
      <c r="GH11" s="340"/>
      <c r="GI11" s="340"/>
      <c r="GJ11" s="340"/>
      <c r="GK11" s="111"/>
      <c r="GL11" s="340"/>
      <c r="GM11" s="340"/>
      <c r="GN11" s="340"/>
      <c r="GO11" s="340"/>
      <c r="GP11" s="340"/>
      <c r="GQ11" s="111"/>
      <c r="GR11" s="113"/>
    </row>
    <row r="12" spans="1:200" ht="3.75" customHeight="1" x14ac:dyDescent="0.3">
      <c r="A12" s="345"/>
      <c r="B12" s="346"/>
      <c r="C12" s="346"/>
      <c r="D12" s="346"/>
      <c r="E12" s="346"/>
      <c r="F12" s="346"/>
      <c r="G12" s="347"/>
      <c r="H12" s="353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54"/>
      <c r="Y12" s="354"/>
      <c r="Z12" s="354"/>
      <c r="AA12" s="354"/>
      <c r="AB12" s="354"/>
      <c r="AC12" s="354"/>
      <c r="AD12" s="354"/>
      <c r="AE12" s="354"/>
      <c r="AF12" s="354"/>
      <c r="AG12" s="354"/>
      <c r="AH12" s="354"/>
      <c r="AI12" s="354"/>
      <c r="AJ12" s="354"/>
      <c r="AK12" s="354"/>
      <c r="AL12" s="354"/>
      <c r="AM12" s="354"/>
      <c r="AN12" s="354"/>
      <c r="AO12" s="354"/>
      <c r="AP12" s="354"/>
      <c r="AQ12" s="354"/>
      <c r="AR12" s="354"/>
      <c r="AS12" s="354"/>
      <c r="AT12" s="354"/>
      <c r="AU12" s="354"/>
      <c r="AV12" s="354"/>
      <c r="AW12" s="354"/>
      <c r="AX12" s="354"/>
      <c r="AY12" s="354"/>
      <c r="AZ12" s="354"/>
      <c r="BA12" s="354"/>
      <c r="BB12" s="354"/>
      <c r="BC12" s="354"/>
      <c r="BD12" s="354"/>
      <c r="BE12" s="359"/>
      <c r="BF12" s="359"/>
      <c r="BG12" s="359"/>
      <c r="BH12" s="359"/>
      <c r="BI12" s="359"/>
      <c r="BJ12" s="359"/>
      <c r="BK12" s="359"/>
      <c r="BL12" s="359"/>
      <c r="BM12" s="359"/>
      <c r="BN12" s="359"/>
      <c r="BO12" s="359"/>
      <c r="BP12" s="359"/>
      <c r="BQ12" s="359"/>
      <c r="BR12" s="359"/>
      <c r="BS12" s="359"/>
      <c r="BT12" s="359"/>
      <c r="BU12" s="359"/>
      <c r="BV12" s="359"/>
      <c r="BW12" s="341"/>
      <c r="BX12" s="341"/>
      <c r="BY12" s="341"/>
      <c r="BZ12" s="341"/>
      <c r="CA12" s="341"/>
      <c r="CB12" s="341"/>
      <c r="CC12" s="89"/>
      <c r="CD12" s="111"/>
      <c r="CE12" s="111"/>
      <c r="CF12" s="340"/>
      <c r="CG12" s="340"/>
      <c r="CH12" s="340"/>
      <c r="CI12" s="340"/>
      <c r="CJ12" s="111"/>
      <c r="CK12" s="111"/>
      <c r="CL12" s="113"/>
      <c r="CM12" s="114"/>
      <c r="CN12" s="111"/>
      <c r="CO12" s="111"/>
      <c r="CP12" s="340"/>
      <c r="CQ12" s="340"/>
      <c r="CR12" s="340"/>
      <c r="CS12" s="340"/>
      <c r="CT12" s="111"/>
      <c r="CU12" s="111"/>
      <c r="CV12" s="113"/>
      <c r="CW12" s="114"/>
      <c r="CX12" s="111"/>
      <c r="CY12" s="111"/>
      <c r="CZ12" s="340"/>
      <c r="DA12" s="340"/>
      <c r="DB12" s="340"/>
      <c r="DC12" s="340"/>
      <c r="DD12" s="111"/>
      <c r="DE12" s="111"/>
      <c r="DF12" s="113"/>
      <c r="DG12" s="111"/>
      <c r="DH12" s="111"/>
      <c r="DI12" s="111"/>
      <c r="DJ12" s="340"/>
      <c r="DK12" s="340"/>
      <c r="DL12" s="340"/>
      <c r="DM12" s="340"/>
      <c r="DN12" s="111"/>
      <c r="DO12" s="111"/>
      <c r="DP12" s="113"/>
      <c r="DQ12" s="111"/>
      <c r="DR12" s="111"/>
      <c r="DS12" s="111"/>
      <c r="DT12" s="340"/>
      <c r="DU12" s="340"/>
      <c r="DV12" s="340"/>
      <c r="DW12" s="340"/>
      <c r="DX12" s="111"/>
      <c r="DY12" s="111"/>
      <c r="DZ12" s="113"/>
      <c r="EA12" s="111"/>
      <c r="EB12" s="111"/>
      <c r="EC12" s="111"/>
      <c r="ED12" s="340"/>
      <c r="EE12" s="340"/>
      <c r="EF12" s="340"/>
      <c r="EG12" s="340"/>
      <c r="EH12" s="111"/>
      <c r="EI12" s="111"/>
      <c r="EJ12" s="113"/>
      <c r="EK12" s="111"/>
      <c r="EL12" s="111"/>
      <c r="EM12" s="111"/>
      <c r="EN12" s="340"/>
      <c r="EO12" s="340"/>
      <c r="EP12" s="340"/>
      <c r="EQ12" s="340"/>
      <c r="ER12" s="111"/>
      <c r="ES12" s="111"/>
      <c r="ET12" s="113"/>
      <c r="EU12" s="111"/>
      <c r="EV12" s="111"/>
      <c r="EW12" s="111"/>
      <c r="EX12" s="340"/>
      <c r="EY12" s="340"/>
      <c r="EZ12" s="340"/>
      <c r="FA12" s="340"/>
      <c r="FB12" s="111"/>
      <c r="FC12" s="111"/>
      <c r="FD12" s="113"/>
      <c r="FE12" s="111"/>
      <c r="FF12" s="111"/>
      <c r="FG12" s="111"/>
      <c r="FH12" s="340"/>
      <c r="FI12" s="340"/>
      <c r="FJ12" s="340"/>
      <c r="FK12" s="340"/>
      <c r="FL12" s="111"/>
      <c r="FM12" s="111"/>
      <c r="FN12" s="113"/>
      <c r="FO12" s="111"/>
      <c r="FP12" s="111"/>
      <c r="FQ12" s="111"/>
      <c r="FR12" s="340"/>
      <c r="FS12" s="340"/>
      <c r="FT12" s="340"/>
      <c r="FU12" s="340"/>
      <c r="FV12" s="111"/>
      <c r="FW12" s="111"/>
      <c r="FX12" s="113"/>
      <c r="FY12" s="111"/>
      <c r="FZ12" s="111"/>
      <c r="GA12" s="111"/>
      <c r="GB12" s="340"/>
      <c r="GC12" s="340"/>
      <c r="GD12" s="340"/>
      <c r="GE12" s="340"/>
      <c r="GF12" s="111"/>
      <c r="GG12" s="111"/>
      <c r="GH12" s="113"/>
      <c r="GI12" s="111"/>
      <c r="GJ12" s="111"/>
      <c r="GK12" s="111"/>
      <c r="GL12" s="340"/>
      <c r="GM12" s="340"/>
      <c r="GN12" s="340"/>
      <c r="GO12" s="340"/>
      <c r="GP12" s="340"/>
      <c r="GQ12" s="111"/>
      <c r="GR12" s="113"/>
    </row>
    <row r="13" spans="1:200" ht="3.75" customHeight="1" x14ac:dyDescent="0.3">
      <c r="A13" s="348"/>
      <c r="B13" s="349"/>
      <c r="C13" s="349"/>
      <c r="D13" s="349"/>
      <c r="E13" s="349"/>
      <c r="F13" s="349"/>
      <c r="G13" s="350"/>
      <c r="H13" s="355"/>
      <c r="I13" s="356"/>
      <c r="J13" s="356"/>
      <c r="K13" s="356"/>
      <c r="L13" s="356"/>
      <c r="M13" s="356"/>
      <c r="N13" s="356"/>
      <c r="O13" s="356"/>
      <c r="P13" s="356"/>
      <c r="Q13" s="356"/>
      <c r="R13" s="356"/>
      <c r="S13" s="356"/>
      <c r="T13" s="356"/>
      <c r="U13" s="356"/>
      <c r="V13" s="356"/>
      <c r="W13" s="356"/>
      <c r="X13" s="356"/>
      <c r="Y13" s="356"/>
      <c r="Z13" s="356"/>
      <c r="AA13" s="356"/>
      <c r="AB13" s="356"/>
      <c r="AC13" s="356"/>
      <c r="AD13" s="356"/>
      <c r="AE13" s="356"/>
      <c r="AF13" s="356"/>
      <c r="AG13" s="356"/>
      <c r="AH13" s="356"/>
      <c r="AI13" s="356"/>
      <c r="AJ13" s="356"/>
      <c r="AK13" s="356"/>
      <c r="AL13" s="356"/>
      <c r="AM13" s="356"/>
      <c r="AN13" s="356"/>
      <c r="AO13" s="356"/>
      <c r="AP13" s="356"/>
      <c r="AQ13" s="356"/>
      <c r="AR13" s="356"/>
      <c r="AS13" s="356"/>
      <c r="AT13" s="356"/>
      <c r="AU13" s="356"/>
      <c r="AV13" s="356"/>
      <c r="AW13" s="356"/>
      <c r="AX13" s="356"/>
      <c r="AY13" s="356"/>
      <c r="AZ13" s="356"/>
      <c r="BA13" s="356"/>
      <c r="BB13" s="356"/>
      <c r="BC13" s="356"/>
      <c r="BD13" s="356"/>
      <c r="BE13" s="359"/>
      <c r="BF13" s="359"/>
      <c r="BG13" s="359"/>
      <c r="BH13" s="359"/>
      <c r="BI13" s="359"/>
      <c r="BJ13" s="359"/>
      <c r="BK13" s="359"/>
      <c r="BL13" s="359"/>
      <c r="BM13" s="359"/>
      <c r="BN13" s="359"/>
      <c r="BO13" s="359"/>
      <c r="BP13" s="359"/>
      <c r="BQ13" s="359"/>
      <c r="BR13" s="359"/>
      <c r="BS13" s="359"/>
      <c r="BT13" s="359"/>
      <c r="BU13" s="359"/>
      <c r="BV13" s="359"/>
      <c r="BW13" s="341"/>
      <c r="BX13" s="341"/>
      <c r="BY13" s="341"/>
      <c r="BZ13" s="341"/>
      <c r="CA13" s="341"/>
      <c r="CB13" s="341"/>
      <c r="CC13" s="28"/>
      <c r="CD13" s="25"/>
      <c r="CE13" s="25"/>
      <c r="CF13" s="25"/>
      <c r="CG13" s="25"/>
      <c r="CH13" s="24"/>
      <c r="CI13" s="25"/>
      <c r="CJ13" s="25"/>
      <c r="CK13" s="25"/>
      <c r="CL13" s="29"/>
      <c r="CM13" s="24"/>
      <c r="CN13" s="25"/>
      <c r="CO13" s="25"/>
      <c r="CP13" s="25"/>
      <c r="CQ13" s="25"/>
      <c r="CR13" s="24"/>
      <c r="CS13" s="25"/>
      <c r="CT13" s="25"/>
      <c r="CU13" s="25"/>
      <c r="CV13" s="29"/>
      <c r="CW13" s="24"/>
      <c r="CX13" s="25"/>
      <c r="CY13" s="25"/>
      <c r="CZ13" s="25"/>
      <c r="DA13" s="25"/>
      <c r="DB13" s="24"/>
      <c r="DC13" s="25"/>
      <c r="DD13" s="25"/>
      <c r="DE13" s="25"/>
      <c r="DF13" s="29"/>
      <c r="DG13" s="25"/>
      <c r="DH13" s="25"/>
      <c r="DI13" s="25"/>
      <c r="DJ13" s="25"/>
      <c r="DK13" s="29"/>
      <c r="DL13" s="24"/>
      <c r="DM13" s="25"/>
      <c r="DN13" s="25"/>
      <c r="DO13" s="25"/>
      <c r="DP13" s="29"/>
      <c r="DQ13" s="25"/>
      <c r="DR13" s="25"/>
      <c r="DS13" s="25"/>
      <c r="DT13" s="25"/>
      <c r="DU13" s="29"/>
      <c r="DV13" s="24"/>
      <c r="DW13" s="25"/>
      <c r="DX13" s="25"/>
      <c r="DY13" s="25"/>
      <c r="DZ13" s="29"/>
      <c r="EA13" s="25"/>
      <c r="EB13" s="25"/>
      <c r="EC13" s="25"/>
      <c r="ED13" s="25"/>
      <c r="EE13" s="29"/>
      <c r="EF13" s="24"/>
      <c r="EG13" s="25"/>
      <c r="EH13" s="25"/>
      <c r="EI13" s="25"/>
      <c r="EJ13" s="29"/>
      <c r="EK13" s="25"/>
      <c r="EL13" s="25"/>
      <c r="EM13" s="25"/>
      <c r="EN13" s="25"/>
      <c r="EO13" s="29"/>
      <c r="EP13" s="24"/>
      <c r="EQ13" s="25"/>
      <c r="ER13" s="25"/>
      <c r="ES13" s="25"/>
      <c r="ET13" s="29"/>
      <c r="EU13" s="25"/>
      <c r="EV13" s="25"/>
      <c r="EW13" s="25"/>
      <c r="EX13" s="25"/>
      <c r="EY13" s="29"/>
      <c r="EZ13" s="24"/>
      <c r="FA13" s="25"/>
      <c r="FB13" s="25"/>
      <c r="FC13" s="25"/>
      <c r="FD13" s="29"/>
      <c r="FE13" s="25"/>
      <c r="FF13" s="25"/>
      <c r="FG13" s="25"/>
      <c r="FH13" s="25"/>
      <c r="FI13" s="29"/>
      <c r="FJ13" s="24"/>
      <c r="FK13" s="25"/>
      <c r="FL13" s="25"/>
      <c r="FM13" s="25"/>
      <c r="FN13" s="29"/>
      <c r="FO13" s="25"/>
      <c r="FP13" s="25"/>
      <c r="FQ13" s="25"/>
      <c r="FR13" s="25"/>
      <c r="FS13" s="29"/>
      <c r="FT13" s="24"/>
      <c r="FU13" s="25"/>
      <c r="FV13" s="25"/>
      <c r="FW13" s="25"/>
      <c r="FX13" s="29"/>
      <c r="FY13" s="25"/>
      <c r="FZ13" s="25"/>
      <c r="GA13" s="25"/>
      <c r="GB13" s="25"/>
      <c r="GC13" s="29"/>
      <c r="GD13" s="25"/>
      <c r="GE13" s="25"/>
      <c r="GF13" s="25"/>
      <c r="GG13" s="25"/>
      <c r="GH13" s="29"/>
      <c r="GI13" s="25"/>
      <c r="GJ13" s="25"/>
      <c r="GK13" s="25"/>
      <c r="GL13" s="25"/>
      <c r="GM13" s="29"/>
      <c r="GN13" s="24"/>
      <c r="GO13" s="25"/>
      <c r="GP13" s="25"/>
      <c r="GQ13" s="25"/>
      <c r="GR13" s="29"/>
    </row>
    <row r="14" spans="1:200" ht="11.25" customHeight="1" x14ac:dyDescent="0.3">
      <c r="A14" s="327"/>
      <c r="B14" s="316"/>
      <c r="C14" s="316"/>
      <c r="D14" s="316"/>
      <c r="E14" s="316"/>
      <c r="F14" s="316"/>
      <c r="G14" s="317"/>
      <c r="H14" s="328"/>
      <c r="I14" s="329"/>
      <c r="J14" s="329"/>
      <c r="K14" s="329"/>
      <c r="L14" s="329"/>
      <c r="M14" s="329"/>
      <c r="N14" s="329"/>
      <c r="O14" s="329"/>
      <c r="P14" s="329"/>
      <c r="Q14" s="329"/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30"/>
      <c r="BE14" s="309"/>
      <c r="BF14" s="310"/>
      <c r="BG14" s="310"/>
      <c r="BH14" s="310"/>
      <c r="BI14" s="310"/>
      <c r="BJ14" s="311"/>
      <c r="BK14" s="296"/>
      <c r="BL14" s="297"/>
      <c r="BM14" s="297"/>
      <c r="BN14" s="297"/>
      <c r="BO14" s="297"/>
      <c r="BP14" s="298"/>
      <c r="BQ14" s="309"/>
      <c r="BR14" s="310"/>
      <c r="BS14" s="310"/>
      <c r="BT14" s="310"/>
      <c r="BU14" s="310"/>
      <c r="BV14" s="311"/>
      <c r="BW14" s="302"/>
      <c r="BX14" s="303"/>
      <c r="BY14" s="303"/>
      <c r="BZ14" s="303"/>
      <c r="CA14" s="303"/>
      <c r="CB14" s="304"/>
      <c r="CC14" s="86"/>
      <c r="CD14" s="87"/>
      <c r="CE14" s="87"/>
      <c r="CF14" s="87"/>
      <c r="CG14" s="88"/>
      <c r="CH14" s="86"/>
      <c r="CI14" s="87"/>
      <c r="CJ14" s="87"/>
      <c r="CK14" s="87"/>
      <c r="CL14" s="88"/>
      <c r="CM14" s="86"/>
      <c r="CN14" s="87"/>
      <c r="CO14" s="87"/>
      <c r="CP14" s="87"/>
      <c r="CQ14" s="88"/>
      <c r="CR14" s="86"/>
      <c r="CS14" s="87"/>
      <c r="CT14" s="87"/>
      <c r="CU14" s="87"/>
      <c r="CV14" s="88"/>
      <c r="CW14" s="86"/>
      <c r="CX14" s="87"/>
      <c r="CY14" s="87"/>
      <c r="CZ14" s="87"/>
      <c r="DA14" s="88"/>
      <c r="DB14" s="86"/>
      <c r="DC14" s="87"/>
      <c r="DD14" s="87"/>
      <c r="DE14" s="87"/>
      <c r="DF14" s="88"/>
      <c r="DG14" s="86"/>
      <c r="DH14" s="87"/>
      <c r="DI14" s="87"/>
      <c r="DJ14" s="87"/>
      <c r="DK14" s="88"/>
      <c r="DL14" s="86"/>
      <c r="DM14" s="87"/>
      <c r="DN14" s="87"/>
      <c r="DO14" s="87"/>
      <c r="DP14" s="88"/>
      <c r="DQ14" s="86"/>
      <c r="DR14" s="87"/>
      <c r="DS14" s="87"/>
      <c r="DT14" s="87"/>
      <c r="DU14" s="88"/>
      <c r="DV14" s="86"/>
      <c r="DW14" s="87"/>
      <c r="DX14" s="87"/>
      <c r="DY14" s="87"/>
      <c r="DZ14" s="88"/>
      <c r="EA14" s="86"/>
      <c r="EB14" s="87"/>
      <c r="EC14" s="87"/>
      <c r="ED14" s="87"/>
      <c r="EE14" s="88"/>
      <c r="EF14" s="86"/>
      <c r="EG14" s="87"/>
      <c r="EH14" s="87"/>
      <c r="EI14" s="87"/>
      <c r="EJ14" s="88"/>
      <c r="EK14" s="86"/>
      <c r="EL14" s="87"/>
      <c r="EM14" s="87"/>
      <c r="EN14" s="87"/>
      <c r="EO14" s="88"/>
      <c r="EP14" s="86"/>
      <c r="EQ14" s="87"/>
      <c r="ER14" s="87"/>
      <c r="ES14" s="87"/>
      <c r="ET14" s="88"/>
      <c r="EU14" s="86"/>
      <c r="EV14" s="87"/>
      <c r="EW14" s="87"/>
      <c r="EX14" s="87"/>
      <c r="EY14" s="88"/>
      <c r="EZ14" s="86"/>
      <c r="FA14" s="87"/>
      <c r="FB14" s="87"/>
      <c r="FC14" s="87"/>
      <c r="FD14" s="88"/>
      <c r="FE14" s="86"/>
      <c r="FF14" s="87"/>
      <c r="FG14" s="87"/>
      <c r="FH14" s="87"/>
      <c r="FI14" s="88"/>
      <c r="FJ14" s="86"/>
      <c r="FK14" s="87"/>
      <c r="FL14" s="87"/>
      <c r="FM14" s="87"/>
      <c r="FN14" s="88"/>
      <c r="FO14" s="86"/>
      <c r="FP14" s="87"/>
      <c r="FQ14" s="87"/>
      <c r="FR14" s="87"/>
      <c r="FS14" s="88"/>
      <c r="FT14" s="86"/>
      <c r="FU14" s="87"/>
      <c r="FV14" s="87"/>
      <c r="FW14" s="87"/>
      <c r="FX14" s="88"/>
      <c r="FY14" s="86"/>
      <c r="FZ14" s="87"/>
      <c r="GA14" s="87"/>
      <c r="GB14" s="87"/>
      <c r="GC14" s="88"/>
      <c r="GD14" s="86"/>
      <c r="GE14" s="87"/>
      <c r="GF14" s="87"/>
      <c r="GG14" s="87"/>
      <c r="GH14" s="88"/>
      <c r="GI14" s="86"/>
      <c r="GJ14" s="87"/>
      <c r="GK14" s="87"/>
      <c r="GL14" s="87"/>
      <c r="GM14" s="88"/>
      <c r="GN14" s="86"/>
      <c r="GO14" s="87"/>
      <c r="GP14" s="87"/>
      <c r="GQ14" s="87"/>
      <c r="GR14" s="88"/>
    </row>
    <row r="15" spans="1:200" ht="11.25" customHeight="1" x14ac:dyDescent="0.3">
      <c r="A15" s="318"/>
      <c r="B15" s="319"/>
      <c r="C15" s="319"/>
      <c r="D15" s="319"/>
      <c r="E15" s="319"/>
      <c r="F15" s="319"/>
      <c r="G15" s="320"/>
      <c r="H15" s="331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  <c r="AH15" s="332"/>
      <c r="AI15" s="332"/>
      <c r="AJ15" s="332"/>
      <c r="AK15" s="332"/>
      <c r="AL15" s="332"/>
      <c r="AM15" s="332"/>
      <c r="AN15" s="332"/>
      <c r="AO15" s="332"/>
      <c r="AP15" s="332"/>
      <c r="AQ15" s="332"/>
      <c r="AR15" s="332"/>
      <c r="AS15" s="332"/>
      <c r="AT15" s="332"/>
      <c r="AU15" s="332"/>
      <c r="AV15" s="332"/>
      <c r="AW15" s="332"/>
      <c r="AX15" s="332"/>
      <c r="AY15" s="332"/>
      <c r="AZ15" s="332"/>
      <c r="BA15" s="332"/>
      <c r="BB15" s="332"/>
      <c r="BC15" s="332"/>
      <c r="BD15" s="333"/>
      <c r="BE15" s="312"/>
      <c r="BF15" s="313"/>
      <c r="BG15" s="313"/>
      <c r="BH15" s="313"/>
      <c r="BI15" s="313"/>
      <c r="BJ15" s="314"/>
      <c r="BK15" s="299"/>
      <c r="BL15" s="300"/>
      <c r="BM15" s="300"/>
      <c r="BN15" s="300"/>
      <c r="BO15" s="300"/>
      <c r="BP15" s="301"/>
      <c r="BQ15" s="312"/>
      <c r="BR15" s="313"/>
      <c r="BS15" s="313"/>
      <c r="BT15" s="313"/>
      <c r="BU15" s="313"/>
      <c r="BV15" s="314"/>
      <c r="BW15" s="296"/>
      <c r="BX15" s="297"/>
      <c r="BY15" s="297"/>
      <c r="BZ15" s="297"/>
      <c r="CA15" s="297"/>
      <c r="CB15" s="298"/>
      <c r="CC15" s="86"/>
      <c r="CD15" s="87"/>
      <c r="CE15" s="87"/>
      <c r="CF15" s="87"/>
      <c r="CG15" s="88"/>
      <c r="CH15" s="86"/>
      <c r="CI15" s="87"/>
      <c r="CJ15" s="87"/>
      <c r="CK15" s="87"/>
      <c r="CL15" s="88"/>
      <c r="CM15" s="86"/>
      <c r="CN15" s="87"/>
      <c r="CO15" s="87"/>
      <c r="CP15" s="87"/>
      <c r="CQ15" s="88"/>
      <c r="CR15" s="86"/>
      <c r="CS15" s="87"/>
      <c r="CT15" s="87"/>
      <c r="CU15" s="87"/>
      <c r="CV15" s="88"/>
      <c r="CW15" s="86"/>
      <c r="CX15" s="87"/>
      <c r="CY15" s="87"/>
      <c r="CZ15" s="87"/>
      <c r="DA15" s="88"/>
      <c r="DB15" s="86"/>
      <c r="DC15" s="87"/>
      <c r="DD15" s="87"/>
      <c r="DE15" s="87"/>
      <c r="DF15" s="88"/>
      <c r="DG15" s="86"/>
      <c r="DH15" s="87"/>
      <c r="DI15" s="87"/>
      <c r="DJ15" s="87"/>
      <c r="DK15" s="88"/>
      <c r="DL15" s="86"/>
      <c r="DM15" s="87"/>
      <c r="DN15" s="87"/>
      <c r="DO15" s="87"/>
      <c r="DP15" s="88"/>
      <c r="DQ15" s="86"/>
      <c r="DR15" s="87"/>
      <c r="DS15" s="87"/>
      <c r="DT15" s="87"/>
      <c r="DU15" s="88"/>
      <c r="DV15" s="86"/>
      <c r="DW15" s="87"/>
      <c r="DX15" s="87"/>
      <c r="DY15" s="87"/>
      <c r="DZ15" s="88"/>
      <c r="EA15" s="86"/>
      <c r="EB15" s="87"/>
      <c r="EC15" s="87"/>
      <c r="ED15" s="87"/>
      <c r="EE15" s="88"/>
      <c r="EF15" s="86"/>
      <c r="EG15" s="87"/>
      <c r="EH15" s="87"/>
      <c r="EI15" s="87"/>
      <c r="EJ15" s="88"/>
      <c r="EK15" s="86"/>
      <c r="EL15" s="87"/>
      <c r="EM15" s="87"/>
      <c r="EN15" s="87"/>
      <c r="EO15" s="88"/>
      <c r="EP15" s="86"/>
      <c r="EQ15" s="87"/>
      <c r="ER15" s="87"/>
      <c r="ES15" s="87"/>
      <c r="ET15" s="88"/>
      <c r="EU15" s="86"/>
      <c r="EV15" s="87"/>
      <c r="EW15" s="87"/>
      <c r="EX15" s="87"/>
      <c r="EY15" s="88"/>
      <c r="EZ15" s="86"/>
      <c r="FA15" s="87"/>
      <c r="FB15" s="87"/>
      <c r="FC15" s="87"/>
      <c r="FD15" s="88"/>
      <c r="FE15" s="86"/>
      <c r="FF15" s="87"/>
      <c r="FG15" s="87"/>
      <c r="FH15" s="87"/>
      <c r="FI15" s="88"/>
      <c r="FJ15" s="86"/>
      <c r="FK15" s="87"/>
      <c r="FL15" s="87"/>
      <c r="FM15" s="87"/>
      <c r="FN15" s="88"/>
      <c r="FO15" s="86"/>
      <c r="FP15" s="87"/>
      <c r="FQ15" s="87"/>
      <c r="FR15" s="87"/>
      <c r="FS15" s="88"/>
      <c r="FT15" s="86"/>
      <c r="FU15" s="87"/>
      <c r="FV15" s="87"/>
      <c r="FW15" s="87"/>
      <c r="FX15" s="88"/>
      <c r="FY15" s="86"/>
      <c r="FZ15" s="87"/>
      <c r="GA15" s="87"/>
      <c r="GB15" s="87"/>
      <c r="GC15" s="88"/>
      <c r="GD15" s="86"/>
      <c r="GE15" s="87"/>
      <c r="GF15" s="87"/>
      <c r="GG15" s="87"/>
      <c r="GH15" s="88"/>
      <c r="GI15" s="86"/>
      <c r="GJ15" s="87"/>
      <c r="GK15" s="87"/>
      <c r="GL15" s="87"/>
      <c r="GM15" s="88"/>
      <c r="GN15" s="86"/>
      <c r="GO15" s="87"/>
      <c r="GP15" s="87"/>
      <c r="GQ15" s="87"/>
      <c r="GR15" s="88"/>
    </row>
    <row r="16" spans="1:200" ht="11.25" customHeight="1" x14ac:dyDescent="0.3">
      <c r="A16" s="327"/>
      <c r="B16" s="316"/>
      <c r="C16" s="316"/>
      <c r="D16" s="316"/>
      <c r="E16" s="316"/>
      <c r="F16" s="316"/>
      <c r="G16" s="317"/>
      <c r="H16" s="328"/>
      <c r="I16" s="329"/>
      <c r="J16" s="329"/>
      <c r="K16" s="329"/>
      <c r="L16" s="329"/>
      <c r="M16" s="329"/>
      <c r="N16" s="329"/>
      <c r="O16" s="329"/>
      <c r="P16" s="329"/>
      <c r="Q16" s="329"/>
      <c r="R16" s="329"/>
      <c r="S16" s="329"/>
      <c r="T16" s="329"/>
      <c r="U16" s="329"/>
      <c r="V16" s="329"/>
      <c r="W16" s="329"/>
      <c r="X16" s="329"/>
      <c r="Y16" s="329"/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29"/>
      <c r="AV16" s="329"/>
      <c r="AW16" s="329"/>
      <c r="AX16" s="329"/>
      <c r="AY16" s="329"/>
      <c r="AZ16" s="329"/>
      <c r="BA16" s="329"/>
      <c r="BB16" s="329"/>
      <c r="BC16" s="329"/>
      <c r="BD16" s="330"/>
      <c r="BE16" s="309"/>
      <c r="BF16" s="310"/>
      <c r="BG16" s="310"/>
      <c r="BH16" s="310"/>
      <c r="BI16" s="310"/>
      <c r="BJ16" s="311"/>
      <c r="BK16" s="296"/>
      <c r="BL16" s="297"/>
      <c r="BM16" s="297"/>
      <c r="BN16" s="297"/>
      <c r="BO16" s="297"/>
      <c r="BP16" s="298"/>
      <c r="BQ16" s="296"/>
      <c r="BR16" s="297"/>
      <c r="BS16" s="297"/>
      <c r="BT16" s="297"/>
      <c r="BU16" s="297"/>
      <c r="BV16" s="298"/>
      <c r="BW16" s="299"/>
      <c r="BX16" s="300"/>
      <c r="BY16" s="300"/>
      <c r="BZ16" s="300"/>
      <c r="CA16" s="300"/>
      <c r="CB16" s="301"/>
      <c r="CC16" s="86"/>
      <c r="CD16" s="87"/>
      <c r="CE16" s="87"/>
      <c r="CF16" s="87"/>
      <c r="CG16" s="88"/>
      <c r="CH16" s="86"/>
      <c r="CI16" s="87"/>
      <c r="CJ16" s="87"/>
      <c r="CK16" s="87"/>
      <c r="CL16" s="88"/>
      <c r="CM16" s="86"/>
      <c r="CN16" s="87"/>
      <c r="CO16" s="87"/>
      <c r="CP16" s="87"/>
      <c r="CQ16" s="88"/>
      <c r="CR16" s="86"/>
      <c r="CS16" s="87"/>
      <c r="CT16" s="87"/>
      <c r="CU16" s="87"/>
      <c r="CV16" s="88"/>
      <c r="CW16" s="86"/>
      <c r="CX16" s="87"/>
      <c r="CY16" s="87"/>
      <c r="CZ16" s="87"/>
      <c r="DA16" s="88"/>
      <c r="DB16" s="86"/>
      <c r="DC16" s="87"/>
      <c r="DD16" s="87"/>
      <c r="DE16" s="87"/>
      <c r="DF16" s="88"/>
      <c r="DG16" s="86"/>
      <c r="DH16" s="87"/>
      <c r="DI16" s="87"/>
      <c r="DJ16" s="87"/>
      <c r="DK16" s="88"/>
      <c r="DL16" s="86"/>
      <c r="DM16" s="87"/>
      <c r="DN16" s="87"/>
      <c r="DO16" s="87"/>
      <c r="DP16" s="88"/>
      <c r="DQ16" s="86"/>
      <c r="DR16" s="87"/>
      <c r="DS16" s="87"/>
      <c r="DT16" s="87"/>
      <c r="DU16" s="88"/>
      <c r="DV16" s="86"/>
      <c r="DW16" s="87"/>
      <c r="DX16" s="87"/>
      <c r="DY16" s="87"/>
      <c r="DZ16" s="88"/>
      <c r="EA16" s="86"/>
      <c r="EB16" s="87"/>
      <c r="EC16" s="87"/>
      <c r="ED16" s="87"/>
      <c r="EE16" s="88"/>
      <c r="EF16" s="86"/>
      <c r="EG16" s="87"/>
      <c r="EH16" s="87"/>
      <c r="EI16" s="87"/>
      <c r="EJ16" s="88"/>
      <c r="EK16" s="86"/>
      <c r="EL16" s="87"/>
      <c r="EM16" s="87"/>
      <c r="EN16" s="87"/>
      <c r="EO16" s="88"/>
      <c r="EP16" s="86"/>
      <c r="EQ16" s="87"/>
      <c r="ER16" s="87"/>
      <c r="ES16" s="87"/>
      <c r="ET16" s="88"/>
      <c r="EU16" s="86"/>
      <c r="EV16" s="87"/>
      <c r="EW16" s="87"/>
      <c r="EX16" s="87"/>
      <c r="EY16" s="88"/>
      <c r="EZ16" s="86"/>
      <c r="FA16" s="87"/>
      <c r="FB16" s="87"/>
      <c r="FC16" s="87"/>
      <c r="FD16" s="88"/>
      <c r="FE16" s="86"/>
      <c r="FF16" s="87"/>
      <c r="FG16" s="87"/>
      <c r="FH16" s="87"/>
      <c r="FI16" s="88"/>
      <c r="FJ16" s="86"/>
      <c r="FK16" s="87"/>
      <c r="FL16" s="87"/>
      <c r="FM16" s="87"/>
      <c r="FN16" s="88"/>
      <c r="FO16" s="86"/>
      <c r="FP16" s="87"/>
      <c r="FQ16" s="87"/>
      <c r="FR16" s="87"/>
      <c r="FS16" s="88"/>
      <c r="FT16" s="86"/>
      <c r="FU16" s="87"/>
      <c r="FV16" s="87"/>
      <c r="FW16" s="87"/>
      <c r="FX16" s="88"/>
      <c r="FY16" s="86"/>
      <c r="FZ16" s="87"/>
      <c r="GA16" s="87"/>
      <c r="GB16" s="87"/>
      <c r="GC16" s="88"/>
      <c r="GD16" s="86"/>
      <c r="GE16" s="87"/>
      <c r="GF16" s="87"/>
      <c r="GG16" s="87"/>
      <c r="GH16" s="88"/>
      <c r="GI16" s="86"/>
      <c r="GJ16" s="87"/>
      <c r="GK16" s="87"/>
      <c r="GL16" s="87"/>
      <c r="GM16" s="88"/>
      <c r="GN16" s="86"/>
      <c r="GO16" s="87"/>
      <c r="GP16" s="87"/>
      <c r="GQ16" s="87"/>
      <c r="GR16" s="88"/>
    </row>
    <row r="17" spans="1:200" ht="11.25" customHeight="1" x14ac:dyDescent="0.3">
      <c r="A17" s="318"/>
      <c r="B17" s="319"/>
      <c r="C17" s="319"/>
      <c r="D17" s="319"/>
      <c r="E17" s="319"/>
      <c r="F17" s="319"/>
      <c r="G17" s="320"/>
      <c r="H17" s="331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  <c r="AG17" s="332"/>
      <c r="AH17" s="332"/>
      <c r="AI17" s="332"/>
      <c r="AJ17" s="332"/>
      <c r="AK17" s="332"/>
      <c r="AL17" s="332"/>
      <c r="AM17" s="332"/>
      <c r="AN17" s="332"/>
      <c r="AO17" s="332"/>
      <c r="AP17" s="332"/>
      <c r="AQ17" s="332"/>
      <c r="AR17" s="332"/>
      <c r="AS17" s="332"/>
      <c r="AT17" s="332"/>
      <c r="AU17" s="332"/>
      <c r="AV17" s="332"/>
      <c r="AW17" s="332"/>
      <c r="AX17" s="332"/>
      <c r="AY17" s="332"/>
      <c r="AZ17" s="332"/>
      <c r="BA17" s="332"/>
      <c r="BB17" s="332"/>
      <c r="BC17" s="332"/>
      <c r="BD17" s="333"/>
      <c r="BE17" s="312"/>
      <c r="BF17" s="313"/>
      <c r="BG17" s="313"/>
      <c r="BH17" s="313"/>
      <c r="BI17" s="313"/>
      <c r="BJ17" s="314"/>
      <c r="BK17" s="299"/>
      <c r="BL17" s="300"/>
      <c r="BM17" s="300"/>
      <c r="BN17" s="300"/>
      <c r="BO17" s="300"/>
      <c r="BP17" s="301"/>
      <c r="BQ17" s="299"/>
      <c r="BR17" s="300"/>
      <c r="BS17" s="300"/>
      <c r="BT17" s="300"/>
      <c r="BU17" s="300"/>
      <c r="BV17" s="301"/>
      <c r="BW17" s="309"/>
      <c r="BX17" s="310"/>
      <c r="BY17" s="310"/>
      <c r="BZ17" s="310"/>
      <c r="CA17" s="310"/>
      <c r="CB17" s="311"/>
      <c r="CC17" s="86"/>
      <c r="CD17" s="87"/>
      <c r="CE17" s="87"/>
      <c r="CF17" s="87"/>
      <c r="CG17" s="88"/>
      <c r="CH17" s="86"/>
      <c r="CI17" s="87"/>
      <c r="CJ17" s="87"/>
      <c r="CK17" s="87"/>
      <c r="CL17" s="88"/>
      <c r="CM17" s="86"/>
      <c r="CN17" s="87"/>
      <c r="CO17" s="87"/>
      <c r="CP17" s="87"/>
      <c r="CQ17" s="88"/>
      <c r="CR17" s="86"/>
      <c r="CS17" s="87"/>
      <c r="CT17" s="87"/>
      <c r="CU17" s="87"/>
      <c r="CV17" s="88"/>
      <c r="CW17" s="86"/>
      <c r="CX17" s="87"/>
      <c r="CY17" s="87"/>
      <c r="CZ17" s="87"/>
      <c r="DA17" s="88"/>
      <c r="DB17" s="86"/>
      <c r="DC17" s="87"/>
      <c r="DD17" s="87"/>
      <c r="DE17" s="87"/>
      <c r="DF17" s="88"/>
      <c r="DG17" s="86"/>
      <c r="DH17" s="87"/>
      <c r="DI17" s="87"/>
      <c r="DJ17" s="87"/>
      <c r="DK17" s="88"/>
      <c r="DL17" s="86"/>
      <c r="DM17" s="87"/>
      <c r="DN17" s="87"/>
      <c r="DO17" s="87"/>
      <c r="DP17" s="88"/>
      <c r="DQ17" s="86"/>
      <c r="DR17" s="87"/>
      <c r="DS17" s="87"/>
      <c r="DT17" s="87"/>
      <c r="DU17" s="88"/>
      <c r="DV17" s="86"/>
      <c r="DW17" s="87"/>
      <c r="DX17" s="87"/>
      <c r="DY17" s="87"/>
      <c r="DZ17" s="88"/>
      <c r="EA17" s="86"/>
      <c r="EB17" s="87"/>
      <c r="EC17" s="87"/>
      <c r="ED17" s="87"/>
      <c r="EE17" s="88"/>
      <c r="EF17" s="86"/>
      <c r="EG17" s="87"/>
      <c r="EH17" s="87"/>
      <c r="EI17" s="87"/>
      <c r="EJ17" s="88"/>
      <c r="EK17" s="86"/>
      <c r="EL17" s="87"/>
      <c r="EM17" s="87"/>
      <c r="EN17" s="87"/>
      <c r="EO17" s="88"/>
      <c r="EP17" s="86"/>
      <c r="EQ17" s="87"/>
      <c r="ER17" s="87"/>
      <c r="ES17" s="87"/>
      <c r="ET17" s="88"/>
      <c r="EU17" s="86"/>
      <c r="EV17" s="87"/>
      <c r="EW17" s="87"/>
      <c r="EX17" s="87"/>
      <c r="EY17" s="88"/>
      <c r="EZ17" s="86"/>
      <c r="FA17" s="87"/>
      <c r="FB17" s="87"/>
      <c r="FC17" s="87"/>
      <c r="FD17" s="88"/>
      <c r="FE17" s="86"/>
      <c r="FF17" s="87"/>
      <c r="FG17" s="87"/>
      <c r="FH17" s="87"/>
      <c r="FI17" s="88"/>
      <c r="FJ17" s="86"/>
      <c r="FK17" s="87"/>
      <c r="FL17" s="87"/>
      <c r="FM17" s="87"/>
      <c r="FN17" s="88"/>
      <c r="FO17" s="86"/>
      <c r="FP17" s="87"/>
      <c r="FQ17" s="87"/>
      <c r="FR17" s="87"/>
      <c r="FS17" s="88"/>
      <c r="FT17" s="86"/>
      <c r="FU17" s="87"/>
      <c r="FV17" s="87"/>
      <c r="FW17" s="87"/>
      <c r="FX17" s="88"/>
      <c r="FY17" s="86"/>
      <c r="FZ17" s="87"/>
      <c r="GA17" s="87"/>
      <c r="GB17" s="87"/>
      <c r="GC17" s="88"/>
      <c r="GD17" s="86"/>
      <c r="GE17" s="87"/>
      <c r="GF17" s="87"/>
      <c r="GG17" s="87"/>
      <c r="GH17" s="88"/>
      <c r="GI17" s="86"/>
      <c r="GJ17" s="87"/>
      <c r="GK17" s="87"/>
      <c r="GL17" s="87"/>
      <c r="GM17" s="88"/>
      <c r="GN17" s="86"/>
      <c r="GO17" s="87"/>
      <c r="GP17" s="87"/>
      <c r="GQ17" s="87"/>
      <c r="GR17" s="88"/>
    </row>
    <row r="18" spans="1:200" ht="11.25" customHeight="1" x14ac:dyDescent="0.3">
      <c r="A18" s="327"/>
      <c r="B18" s="316"/>
      <c r="C18" s="316"/>
      <c r="D18" s="316"/>
      <c r="E18" s="316"/>
      <c r="F18" s="316"/>
      <c r="G18" s="317"/>
      <c r="H18" s="328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29"/>
      <c r="AV18" s="329"/>
      <c r="AW18" s="329"/>
      <c r="AX18" s="329"/>
      <c r="AY18" s="329"/>
      <c r="AZ18" s="329"/>
      <c r="BA18" s="329"/>
      <c r="BB18" s="329"/>
      <c r="BC18" s="329"/>
      <c r="BD18" s="330"/>
      <c r="BE18" s="309"/>
      <c r="BF18" s="310"/>
      <c r="BG18" s="310"/>
      <c r="BH18" s="310"/>
      <c r="BI18" s="310"/>
      <c r="BJ18" s="311"/>
      <c r="BK18" s="296"/>
      <c r="BL18" s="297"/>
      <c r="BM18" s="297"/>
      <c r="BN18" s="297"/>
      <c r="BO18" s="297"/>
      <c r="BP18" s="298"/>
      <c r="BQ18" s="296"/>
      <c r="BR18" s="297"/>
      <c r="BS18" s="297"/>
      <c r="BT18" s="297"/>
      <c r="BU18" s="297"/>
      <c r="BV18" s="298"/>
      <c r="BW18" s="312"/>
      <c r="BX18" s="313"/>
      <c r="BY18" s="313"/>
      <c r="BZ18" s="313"/>
      <c r="CA18" s="313"/>
      <c r="CB18" s="314"/>
      <c r="CC18" s="86"/>
      <c r="CD18" s="87"/>
      <c r="CE18" s="87"/>
      <c r="CF18" s="87"/>
      <c r="CG18" s="88"/>
      <c r="CH18" s="86"/>
      <c r="CI18" s="87"/>
      <c r="CJ18" s="87"/>
      <c r="CK18" s="87"/>
      <c r="CL18" s="88"/>
      <c r="CM18" s="86"/>
      <c r="CN18" s="87"/>
      <c r="CO18" s="87"/>
      <c r="CP18" s="87"/>
      <c r="CQ18" s="88"/>
      <c r="CR18" s="86"/>
      <c r="CS18" s="87"/>
      <c r="CT18" s="87"/>
      <c r="CU18" s="87"/>
      <c r="CV18" s="88"/>
      <c r="CW18" s="86"/>
      <c r="CX18" s="87"/>
      <c r="CY18" s="87"/>
      <c r="CZ18" s="87"/>
      <c r="DA18" s="88"/>
      <c r="DB18" s="86"/>
      <c r="DC18" s="87"/>
      <c r="DD18" s="87"/>
      <c r="DE18" s="87"/>
      <c r="DF18" s="88"/>
      <c r="DG18" s="86"/>
      <c r="DH18" s="87"/>
      <c r="DI18" s="87"/>
      <c r="DJ18" s="87"/>
      <c r="DK18" s="88"/>
      <c r="DL18" s="86"/>
      <c r="DM18" s="87"/>
      <c r="DN18" s="87"/>
      <c r="DO18" s="87"/>
      <c r="DP18" s="88"/>
      <c r="DQ18" s="86"/>
      <c r="DR18" s="87"/>
      <c r="DS18" s="87"/>
      <c r="DT18" s="87"/>
      <c r="DU18" s="88"/>
      <c r="DV18" s="86"/>
      <c r="DW18" s="87"/>
      <c r="DX18" s="87"/>
      <c r="DY18" s="87"/>
      <c r="DZ18" s="88"/>
      <c r="EA18" s="86"/>
      <c r="EB18" s="87"/>
      <c r="EC18" s="87"/>
      <c r="ED18" s="87"/>
      <c r="EE18" s="88"/>
      <c r="EF18" s="86"/>
      <c r="EG18" s="87"/>
      <c r="EH18" s="87"/>
      <c r="EI18" s="87"/>
      <c r="EJ18" s="88"/>
      <c r="EK18" s="86"/>
      <c r="EL18" s="87"/>
      <c r="EM18" s="87"/>
      <c r="EN18" s="87"/>
      <c r="EO18" s="88"/>
      <c r="EP18" s="86"/>
      <c r="EQ18" s="87"/>
      <c r="ER18" s="87"/>
      <c r="ES18" s="87"/>
      <c r="ET18" s="88"/>
      <c r="EU18" s="86"/>
      <c r="EV18" s="87"/>
      <c r="EW18" s="87"/>
      <c r="EX18" s="87"/>
      <c r="EY18" s="88"/>
      <c r="EZ18" s="86"/>
      <c r="FA18" s="87"/>
      <c r="FB18" s="87"/>
      <c r="FC18" s="87"/>
      <c r="FD18" s="88"/>
      <c r="FE18" s="86"/>
      <c r="FF18" s="87"/>
      <c r="FG18" s="87"/>
      <c r="FH18" s="87"/>
      <c r="FI18" s="88"/>
      <c r="FJ18" s="86"/>
      <c r="FK18" s="87"/>
      <c r="FL18" s="87"/>
      <c r="FM18" s="87"/>
      <c r="FN18" s="88"/>
      <c r="FO18" s="86"/>
      <c r="FP18" s="87"/>
      <c r="FQ18" s="87"/>
      <c r="FR18" s="87"/>
      <c r="FS18" s="88"/>
      <c r="FT18" s="86"/>
      <c r="FU18" s="87"/>
      <c r="FV18" s="87"/>
      <c r="FW18" s="87"/>
      <c r="FX18" s="88"/>
      <c r="FY18" s="86"/>
      <c r="FZ18" s="87"/>
      <c r="GA18" s="87"/>
      <c r="GB18" s="87"/>
      <c r="GC18" s="88"/>
      <c r="GD18" s="86"/>
      <c r="GE18" s="87"/>
      <c r="GF18" s="87"/>
      <c r="GG18" s="87"/>
      <c r="GH18" s="88"/>
      <c r="GI18" s="86"/>
      <c r="GJ18" s="87"/>
      <c r="GK18" s="87"/>
      <c r="GL18" s="87"/>
      <c r="GM18" s="88"/>
      <c r="GN18" s="86"/>
      <c r="GO18" s="87"/>
      <c r="GP18" s="87"/>
      <c r="GQ18" s="87"/>
      <c r="GR18" s="88"/>
    </row>
    <row r="19" spans="1:200" ht="11.25" customHeight="1" x14ac:dyDescent="0.3">
      <c r="A19" s="318"/>
      <c r="B19" s="319"/>
      <c r="C19" s="319"/>
      <c r="D19" s="319"/>
      <c r="E19" s="319"/>
      <c r="F19" s="319"/>
      <c r="G19" s="320"/>
      <c r="H19" s="331"/>
      <c r="I19" s="332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  <c r="AA19" s="332"/>
      <c r="AB19" s="332"/>
      <c r="AC19" s="332"/>
      <c r="AD19" s="332"/>
      <c r="AE19" s="332"/>
      <c r="AF19" s="332"/>
      <c r="AG19" s="332"/>
      <c r="AH19" s="332"/>
      <c r="AI19" s="332"/>
      <c r="AJ19" s="332"/>
      <c r="AK19" s="332"/>
      <c r="AL19" s="332"/>
      <c r="AM19" s="332"/>
      <c r="AN19" s="332"/>
      <c r="AO19" s="332"/>
      <c r="AP19" s="332"/>
      <c r="AQ19" s="332"/>
      <c r="AR19" s="332"/>
      <c r="AS19" s="332"/>
      <c r="AT19" s="332"/>
      <c r="AU19" s="332"/>
      <c r="AV19" s="332"/>
      <c r="AW19" s="332"/>
      <c r="AX19" s="332"/>
      <c r="AY19" s="332"/>
      <c r="AZ19" s="332"/>
      <c r="BA19" s="332"/>
      <c r="BB19" s="332"/>
      <c r="BC19" s="332"/>
      <c r="BD19" s="333"/>
      <c r="BE19" s="312"/>
      <c r="BF19" s="313"/>
      <c r="BG19" s="313"/>
      <c r="BH19" s="313"/>
      <c r="BI19" s="313"/>
      <c r="BJ19" s="314"/>
      <c r="BK19" s="299"/>
      <c r="BL19" s="300"/>
      <c r="BM19" s="300"/>
      <c r="BN19" s="300"/>
      <c r="BO19" s="300"/>
      <c r="BP19" s="301"/>
      <c r="BQ19" s="299"/>
      <c r="BR19" s="300"/>
      <c r="BS19" s="300"/>
      <c r="BT19" s="300"/>
      <c r="BU19" s="300"/>
      <c r="BV19" s="301"/>
      <c r="BW19" s="309"/>
      <c r="BX19" s="310"/>
      <c r="BY19" s="310"/>
      <c r="BZ19" s="310"/>
      <c r="CA19" s="310"/>
      <c r="CB19" s="311"/>
      <c r="CC19" s="86"/>
      <c r="CD19" s="87"/>
      <c r="CE19" s="87"/>
      <c r="CF19" s="87"/>
      <c r="CG19" s="88"/>
      <c r="CH19" s="86"/>
      <c r="CI19" s="87"/>
      <c r="CJ19" s="87"/>
      <c r="CK19" s="87"/>
      <c r="CL19" s="88"/>
      <c r="CM19" s="86"/>
      <c r="CN19" s="87"/>
      <c r="CO19" s="87"/>
      <c r="CP19" s="87"/>
      <c r="CQ19" s="88"/>
      <c r="CR19" s="86"/>
      <c r="CS19" s="87"/>
      <c r="CT19" s="87"/>
      <c r="CU19" s="87"/>
      <c r="CV19" s="88"/>
      <c r="CW19" s="86"/>
      <c r="CX19" s="87"/>
      <c r="CY19" s="87"/>
      <c r="CZ19" s="87"/>
      <c r="DA19" s="88"/>
      <c r="DB19" s="86"/>
      <c r="DC19" s="87"/>
      <c r="DD19" s="87"/>
      <c r="DE19" s="87"/>
      <c r="DF19" s="88"/>
      <c r="DG19" s="86"/>
      <c r="DH19" s="87"/>
      <c r="DI19" s="87"/>
      <c r="DJ19" s="87"/>
      <c r="DK19" s="88"/>
      <c r="DL19" s="86"/>
      <c r="DM19" s="87"/>
      <c r="DN19" s="87"/>
      <c r="DO19" s="87"/>
      <c r="DP19" s="88"/>
      <c r="DQ19" s="86"/>
      <c r="DR19" s="87"/>
      <c r="DS19" s="87"/>
      <c r="DT19" s="87"/>
      <c r="DU19" s="88"/>
      <c r="DV19" s="86"/>
      <c r="DW19" s="87"/>
      <c r="DX19" s="87"/>
      <c r="DY19" s="87"/>
      <c r="DZ19" s="88"/>
      <c r="EA19" s="86"/>
      <c r="EB19" s="87"/>
      <c r="EC19" s="87"/>
      <c r="ED19" s="87"/>
      <c r="EE19" s="88"/>
      <c r="EF19" s="86"/>
      <c r="EG19" s="87"/>
      <c r="EH19" s="87"/>
      <c r="EI19" s="87"/>
      <c r="EJ19" s="88"/>
      <c r="EK19" s="86"/>
      <c r="EL19" s="87"/>
      <c r="EM19" s="87"/>
      <c r="EN19" s="87"/>
      <c r="EO19" s="88"/>
      <c r="EP19" s="86"/>
      <c r="EQ19" s="87"/>
      <c r="ER19" s="87"/>
      <c r="ES19" s="87"/>
      <c r="ET19" s="88"/>
      <c r="EU19" s="86"/>
      <c r="EV19" s="87"/>
      <c r="EW19" s="87"/>
      <c r="EX19" s="87"/>
      <c r="EY19" s="88"/>
      <c r="EZ19" s="86"/>
      <c r="FA19" s="87"/>
      <c r="FB19" s="87"/>
      <c r="FC19" s="87"/>
      <c r="FD19" s="88"/>
      <c r="FE19" s="86"/>
      <c r="FF19" s="87"/>
      <c r="FG19" s="87"/>
      <c r="FH19" s="87"/>
      <c r="FI19" s="88"/>
      <c r="FJ19" s="86"/>
      <c r="FK19" s="87"/>
      <c r="FL19" s="87"/>
      <c r="FM19" s="87"/>
      <c r="FN19" s="88"/>
      <c r="FO19" s="86"/>
      <c r="FP19" s="87"/>
      <c r="FQ19" s="87"/>
      <c r="FR19" s="87"/>
      <c r="FS19" s="88"/>
      <c r="FT19" s="86"/>
      <c r="FU19" s="87"/>
      <c r="FV19" s="87"/>
      <c r="FW19" s="87"/>
      <c r="FX19" s="88"/>
      <c r="FY19" s="86"/>
      <c r="FZ19" s="87"/>
      <c r="GA19" s="87"/>
      <c r="GB19" s="87"/>
      <c r="GC19" s="88"/>
      <c r="GD19" s="86"/>
      <c r="GE19" s="87"/>
      <c r="GF19" s="87"/>
      <c r="GG19" s="87"/>
      <c r="GH19" s="88"/>
      <c r="GI19" s="86"/>
      <c r="GJ19" s="87"/>
      <c r="GK19" s="87"/>
      <c r="GL19" s="87"/>
      <c r="GM19" s="88"/>
      <c r="GN19" s="86"/>
      <c r="GO19" s="87"/>
      <c r="GP19" s="87"/>
      <c r="GQ19" s="87"/>
      <c r="GR19" s="88"/>
    </row>
    <row r="20" spans="1:200" ht="11.25" customHeight="1" x14ac:dyDescent="0.3">
      <c r="A20" s="327"/>
      <c r="B20" s="316"/>
      <c r="C20" s="316"/>
      <c r="D20" s="316"/>
      <c r="E20" s="316"/>
      <c r="F20" s="316"/>
      <c r="G20" s="317"/>
      <c r="H20" s="328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/>
      <c r="AS20" s="329"/>
      <c r="AT20" s="329"/>
      <c r="AU20" s="329"/>
      <c r="AV20" s="329"/>
      <c r="AW20" s="329"/>
      <c r="AX20" s="329"/>
      <c r="AY20" s="329"/>
      <c r="AZ20" s="329"/>
      <c r="BA20" s="329"/>
      <c r="BB20" s="329"/>
      <c r="BC20" s="329"/>
      <c r="BD20" s="330"/>
      <c r="BE20" s="309"/>
      <c r="BF20" s="310"/>
      <c r="BG20" s="310"/>
      <c r="BH20" s="310"/>
      <c r="BI20" s="310"/>
      <c r="BJ20" s="311"/>
      <c r="BK20" s="296"/>
      <c r="BL20" s="297"/>
      <c r="BM20" s="297"/>
      <c r="BN20" s="297"/>
      <c r="BO20" s="297"/>
      <c r="BP20" s="298"/>
      <c r="BQ20" s="296"/>
      <c r="BR20" s="297"/>
      <c r="BS20" s="297"/>
      <c r="BT20" s="297"/>
      <c r="BU20" s="297"/>
      <c r="BV20" s="298"/>
      <c r="BW20" s="312"/>
      <c r="BX20" s="313"/>
      <c r="BY20" s="313"/>
      <c r="BZ20" s="313"/>
      <c r="CA20" s="313"/>
      <c r="CB20" s="314"/>
      <c r="CC20" s="86"/>
      <c r="CD20" s="87"/>
      <c r="CE20" s="87"/>
      <c r="CF20" s="87"/>
      <c r="CG20" s="88"/>
      <c r="CH20" s="86"/>
      <c r="CI20" s="87"/>
      <c r="CJ20" s="87"/>
      <c r="CK20" s="87"/>
      <c r="CL20" s="88"/>
      <c r="CM20" s="86"/>
      <c r="CN20" s="87"/>
      <c r="CO20" s="87"/>
      <c r="CP20" s="87"/>
      <c r="CQ20" s="88"/>
      <c r="CR20" s="86"/>
      <c r="CS20" s="87"/>
      <c r="CT20" s="87"/>
      <c r="CU20" s="87"/>
      <c r="CV20" s="88"/>
      <c r="CW20" s="86"/>
      <c r="CX20" s="87"/>
      <c r="CY20" s="87"/>
      <c r="CZ20" s="87"/>
      <c r="DA20" s="88"/>
      <c r="DB20" s="86"/>
      <c r="DC20" s="87"/>
      <c r="DD20" s="87"/>
      <c r="DE20" s="87"/>
      <c r="DF20" s="88"/>
      <c r="DG20" s="86"/>
      <c r="DH20" s="87"/>
      <c r="DI20" s="87"/>
      <c r="DJ20" s="87"/>
      <c r="DK20" s="88"/>
      <c r="DL20" s="86"/>
      <c r="DM20" s="87"/>
      <c r="DN20" s="87"/>
      <c r="DO20" s="87"/>
      <c r="DP20" s="88"/>
      <c r="DQ20" s="86"/>
      <c r="DR20" s="87"/>
      <c r="DS20" s="87"/>
      <c r="DT20" s="87"/>
      <c r="DU20" s="88"/>
      <c r="DV20" s="86"/>
      <c r="DW20" s="87"/>
      <c r="DX20" s="87"/>
      <c r="DY20" s="87"/>
      <c r="DZ20" s="88"/>
      <c r="EA20" s="86"/>
      <c r="EB20" s="87"/>
      <c r="EC20" s="87"/>
      <c r="ED20" s="87"/>
      <c r="EE20" s="88"/>
      <c r="EF20" s="86"/>
      <c r="EG20" s="87"/>
      <c r="EH20" s="87"/>
      <c r="EI20" s="87"/>
      <c r="EJ20" s="88"/>
      <c r="EK20" s="86"/>
      <c r="EL20" s="87"/>
      <c r="EM20" s="87"/>
      <c r="EN20" s="87"/>
      <c r="EO20" s="88"/>
      <c r="EP20" s="86"/>
      <c r="EQ20" s="87"/>
      <c r="ER20" s="87"/>
      <c r="ES20" s="87"/>
      <c r="ET20" s="88"/>
      <c r="EU20" s="86"/>
      <c r="EV20" s="87"/>
      <c r="EW20" s="87"/>
      <c r="EX20" s="87"/>
      <c r="EY20" s="88"/>
      <c r="EZ20" s="86"/>
      <c r="FA20" s="87"/>
      <c r="FB20" s="87"/>
      <c r="FC20" s="87"/>
      <c r="FD20" s="88"/>
      <c r="FE20" s="86"/>
      <c r="FF20" s="87"/>
      <c r="FG20" s="87"/>
      <c r="FH20" s="87"/>
      <c r="FI20" s="88"/>
      <c r="FJ20" s="86"/>
      <c r="FK20" s="87"/>
      <c r="FL20" s="87"/>
      <c r="FM20" s="87"/>
      <c r="FN20" s="88"/>
      <c r="FO20" s="86"/>
      <c r="FP20" s="87"/>
      <c r="FQ20" s="87"/>
      <c r="FR20" s="87"/>
      <c r="FS20" s="88"/>
      <c r="FT20" s="86"/>
      <c r="FU20" s="87"/>
      <c r="FV20" s="87"/>
      <c r="FW20" s="87"/>
      <c r="FX20" s="88"/>
      <c r="FY20" s="86"/>
      <c r="FZ20" s="87"/>
      <c r="GA20" s="87"/>
      <c r="GB20" s="87"/>
      <c r="GC20" s="88"/>
      <c r="GD20" s="86"/>
      <c r="GE20" s="87"/>
      <c r="GF20" s="87"/>
      <c r="GG20" s="87"/>
      <c r="GH20" s="88"/>
      <c r="GI20" s="86"/>
      <c r="GJ20" s="87"/>
      <c r="GK20" s="87"/>
      <c r="GL20" s="87"/>
      <c r="GM20" s="88"/>
      <c r="GN20" s="86"/>
      <c r="GO20" s="87"/>
      <c r="GP20" s="87"/>
      <c r="GQ20" s="87"/>
      <c r="GR20" s="88"/>
    </row>
    <row r="21" spans="1:200" ht="11.25" customHeight="1" x14ac:dyDescent="0.3">
      <c r="A21" s="318"/>
      <c r="B21" s="319"/>
      <c r="C21" s="319"/>
      <c r="D21" s="319"/>
      <c r="E21" s="319"/>
      <c r="F21" s="319"/>
      <c r="G21" s="320"/>
      <c r="H21" s="331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2"/>
      <c r="AA21" s="332"/>
      <c r="AB21" s="332"/>
      <c r="AC21" s="332"/>
      <c r="AD21" s="332"/>
      <c r="AE21" s="332"/>
      <c r="AF21" s="332"/>
      <c r="AG21" s="332"/>
      <c r="AH21" s="332"/>
      <c r="AI21" s="332"/>
      <c r="AJ21" s="332"/>
      <c r="AK21" s="332"/>
      <c r="AL21" s="332"/>
      <c r="AM21" s="332"/>
      <c r="AN21" s="332"/>
      <c r="AO21" s="332"/>
      <c r="AP21" s="332"/>
      <c r="AQ21" s="332"/>
      <c r="AR21" s="332"/>
      <c r="AS21" s="332"/>
      <c r="AT21" s="332"/>
      <c r="AU21" s="332"/>
      <c r="AV21" s="332"/>
      <c r="AW21" s="332"/>
      <c r="AX21" s="332"/>
      <c r="AY21" s="332"/>
      <c r="AZ21" s="332"/>
      <c r="BA21" s="332"/>
      <c r="BB21" s="332"/>
      <c r="BC21" s="332"/>
      <c r="BD21" s="333"/>
      <c r="BE21" s="312"/>
      <c r="BF21" s="313"/>
      <c r="BG21" s="313"/>
      <c r="BH21" s="313"/>
      <c r="BI21" s="313"/>
      <c r="BJ21" s="314"/>
      <c r="BK21" s="299"/>
      <c r="BL21" s="300"/>
      <c r="BM21" s="300"/>
      <c r="BN21" s="300"/>
      <c r="BO21" s="300"/>
      <c r="BP21" s="301"/>
      <c r="BQ21" s="299"/>
      <c r="BR21" s="300"/>
      <c r="BS21" s="300"/>
      <c r="BT21" s="300"/>
      <c r="BU21" s="300"/>
      <c r="BV21" s="301"/>
      <c r="BW21" s="309"/>
      <c r="BX21" s="310"/>
      <c r="BY21" s="310"/>
      <c r="BZ21" s="310"/>
      <c r="CA21" s="310"/>
      <c r="CB21" s="311"/>
      <c r="CC21" s="86"/>
      <c r="CD21" s="87"/>
      <c r="CE21" s="87"/>
      <c r="CF21" s="87"/>
      <c r="CG21" s="88"/>
      <c r="CH21" s="86"/>
      <c r="CI21" s="87"/>
      <c r="CJ21" s="87"/>
      <c r="CK21" s="87"/>
      <c r="CL21" s="88"/>
      <c r="CM21" s="86"/>
      <c r="CN21" s="87"/>
      <c r="CO21" s="87"/>
      <c r="CP21" s="87"/>
      <c r="CQ21" s="88"/>
      <c r="CR21" s="86"/>
      <c r="CS21" s="87"/>
      <c r="CT21" s="87"/>
      <c r="CU21" s="87"/>
      <c r="CV21" s="88"/>
      <c r="CW21" s="86"/>
      <c r="CX21" s="87"/>
      <c r="CY21" s="87"/>
      <c r="CZ21" s="87"/>
      <c r="DA21" s="88"/>
      <c r="DB21" s="86"/>
      <c r="DC21" s="87"/>
      <c r="DD21" s="87"/>
      <c r="DE21" s="87"/>
      <c r="DF21" s="88"/>
      <c r="DG21" s="86"/>
      <c r="DH21" s="87"/>
      <c r="DI21" s="87"/>
      <c r="DJ21" s="87"/>
      <c r="DK21" s="88"/>
      <c r="DL21" s="86"/>
      <c r="DM21" s="87"/>
      <c r="DN21" s="87"/>
      <c r="DO21" s="87"/>
      <c r="DP21" s="88"/>
      <c r="DQ21" s="86"/>
      <c r="DR21" s="87"/>
      <c r="DS21" s="87"/>
      <c r="DT21" s="87"/>
      <c r="DU21" s="88"/>
      <c r="DV21" s="86"/>
      <c r="DW21" s="87"/>
      <c r="DX21" s="87"/>
      <c r="DY21" s="87"/>
      <c r="DZ21" s="88"/>
      <c r="EA21" s="86"/>
      <c r="EB21" s="87"/>
      <c r="EC21" s="87"/>
      <c r="ED21" s="87"/>
      <c r="EE21" s="88"/>
      <c r="EF21" s="86"/>
      <c r="EG21" s="87"/>
      <c r="EH21" s="87"/>
      <c r="EI21" s="87"/>
      <c r="EJ21" s="88"/>
      <c r="EK21" s="86"/>
      <c r="EL21" s="87"/>
      <c r="EM21" s="87"/>
      <c r="EN21" s="87"/>
      <c r="EO21" s="88"/>
      <c r="EP21" s="86"/>
      <c r="EQ21" s="87"/>
      <c r="ER21" s="87"/>
      <c r="ES21" s="87"/>
      <c r="ET21" s="88"/>
      <c r="EU21" s="86"/>
      <c r="EV21" s="87"/>
      <c r="EW21" s="87"/>
      <c r="EX21" s="87"/>
      <c r="EY21" s="88"/>
      <c r="EZ21" s="86"/>
      <c r="FA21" s="87"/>
      <c r="FB21" s="87"/>
      <c r="FC21" s="87"/>
      <c r="FD21" s="88"/>
      <c r="FE21" s="86"/>
      <c r="FF21" s="87"/>
      <c r="FG21" s="87"/>
      <c r="FH21" s="87"/>
      <c r="FI21" s="88"/>
      <c r="FJ21" s="86"/>
      <c r="FK21" s="87"/>
      <c r="FL21" s="87"/>
      <c r="FM21" s="87"/>
      <c r="FN21" s="88"/>
      <c r="FO21" s="86"/>
      <c r="FP21" s="87"/>
      <c r="FQ21" s="87"/>
      <c r="FR21" s="87"/>
      <c r="FS21" s="88"/>
      <c r="FT21" s="86"/>
      <c r="FU21" s="87"/>
      <c r="FV21" s="87"/>
      <c r="FW21" s="87"/>
      <c r="FX21" s="88"/>
      <c r="FY21" s="86"/>
      <c r="FZ21" s="87"/>
      <c r="GA21" s="87"/>
      <c r="GB21" s="87"/>
      <c r="GC21" s="88"/>
      <c r="GD21" s="86"/>
      <c r="GE21" s="87"/>
      <c r="GF21" s="87"/>
      <c r="GG21" s="87"/>
      <c r="GH21" s="88"/>
      <c r="GI21" s="86"/>
      <c r="GJ21" s="87"/>
      <c r="GK21" s="87"/>
      <c r="GL21" s="87"/>
      <c r="GM21" s="88"/>
      <c r="GN21" s="86"/>
      <c r="GO21" s="87"/>
      <c r="GP21" s="87"/>
      <c r="GQ21" s="87"/>
      <c r="GR21" s="88"/>
    </row>
    <row r="22" spans="1:200" ht="11.25" customHeight="1" x14ac:dyDescent="0.3">
      <c r="A22" s="327"/>
      <c r="B22" s="316"/>
      <c r="C22" s="316"/>
      <c r="D22" s="316"/>
      <c r="E22" s="316"/>
      <c r="F22" s="316"/>
      <c r="G22" s="317"/>
      <c r="H22" s="328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29"/>
      <c r="AK22" s="329"/>
      <c r="AL22" s="329"/>
      <c r="AM22" s="329"/>
      <c r="AN22" s="329"/>
      <c r="AO22" s="329"/>
      <c r="AP22" s="329"/>
      <c r="AQ22" s="329"/>
      <c r="AR22" s="329"/>
      <c r="AS22" s="329"/>
      <c r="AT22" s="329"/>
      <c r="AU22" s="329"/>
      <c r="AV22" s="329"/>
      <c r="AW22" s="329"/>
      <c r="AX22" s="329"/>
      <c r="AY22" s="329"/>
      <c r="AZ22" s="329"/>
      <c r="BA22" s="329"/>
      <c r="BB22" s="329"/>
      <c r="BC22" s="329"/>
      <c r="BD22" s="330"/>
      <c r="BE22" s="309"/>
      <c r="BF22" s="310"/>
      <c r="BG22" s="310"/>
      <c r="BH22" s="310"/>
      <c r="BI22" s="310"/>
      <c r="BJ22" s="311"/>
      <c r="BK22" s="296"/>
      <c r="BL22" s="297"/>
      <c r="BM22" s="297"/>
      <c r="BN22" s="297"/>
      <c r="BO22" s="297"/>
      <c r="BP22" s="298"/>
      <c r="BQ22" s="296"/>
      <c r="BR22" s="297"/>
      <c r="BS22" s="297"/>
      <c r="BT22" s="297"/>
      <c r="BU22" s="297"/>
      <c r="BV22" s="298"/>
      <c r="BW22" s="312"/>
      <c r="BX22" s="313"/>
      <c r="BY22" s="313"/>
      <c r="BZ22" s="313"/>
      <c r="CA22" s="313"/>
      <c r="CB22" s="314"/>
      <c r="CC22" s="86"/>
      <c r="CD22" s="87"/>
      <c r="CE22" s="87"/>
      <c r="CF22" s="87"/>
      <c r="CG22" s="88"/>
      <c r="CH22" s="86"/>
      <c r="CI22" s="87"/>
      <c r="CJ22" s="87"/>
      <c r="CK22" s="87"/>
      <c r="CL22" s="88"/>
      <c r="CM22" s="86"/>
      <c r="CN22" s="87"/>
      <c r="CO22" s="87"/>
      <c r="CP22" s="87"/>
      <c r="CQ22" s="88"/>
      <c r="CR22" s="86"/>
      <c r="CS22" s="87"/>
      <c r="CT22" s="87"/>
      <c r="CU22" s="87"/>
      <c r="CV22" s="88"/>
      <c r="CW22" s="86"/>
      <c r="CX22" s="87"/>
      <c r="CY22" s="87"/>
      <c r="CZ22" s="87"/>
      <c r="DA22" s="88"/>
      <c r="DB22" s="86"/>
      <c r="DC22" s="87"/>
      <c r="DD22" s="87"/>
      <c r="DE22" s="87"/>
      <c r="DF22" s="88"/>
      <c r="DG22" s="86"/>
      <c r="DH22" s="87"/>
      <c r="DI22" s="87"/>
      <c r="DJ22" s="87"/>
      <c r="DK22" s="88"/>
      <c r="DL22" s="86"/>
      <c r="DM22" s="87"/>
      <c r="DN22" s="87"/>
      <c r="DO22" s="87"/>
      <c r="DP22" s="88"/>
      <c r="DQ22" s="86"/>
      <c r="DR22" s="87"/>
      <c r="DS22" s="87"/>
      <c r="DT22" s="87"/>
      <c r="DU22" s="88"/>
      <c r="DV22" s="86"/>
      <c r="DW22" s="87"/>
      <c r="DX22" s="87"/>
      <c r="DY22" s="87"/>
      <c r="DZ22" s="88"/>
      <c r="EA22" s="86"/>
      <c r="EB22" s="87"/>
      <c r="EC22" s="87"/>
      <c r="ED22" s="87"/>
      <c r="EE22" s="88"/>
      <c r="EF22" s="86"/>
      <c r="EG22" s="87"/>
      <c r="EH22" s="87"/>
      <c r="EI22" s="87"/>
      <c r="EJ22" s="88"/>
      <c r="EK22" s="86"/>
      <c r="EL22" s="87"/>
      <c r="EM22" s="87"/>
      <c r="EN22" s="87"/>
      <c r="EO22" s="88"/>
      <c r="EP22" s="86"/>
      <c r="EQ22" s="87"/>
      <c r="ER22" s="87"/>
      <c r="ES22" s="87"/>
      <c r="ET22" s="88"/>
      <c r="EU22" s="86"/>
      <c r="EV22" s="87"/>
      <c r="EW22" s="87"/>
      <c r="EX22" s="87"/>
      <c r="EY22" s="88"/>
      <c r="EZ22" s="86"/>
      <c r="FA22" s="87"/>
      <c r="FB22" s="87"/>
      <c r="FC22" s="87"/>
      <c r="FD22" s="88"/>
      <c r="FE22" s="86"/>
      <c r="FF22" s="87"/>
      <c r="FG22" s="87"/>
      <c r="FH22" s="87"/>
      <c r="FI22" s="88"/>
      <c r="FJ22" s="86"/>
      <c r="FK22" s="87"/>
      <c r="FL22" s="87"/>
      <c r="FM22" s="87"/>
      <c r="FN22" s="88"/>
      <c r="FO22" s="86"/>
      <c r="FP22" s="87"/>
      <c r="FQ22" s="87"/>
      <c r="FR22" s="87"/>
      <c r="FS22" s="88"/>
      <c r="FT22" s="86"/>
      <c r="FU22" s="87"/>
      <c r="FV22" s="87"/>
      <c r="FW22" s="87"/>
      <c r="FX22" s="88"/>
      <c r="FY22" s="86"/>
      <c r="FZ22" s="87"/>
      <c r="GA22" s="87"/>
      <c r="GB22" s="87"/>
      <c r="GC22" s="88"/>
      <c r="GD22" s="86"/>
      <c r="GE22" s="87"/>
      <c r="GF22" s="87"/>
      <c r="GG22" s="87"/>
      <c r="GH22" s="88"/>
      <c r="GI22" s="86"/>
      <c r="GJ22" s="87"/>
      <c r="GK22" s="87"/>
      <c r="GL22" s="87"/>
      <c r="GM22" s="88"/>
      <c r="GN22" s="86"/>
      <c r="GO22" s="87"/>
      <c r="GP22" s="87"/>
      <c r="GQ22" s="87"/>
      <c r="GR22" s="88"/>
    </row>
    <row r="23" spans="1:200" ht="11.25" customHeight="1" x14ac:dyDescent="0.3">
      <c r="A23" s="318"/>
      <c r="B23" s="319"/>
      <c r="C23" s="319"/>
      <c r="D23" s="319"/>
      <c r="E23" s="319"/>
      <c r="F23" s="319"/>
      <c r="G23" s="320"/>
      <c r="H23" s="331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  <c r="AA23" s="332"/>
      <c r="AB23" s="332"/>
      <c r="AC23" s="332"/>
      <c r="AD23" s="332"/>
      <c r="AE23" s="332"/>
      <c r="AF23" s="332"/>
      <c r="AG23" s="332"/>
      <c r="AH23" s="332"/>
      <c r="AI23" s="332"/>
      <c r="AJ23" s="332"/>
      <c r="AK23" s="332"/>
      <c r="AL23" s="332"/>
      <c r="AM23" s="332"/>
      <c r="AN23" s="332"/>
      <c r="AO23" s="332"/>
      <c r="AP23" s="332"/>
      <c r="AQ23" s="332"/>
      <c r="AR23" s="332"/>
      <c r="AS23" s="332"/>
      <c r="AT23" s="332"/>
      <c r="AU23" s="332"/>
      <c r="AV23" s="332"/>
      <c r="AW23" s="332"/>
      <c r="AX23" s="332"/>
      <c r="AY23" s="332"/>
      <c r="AZ23" s="332"/>
      <c r="BA23" s="332"/>
      <c r="BB23" s="332"/>
      <c r="BC23" s="332"/>
      <c r="BD23" s="333"/>
      <c r="BE23" s="312"/>
      <c r="BF23" s="313"/>
      <c r="BG23" s="313"/>
      <c r="BH23" s="313"/>
      <c r="BI23" s="313"/>
      <c r="BJ23" s="314"/>
      <c r="BK23" s="299"/>
      <c r="BL23" s="300"/>
      <c r="BM23" s="300"/>
      <c r="BN23" s="300"/>
      <c r="BO23" s="300"/>
      <c r="BP23" s="301"/>
      <c r="BQ23" s="299"/>
      <c r="BR23" s="300"/>
      <c r="BS23" s="300"/>
      <c r="BT23" s="300"/>
      <c r="BU23" s="300"/>
      <c r="BV23" s="301"/>
      <c r="BW23" s="309"/>
      <c r="BX23" s="310"/>
      <c r="BY23" s="310"/>
      <c r="BZ23" s="310"/>
      <c r="CA23" s="310"/>
      <c r="CB23" s="311"/>
      <c r="CC23" s="86"/>
      <c r="CD23" s="87"/>
      <c r="CE23" s="87"/>
      <c r="CF23" s="87"/>
      <c r="CG23" s="88"/>
      <c r="CH23" s="86"/>
      <c r="CI23" s="87"/>
      <c r="CJ23" s="87"/>
      <c r="CK23" s="87"/>
      <c r="CL23" s="88"/>
      <c r="CM23" s="86"/>
      <c r="CN23" s="87"/>
      <c r="CO23" s="87"/>
      <c r="CP23" s="87"/>
      <c r="CQ23" s="88"/>
      <c r="CR23" s="86"/>
      <c r="CS23" s="87"/>
      <c r="CT23" s="87"/>
      <c r="CU23" s="87"/>
      <c r="CV23" s="88"/>
      <c r="CW23" s="86"/>
      <c r="CX23" s="87"/>
      <c r="CY23" s="87"/>
      <c r="CZ23" s="87"/>
      <c r="DA23" s="88"/>
      <c r="DB23" s="86"/>
      <c r="DC23" s="87"/>
      <c r="DD23" s="87"/>
      <c r="DE23" s="87"/>
      <c r="DF23" s="88"/>
      <c r="DG23" s="86"/>
      <c r="DH23" s="87"/>
      <c r="DI23" s="87"/>
      <c r="DJ23" s="87"/>
      <c r="DK23" s="88"/>
      <c r="DL23" s="86"/>
      <c r="DM23" s="87"/>
      <c r="DN23" s="87"/>
      <c r="DO23" s="87"/>
      <c r="DP23" s="88"/>
      <c r="DQ23" s="86"/>
      <c r="DR23" s="87"/>
      <c r="DS23" s="87"/>
      <c r="DT23" s="87"/>
      <c r="DU23" s="88"/>
      <c r="DV23" s="86"/>
      <c r="DW23" s="87"/>
      <c r="DX23" s="87"/>
      <c r="DY23" s="87"/>
      <c r="DZ23" s="88"/>
      <c r="EA23" s="86"/>
      <c r="EB23" s="87"/>
      <c r="EC23" s="87"/>
      <c r="ED23" s="87"/>
      <c r="EE23" s="88"/>
      <c r="EF23" s="86"/>
      <c r="EG23" s="87"/>
      <c r="EH23" s="87"/>
      <c r="EI23" s="87"/>
      <c r="EJ23" s="88"/>
      <c r="EK23" s="86"/>
      <c r="EL23" s="87"/>
      <c r="EM23" s="87"/>
      <c r="EN23" s="87"/>
      <c r="EO23" s="88"/>
      <c r="EP23" s="86"/>
      <c r="EQ23" s="87"/>
      <c r="ER23" s="87"/>
      <c r="ES23" s="87"/>
      <c r="ET23" s="88"/>
      <c r="EU23" s="86"/>
      <c r="EV23" s="87"/>
      <c r="EW23" s="87"/>
      <c r="EX23" s="87"/>
      <c r="EY23" s="88"/>
      <c r="EZ23" s="86"/>
      <c r="FA23" s="87"/>
      <c r="FB23" s="87"/>
      <c r="FC23" s="87"/>
      <c r="FD23" s="88"/>
      <c r="FE23" s="86"/>
      <c r="FF23" s="87"/>
      <c r="FG23" s="87"/>
      <c r="FH23" s="87"/>
      <c r="FI23" s="88"/>
      <c r="FJ23" s="86"/>
      <c r="FK23" s="87"/>
      <c r="FL23" s="87"/>
      <c r="FM23" s="87"/>
      <c r="FN23" s="88"/>
      <c r="FO23" s="86"/>
      <c r="FP23" s="87"/>
      <c r="FQ23" s="87"/>
      <c r="FR23" s="87"/>
      <c r="FS23" s="88"/>
      <c r="FT23" s="86"/>
      <c r="FU23" s="87"/>
      <c r="FV23" s="87"/>
      <c r="FW23" s="87"/>
      <c r="FX23" s="88"/>
      <c r="FY23" s="86"/>
      <c r="FZ23" s="87"/>
      <c r="GA23" s="87"/>
      <c r="GB23" s="87"/>
      <c r="GC23" s="88"/>
      <c r="GD23" s="86"/>
      <c r="GE23" s="87"/>
      <c r="GF23" s="87"/>
      <c r="GG23" s="87"/>
      <c r="GH23" s="88"/>
      <c r="GI23" s="86"/>
      <c r="GJ23" s="87"/>
      <c r="GK23" s="87"/>
      <c r="GL23" s="87"/>
      <c r="GM23" s="88"/>
      <c r="GN23" s="86"/>
      <c r="GO23" s="87"/>
      <c r="GP23" s="87"/>
      <c r="GQ23" s="87"/>
      <c r="GR23" s="88"/>
    </row>
    <row r="24" spans="1:200" ht="11.25" customHeight="1" x14ac:dyDescent="0.3">
      <c r="A24" s="327"/>
      <c r="B24" s="316"/>
      <c r="C24" s="316"/>
      <c r="D24" s="316"/>
      <c r="E24" s="316"/>
      <c r="F24" s="316"/>
      <c r="G24" s="317"/>
      <c r="H24" s="328"/>
      <c r="I24" s="329"/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  <c r="AA24" s="329"/>
      <c r="AB24" s="329"/>
      <c r="AC24" s="329"/>
      <c r="AD24" s="329"/>
      <c r="AE24" s="329"/>
      <c r="AF24" s="329"/>
      <c r="AG24" s="329"/>
      <c r="AH24" s="329"/>
      <c r="AI24" s="329"/>
      <c r="AJ24" s="329"/>
      <c r="AK24" s="329"/>
      <c r="AL24" s="329"/>
      <c r="AM24" s="329"/>
      <c r="AN24" s="329"/>
      <c r="AO24" s="329"/>
      <c r="AP24" s="329"/>
      <c r="AQ24" s="329"/>
      <c r="AR24" s="329"/>
      <c r="AS24" s="329"/>
      <c r="AT24" s="329"/>
      <c r="AU24" s="329"/>
      <c r="AV24" s="329"/>
      <c r="AW24" s="329"/>
      <c r="AX24" s="329"/>
      <c r="AY24" s="329"/>
      <c r="AZ24" s="329"/>
      <c r="BA24" s="329"/>
      <c r="BB24" s="329"/>
      <c r="BC24" s="329"/>
      <c r="BD24" s="330"/>
      <c r="BE24" s="309"/>
      <c r="BF24" s="310"/>
      <c r="BG24" s="310"/>
      <c r="BH24" s="310"/>
      <c r="BI24" s="310"/>
      <c r="BJ24" s="311"/>
      <c r="BK24" s="296"/>
      <c r="BL24" s="297"/>
      <c r="BM24" s="297"/>
      <c r="BN24" s="297"/>
      <c r="BO24" s="297"/>
      <c r="BP24" s="298"/>
      <c r="BQ24" s="296"/>
      <c r="BR24" s="297"/>
      <c r="BS24" s="297"/>
      <c r="BT24" s="297"/>
      <c r="BU24" s="297"/>
      <c r="BV24" s="298"/>
      <c r="BW24" s="312"/>
      <c r="BX24" s="313"/>
      <c r="BY24" s="313"/>
      <c r="BZ24" s="313"/>
      <c r="CA24" s="313"/>
      <c r="CB24" s="314"/>
      <c r="CC24" s="86"/>
      <c r="CD24" s="87"/>
      <c r="CE24" s="87"/>
      <c r="CF24" s="87"/>
      <c r="CG24" s="88"/>
      <c r="CH24" s="86"/>
      <c r="CI24" s="87"/>
      <c r="CJ24" s="87"/>
      <c r="CK24" s="87"/>
      <c r="CL24" s="88"/>
      <c r="CM24" s="86"/>
      <c r="CN24" s="87"/>
      <c r="CO24" s="87"/>
      <c r="CP24" s="87"/>
      <c r="CQ24" s="88"/>
      <c r="CR24" s="86"/>
      <c r="CS24" s="87"/>
      <c r="CT24" s="87"/>
      <c r="CU24" s="87"/>
      <c r="CV24" s="88"/>
      <c r="CW24" s="86"/>
      <c r="CX24" s="87"/>
      <c r="CY24" s="87"/>
      <c r="CZ24" s="87"/>
      <c r="DA24" s="88"/>
      <c r="DB24" s="86"/>
      <c r="DC24" s="87"/>
      <c r="DD24" s="87"/>
      <c r="DE24" s="87"/>
      <c r="DF24" s="88"/>
      <c r="DG24" s="86"/>
      <c r="DH24" s="87"/>
      <c r="DI24" s="87"/>
      <c r="DJ24" s="87"/>
      <c r="DK24" s="88"/>
      <c r="DL24" s="86"/>
      <c r="DM24" s="87"/>
      <c r="DN24" s="87"/>
      <c r="DO24" s="87"/>
      <c r="DP24" s="88"/>
      <c r="DQ24" s="86"/>
      <c r="DR24" s="87"/>
      <c r="DS24" s="87"/>
      <c r="DT24" s="87"/>
      <c r="DU24" s="88"/>
      <c r="DV24" s="86"/>
      <c r="DW24" s="87"/>
      <c r="DX24" s="87"/>
      <c r="DY24" s="87"/>
      <c r="DZ24" s="88"/>
      <c r="EA24" s="86"/>
      <c r="EB24" s="87"/>
      <c r="EC24" s="87"/>
      <c r="ED24" s="87"/>
      <c r="EE24" s="88"/>
      <c r="EF24" s="86"/>
      <c r="EG24" s="87"/>
      <c r="EH24" s="87"/>
      <c r="EI24" s="87"/>
      <c r="EJ24" s="88"/>
      <c r="EK24" s="86"/>
      <c r="EL24" s="87"/>
      <c r="EM24" s="87"/>
      <c r="EN24" s="87"/>
      <c r="EO24" s="88"/>
      <c r="EP24" s="86"/>
      <c r="EQ24" s="87"/>
      <c r="ER24" s="87"/>
      <c r="ES24" s="87"/>
      <c r="ET24" s="88"/>
      <c r="EU24" s="86"/>
      <c r="EV24" s="87"/>
      <c r="EW24" s="87"/>
      <c r="EX24" s="87"/>
      <c r="EY24" s="88"/>
      <c r="EZ24" s="86"/>
      <c r="FA24" s="87"/>
      <c r="FB24" s="87"/>
      <c r="FC24" s="87"/>
      <c r="FD24" s="88"/>
      <c r="FE24" s="86"/>
      <c r="FF24" s="87"/>
      <c r="FG24" s="87"/>
      <c r="FH24" s="87"/>
      <c r="FI24" s="88"/>
      <c r="FJ24" s="86"/>
      <c r="FK24" s="87"/>
      <c r="FL24" s="87"/>
      <c r="FM24" s="87"/>
      <c r="FN24" s="88"/>
      <c r="FO24" s="86"/>
      <c r="FP24" s="87"/>
      <c r="FQ24" s="87"/>
      <c r="FR24" s="87"/>
      <c r="FS24" s="88"/>
      <c r="FT24" s="86"/>
      <c r="FU24" s="87"/>
      <c r="FV24" s="87"/>
      <c r="FW24" s="87"/>
      <c r="FX24" s="88"/>
      <c r="FY24" s="86"/>
      <c r="FZ24" s="87"/>
      <c r="GA24" s="87"/>
      <c r="GB24" s="87"/>
      <c r="GC24" s="88"/>
      <c r="GD24" s="86"/>
      <c r="GE24" s="87"/>
      <c r="GF24" s="87"/>
      <c r="GG24" s="87"/>
      <c r="GH24" s="88"/>
      <c r="GI24" s="86"/>
      <c r="GJ24" s="87"/>
      <c r="GK24" s="87"/>
      <c r="GL24" s="87"/>
      <c r="GM24" s="88"/>
      <c r="GN24" s="86"/>
      <c r="GO24" s="87"/>
      <c r="GP24" s="87"/>
      <c r="GQ24" s="87"/>
      <c r="GR24" s="88"/>
    </row>
    <row r="25" spans="1:200" ht="11.25" customHeight="1" x14ac:dyDescent="0.3">
      <c r="A25" s="318"/>
      <c r="B25" s="319"/>
      <c r="C25" s="319"/>
      <c r="D25" s="319"/>
      <c r="E25" s="319"/>
      <c r="F25" s="319"/>
      <c r="G25" s="320"/>
      <c r="H25" s="331"/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  <c r="AC25" s="332"/>
      <c r="AD25" s="332"/>
      <c r="AE25" s="332"/>
      <c r="AF25" s="332"/>
      <c r="AG25" s="332"/>
      <c r="AH25" s="332"/>
      <c r="AI25" s="332"/>
      <c r="AJ25" s="332"/>
      <c r="AK25" s="332"/>
      <c r="AL25" s="332"/>
      <c r="AM25" s="332"/>
      <c r="AN25" s="332"/>
      <c r="AO25" s="332"/>
      <c r="AP25" s="332"/>
      <c r="AQ25" s="332"/>
      <c r="AR25" s="332"/>
      <c r="AS25" s="332"/>
      <c r="AT25" s="332"/>
      <c r="AU25" s="332"/>
      <c r="AV25" s="332"/>
      <c r="AW25" s="332"/>
      <c r="AX25" s="332"/>
      <c r="AY25" s="332"/>
      <c r="AZ25" s="332"/>
      <c r="BA25" s="332"/>
      <c r="BB25" s="332"/>
      <c r="BC25" s="332"/>
      <c r="BD25" s="333"/>
      <c r="BE25" s="312"/>
      <c r="BF25" s="313"/>
      <c r="BG25" s="313"/>
      <c r="BH25" s="313"/>
      <c r="BI25" s="313"/>
      <c r="BJ25" s="314"/>
      <c r="BK25" s="299"/>
      <c r="BL25" s="300"/>
      <c r="BM25" s="300"/>
      <c r="BN25" s="300"/>
      <c r="BO25" s="300"/>
      <c r="BP25" s="301"/>
      <c r="BQ25" s="299"/>
      <c r="BR25" s="300"/>
      <c r="BS25" s="300"/>
      <c r="BT25" s="300"/>
      <c r="BU25" s="300"/>
      <c r="BV25" s="301"/>
      <c r="BW25" s="309"/>
      <c r="BX25" s="310"/>
      <c r="BY25" s="310"/>
      <c r="BZ25" s="310"/>
      <c r="CA25" s="310"/>
      <c r="CB25" s="311"/>
      <c r="CC25" s="86"/>
      <c r="CD25" s="87"/>
      <c r="CE25" s="87"/>
      <c r="CF25" s="87"/>
      <c r="CG25" s="88"/>
      <c r="CH25" s="86"/>
      <c r="CI25" s="87"/>
      <c r="CJ25" s="87"/>
      <c r="CK25" s="87"/>
      <c r="CL25" s="88"/>
      <c r="CM25" s="86"/>
      <c r="CN25" s="87"/>
      <c r="CO25" s="87"/>
      <c r="CP25" s="87"/>
      <c r="CQ25" s="88"/>
      <c r="CR25" s="86"/>
      <c r="CS25" s="87"/>
      <c r="CT25" s="87"/>
      <c r="CU25" s="87"/>
      <c r="CV25" s="88"/>
      <c r="CW25" s="86"/>
      <c r="CX25" s="87"/>
      <c r="CY25" s="87"/>
      <c r="CZ25" s="87"/>
      <c r="DA25" s="88"/>
      <c r="DB25" s="86"/>
      <c r="DC25" s="87"/>
      <c r="DD25" s="87"/>
      <c r="DE25" s="87"/>
      <c r="DF25" s="88"/>
      <c r="DG25" s="86"/>
      <c r="DH25" s="87"/>
      <c r="DI25" s="87"/>
      <c r="DJ25" s="87"/>
      <c r="DK25" s="88"/>
      <c r="DL25" s="86"/>
      <c r="DM25" s="87"/>
      <c r="DN25" s="87"/>
      <c r="DO25" s="87"/>
      <c r="DP25" s="88"/>
      <c r="DQ25" s="86"/>
      <c r="DR25" s="87"/>
      <c r="DS25" s="87"/>
      <c r="DT25" s="87"/>
      <c r="DU25" s="88"/>
      <c r="DV25" s="86"/>
      <c r="DW25" s="87"/>
      <c r="DX25" s="87"/>
      <c r="DY25" s="87"/>
      <c r="DZ25" s="88"/>
      <c r="EA25" s="86"/>
      <c r="EB25" s="87"/>
      <c r="EC25" s="87"/>
      <c r="ED25" s="87"/>
      <c r="EE25" s="88"/>
      <c r="EF25" s="86"/>
      <c r="EG25" s="87"/>
      <c r="EH25" s="87"/>
      <c r="EI25" s="87"/>
      <c r="EJ25" s="88"/>
      <c r="EK25" s="86"/>
      <c r="EL25" s="87"/>
      <c r="EM25" s="87"/>
      <c r="EN25" s="87"/>
      <c r="EO25" s="88"/>
      <c r="EP25" s="86"/>
      <c r="EQ25" s="87"/>
      <c r="ER25" s="87"/>
      <c r="ES25" s="87"/>
      <c r="ET25" s="88"/>
      <c r="EU25" s="86"/>
      <c r="EV25" s="87"/>
      <c r="EW25" s="87"/>
      <c r="EX25" s="87"/>
      <c r="EY25" s="88"/>
      <c r="EZ25" s="86"/>
      <c r="FA25" s="87"/>
      <c r="FB25" s="87"/>
      <c r="FC25" s="87"/>
      <c r="FD25" s="88"/>
      <c r="FE25" s="86"/>
      <c r="FF25" s="87"/>
      <c r="FG25" s="87"/>
      <c r="FH25" s="87"/>
      <c r="FI25" s="88"/>
      <c r="FJ25" s="86"/>
      <c r="FK25" s="87"/>
      <c r="FL25" s="87"/>
      <c r="FM25" s="87"/>
      <c r="FN25" s="88"/>
      <c r="FO25" s="86"/>
      <c r="FP25" s="87"/>
      <c r="FQ25" s="87"/>
      <c r="FR25" s="87"/>
      <c r="FS25" s="88"/>
      <c r="FT25" s="86"/>
      <c r="FU25" s="87"/>
      <c r="FV25" s="87"/>
      <c r="FW25" s="87"/>
      <c r="FX25" s="88"/>
      <c r="FY25" s="86"/>
      <c r="FZ25" s="87"/>
      <c r="GA25" s="87"/>
      <c r="GB25" s="87"/>
      <c r="GC25" s="88"/>
      <c r="GD25" s="86"/>
      <c r="GE25" s="87"/>
      <c r="GF25" s="87"/>
      <c r="GG25" s="87"/>
      <c r="GH25" s="88"/>
      <c r="GI25" s="86"/>
      <c r="GJ25" s="87"/>
      <c r="GK25" s="87"/>
      <c r="GL25" s="87"/>
      <c r="GM25" s="88"/>
      <c r="GN25" s="86"/>
      <c r="GO25" s="87"/>
      <c r="GP25" s="87"/>
      <c r="GQ25" s="87"/>
      <c r="GR25" s="88"/>
    </row>
    <row r="26" spans="1:200" ht="11.25" customHeight="1" x14ac:dyDescent="0.3">
      <c r="A26" s="327"/>
      <c r="B26" s="316"/>
      <c r="C26" s="316"/>
      <c r="D26" s="316"/>
      <c r="E26" s="316"/>
      <c r="F26" s="316"/>
      <c r="G26" s="317"/>
      <c r="H26" s="328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  <c r="AA26" s="329"/>
      <c r="AB26" s="329"/>
      <c r="AC26" s="329"/>
      <c r="AD26" s="329"/>
      <c r="AE26" s="329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29"/>
      <c r="BA26" s="329"/>
      <c r="BB26" s="329"/>
      <c r="BC26" s="329"/>
      <c r="BD26" s="330"/>
      <c r="BE26" s="309"/>
      <c r="BF26" s="310"/>
      <c r="BG26" s="310"/>
      <c r="BH26" s="310"/>
      <c r="BI26" s="310"/>
      <c r="BJ26" s="311"/>
      <c r="BK26" s="296"/>
      <c r="BL26" s="297"/>
      <c r="BM26" s="297"/>
      <c r="BN26" s="297"/>
      <c r="BO26" s="297"/>
      <c r="BP26" s="298"/>
      <c r="BQ26" s="296"/>
      <c r="BR26" s="297"/>
      <c r="BS26" s="297"/>
      <c r="BT26" s="297"/>
      <c r="BU26" s="297"/>
      <c r="BV26" s="298"/>
      <c r="BW26" s="312"/>
      <c r="BX26" s="313"/>
      <c r="BY26" s="313"/>
      <c r="BZ26" s="313"/>
      <c r="CA26" s="313"/>
      <c r="CB26" s="314"/>
      <c r="CC26" s="86"/>
      <c r="CD26" s="87"/>
      <c r="CE26" s="87"/>
      <c r="CF26" s="87"/>
      <c r="CG26" s="88"/>
      <c r="CH26" s="86"/>
      <c r="CI26" s="87"/>
      <c r="CJ26" s="87"/>
      <c r="CK26" s="87"/>
      <c r="CL26" s="88"/>
      <c r="CM26" s="86"/>
      <c r="CN26" s="87"/>
      <c r="CO26" s="87"/>
      <c r="CP26" s="87"/>
      <c r="CQ26" s="88"/>
      <c r="CR26" s="86"/>
      <c r="CS26" s="87"/>
      <c r="CT26" s="87"/>
      <c r="CU26" s="87"/>
      <c r="CV26" s="88"/>
      <c r="CW26" s="86"/>
      <c r="CX26" s="87"/>
      <c r="CY26" s="87"/>
      <c r="CZ26" s="87"/>
      <c r="DA26" s="88"/>
      <c r="DB26" s="86"/>
      <c r="DC26" s="87"/>
      <c r="DD26" s="87"/>
      <c r="DE26" s="87"/>
      <c r="DF26" s="88"/>
      <c r="DG26" s="86"/>
      <c r="DH26" s="87"/>
      <c r="DI26" s="87"/>
      <c r="DJ26" s="87"/>
      <c r="DK26" s="88"/>
      <c r="DL26" s="86"/>
      <c r="DM26" s="87"/>
      <c r="DN26" s="87"/>
      <c r="DO26" s="87"/>
      <c r="DP26" s="88"/>
      <c r="DQ26" s="86"/>
      <c r="DR26" s="87"/>
      <c r="DS26" s="87"/>
      <c r="DT26" s="87"/>
      <c r="DU26" s="88"/>
      <c r="DV26" s="86"/>
      <c r="DW26" s="87"/>
      <c r="DX26" s="87"/>
      <c r="DY26" s="87"/>
      <c r="DZ26" s="88"/>
      <c r="EA26" s="86"/>
      <c r="EB26" s="87"/>
      <c r="EC26" s="87"/>
      <c r="ED26" s="87"/>
      <c r="EE26" s="88"/>
      <c r="EF26" s="86"/>
      <c r="EG26" s="87"/>
      <c r="EH26" s="87"/>
      <c r="EI26" s="87"/>
      <c r="EJ26" s="88"/>
      <c r="EK26" s="86"/>
      <c r="EL26" s="87"/>
      <c r="EM26" s="87"/>
      <c r="EN26" s="87"/>
      <c r="EO26" s="88"/>
      <c r="EP26" s="86"/>
      <c r="EQ26" s="87"/>
      <c r="ER26" s="87"/>
      <c r="ES26" s="87"/>
      <c r="ET26" s="88"/>
      <c r="EU26" s="86"/>
      <c r="EV26" s="87"/>
      <c r="EW26" s="87"/>
      <c r="EX26" s="87"/>
      <c r="EY26" s="88"/>
      <c r="EZ26" s="86"/>
      <c r="FA26" s="87"/>
      <c r="FB26" s="87"/>
      <c r="FC26" s="87"/>
      <c r="FD26" s="88"/>
      <c r="FE26" s="86"/>
      <c r="FF26" s="87"/>
      <c r="FG26" s="87"/>
      <c r="FH26" s="87"/>
      <c r="FI26" s="88"/>
      <c r="FJ26" s="86"/>
      <c r="FK26" s="87"/>
      <c r="FL26" s="87"/>
      <c r="FM26" s="87"/>
      <c r="FN26" s="88"/>
      <c r="FO26" s="86"/>
      <c r="FP26" s="87"/>
      <c r="FQ26" s="87"/>
      <c r="FR26" s="87"/>
      <c r="FS26" s="88"/>
      <c r="FT26" s="86"/>
      <c r="FU26" s="87"/>
      <c r="FV26" s="87"/>
      <c r="FW26" s="87"/>
      <c r="FX26" s="88"/>
      <c r="FY26" s="86"/>
      <c r="FZ26" s="87"/>
      <c r="GA26" s="87"/>
      <c r="GB26" s="87"/>
      <c r="GC26" s="88"/>
      <c r="GD26" s="86"/>
      <c r="GE26" s="87"/>
      <c r="GF26" s="87"/>
      <c r="GG26" s="87"/>
      <c r="GH26" s="88"/>
      <c r="GI26" s="86"/>
      <c r="GJ26" s="87"/>
      <c r="GK26" s="87"/>
      <c r="GL26" s="87"/>
      <c r="GM26" s="88"/>
      <c r="GN26" s="86"/>
      <c r="GO26" s="87"/>
      <c r="GP26" s="87"/>
      <c r="GQ26" s="87"/>
      <c r="GR26" s="88"/>
    </row>
    <row r="27" spans="1:200" ht="11.25" customHeight="1" x14ac:dyDescent="0.3">
      <c r="A27" s="318"/>
      <c r="B27" s="319"/>
      <c r="C27" s="319"/>
      <c r="D27" s="319"/>
      <c r="E27" s="319"/>
      <c r="F27" s="319"/>
      <c r="G27" s="320"/>
      <c r="H27" s="331"/>
      <c r="I27" s="332"/>
      <c r="J27" s="332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  <c r="AA27" s="332"/>
      <c r="AB27" s="332"/>
      <c r="AC27" s="332"/>
      <c r="AD27" s="332"/>
      <c r="AE27" s="332"/>
      <c r="AF27" s="332"/>
      <c r="AG27" s="332"/>
      <c r="AH27" s="332"/>
      <c r="AI27" s="332"/>
      <c r="AJ27" s="332"/>
      <c r="AK27" s="332"/>
      <c r="AL27" s="332"/>
      <c r="AM27" s="332"/>
      <c r="AN27" s="332"/>
      <c r="AO27" s="332"/>
      <c r="AP27" s="332"/>
      <c r="AQ27" s="332"/>
      <c r="AR27" s="332"/>
      <c r="AS27" s="332"/>
      <c r="AT27" s="332"/>
      <c r="AU27" s="332"/>
      <c r="AV27" s="332"/>
      <c r="AW27" s="332"/>
      <c r="AX27" s="332"/>
      <c r="AY27" s="332"/>
      <c r="AZ27" s="332"/>
      <c r="BA27" s="332"/>
      <c r="BB27" s="332"/>
      <c r="BC27" s="332"/>
      <c r="BD27" s="333"/>
      <c r="BE27" s="312"/>
      <c r="BF27" s="313"/>
      <c r="BG27" s="313"/>
      <c r="BH27" s="313"/>
      <c r="BI27" s="313"/>
      <c r="BJ27" s="314"/>
      <c r="BK27" s="299"/>
      <c r="BL27" s="300"/>
      <c r="BM27" s="300"/>
      <c r="BN27" s="300"/>
      <c r="BO27" s="300"/>
      <c r="BP27" s="301"/>
      <c r="BQ27" s="299"/>
      <c r="BR27" s="300"/>
      <c r="BS27" s="300"/>
      <c r="BT27" s="300"/>
      <c r="BU27" s="300"/>
      <c r="BV27" s="301"/>
      <c r="BW27" s="309"/>
      <c r="BX27" s="310"/>
      <c r="BY27" s="310"/>
      <c r="BZ27" s="310"/>
      <c r="CA27" s="310"/>
      <c r="CB27" s="311"/>
      <c r="CC27" s="86"/>
      <c r="CD27" s="87"/>
      <c r="CE27" s="87"/>
      <c r="CF27" s="87"/>
      <c r="CG27" s="88"/>
      <c r="CH27" s="86"/>
      <c r="CI27" s="87"/>
      <c r="CJ27" s="87"/>
      <c r="CK27" s="87"/>
      <c r="CL27" s="88"/>
      <c r="CM27" s="86"/>
      <c r="CN27" s="87"/>
      <c r="CO27" s="87"/>
      <c r="CP27" s="87"/>
      <c r="CQ27" s="88"/>
      <c r="CR27" s="86"/>
      <c r="CS27" s="87"/>
      <c r="CT27" s="87"/>
      <c r="CU27" s="87"/>
      <c r="CV27" s="88"/>
      <c r="CW27" s="86"/>
      <c r="CX27" s="87"/>
      <c r="CY27" s="87"/>
      <c r="CZ27" s="87"/>
      <c r="DA27" s="88"/>
      <c r="DB27" s="86"/>
      <c r="DC27" s="87"/>
      <c r="DD27" s="87"/>
      <c r="DE27" s="87"/>
      <c r="DF27" s="88"/>
      <c r="DG27" s="86"/>
      <c r="DH27" s="87"/>
      <c r="DI27" s="87"/>
      <c r="DJ27" s="87"/>
      <c r="DK27" s="88"/>
      <c r="DL27" s="86"/>
      <c r="DM27" s="87"/>
      <c r="DN27" s="87"/>
      <c r="DO27" s="87"/>
      <c r="DP27" s="88"/>
      <c r="DQ27" s="86"/>
      <c r="DR27" s="87"/>
      <c r="DS27" s="87"/>
      <c r="DT27" s="87"/>
      <c r="DU27" s="88"/>
      <c r="DV27" s="86"/>
      <c r="DW27" s="87"/>
      <c r="DX27" s="87"/>
      <c r="DY27" s="87"/>
      <c r="DZ27" s="88"/>
      <c r="EA27" s="86"/>
      <c r="EB27" s="87"/>
      <c r="EC27" s="87"/>
      <c r="ED27" s="87"/>
      <c r="EE27" s="88"/>
      <c r="EF27" s="86"/>
      <c r="EG27" s="87"/>
      <c r="EH27" s="87"/>
      <c r="EI27" s="87"/>
      <c r="EJ27" s="88"/>
      <c r="EK27" s="86"/>
      <c r="EL27" s="87"/>
      <c r="EM27" s="87"/>
      <c r="EN27" s="87"/>
      <c r="EO27" s="88"/>
      <c r="EP27" s="86"/>
      <c r="EQ27" s="87"/>
      <c r="ER27" s="87"/>
      <c r="ES27" s="87"/>
      <c r="ET27" s="88"/>
      <c r="EU27" s="86"/>
      <c r="EV27" s="87"/>
      <c r="EW27" s="87"/>
      <c r="EX27" s="87"/>
      <c r="EY27" s="88"/>
      <c r="EZ27" s="86"/>
      <c r="FA27" s="87"/>
      <c r="FB27" s="87"/>
      <c r="FC27" s="87"/>
      <c r="FD27" s="88"/>
      <c r="FE27" s="86"/>
      <c r="FF27" s="87"/>
      <c r="FG27" s="87"/>
      <c r="FH27" s="87"/>
      <c r="FI27" s="88"/>
      <c r="FJ27" s="86"/>
      <c r="FK27" s="87"/>
      <c r="FL27" s="87"/>
      <c r="FM27" s="87"/>
      <c r="FN27" s="88"/>
      <c r="FO27" s="86"/>
      <c r="FP27" s="87"/>
      <c r="FQ27" s="87"/>
      <c r="FR27" s="87"/>
      <c r="FS27" s="88"/>
      <c r="FT27" s="86"/>
      <c r="FU27" s="87"/>
      <c r="FV27" s="87"/>
      <c r="FW27" s="87"/>
      <c r="FX27" s="88"/>
      <c r="FY27" s="86"/>
      <c r="FZ27" s="87"/>
      <c r="GA27" s="87"/>
      <c r="GB27" s="87"/>
      <c r="GC27" s="88"/>
      <c r="GD27" s="86"/>
      <c r="GE27" s="87"/>
      <c r="GF27" s="87"/>
      <c r="GG27" s="87"/>
      <c r="GH27" s="88"/>
      <c r="GI27" s="86"/>
      <c r="GJ27" s="87"/>
      <c r="GK27" s="87"/>
      <c r="GL27" s="87"/>
      <c r="GM27" s="88"/>
      <c r="GN27" s="86"/>
      <c r="GO27" s="87"/>
      <c r="GP27" s="87"/>
      <c r="GQ27" s="87"/>
      <c r="GR27" s="88"/>
    </row>
    <row r="28" spans="1:200" ht="11.25" customHeight="1" x14ac:dyDescent="0.3">
      <c r="A28" s="327"/>
      <c r="B28" s="316"/>
      <c r="C28" s="316"/>
      <c r="D28" s="316"/>
      <c r="E28" s="316"/>
      <c r="F28" s="316"/>
      <c r="G28" s="317"/>
      <c r="H28" s="328"/>
      <c r="I28" s="329"/>
      <c r="J28" s="329"/>
      <c r="K28" s="329"/>
      <c r="L28" s="329"/>
      <c r="M28" s="329"/>
      <c r="N28" s="329"/>
      <c r="O28" s="329"/>
      <c r="P28" s="329"/>
      <c r="Q28" s="329"/>
      <c r="R28" s="329"/>
      <c r="S28" s="329"/>
      <c r="T28" s="329"/>
      <c r="U28" s="329"/>
      <c r="V28" s="329"/>
      <c r="W28" s="329"/>
      <c r="X28" s="329"/>
      <c r="Y28" s="329"/>
      <c r="Z28" s="329"/>
      <c r="AA28" s="329"/>
      <c r="AB28" s="329"/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/>
      <c r="AS28" s="329"/>
      <c r="AT28" s="329"/>
      <c r="AU28" s="329"/>
      <c r="AV28" s="329"/>
      <c r="AW28" s="329"/>
      <c r="AX28" s="329"/>
      <c r="AY28" s="329"/>
      <c r="AZ28" s="329"/>
      <c r="BA28" s="329"/>
      <c r="BB28" s="329"/>
      <c r="BC28" s="329"/>
      <c r="BD28" s="330"/>
      <c r="BE28" s="309"/>
      <c r="BF28" s="310"/>
      <c r="BG28" s="310"/>
      <c r="BH28" s="310"/>
      <c r="BI28" s="310"/>
      <c r="BJ28" s="311"/>
      <c r="BK28" s="296"/>
      <c r="BL28" s="297"/>
      <c r="BM28" s="297"/>
      <c r="BN28" s="297"/>
      <c r="BO28" s="297"/>
      <c r="BP28" s="298"/>
      <c r="BQ28" s="309"/>
      <c r="BR28" s="310"/>
      <c r="BS28" s="310"/>
      <c r="BT28" s="310"/>
      <c r="BU28" s="310"/>
      <c r="BV28" s="311"/>
      <c r="BW28" s="312"/>
      <c r="BX28" s="313"/>
      <c r="BY28" s="313"/>
      <c r="BZ28" s="313"/>
      <c r="CA28" s="313"/>
      <c r="CB28" s="314"/>
      <c r="CC28" s="86"/>
      <c r="CD28" s="87"/>
      <c r="CE28" s="87"/>
      <c r="CF28" s="87"/>
      <c r="CG28" s="88"/>
      <c r="CH28" s="86"/>
      <c r="CI28" s="87"/>
      <c r="CJ28" s="87"/>
      <c r="CK28" s="87"/>
      <c r="CL28" s="88"/>
      <c r="CM28" s="86"/>
      <c r="CN28" s="87"/>
      <c r="CO28" s="87"/>
      <c r="CP28" s="87"/>
      <c r="CQ28" s="88"/>
      <c r="CR28" s="86"/>
      <c r="CS28" s="87"/>
      <c r="CT28" s="87"/>
      <c r="CU28" s="87"/>
      <c r="CV28" s="88"/>
      <c r="CW28" s="86"/>
      <c r="CX28" s="87"/>
      <c r="CY28" s="87"/>
      <c r="CZ28" s="87"/>
      <c r="DA28" s="88"/>
      <c r="DB28" s="86"/>
      <c r="DC28" s="87"/>
      <c r="DD28" s="87"/>
      <c r="DE28" s="87"/>
      <c r="DF28" s="88"/>
      <c r="DG28" s="86"/>
      <c r="DH28" s="87"/>
      <c r="DI28" s="87"/>
      <c r="DJ28" s="87"/>
      <c r="DK28" s="88"/>
      <c r="DL28" s="86"/>
      <c r="DM28" s="87"/>
      <c r="DN28" s="87"/>
      <c r="DO28" s="87"/>
      <c r="DP28" s="88"/>
      <c r="DQ28" s="86"/>
      <c r="DR28" s="87"/>
      <c r="DS28" s="87"/>
      <c r="DT28" s="87"/>
      <c r="DU28" s="88"/>
      <c r="DV28" s="86"/>
      <c r="DW28" s="87"/>
      <c r="DX28" s="87"/>
      <c r="DY28" s="87"/>
      <c r="DZ28" s="88"/>
      <c r="EA28" s="86"/>
      <c r="EB28" s="87"/>
      <c r="EC28" s="87"/>
      <c r="ED28" s="87"/>
      <c r="EE28" s="88"/>
      <c r="EF28" s="86"/>
      <c r="EG28" s="87"/>
      <c r="EH28" s="87"/>
      <c r="EI28" s="87"/>
      <c r="EJ28" s="88"/>
      <c r="EK28" s="86"/>
      <c r="EL28" s="87"/>
      <c r="EM28" s="87"/>
      <c r="EN28" s="87"/>
      <c r="EO28" s="88"/>
      <c r="EP28" s="86"/>
      <c r="EQ28" s="87"/>
      <c r="ER28" s="87"/>
      <c r="ES28" s="87"/>
      <c r="ET28" s="88"/>
      <c r="EU28" s="86"/>
      <c r="EV28" s="87"/>
      <c r="EW28" s="87"/>
      <c r="EX28" s="87"/>
      <c r="EY28" s="88"/>
      <c r="EZ28" s="86"/>
      <c r="FA28" s="87"/>
      <c r="FB28" s="87"/>
      <c r="FC28" s="87"/>
      <c r="FD28" s="88"/>
      <c r="FE28" s="86"/>
      <c r="FF28" s="87"/>
      <c r="FG28" s="87"/>
      <c r="FH28" s="87"/>
      <c r="FI28" s="88"/>
      <c r="FJ28" s="86"/>
      <c r="FK28" s="87"/>
      <c r="FL28" s="87"/>
      <c r="FM28" s="87"/>
      <c r="FN28" s="88"/>
      <c r="FO28" s="86"/>
      <c r="FP28" s="87"/>
      <c r="FQ28" s="87"/>
      <c r="FR28" s="87"/>
      <c r="FS28" s="88"/>
      <c r="FT28" s="86"/>
      <c r="FU28" s="87"/>
      <c r="FV28" s="87"/>
      <c r="FW28" s="87"/>
      <c r="FX28" s="88"/>
      <c r="FY28" s="86"/>
      <c r="FZ28" s="87"/>
      <c r="GA28" s="87"/>
      <c r="GB28" s="87"/>
      <c r="GC28" s="88"/>
      <c r="GD28" s="86"/>
      <c r="GE28" s="87"/>
      <c r="GF28" s="87"/>
      <c r="GG28" s="87"/>
      <c r="GH28" s="88"/>
      <c r="GI28" s="86"/>
      <c r="GJ28" s="87"/>
      <c r="GK28" s="87"/>
      <c r="GL28" s="87"/>
      <c r="GM28" s="88"/>
      <c r="GN28" s="86"/>
      <c r="GO28" s="87"/>
      <c r="GP28" s="87"/>
      <c r="GQ28" s="87"/>
      <c r="GR28" s="88"/>
    </row>
    <row r="29" spans="1:200" ht="11.25" customHeight="1" x14ac:dyDescent="0.3">
      <c r="A29" s="318"/>
      <c r="B29" s="319"/>
      <c r="C29" s="319"/>
      <c r="D29" s="319"/>
      <c r="E29" s="319"/>
      <c r="F29" s="319"/>
      <c r="G29" s="320"/>
      <c r="H29" s="331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  <c r="AA29" s="332"/>
      <c r="AB29" s="332"/>
      <c r="AC29" s="332"/>
      <c r="AD29" s="332"/>
      <c r="AE29" s="332"/>
      <c r="AF29" s="332"/>
      <c r="AG29" s="332"/>
      <c r="AH29" s="332"/>
      <c r="AI29" s="332"/>
      <c r="AJ29" s="332"/>
      <c r="AK29" s="332"/>
      <c r="AL29" s="332"/>
      <c r="AM29" s="332"/>
      <c r="AN29" s="332"/>
      <c r="AO29" s="332"/>
      <c r="AP29" s="332"/>
      <c r="AQ29" s="332"/>
      <c r="AR29" s="332"/>
      <c r="AS29" s="332"/>
      <c r="AT29" s="332"/>
      <c r="AU29" s="332"/>
      <c r="AV29" s="332"/>
      <c r="AW29" s="332"/>
      <c r="AX29" s="332"/>
      <c r="AY29" s="332"/>
      <c r="AZ29" s="332"/>
      <c r="BA29" s="332"/>
      <c r="BB29" s="332"/>
      <c r="BC29" s="332"/>
      <c r="BD29" s="333"/>
      <c r="BE29" s="312"/>
      <c r="BF29" s="313"/>
      <c r="BG29" s="313"/>
      <c r="BH29" s="313"/>
      <c r="BI29" s="313"/>
      <c r="BJ29" s="314"/>
      <c r="BK29" s="299"/>
      <c r="BL29" s="300"/>
      <c r="BM29" s="300"/>
      <c r="BN29" s="300"/>
      <c r="BO29" s="300"/>
      <c r="BP29" s="301"/>
      <c r="BQ29" s="312"/>
      <c r="BR29" s="313"/>
      <c r="BS29" s="313"/>
      <c r="BT29" s="313"/>
      <c r="BU29" s="313"/>
      <c r="BV29" s="314"/>
      <c r="BW29" s="309"/>
      <c r="BX29" s="310"/>
      <c r="BY29" s="310"/>
      <c r="BZ29" s="310"/>
      <c r="CA29" s="310"/>
      <c r="CB29" s="311"/>
      <c r="CC29" s="86"/>
      <c r="CD29" s="87"/>
      <c r="CE29" s="87"/>
      <c r="CF29" s="87"/>
      <c r="CG29" s="88"/>
      <c r="CH29" s="86"/>
      <c r="CI29" s="87"/>
      <c r="CJ29" s="87"/>
      <c r="CK29" s="87"/>
      <c r="CL29" s="88"/>
      <c r="CM29" s="86"/>
      <c r="CN29" s="87"/>
      <c r="CO29" s="87"/>
      <c r="CP29" s="87"/>
      <c r="CQ29" s="88"/>
      <c r="CR29" s="86"/>
      <c r="CS29" s="87"/>
      <c r="CT29" s="87"/>
      <c r="CU29" s="87"/>
      <c r="CV29" s="88"/>
      <c r="CW29" s="86"/>
      <c r="CX29" s="87"/>
      <c r="CY29" s="87"/>
      <c r="CZ29" s="87"/>
      <c r="DA29" s="88"/>
      <c r="DB29" s="86"/>
      <c r="DC29" s="87"/>
      <c r="DD29" s="87"/>
      <c r="DE29" s="87"/>
      <c r="DF29" s="88"/>
      <c r="DG29" s="86"/>
      <c r="DH29" s="87"/>
      <c r="DI29" s="87"/>
      <c r="DJ29" s="87"/>
      <c r="DK29" s="88"/>
      <c r="DL29" s="86"/>
      <c r="DM29" s="87"/>
      <c r="DN29" s="87"/>
      <c r="DO29" s="87"/>
      <c r="DP29" s="88"/>
      <c r="DQ29" s="86"/>
      <c r="DR29" s="87"/>
      <c r="DS29" s="87"/>
      <c r="DT29" s="87"/>
      <c r="DU29" s="88"/>
      <c r="DV29" s="86"/>
      <c r="DW29" s="87"/>
      <c r="DX29" s="87"/>
      <c r="DY29" s="87"/>
      <c r="DZ29" s="88"/>
      <c r="EA29" s="86"/>
      <c r="EB29" s="87"/>
      <c r="EC29" s="87"/>
      <c r="ED29" s="87"/>
      <c r="EE29" s="88"/>
      <c r="EF29" s="86"/>
      <c r="EG29" s="87"/>
      <c r="EH29" s="87"/>
      <c r="EI29" s="87"/>
      <c r="EJ29" s="88"/>
      <c r="EK29" s="86"/>
      <c r="EL29" s="87"/>
      <c r="EM29" s="87"/>
      <c r="EN29" s="87"/>
      <c r="EO29" s="88"/>
      <c r="EP29" s="86"/>
      <c r="EQ29" s="87"/>
      <c r="ER29" s="87"/>
      <c r="ES29" s="87"/>
      <c r="ET29" s="88"/>
      <c r="EU29" s="86"/>
      <c r="EV29" s="87"/>
      <c r="EW29" s="87"/>
      <c r="EX29" s="87"/>
      <c r="EY29" s="88"/>
      <c r="EZ29" s="86"/>
      <c r="FA29" s="87"/>
      <c r="FB29" s="87"/>
      <c r="FC29" s="87"/>
      <c r="FD29" s="88"/>
      <c r="FE29" s="86"/>
      <c r="FF29" s="87"/>
      <c r="FG29" s="87"/>
      <c r="FH29" s="87"/>
      <c r="FI29" s="88"/>
      <c r="FJ29" s="86"/>
      <c r="FK29" s="87"/>
      <c r="FL29" s="87"/>
      <c r="FM29" s="87"/>
      <c r="FN29" s="88"/>
      <c r="FO29" s="86"/>
      <c r="FP29" s="87"/>
      <c r="FQ29" s="87"/>
      <c r="FR29" s="87"/>
      <c r="FS29" s="88"/>
      <c r="FT29" s="86"/>
      <c r="FU29" s="87"/>
      <c r="FV29" s="87"/>
      <c r="FW29" s="87"/>
      <c r="FX29" s="88"/>
      <c r="FY29" s="86"/>
      <c r="FZ29" s="87"/>
      <c r="GA29" s="87"/>
      <c r="GB29" s="87"/>
      <c r="GC29" s="88"/>
      <c r="GD29" s="86"/>
      <c r="GE29" s="87"/>
      <c r="GF29" s="87"/>
      <c r="GG29" s="87"/>
      <c r="GH29" s="88"/>
      <c r="GI29" s="86"/>
      <c r="GJ29" s="87"/>
      <c r="GK29" s="87"/>
      <c r="GL29" s="87"/>
      <c r="GM29" s="88"/>
      <c r="GN29" s="86"/>
      <c r="GO29" s="87"/>
      <c r="GP29" s="87"/>
      <c r="GQ29" s="87"/>
      <c r="GR29" s="88"/>
    </row>
    <row r="30" spans="1:200" ht="11.25" customHeight="1" x14ac:dyDescent="0.3">
      <c r="A30" s="327"/>
      <c r="B30" s="316"/>
      <c r="C30" s="316"/>
      <c r="D30" s="316"/>
      <c r="E30" s="316"/>
      <c r="F30" s="316"/>
      <c r="G30" s="317"/>
      <c r="H30" s="328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V30" s="329"/>
      <c r="W30" s="329"/>
      <c r="X30" s="329"/>
      <c r="Y30" s="329"/>
      <c r="Z30" s="329"/>
      <c r="AA30" s="329"/>
      <c r="AB30" s="329"/>
      <c r="AC30" s="329"/>
      <c r="AD30" s="329"/>
      <c r="AE30" s="329"/>
      <c r="AF30" s="329"/>
      <c r="AG30" s="329"/>
      <c r="AH30" s="329"/>
      <c r="AI30" s="329"/>
      <c r="AJ30" s="329"/>
      <c r="AK30" s="329"/>
      <c r="AL30" s="329"/>
      <c r="AM30" s="329"/>
      <c r="AN30" s="329"/>
      <c r="AO30" s="329"/>
      <c r="AP30" s="329"/>
      <c r="AQ30" s="329"/>
      <c r="AR30" s="329"/>
      <c r="AS30" s="329"/>
      <c r="AT30" s="329"/>
      <c r="AU30" s="329"/>
      <c r="AV30" s="329"/>
      <c r="AW30" s="329"/>
      <c r="AX30" s="329"/>
      <c r="AY30" s="329"/>
      <c r="AZ30" s="329"/>
      <c r="BA30" s="329"/>
      <c r="BB30" s="329"/>
      <c r="BC30" s="329"/>
      <c r="BD30" s="330"/>
      <c r="BE30" s="309"/>
      <c r="BF30" s="310"/>
      <c r="BG30" s="310"/>
      <c r="BH30" s="310"/>
      <c r="BI30" s="310"/>
      <c r="BJ30" s="311"/>
      <c r="BK30" s="296"/>
      <c r="BL30" s="297"/>
      <c r="BM30" s="297"/>
      <c r="BN30" s="297"/>
      <c r="BO30" s="297"/>
      <c r="BP30" s="298"/>
      <c r="BQ30" s="296"/>
      <c r="BR30" s="297"/>
      <c r="BS30" s="297"/>
      <c r="BT30" s="297"/>
      <c r="BU30" s="297"/>
      <c r="BV30" s="298"/>
      <c r="BW30" s="312"/>
      <c r="BX30" s="313"/>
      <c r="BY30" s="313"/>
      <c r="BZ30" s="313"/>
      <c r="CA30" s="313"/>
      <c r="CB30" s="314"/>
      <c r="CC30" s="86"/>
      <c r="CD30" s="87"/>
      <c r="CE30" s="87"/>
      <c r="CF30" s="87"/>
      <c r="CG30" s="88"/>
      <c r="CH30" s="86"/>
      <c r="CI30" s="87"/>
      <c r="CJ30" s="87"/>
      <c r="CK30" s="87"/>
      <c r="CL30" s="88"/>
      <c r="CM30" s="86"/>
      <c r="CN30" s="87"/>
      <c r="CO30" s="87"/>
      <c r="CP30" s="87"/>
      <c r="CQ30" s="88"/>
      <c r="CR30" s="86"/>
      <c r="CS30" s="87"/>
      <c r="CT30" s="87"/>
      <c r="CU30" s="87"/>
      <c r="CV30" s="88"/>
      <c r="CW30" s="86"/>
      <c r="CX30" s="87"/>
      <c r="CY30" s="87"/>
      <c r="CZ30" s="87"/>
      <c r="DA30" s="88"/>
      <c r="DB30" s="86"/>
      <c r="DC30" s="87"/>
      <c r="DD30" s="87"/>
      <c r="DE30" s="87"/>
      <c r="DF30" s="88"/>
      <c r="DG30" s="86"/>
      <c r="DH30" s="87"/>
      <c r="DI30" s="87"/>
      <c r="DJ30" s="87"/>
      <c r="DK30" s="88"/>
      <c r="DL30" s="86"/>
      <c r="DM30" s="87"/>
      <c r="DN30" s="87"/>
      <c r="DO30" s="87"/>
      <c r="DP30" s="88"/>
      <c r="DQ30" s="86"/>
      <c r="DR30" s="87"/>
      <c r="DS30" s="87"/>
      <c r="DT30" s="87"/>
      <c r="DU30" s="88"/>
      <c r="DV30" s="86"/>
      <c r="DW30" s="87"/>
      <c r="DX30" s="87"/>
      <c r="DY30" s="87"/>
      <c r="DZ30" s="88"/>
      <c r="EA30" s="86"/>
      <c r="EB30" s="87"/>
      <c r="EC30" s="87"/>
      <c r="ED30" s="87"/>
      <c r="EE30" s="88"/>
      <c r="EF30" s="86"/>
      <c r="EG30" s="87"/>
      <c r="EH30" s="87"/>
      <c r="EI30" s="87"/>
      <c r="EJ30" s="88"/>
      <c r="EK30" s="86"/>
      <c r="EL30" s="87"/>
      <c r="EM30" s="87"/>
      <c r="EN30" s="87"/>
      <c r="EO30" s="88"/>
      <c r="EP30" s="86"/>
      <c r="EQ30" s="87"/>
      <c r="ER30" s="87"/>
      <c r="ES30" s="87"/>
      <c r="ET30" s="88"/>
      <c r="EU30" s="86"/>
      <c r="EV30" s="87"/>
      <c r="EW30" s="87"/>
      <c r="EX30" s="87"/>
      <c r="EY30" s="88"/>
      <c r="EZ30" s="86"/>
      <c r="FA30" s="87"/>
      <c r="FB30" s="87"/>
      <c r="FC30" s="87"/>
      <c r="FD30" s="88"/>
      <c r="FE30" s="86"/>
      <c r="FF30" s="87"/>
      <c r="FG30" s="87"/>
      <c r="FH30" s="87"/>
      <c r="FI30" s="88"/>
      <c r="FJ30" s="86"/>
      <c r="FK30" s="87"/>
      <c r="FL30" s="87"/>
      <c r="FM30" s="87"/>
      <c r="FN30" s="88"/>
      <c r="FO30" s="86"/>
      <c r="FP30" s="87"/>
      <c r="FQ30" s="87"/>
      <c r="FR30" s="87"/>
      <c r="FS30" s="88"/>
      <c r="FT30" s="86"/>
      <c r="FU30" s="87"/>
      <c r="FV30" s="87"/>
      <c r="FW30" s="87"/>
      <c r="FX30" s="88"/>
      <c r="FY30" s="86"/>
      <c r="FZ30" s="87"/>
      <c r="GA30" s="87"/>
      <c r="GB30" s="87"/>
      <c r="GC30" s="88"/>
      <c r="GD30" s="86"/>
      <c r="GE30" s="87"/>
      <c r="GF30" s="87"/>
      <c r="GG30" s="87"/>
      <c r="GH30" s="88"/>
      <c r="GI30" s="86"/>
      <c r="GJ30" s="87"/>
      <c r="GK30" s="87"/>
      <c r="GL30" s="87"/>
      <c r="GM30" s="88"/>
      <c r="GN30" s="86"/>
      <c r="GO30" s="87"/>
      <c r="GP30" s="87"/>
      <c r="GQ30" s="87"/>
      <c r="GR30" s="88"/>
    </row>
    <row r="31" spans="1:200" ht="11.25" customHeight="1" x14ac:dyDescent="0.3">
      <c r="A31" s="318"/>
      <c r="B31" s="319"/>
      <c r="C31" s="319"/>
      <c r="D31" s="319"/>
      <c r="E31" s="319"/>
      <c r="F31" s="319"/>
      <c r="G31" s="320"/>
      <c r="H31" s="331"/>
      <c r="I31" s="332"/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  <c r="AA31" s="332"/>
      <c r="AB31" s="332"/>
      <c r="AC31" s="332"/>
      <c r="AD31" s="332"/>
      <c r="AE31" s="332"/>
      <c r="AF31" s="332"/>
      <c r="AG31" s="332"/>
      <c r="AH31" s="332"/>
      <c r="AI31" s="332"/>
      <c r="AJ31" s="332"/>
      <c r="AK31" s="332"/>
      <c r="AL31" s="332"/>
      <c r="AM31" s="332"/>
      <c r="AN31" s="332"/>
      <c r="AO31" s="332"/>
      <c r="AP31" s="332"/>
      <c r="AQ31" s="332"/>
      <c r="AR31" s="332"/>
      <c r="AS31" s="332"/>
      <c r="AT31" s="332"/>
      <c r="AU31" s="332"/>
      <c r="AV31" s="332"/>
      <c r="AW31" s="332"/>
      <c r="AX31" s="332"/>
      <c r="AY31" s="332"/>
      <c r="AZ31" s="332"/>
      <c r="BA31" s="332"/>
      <c r="BB31" s="332"/>
      <c r="BC31" s="332"/>
      <c r="BD31" s="333"/>
      <c r="BE31" s="312"/>
      <c r="BF31" s="313"/>
      <c r="BG31" s="313"/>
      <c r="BH31" s="313"/>
      <c r="BI31" s="313"/>
      <c r="BJ31" s="314"/>
      <c r="BK31" s="299"/>
      <c r="BL31" s="300"/>
      <c r="BM31" s="300"/>
      <c r="BN31" s="300"/>
      <c r="BO31" s="300"/>
      <c r="BP31" s="301"/>
      <c r="BQ31" s="299"/>
      <c r="BR31" s="300"/>
      <c r="BS31" s="300"/>
      <c r="BT31" s="300"/>
      <c r="BU31" s="300"/>
      <c r="BV31" s="301"/>
      <c r="BW31" s="309"/>
      <c r="BX31" s="310"/>
      <c r="BY31" s="310"/>
      <c r="BZ31" s="310"/>
      <c r="CA31" s="310"/>
      <c r="CB31" s="311"/>
      <c r="CC31" s="86"/>
      <c r="CD31" s="87"/>
      <c r="CE31" s="87"/>
      <c r="CF31" s="87"/>
      <c r="CG31" s="88"/>
      <c r="CH31" s="86"/>
      <c r="CI31" s="87"/>
      <c r="CJ31" s="87"/>
      <c r="CK31" s="87"/>
      <c r="CL31" s="88"/>
      <c r="CM31" s="86"/>
      <c r="CN31" s="87"/>
      <c r="CO31" s="87"/>
      <c r="CP31" s="87"/>
      <c r="CQ31" s="88"/>
      <c r="CR31" s="86"/>
      <c r="CS31" s="87"/>
      <c r="CT31" s="87"/>
      <c r="CU31" s="87"/>
      <c r="CV31" s="88"/>
      <c r="CW31" s="86"/>
      <c r="CX31" s="87"/>
      <c r="CY31" s="87"/>
      <c r="CZ31" s="87"/>
      <c r="DA31" s="88"/>
      <c r="DB31" s="86"/>
      <c r="DC31" s="87"/>
      <c r="DD31" s="87"/>
      <c r="DE31" s="87"/>
      <c r="DF31" s="88"/>
      <c r="DG31" s="86"/>
      <c r="DH31" s="87"/>
      <c r="DI31" s="87"/>
      <c r="DJ31" s="87"/>
      <c r="DK31" s="88"/>
      <c r="DL31" s="86"/>
      <c r="DM31" s="87"/>
      <c r="DN31" s="87"/>
      <c r="DO31" s="87"/>
      <c r="DP31" s="88"/>
      <c r="DQ31" s="86"/>
      <c r="DR31" s="87"/>
      <c r="DS31" s="87"/>
      <c r="DT31" s="87"/>
      <c r="DU31" s="88"/>
      <c r="DV31" s="86"/>
      <c r="DW31" s="87"/>
      <c r="DX31" s="87"/>
      <c r="DY31" s="87"/>
      <c r="DZ31" s="88"/>
      <c r="EA31" s="86"/>
      <c r="EB31" s="87"/>
      <c r="EC31" s="87"/>
      <c r="ED31" s="87"/>
      <c r="EE31" s="88"/>
      <c r="EF31" s="86"/>
      <c r="EG31" s="87"/>
      <c r="EH31" s="87"/>
      <c r="EI31" s="87"/>
      <c r="EJ31" s="88"/>
      <c r="EK31" s="86"/>
      <c r="EL31" s="87"/>
      <c r="EM31" s="87"/>
      <c r="EN31" s="87"/>
      <c r="EO31" s="88"/>
      <c r="EP31" s="86"/>
      <c r="EQ31" s="87"/>
      <c r="ER31" s="87"/>
      <c r="ES31" s="87"/>
      <c r="ET31" s="88"/>
      <c r="EU31" s="86"/>
      <c r="EV31" s="87"/>
      <c r="EW31" s="87"/>
      <c r="EX31" s="87"/>
      <c r="EY31" s="88"/>
      <c r="EZ31" s="86"/>
      <c r="FA31" s="87"/>
      <c r="FB31" s="87"/>
      <c r="FC31" s="87"/>
      <c r="FD31" s="88"/>
      <c r="FE31" s="86"/>
      <c r="FF31" s="87"/>
      <c r="FG31" s="87"/>
      <c r="FH31" s="87"/>
      <c r="FI31" s="88"/>
      <c r="FJ31" s="86"/>
      <c r="FK31" s="87"/>
      <c r="FL31" s="87"/>
      <c r="FM31" s="87"/>
      <c r="FN31" s="88"/>
      <c r="FO31" s="86"/>
      <c r="FP31" s="87"/>
      <c r="FQ31" s="87"/>
      <c r="FR31" s="87"/>
      <c r="FS31" s="88"/>
      <c r="FT31" s="86"/>
      <c r="FU31" s="87"/>
      <c r="FV31" s="87"/>
      <c r="FW31" s="87"/>
      <c r="FX31" s="88"/>
      <c r="FY31" s="86"/>
      <c r="FZ31" s="87"/>
      <c r="GA31" s="87"/>
      <c r="GB31" s="87"/>
      <c r="GC31" s="88"/>
      <c r="GD31" s="86"/>
      <c r="GE31" s="87"/>
      <c r="GF31" s="87"/>
      <c r="GG31" s="87"/>
      <c r="GH31" s="88"/>
      <c r="GI31" s="86"/>
      <c r="GJ31" s="87"/>
      <c r="GK31" s="87"/>
      <c r="GL31" s="87"/>
      <c r="GM31" s="88"/>
      <c r="GN31" s="86"/>
      <c r="GO31" s="87"/>
      <c r="GP31" s="87"/>
      <c r="GQ31" s="87"/>
      <c r="GR31" s="88"/>
    </row>
    <row r="32" spans="1:200" ht="11.25" customHeight="1" x14ac:dyDescent="0.3">
      <c r="A32" s="327"/>
      <c r="B32" s="316"/>
      <c r="C32" s="316"/>
      <c r="D32" s="316"/>
      <c r="E32" s="316"/>
      <c r="F32" s="316"/>
      <c r="G32" s="317"/>
      <c r="H32" s="328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  <c r="AA32" s="329"/>
      <c r="AB32" s="329"/>
      <c r="AC32" s="329"/>
      <c r="AD32" s="329"/>
      <c r="AE32" s="329"/>
      <c r="AF32" s="329"/>
      <c r="AG32" s="329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329"/>
      <c r="AU32" s="329"/>
      <c r="AV32" s="329"/>
      <c r="AW32" s="329"/>
      <c r="AX32" s="329"/>
      <c r="AY32" s="329"/>
      <c r="AZ32" s="329"/>
      <c r="BA32" s="329"/>
      <c r="BB32" s="329"/>
      <c r="BC32" s="329"/>
      <c r="BD32" s="330"/>
      <c r="BE32" s="309"/>
      <c r="BF32" s="310"/>
      <c r="BG32" s="310"/>
      <c r="BH32" s="310"/>
      <c r="BI32" s="310"/>
      <c r="BJ32" s="311"/>
      <c r="BK32" s="296"/>
      <c r="BL32" s="297"/>
      <c r="BM32" s="297"/>
      <c r="BN32" s="297"/>
      <c r="BO32" s="297"/>
      <c r="BP32" s="298"/>
      <c r="BQ32" s="309"/>
      <c r="BR32" s="310"/>
      <c r="BS32" s="310"/>
      <c r="BT32" s="310"/>
      <c r="BU32" s="310"/>
      <c r="BV32" s="311"/>
      <c r="BW32" s="312"/>
      <c r="BX32" s="313"/>
      <c r="BY32" s="313"/>
      <c r="BZ32" s="313"/>
      <c r="CA32" s="313"/>
      <c r="CB32" s="314"/>
      <c r="CC32" s="86"/>
      <c r="CD32" s="87"/>
      <c r="CE32" s="87"/>
      <c r="CF32" s="87"/>
      <c r="CG32" s="88"/>
      <c r="CH32" s="86"/>
      <c r="CI32" s="87"/>
      <c r="CJ32" s="87"/>
      <c r="CK32" s="87"/>
      <c r="CL32" s="88"/>
      <c r="CM32" s="86"/>
      <c r="CN32" s="87"/>
      <c r="CO32" s="87"/>
      <c r="CP32" s="87"/>
      <c r="CQ32" s="88"/>
      <c r="CR32" s="86"/>
      <c r="CS32" s="87"/>
      <c r="CT32" s="87"/>
      <c r="CU32" s="87"/>
      <c r="CV32" s="88"/>
      <c r="CW32" s="86"/>
      <c r="CX32" s="87"/>
      <c r="CY32" s="87"/>
      <c r="CZ32" s="87"/>
      <c r="DA32" s="88"/>
      <c r="DB32" s="86"/>
      <c r="DC32" s="87"/>
      <c r="DD32" s="87"/>
      <c r="DE32" s="87"/>
      <c r="DF32" s="88"/>
      <c r="DG32" s="86"/>
      <c r="DH32" s="87"/>
      <c r="DI32" s="87"/>
      <c r="DJ32" s="87"/>
      <c r="DK32" s="88"/>
      <c r="DL32" s="86"/>
      <c r="DM32" s="87"/>
      <c r="DN32" s="87"/>
      <c r="DO32" s="87"/>
      <c r="DP32" s="88"/>
      <c r="DQ32" s="86"/>
      <c r="DR32" s="87"/>
      <c r="DS32" s="87"/>
      <c r="DT32" s="87"/>
      <c r="DU32" s="88"/>
      <c r="DV32" s="86"/>
      <c r="DW32" s="87"/>
      <c r="DX32" s="87"/>
      <c r="DY32" s="87"/>
      <c r="DZ32" s="88"/>
      <c r="EA32" s="86"/>
      <c r="EB32" s="87"/>
      <c r="EC32" s="87"/>
      <c r="ED32" s="87"/>
      <c r="EE32" s="88"/>
      <c r="EF32" s="86"/>
      <c r="EG32" s="87"/>
      <c r="EH32" s="87"/>
      <c r="EI32" s="87"/>
      <c r="EJ32" s="88"/>
      <c r="EK32" s="86"/>
      <c r="EL32" s="87"/>
      <c r="EM32" s="87"/>
      <c r="EN32" s="87"/>
      <c r="EO32" s="88"/>
      <c r="EP32" s="86"/>
      <c r="EQ32" s="87"/>
      <c r="ER32" s="87"/>
      <c r="ES32" s="87"/>
      <c r="ET32" s="88"/>
      <c r="EU32" s="86"/>
      <c r="EV32" s="87"/>
      <c r="EW32" s="87"/>
      <c r="EX32" s="87"/>
      <c r="EY32" s="88"/>
      <c r="EZ32" s="86"/>
      <c r="FA32" s="87"/>
      <c r="FB32" s="87"/>
      <c r="FC32" s="87"/>
      <c r="FD32" s="88"/>
      <c r="FE32" s="86"/>
      <c r="FF32" s="87"/>
      <c r="FG32" s="87"/>
      <c r="FH32" s="87"/>
      <c r="FI32" s="88"/>
      <c r="FJ32" s="86"/>
      <c r="FK32" s="87"/>
      <c r="FL32" s="87"/>
      <c r="FM32" s="87"/>
      <c r="FN32" s="88"/>
      <c r="FO32" s="86"/>
      <c r="FP32" s="87"/>
      <c r="FQ32" s="87"/>
      <c r="FR32" s="87"/>
      <c r="FS32" s="88"/>
      <c r="FT32" s="86"/>
      <c r="FU32" s="87"/>
      <c r="FV32" s="87"/>
      <c r="FW32" s="87"/>
      <c r="FX32" s="88"/>
      <c r="FY32" s="86"/>
      <c r="FZ32" s="87"/>
      <c r="GA32" s="87"/>
      <c r="GB32" s="87"/>
      <c r="GC32" s="88"/>
      <c r="GD32" s="86"/>
      <c r="GE32" s="87"/>
      <c r="GF32" s="87"/>
      <c r="GG32" s="87"/>
      <c r="GH32" s="88"/>
      <c r="GI32" s="86"/>
      <c r="GJ32" s="87"/>
      <c r="GK32" s="87"/>
      <c r="GL32" s="87"/>
      <c r="GM32" s="88"/>
      <c r="GN32" s="86"/>
      <c r="GO32" s="87"/>
      <c r="GP32" s="87"/>
      <c r="GQ32" s="87"/>
      <c r="GR32" s="88"/>
    </row>
    <row r="33" spans="1:200" ht="11.25" customHeight="1" x14ac:dyDescent="0.3">
      <c r="A33" s="318"/>
      <c r="B33" s="319"/>
      <c r="C33" s="319"/>
      <c r="D33" s="319"/>
      <c r="E33" s="319"/>
      <c r="F33" s="319"/>
      <c r="G33" s="320"/>
      <c r="H33" s="331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  <c r="AA33" s="332"/>
      <c r="AB33" s="332"/>
      <c r="AC33" s="332"/>
      <c r="AD33" s="332"/>
      <c r="AE33" s="332"/>
      <c r="AF33" s="332"/>
      <c r="AG33" s="332"/>
      <c r="AH33" s="332"/>
      <c r="AI33" s="332"/>
      <c r="AJ33" s="332"/>
      <c r="AK33" s="332"/>
      <c r="AL33" s="332"/>
      <c r="AM33" s="332"/>
      <c r="AN33" s="332"/>
      <c r="AO33" s="332"/>
      <c r="AP33" s="332"/>
      <c r="AQ33" s="332"/>
      <c r="AR33" s="332"/>
      <c r="AS33" s="332"/>
      <c r="AT33" s="332"/>
      <c r="AU33" s="332"/>
      <c r="AV33" s="332"/>
      <c r="AW33" s="332"/>
      <c r="AX33" s="332"/>
      <c r="AY33" s="332"/>
      <c r="AZ33" s="332"/>
      <c r="BA33" s="332"/>
      <c r="BB33" s="332"/>
      <c r="BC33" s="332"/>
      <c r="BD33" s="333"/>
      <c r="BE33" s="312"/>
      <c r="BF33" s="313"/>
      <c r="BG33" s="313"/>
      <c r="BH33" s="313"/>
      <c r="BI33" s="313"/>
      <c r="BJ33" s="314"/>
      <c r="BK33" s="299"/>
      <c r="BL33" s="300"/>
      <c r="BM33" s="300"/>
      <c r="BN33" s="300"/>
      <c r="BO33" s="300"/>
      <c r="BP33" s="301"/>
      <c r="BQ33" s="312"/>
      <c r="BR33" s="313"/>
      <c r="BS33" s="313"/>
      <c r="BT33" s="313"/>
      <c r="BU33" s="313"/>
      <c r="BV33" s="314"/>
      <c r="BW33" s="309"/>
      <c r="BX33" s="310"/>
      <c r="BY33" s="310"/>
      <c r="BZ33" s="310"/>
      <c r="CA33" s="310"/>
      <c r="CB33" s="311"/>
      <c r="CC33" s="86"/>
      <c r="CD33" s="87"/>
      <c r="CE33" s="87"/>
      <c r="CF33" s="87"/>
      <c r="CG33" s="88"/>
      <c r="CH33" s="86"/>
      <c r="CI33" s="87"/>
      <c r="CJ33" s="87"/>
      <c r="CK33" s="87"/>
      <c r="CL33" s="88"/>
      <c r="CM33" s="86"/>
      <c r="CN33" s="87"/>
      <c r="CO33" s="87"/>
      <c r="CP33" s="87"/>
      <c r="CQ33" s="88"/>
      <c r="CR33" s="86"/>
      <c r="CS33" s="87"/>
      <c r="CT33" s="87"/>
      <c r="CU33" s="87"/>
      <c r="CV33" s="88"/>
      <c r="CW33" s="86"/>
      <c r="CX33" s="87"/>
      <c r="CY33" s="87"/>
      <c r="CZ33" s="87"/>
      <c r="DA33" s="88"/>
      <c r="DB33" s="86"/>
      <c r="DC33" s="87"/>
      <c r="DD33" s="87"/>
      <c r="DE33" s="87"/>
      <c r="DF33" s="88"/>
      <c r="DG33" s="86"/>
      <c r="DH33" s="87"/>
      <c r="DI33" s="87"/>
      <c r="DJ33" s="87"/>
      <c r="DK33" s="88"/>
      <c r="DL33" s="86"/>
      <c r="DM33" s="87"/>
      <c r="DN33" s="87"/>
      <c r="DO33" s="87"/>
      <c r="DP33" s="88"/>
      <c r="DQ33" s="86"/>
      <c r="DR33" s="87"/>
      <c r="DS33" s="87"/>
      <c r="DT33" s="87"/>
      <c r="DU33" s="88"/>
      <c r="DV33" s="86"/>
      <c r="DW33" s="87"/>
      <c r="DX33" s="87"/>
      <c r="DY33" s="87"/>
      <c r="DZ33" s="88"/>
      <c r="EA33" s="86"/>
      <c r="EB33" s="87"/>
      <c r="EC33" s="87"/>
      <c r="ED33" s="87"/>
      <c r="EE33" s="88"/>
      <c r="EF33" s="86"/>
      <c r="EG33" s="87"/>
      <c r="EH33" s="87"/>
      <c r="EI33" s="87"/>
      <c r="EJ33" s="88"/>
      <c r="EK33" s="86"/>
      <c r="EL33" s="87"/>
      <c r="EM33" s="87"/>
      <c r="EN33" s="87"/>
      <c r="EO33" s="88"/>
      <c r="EP33" s="86"/>
      <c r="EQ33" s="87"/>
      <c r="ER33" s="87"/>
      <c r="ES33" s="87"/>
      <c r="ET33" s="88"/>
      <c r="EU33" s="86"/>
      <c r="EV33" s="87"/>
      <c r="EW33" s="87"/>
      <c r="EX33" s="87"/>
      <c r="EY33" s="88"/>
      <c r="EZ33" s="86"/>
      <c r="FA33" s="87"/>
      <c r="FB33" s="87"/>
      <c r="FC33" s="87"/>
      <c r="FD33" s="88"/>
      <c r="FE33" s="86"/>
      <c r="FF33" s="87"/>
      <c r="FG33" s="87"/>
      <c r="FH33" s="87"/>
      <c r="FI33" s="88"/>
      <c r="FJ33" s="86"/>
      <c r="FK33" s="87"/>
      <c r="FL33" s="87"/>
      <c r="FM33" s="87"/>
      <c r="FN33" s="88"/>
      <c r="FO33" s="86"/>
      <c r="FP33" s="87"/>
      <c r="FQ33" s="87"/>
      <c r="FR33" s="87"/>
      <c r="FS33" s="88"/>
      <c r="FT33" s="86"/>
      <c r="FU33" s="87"/>
      <c r="FV33" s="87"/>
      <c r="FW33" s="87"/>
      <c r="FX33" s="88"/>
      <c r="FY33" s="86"/>
      <c r="FZ33" s="87"/>
      <c r="GA33" s="87"/>
      <c r="GB33" s="87"/>
      <c r="GC33" s="88"/>
      <c r="GD33" s="86"/>
      <c r="GE33" s="87"/>
      <c r="GF33" s="87"/>
      <c r="GG33" s="87"/>
      <c r="GH33" s="88"/>
      <c r="GI33" s="86"/>
      <c r="GJ33" s="87"/>
      <c r="GK33" s="87"/>
      <c r="GL33" s="87"/>
      <c r="GM33" s="88"/>
      <c r="GN33" s="86"/>
      <c r="GO33" s="87"/>
      <c r="GP33" s="87"/>
      <c r="GQ33" s="87"/>
      <c r="GR33" s="88"/>
    </row>
    <row r="34" spans="1:200" ht="11.25" customHeight="1" x14ac:dyDescent="0.3">
      <c r="A34" s="327"/>
      <c r="B34" s="316"/>
      <c r="C34" s="316"/>
      <c r="D34" s="316"/>
      <c r="E34" s="316"/>
      <c r="F34" s="316"/>
      <c r="G34" s="317"/>
      <c r="H34" s="328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V34" s="329"/>
      <c r="W34" s="329"/>
      <c r="X34" s="329"/>
      <c r="Y34" s="329"/>
      <c r="Z34" s="329"/>
      <c r="AA34" s="329"/>
      <c r="AB34" s="329"/>
      <c r="AC34" s="329"/>
      <c r="AD34" s="329"/>
      <c r="AE34" s="329"/>
      <c r="AF34" s="329"/>
      <c r="AG34" s="329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329"/>
      <c r="AU34" s="329"/>
      <c r="AV34" s="329"/>
      <c r="AW34" s="329"/>
      <c r="AX34" s="329"/>
      <c r="AY34" s="329"/>
      <c r="AZ34" s="329"/>
      <c r="BA34" s="329"/>
      <c r="BB34" s="329"/>
      <c r="BC34" s="329"/>
      <c r="BD34" s="330"/>
      <c r="BE34" s="309"/>
      <c r="BF34" s="310"/>
      <c r="BG34" s="310"/>
      <c r="BH34" s="310"/>
      <c r="BI34" s="310"/>
      <c r="BJ34" s="311"/>
      <c r="BK34" s="296"/>
      <c r="BL34" s="297"/>
      <c r="BM34" s="297"/>
      <c r="BN34" s="297"/>
      <c r="BO34" s="297"/>
      <c r="BP34" s="298"/>
      <c r="BQ34" s="334"/>
      <c r="BR34" s="335"/>
      <c r="BS34" s="335"/>
      <c r="BT34" s="335"/>
      <c r="BU34" s="335"/>
      <c r="BV34" s="336"/>
      <c r="BW34" s="312"/>
      <c r="BX34" s="313"/>
      <c r="BY34" s="313"/>
      <c r="BZ34" s="313"/>
      <c r="CA34" s="313"/>
      <c r="CB34" s="314"/>
      <c r="CC34" s="86"/>
      <c r="CD34" s="87"/>
      <c r="CE34" s="87"/>
      <c r="CF34" s="87"/>
      <c r="CG34" s="88"/>
      <c r="CH34" s="86"/>
      <c r="CI34" s="87"/>
      <c r="CJ34" s="87"/>
      <c r="CK34" s="87"/>
      <c r="CL34" s="88"/>
      <c r="CM34" s="86"/>
      <c r="CN34" s="87"/>
      <c r="CO34" s="87"/>
      <c r="CP34" s="87"/>
      <c r="CQ34" s="88"/>
      <c r="CR34" s="86"/>
      <c r="CS34" s="87"/>
      <c r="CT34" s="87"/>
      <c r="CU34" s="87"/>
      <c r="CV34" s="88"/>
      <c r="CW34" s="86"/>
      <c r="CX34" s="87"/>
      <c r="CY34" s="87"/>
      <c r="CZ34" s="87"/>
      <c r="DA34" s="88"/>
      <c r="DB34" s="86"/>
      <c r="DC34" s="87"/>
      <c r="DD34" s="87"/>
      <c r="DE34" s="87"/>
      <c r="DF34" s="88"/>
      <c r="DG34" s="86"/>
      <c r="DH34" s="87"/>
      <c r="DI34" s="87"/>
      <c r="DJ34" s="87"/>
      <c r="DK34" s="88"/>
      <c r="DL34" s="86"/>
      <c r="DM34" s="87"/>
      <c r="DN34" s="87"/>
      <c r="DO34" s="87"/>
      <c r="DP34" s="88"/>
      <c r="DQ34" s="86"/>
      <c r="DR34" s="87"/>
      <c r="DS34" s="87"/>
      <c r="DT34" s="87"/>
      <c r="DU34" s="88"/>
      <c r="DV34" s="86"/>
      <c r="DW34" s="87"/>
      <c r="DX34" s="87"/>
      <c r="DY34" s="87"/>
      <c r="DZ34" s="88"/>
      <c r="EA34" s="86"/>
      <c r="EB34" s="87"/>
      <c r="EC34" s="87"/>
      <c r="ED34" s="87"/>
      <c r="EE34" s="88"/>
      <c r="EF34" s="86"/>
      <c r="EG34" s="87"/>
      <c r="EH34" s="87"/>
      <c r="EI34" s="87"/>
      <c r="EJ34" s="88"/>
      <c r="EK34" s="86"/>
      <c r="EL34" s="87"/>
      <c r="EM34" s="87"/>
      <c r="EN34" s="87"/>
      <c r="EO34" s="88"/>
      <c r="EP34" s="86"/>
      <c r="EQ34" s="87"/>
      <c r="ER34" s="87"/>
      <c r="ES34" s="87"/>
      <c r="ET34" s="88"/>
      <c r="EU34" s="86"/>
      <c r="EV34" s="87"/>
      <c r="EW34" s="87"/>
      <c r="EX34" s="87"/>
      <c r="EY34" s="88"/>
      <c r="EZ34" s="86"/>
      <c r="FA34" s="87"/>
      <c r="FB34" s="87"/>
      <c r="FC34" s="87"/>
      <c r="FD34" s="88"/>
      <c r="FE34" s="86"/>
      <c r="FF34" s="87"/>
      <c r="FG34" s="87"/>
      <c r="FH34" s="87"/>
      <c r="FI34" s="88"/>
      <c r="FJ34" s="86"/>
      <c r="FK34" s="87"/>
      <c r="FL34" s="87"/>
      <c r="FM34" s="87"/>
      <c r="FN34" s="88"/>
      <c r="FO34" s="86"/>
      <c r="FP34" s="87"/>
      <c r="FQ34" s="87"/>
      <c r="FR34" s="87"/>
      <c r="FS34" s="88"/>
      <c r="FT34" s="86"/>
      <c r="FU34" s="87"/>
      <c r="FV34" s="87"/>
      <c r="FW34" s="87"/>
      <c r="FX34" s="88"/>
      <c r="FY34" s="86"/>
      <c r="FZ34" s="87"/>
      <c r="GA34" s="87"/>
      <c r="GB34" s="87"/>
      <c r="GC34" s="88"/>
      <c r="GD34" s="86"/>
      <c r="GE34" s="87"/>
      <c r="GF34" s="87"/>
      <c r="GG34" s="87"/>
      <c r="GH34" s="88"/>
      <c r="GI34" s="86"/>
      <c r="GJ34" s="87"/>
      <c r="GK34" s="87"/>
      <c r="GL34" s="87"/>
      <c r="GM34" s="88"/>
      <c r="GN34" s="86"/>
      <c r="GO34" s="87"/>
      <c r="GP34" s="87"/>
      <c r="GQ34" s="87"/>
      <c r="GR34" s="88"/>
    </row>
    <row r="35" spans="1:200" ht="11.25" customHeight="1" x14ac:dyDescent="0.3">
      <c r="A35" s="318"/>
      <c r="B35" s="319"/>
      <c r="C35" s="319"/>
      <c r="D35" s="319"/>
      <c r="E35" s="319"/>
      <c r="F35" s="319"/>
      <c r="G35" s="320"/>
      <c r="H35" s="331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  <c r="AA35" s="332"/>
      <c r="AB35" s="332"/>
      <c r="AC35" s="332"/>
      <c r="AD35" s="332"/>
      <c r="AE35" s="332"/>
      <c r="AF35" s="332"/>
      <c r="AG35" s="332"/>
      <c r="AH35" s="332"/>
      <c r="AI35" s="332"/>
      <c r="AJ35" s="332"/>
      <c r="AK35" s="332"/>
      <c r="AL35" s="332"/>
      <c r="AM35" s="332"/>
      <c r="AN35" s="332"/>
      <c r="AO35" s="332"/>
      <c r="AP35" s="332"/>
      <c r="AQ35" s="332"/>
      <c r="AR35" s="332"/>
      <c r="AS35" s="332"/>
      <c r="AT35" s="332"/>
      <c r="AU35" s="332"/>
      <c r="AV35" s="332"/>
      <c r="AW35" s="332"/>
      <c r="AX35" s="332"/>
      <c r="AY35" s="332"/>
      <c r="AZ35" s="332"/>
      <c r="BA35" s="332"/>
      <c r="BB35" s="332"/>
      <c r="BC35" s="332"/>
      <c r="BD35" s="333"/>
      <c r="BE35" s="312"/>
      <c r="BF35" s="313"/>
      <c r="BG35" s="313"/>
      <c r="BH35" s="313"/>
      <c r="BI35" s="313"/>
      <c r="BJ35" s="314"/>
      <c r="BK35" s="299"/>
      <c r="BL35" s="300"/>
      <c r="BM35" s="300"/>
      <c r="BN35" s="300"/>
      <c r="BO35" s="300"/>
      <c r="BP35" s="301"/>
      <c r="BQ35" s="337"/>
      <c r="BR35" s="338"/>
      <c r="BS35" s="338"/>
      <c r="BT35" s="338"/>
      <c r="BU35" s="338"/>
      <c r="BV35" s="339"/>
      <c r="BW35" s="309"/>
      <c r="BX35" s="310"/>
      <c r="BY35" s="310"/>
      <c r="BZ35" s="310"/>
      <c r="CA35" s="310"/>
      <c r="CB35" s="311"/>
      <c r="CC35" s="86"/>
      <c r="CD35" s="87"/>
      <c r="CE35" s="87"/>
      <c r="CF35" s="87"/>
      <c r="CG35" s="88"/>
      <c r="CH35" s="86"/>
      <c r="CI35" s="87"/>
      <c r="CJ35" s="87"/>
      <c r="CK35" s="87"/>
      <c r="CL35" s="88"/>
      <c r="CM35" s="86"/>
      <c r="CN35" s="87"/>
      <c r="CO35" s="87"/>
      <c r="CP35" s="87"/>
      <c r="CQ35" s="88"/>
      <c r="CR35" s="86"/>
      <c r="CS35" s="87"/>
      <c r="CT35" s="87"/>
      <c r="CU35" s="87"/>
      <c r="CV35" s="88"/>
      <c r="CW35" s="86"/>
      <c r="CX35" s="87"/>
      <c r="CY35" s="87"/>
      <c r="CZ35" s="87"/>
      <c r="DA35" s="88"/>
      <c r="DB35" s="86"/>
      <c r="DC35" s="87"/>
      <c r="DD35" s="87"/>
      <c r="DE35" s="87"/>
      <c r="DF35" s="88"/>
      <c r="DG35" s="86"/>
      <c r="DH35" s="87"/>
      <c r="DI35" s="87"/>
      <c r="DJ35" s="87"/>
      <c r="DK35" s="88"/>
      <c r="DL35" s="86"/>
      <c r="DM35" s="87"/>
      <c r="DN35" s="87"/>
      <c r="DO35" s="87"/>
      <c r="DP35" s="88"/>
      <c r="DQ35" s="86"/>
      <c r="DR35" s="87"/>
      <c r="DS35" s="87"/>
      <c r="DT35" s="87"/>
      <c r="DU35" s="88"/>
      <c r="DV35" s="86"/>
      <c r="DW35" s="87"/>
      <c r="DX35" s="87"/>
      <c r="DY35" s="87"/>
      <c r="DZ35" s="88"/>
      <c r="EA35" s="86"/>
      <c r="EB35" s="87"/>
      <c r="EC35" s="87"/>
      <c r="ED35" s="87"/>
      <c r="EE35" s="88"/>
      <c r="EF35" s="86"/>
      <c r="EG35" s="87"/>
      <c r="EH35" s="87"/>
      <c r="EI35" s="87"/>
      <c r="EJ35" s="88"/>
      <c r="EK35" s="86"/>
      <c r="EL35" s="87"/>
      <c r="EM35" s="87"/>
      <c r="EN35" s="87"/>
      <c r="EO35" s="88"/>
      <c r="EP35" s="86"/>
      <c r="EQ35" s="87"/>
      <c r="ER35" s="87"/>
      <c r="ES35" s="87"/>
      <c r="ET35" s="88"/>
      <c r="EU35" s="86"/>
      <c r="EV35" s="87"/>
      <c r="EW35" s="87"/>
      <c r="EX35" s="87"/>
      <c r="EY35" s="88"/>
      <c r="EZ35" s="86"/>
      <c r="FA35" s="87"/>
      <c r="FB35" s="87"/>
      <c r="FC35" s="87"/>
      <c r="FD35" s="88"/>
      <c r="FE35" s="86"/>
      <c r="FF35" s="87"/>
      <c r="FG35" s="87"/>
      <c r="FH35" s="87"/>
      <c r="FI35" s="88"/>
      <c r="FJ35" s="86"/>
      <c r="FK35" s="87"/>
      <c r="FL35" s="87"/>
      <c r="FM35" s="87"/>
      <c r="FN35" s="88"/>
      <c r="FO35" s="86"/>
      <c r="FP35" s="87"/>
      <c r="FQ35" s="87"/>
      <c r="FR35" s="87"/>
      <c r="FS35" s="88"/>
      <c r="FT35" s="86"/>
      <c r="FU35" s="87"/>
      <c r="FV35" s="87"/>
      <c r="FW35" s="87"/>
      <c r="FX35" s="88"/>
      <c r="FY35" s="86"/>
      <c r="FZ35" s="87"/>
      <c r="GA35" s="87"/>
      <c r="GB35" s="87"/>
      <c r="GC35" s="88"/>
      <c r="GD35" s="86"/>
      <c r="GE35" s="87"/>
      <c r="GF35" s="87"/>
      <c r="GG35" s="87"/>
      <c r="GH35" s="88"/>
      <c r="GI35" s="86"/>
      <c r="GJ35" s="87"/>
      <c r="GK35" s="87"/>
      <c r="GL35" s="87"/>
      <c r="GM35" s="88"/>
      <c r="GN35" s="86"/>
      <c r="GO35" s="87"/>
      <c r="GP35" s="87"/>
      <c r="GQ35" s="87"/>
      <c r="GR35" s="88"/>
    </row>
    <row r="36" spans="1:200" ht="11.25" customHeight="1" x14ac:dyDescent="0.3">
      <c r="A36" s="327"/>
      <c r="B36" s="316"/>
      <c r="C36" s="316"/>
      <c r="D36" s="316"/>
      <c r="E36" s="316"/>
      <c r="F36" s="316"/>
      <c r="G36" s="317"/>
      <c r="H36" s="328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29"/>
      <c r="Y36" s="329"/>
      <c r="Z36" s="329"/>
      <c r="AA36" s="329"/>
      <c r="AB36" s="329"/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329"/>
      <c r="AU36" s="329"/>
      <c r="AV36" s="329"/>
      <c r="AW36" s="329"/>
      <c r="AX36" s="329"/>
      <c r="AY36" s="329"/>
      <c r="AZ36" s="329"/>
      <c r="BA36" s="329"/>
      <c r="BB36" s="329"/>
      <c r="BC36" s="329"/>
      <c r="BD36" s="330"/>
      <c r="BE36" s="309"/>
      <c r="BF36" s="310"/>
      <c r="BG36" s="310"/>
      <c r="BH36" s="310"/>
      <c r="BI36" s="310"/>
      <c r="BJ36" s="311"/>
      <c r="BK36" s="296"/>
      <c r="BL36" s="297"/>
      <c r="BM36" s="297"/>
      <c r="BN36" s="297"/>
      <c r="BO36" s="297"/>
      <c r="BP36" s="298"/>
      <c r="BQ36" s="309"/>
      <c r="BR36" s="310"/>
      <c r="BS36" s="310"/>
      <c r="BT36" s="310"/>
      <c r="BU36" s="310"/>
      <c r="BV36" s="311"/>
      <c r="BW36" s="312"/>
      <c r="BX36" s="313"/>
      <c r="BY36" s="313"/>
      <c r="BZ36" s="313"/>
      <c r="CA36" s="313"/>
      <c r="CB36" s="314"/>
      <c r="CC36" s="86"/>
      <c r="CD36" s="87"/>
      <c r="CE36" s="87"/>
      <c r="CF36" s="87"/>
      <c r="CG36" s="88"/>
      <c r="CH36" s="86"/>
      <c r="CI36" s="87"/>
      <c r="CJ36" s="87"/>
      <c r="CK36" s="87"/>
      <c r="CL36" s="88"/>
      <c r="CM36" s="86"/>
      <c r="CN36" s="87"/>
      <c r="CO36" s="87"/>
      <c r="CP36" s="87"/>
      <c r="CQ36" s="88"/>
      <c r="CR36" s="86"/>
      <c r="CS36" s="87"/>
      <c r="CT36" s="87"/>
      <c r="CU36" s="87"/>
      <c r="CV36" s="88"/>
      <c r="CW36" s="86"/>
      <c r="CX36" s="87"/>
      <c r="CY36" s="87"/>
      <c r="CZ36" s="87"/>
      <c r="DA36" s="88"/>
      <c r="DB36" s="86"/>
      <c r="DC36" s="87"/>
      <c r="DD36" s="87"/>
      <c r="DE36" s="87"/>
      <c r="DF36" s="88"/>
      <c r="DG36" s="86"/>
      <c r="DH36" s="87"/>
      <c r="DI36" s="87"/>
      <c r="DJ36" s="87"/>
      <c r="DK36" s="88"/>
      <c r="DL36" s="86"/>
      <c r="DM36" s="87"/>
      <c r="DN36" s="87"/>
      <c r="DO36" s="87"/>
      <c r="DP36" s="88"/>
      <c r="DQ36" s="86"/>
      <c r="DR36" s="87"/>
      <c r="DS36" s="87"/>
      <c r="DT36" s="87"/>
      <c r="DU36" s="88"/>
      <c r="DV36" s="86"/>
      <c r="DW36" s="87"/>
      <c r="DX36" s="87"/>
      <c r="DY36" s="87"/>
      <c r="DZ36" s="88"/>
      <c r="EA36" s="86"/>
      <c r="EB36" s="87"/>
      <c r="EC36" s="87"/>
      <c r="ED36" s="87"/>
      <c r="EE36" s="88"/>
      <c r="EF36" s="86"/>
      <c r="EG36" s="87"/>
      <c r="EH36" s="87"/>
      <c r="EI36" s="87"/>
      <c r="EJ36" s="88"/>
      <c r="EK36" s="86"/>
      <c r="EL36" s="87"/>
      <c r="EM36" s="87"/>
      <c r="EN36" s="87"/>
      <c r="EO36" s="88"/>
      <c r="EP36" s="86"/>
      <c r="EQ36" s="87"/>
      <c r="ER36" s="87"/>
      <c r="ES36" s="87"/>
      <c r="ET36" s="88"/>
      <c r="EU36" s="86"/>
      <c r="EV36" s="87"/>
      <c r="EW36" s="87"/>
      <c r="EX36" s="87"/>
      <c r="EY36" s="88"/>
      <c r="EZ36" s="86"/>
      <c r="FA36" s="87"/>
      <c r="FB36" s="87"/>
      <c r="FC36" s="87"/>
      <c r="FD36" s="88"/>
      <c r="FE36" s="86"/>
      <c r="FF36" s="87"/>
      <c r="FG36" s="87"/>
      <c r="FH36" s="87"/>
      <c r="FI36" s="88"/>
      <c r="FJ36" s="86"/>
      <c r="FK36" s="87"/>
      <c r="FL36" s="87"/>
      <c r="FM36" s="87"/>
      <c r="FN36" s="88"/>
      <c r="FO36" s="86"/>
      <c r="FP36" s="87"/>
      <c r="FQ36" s="87"/>
      <c r="FR36" s="87"/>
      <c r="FS36" s="88"/>
      <c r="FT36" s="86"/>
      <c r="FU36" s="87"/>
      <c r="FV36" s="87"/>
      <c r="FW36" s="87"/>
      <c r="FX36" s="88"/>
      <c r="FY36" s="86"/>
      <c r="FZ36" s="87"/>
      <c r="GA36" s="87"/>
      <c r="GB36" s="87"/>
      <c r="GC36" s="88"/>
      <c r="GD36" s="86"/>
      <c r="GE36" s="87"/>
      <c r="GF36" s="87"/>
      <c r="GG36" s="87"/>
      <c r="GH36" s="88"/>
      <c r="GI36" s="86"/>
      <c r="GJ36" s="87"/>
      <c r="GK36" s="87"/>
      <c r="GL36" s="87"/>
      <c r="GM36" s="88"/>
      <c r="GN36" s="86"/>
      <c r="GO36" s="87"/>
      <c r="GP36" s="87"/>
      <c r="GQ36" s="87"/>
      <c r="GR36" s="88"/>
    </row>
    <row r="37" spans="1:200" ht="11.25" customHeight="1" x14ac:dyDescent="0.3">
      <c r="A37" s="318"/>
      <c r="B37" s="319"/>
      <c r="C37" s="319"/>
      <c r="D37" s="319"/>
      <c r="E37" s="319"/>
      <c r="F37" s="319"/>
      <c r="G37" s="320"/>
      <c r="H37" s="331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/>
      <c r="AO37" s="332"/>
      <c r="AP37" s="332"/>
      <c r="AQ37" s="332"/>
      <c r="AR37" s="332"/>
      <c r="AS37" s="332"/>
      <c r="AT37" s="332"/>
      <c r="AU37" s="332"/>
      <c r="AV37" s="332"/>
      <c r="AW37" s="332"/>
      <c r="AX37" s="332"/>
      <c r="AY37" s="332"/>
      <c r="AZ37" s="332"/>
      <c r="BA37" s="332"/>
      <c r="BB37" s="332"/>
      <c r="BC37" s="332"/>
      <c r="BD37" s="333"/>
      <c r="BE37" s="312"/>
      <c r="BF37" s="313"/>
      <c r="BG37" s="313"/>
      <c r="BH37" s="313"/>
      <c r="BI37" s="313"/>
      <c r="BJ37" s="314"/>
      <c r="BK37" s="299"/>
      <c r="BL37" s="300"/>
      <c r="BM37" s="300"/>
      <c r="BN37" s="300"/>
      <c r="BO37" s="300"/>
      <c r="BP37" s="301"/>
      <c r="BQ37" s="312"/>
      <c r="BR37" s="313"/>
      <c r="BS37" s="313"/>
      <c r="BT37" s="313"/>
      <c r="BU37" s="313"/>
      <c r="BV37" s="314"/>
      <c r="BW37" s="296"/>
      <c r="BX37" s="297"/>
      <c r="BY37" s="297"/>
      <c r="BZ37" s="297"/>
      <c r="CA37" s="297"/>
      <c r="CB37" s="298"/>
      <c r="CC37" s="86"/>
      <c r="CD37" s="87"/>
      <c r="CE37" s="87"/>
      <c r="CF37" s="87"/>
      <c r="CG37" s="88"/>
      <c r="CH37" s="86"/>
      <c r="CI37" s="87"/>
      <c r="CJ37" s="87"/>
      <c r="CK37" s="87"/>
      <c r="CL37" s="88"/>
      <c r="CM37" s="86"/>
      <c r="CN37" s="87"/>
      <c r="CO37" s="87"/>
      <c r="CP37" s="87"/>
      <c r="CQ37" s="88"/>
      <c r="CR37" s="86"/>
      <c r="CS37" s="87"/>
      <c r="CT37" s="87"/>
      <c r="CU37" s="87"/>
      <c r="CV37" s="88"/>
      <c r="CW37" s="86"/>
      <c r="CX37" s="87"/>
      <c r="CY37" s="87"/>
      <c r="CZ37" s="87"/>
      <c r="DA37" s="88"/>
      <c r="DB37" s="86"/>
      <c r="DC37" s="87"/>
      <c r="DD37" s="87"/>
      <c r="DE37" s="87"/>
      <c r="DF37" s="88"/>
      <c r="DG37" s="86"/>
      <c r="DH37" s="87"/>
      <c r="DI37" s="87"/>
      <c r="DJ37" s="87"/>
      <c r="DK37" s="88"/>
      <c r="DL37" s="86"/>
      <c r="DM37" s="87"/>
      <c r="DN37" s="87"/>
      <c r="DO37" s="87"/>
      <c r="DP37" s="88"/>
      <c r="DQ37" s="86"/>
      <c r="DR37" s="87"/>
      <c r="DS37" s="87"/>
      <c r="DT37" s="87"/>
      <c r="DU37" s="88"/>
      <c r="DV37" s="86"/>
      <c r="DW37" s="87"/>
      <c r="DX37" s="87"/>
      <c r="DY37" s="87"/>
      <c r="DZ37" s="88"/>
      <c r="EA37" s="86"/>
      <c r="EB37" s="87"/>
      <c r="EC37" s="87"/>
      <c r="ED37" s="87"/>
      <c r="EE37" s="88"/>
      <c r="EF37" s="86"/>
      <c r="EG37" s="87"/>
      <c r="EH37" s="87"/>
      <c r="EI37" s="87"/>
      <c r="EJ37" s="88"/>
      <c r="EK37" s="86"/>
      <c r="EL37" s="87"/>
      <c r="EM37" s="87"/>
      <c r="EN37" s="87"/>
      <c r="EO37" s="88"/>
      <c r="EP37" s="86"/>
      <c r="EQ37" s="87"/>
      <c r="ER37" s="87"/>
      <c r="ES37" s="87"/>
      <c r="ET37" s="88"/>
      <c r="EU37" s="86"/>
      <c r="EV37" s="87"/>
      <c r="EW37" s="87"/>
      <c r="EX37" s="87"/>
      <c r="EY37" s="88"/>
      <c r="EZ37" s="86"/>
      <c r="FA37" s="87"/>
      <c r="FB37" s="87"/>
      <c r="FC37" s="87"/>
      <c r="FD37" s="88"/>
      <c r="FE37" s="86"/>
      <c r="FF37" s="87"/>
      <c r="FG37" s="87"/>
      <c r="FH37" s="87"/>
      <c r="FI37" s="88"/>
      <c r="FJ37" s="86"/>
      <c r="FK37" s="87"/>
      <c r="FL37" s="87"/>
      <c r="FM37" s="87"/>
      <c r="FN37" s="88"/>
      <c r="FO37" s="86"/>
      <c r="FP37" s="87"/>
      <c r="FQ37" s="87"/>
      <c r="FR37" s="87"/>
      <c r="FS37" s="88"/>
      <c r="FT37" s="86"/>
      <c r="FU37" s="87"/>
      <c r="FV37" s="87"/>
      <c r="FW37" s="87"/>
      <c r="FX37" s="88"/>
      <c r="FY37" s="86"/>
      <c r="FZ37" s="87"/>
      <c r="GA37" s="87"/>
      <c r="GB37" s="87"/>
      <c r="GC37" s="88"/>
      <c r="GD37" s="86"/>
      <c r="GE37" s="87"/>
      <c r="GF37" s="87"/>
      <c r="GG37" s="87"/>
      <c r="GH37" s="88"/>
      <c r="GI37" s="86"/>
      <c r="GJ37" s="87"/>
      <c r="GK37" s="87"/>
      <c r="GL37" s="87"/>
      <c r="GM37" s="88"/>
      <c r="GN37" s="86"/>
      <c r="GO37" s="87"/>
      <c r="GP37" s="87"/>
      <c r="GQ37" s="87"/>
      <c r="GR37" s="88"/>
    </row>
    <row r="38" spans="1:200" ht="11.25" customHeight="1" x14ac:dyDescent="0.3">
      <c r="A38" s="315"/>
      <c r="B38" s="316"/>
      <c r="C38" s="316"/>
      <c r="D38" s="316"/>
      <c r="E38" s="316"/>
      <c r="F38" s="316"/>
      <c r="G38" s="317"/>
      <c r="H38" s="328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29"/>
      <c r="AQ38" s="329"/>
      <c r="AR38" s="329"/>
      <c r="AS38" s="329"/>
      <c r="AT38" s="329"/>
      <c r="AU38" s="329"/>
      <c r="AV38" s="329"/>
      <c r="AW38" s="329"/>
      <c r="AX38" s="329"/>
      <c r="AY38" s="329"/>
      <c r="AZ38" s="329"/>
      <c r="BA38" s="329"/>
      <c r="BB38" s="329"/>
      <c r="BC38" s="329"/>
      <c r="BD38" s="330"/>
      <c r="BE38" s="296"/>
      <c r="BF38" s="297"/>
      <c r="BG38" s="297"/>
      <c r="BH38" s="297"/>
      <c r="BI38" s="297"/>
      <c r="BJ38" s="298"/>
      <c r="BK38" s="296"/>
      <c r="BL38" s="297"/>
      <c r="BM38" s="297"/>
      <c r="BN38" s="297"/>
      <c r="BO38" s="297"/>
      <c r="BP38" s="298"/>
      <c r="BQ38" s="296"/>
      <c r="BR38" s="297"/>
      <c r="BS38" s="297"/>
      <c r="BT38" s="297"/>
      <c r="BU38" s="297"/>
      <c r="BV38" s="298"/>
      <c r="BW38" s="299"/>
      <c r="BX38" s="300"/>
      <c r="BY38" s="300"/>
      <c r="BZ38" s="300"/>
      <c r="CA38" s="300"/>
      <c r="CB38" s="301"/>
      <c r="CC38" s="86"/>
      <c r="CD38" s="87"/>
      <c r="CE38" s="87"/>
      <c r="CF38" s="87"/>
      <c r="CG38" s="88"/>
      <c r="CH38" s="86"/>
      <c r="CI38" s="87"/>
      <c r="CJ38" s="87"/>
      <c r="CK38" s="87"/>
      <c r="CL38" s="88"/>
      <c r="CM38" s="86"/>
      <c r="CN38" s="87"/>
      <c r="CO38" s="87"/>
      <c r="CP38" s="87"/>
      <c r="CQ38" s="88"/>
      <c r="CR38" s="86"/>
      <c r="CS38" s="87"/>
      <c r="CT38" s="87"/>
      <c r="CU38" s="87"/>
      <c r="CV38" s="88"/>
      <c r="CW38" s="86"/>
      <c r="CX38" s="87"/>
      <c r="CY38" s="87"/>
      <c r="CZ38" s="87"/>
      <c r="DA38" s="88"/>
      <c r="DB38" s="86"/>
      <c r="DC38" s="87"/>
      <c r="DD38" s="87"/>
      <c r="DE38" s="87"/>
      <c r="DF38" s="88"/>
      <c r="DG38" s="86"/>
      <c r="DH38" s="87"/>
      <c r="DI38" s="87"/>
      <c r="DJ38" s="87"/>
      <c r="DK38" s="88"/>
      <c r="DL38" s="86"/>
      <c r="DM38" s="87"/>
      <c r="DN38" s="87"/>
      <c r="DO38" s="87"/>
      <c r="DP38" s="88"/>
      <c r="DQ38" s="86"/>
      <c r="DR38" s="87"/>
      <c r="DS38" s="87"/>
      <c r="DT38" s="87"/>
      <c r="DU38" s="88"/>
      <c r="DV38" s="86"/>
      <c r="DW38" s="87"/>
      <c r="DX38" s="87"/>
      <c r="DY38" s="87"/>
      <c r="DZ38" s="88"/>
      <c r="EA38" s="86"/>
      <c r="EB38" s="87"/>
      <c r="EC38" s="87"/>
      <c r="ED38" s="87"/>
      <c r="EE38" s="88"/>
      <c r="EF38" s="86"/>
      <c r="EG38" s="87"/>
      <c r="EH38" s="87"/>
      <c r="EI38" s="87"/>
      <c r="EJ38" s="88"/>
      <c r="EK38" s="86"/>
      <c r="EL38" s="87"/>
      <c r="EM38" s="87"/>
      <c r="EN38" s="87"/>
      <c r="EO38" s="88"/>
      <c r="EP38" s="86"/>
      <c r="EQ38" s="87"/>
      <c r="ER38" s="87"/>
      <c r="ES38" s="87"/>
      <c r="ET38" s="88"/>
      <c r="EU38" s="86"/>
      <c r="EV38" s="87"/>
      <c r="EW38" s="87"/>
      <c r="EX38" s="87"/>
      <c r="EY38" s="88"/>
      <c r="EZ38" s="86"/>
      <c r="FA38" s="87"/>
      <c r="FB38" s="87"/>
      <c r="FC38" s="87"/>
      <c r="FD38" s="88"/>
      <c r="FE38" s="86"/>
      <c r="FF38" s="87"/>
      <c r="FG38" s="87"/>
      <c r="FH38" s="87"/>
      <c r="FI38" s="88"/>
      <c r="FJ38" s="86"/>
      <c r="FK38" s="87"/>
      <c r="FL38" s="87"/>
      <c r="FM38" s="87"/>
      <c r="FN38" s="88"/>
      <c r="FO38" s="86"/>
      <c r="FP38" s="87"/>
      <c r="FQ38" s="87"/>
      <c r="FR38" s="87"/>
      <c r="FS38" s="88"/>
      <c r="FT38" s="86"/>
      <c r="FU38" s="87"/>
      <c r="FV38" s="87"/>
      <c r="FW38" s="87"/>
      <c r="FX38" s="88"/>
      <c r="FY38" s="86"/>
      <c r="FZ38" s="87"/>
      <c r="GA38" s="87"/>
      <c r="GB38" s="87"/>
      <c r="GC38" s="88"/>
      <c r="GD38" s="86"/>
      <c r="GE38" s="87"/>
      <c r="GF38" s="87"/>
      <c r="GG38" s="87"/>
      <c r="GH38" s="88"/>
      <c r="GI38" s="86"/>
      <c r="GJ38" s="87"/>
      <c r="GK38" s="87"/>
      <c r="GL38" s="87"/>
      <c r="GM38" s="88"/>
      <c r="GN38" s="86"/>
      <c r="GO38" s="87"/>
      <c r="GP38" s="87"/>
      <c r="GQ38" s="87"/>
      <c r="GR38" s="88"/>
    </row>
    <row r="39" spans="1:200" ht="11.25" customHeight="1" x14ac:dyDescent="0.3">
      <c r="A39" s="318"/>
      <c r="B39" s="319"/>
      <c r="C39" s="319"/>
      <c r="D39" s="319"/>
      <c r="E39" s="319"/>
      <c r="F39" s="319"/>
      <c r="G39" s="320"/>
      <c r="H39" s="331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/>
      <c r="AO39" s="332"/>
      <c r="AP39" s="332"/>
      <c r="AQ39" s="332"/>
      <c r="AR39" s="332"/>
      <c r="AS39" s="332"/>
      <c r="AT39" s="332"/>
      <c r="AU39" s="332"/>
      <c r="AV39" s="332"/>
      <c r="AW39" s="332"/>
      <c r="AX39" s="332"/>
      <c r="AY39" s="332"/>
      <c r="AZ39" s="332"/>
      <c r="BA39" s="332"/>
      <c r="BB39" s="332"/>
      <c r="BC39" s="332"/>
      <c r="BD39" s="333"/>
      <c r="BE39" s="299"/>
      <c r="BF39" s="300"/>
      <c r="BG39" s="300"/>
      <c r="BH39" s="300"/>
      <c r="BI39" s="300"/>
      <c r="BJ39" s="301"/>
      <c r="BK39" s="299"/>
      <c r="BL39" s="300"/>
      <c r="BM39" s="300"/>
      <c r="BN39" s="300"/>
      <c r="BO39" s="300"/>
      <c r="BP39" s="301"/>
      <c r="BQ39" s="299"/>
      <c r="BR39" s="300"/>
      <c r="BS39" s="300"/>
      <c r="BT39" s="300"/>
      <c r="BU39" s="300"/>
      <c r="BV39" s="301"/>
      <c r="BW39" s="296"/>
      <c r="BX39" s="297"/>
      <c r="BY39" s="297"/>
      <c r="BZ39" s="297"/>
      <c r="CA39" s="297"/>
      <c r="CB39" s="298"/>
      <c r="CC39" s="86"/>
      <c r="CD39" s="87"/>
      <c r="CE39" s="87"/>
      <c r="CF39" s="87"/>
      <c r="CG39" s="88"/>
      <c r="CH39" s="86"/>
      <c r="CI39" s="87"/>
      <c r="CJ39" s="87"/>
      <c r="CK39" s="87"/>
      <c r="CL39" s="88"/>
      <c r="CM39" s="86"/>
      <c r="CN39" s="87"/>
      <c r="CO39" s="87"/>
      <c r="CP39" s="87"/>
      <c r="CQ39" s="88"/>
      <c r="CR39" s="86"/>
      <c r="CS39" s="87"/>
      <c r="CT39" s="87"/>
      <c r="CU39" s="87"/>
      <c r="CV39" s="88"/>
      <c r="CW39" s="86"/>
      <c r="CX39" s="87"/>
      <c r="CY39" s="87"/>
      <c r="CZ39" s="87"/>
      <c r="DA39" s="88"/>
      <c r="DB39" s="86"/>
      <c r="DC39" s="87"/>
      <c r="DD39" s="87"/>
      <c r="DE39" s="87"/>
      <c r="DF39" s="88"/>
      <c r="DG39" s="86"/>
      <c r="DH39" s="87"/>
      <c r="DI39" s="87"/>
      <c r="DJ39" s="87"/>
      <c r="DK39" s="88"/>
      <c r="DL39" s="86"/>
      <c r="DM39" s="87"/>
      <c r="DN39" s="87"/>
      <c r="DO39" s="87"/>
      <c r="DP39" s="88"/>
      <c r="DQ39" s="86"/>
      <c r="DR39" s="87"/>
      <c r="DS39" s="87"/>
      <c r="DT39" s="87"/>
      <c r="DU39" s="88"/>
      <c r="DV39" s="86"/>
      <c r="DW39" s="87"/>
      <c r="DX39" s="87"/>
      <c r="DY39" s="87"/>
      <c r="DZ39" s="88"/>
      <c r="EA39" s="86"/>
      <c r="EB39" s="87"/>
      <c r="EC39" s="87"/>
      <c r="ED39" s="87"/>
      <c r="EE39" s="88"/>
      <c r="EF39" s="86"/>
      <c r="EG39" s="87"/>
      <c r="EH39" s="87"/>
      <c r="EI39" s="87"/>
      <c r="EJ39" s="88"/>
      <c r="EK39" s="86"/>
      <c r="EL39" s="87"/>
      <c r="EM39" s="87"/>
      <c r="EN39" s="87"/>
      <c r="EO39" s="88"/>
      <c r="EP39" s="86"/>
      <c r="EQ39" s="87"/>
      <c r="ER39" s="87"/>
      <c r="ES39" s="87"/>
      <c r="ET39" s="88"/>
      <c r="EU39" s="86"/>
      <c r="EV39" s="87"/>
      <c r="EW39" s="87"/>
      <c r="EX39" s="87"/>
      <c r="EY39" s="88"/>
      <c r="EZ39" s="86"/>
      <c r="FA39" s="87"/>
      <c r="FB39" s="87"/>
      <c r="FC39" s="87"/>
      <c r="FD39" s="88"/>
      <c r="FE39" s="86"/>
      <c r="FF39" s="87"/>
      <c r="FG39" s="87"/>
      <c r="FH39" s="87"/>
      <c r="FI39" s="88"/>
      <c r="FJ39" s="86"/>
      <c r="FK39" s="87"/>
      <c r="FL39" s="87"/>
      <c r="FM39" s="87"/>
      <c r="FN39" s="88"/>
      <c r="FO39" s="86"/>
      <c r="FP39" s="87"/>
      <c r="FQ39" s="87"/>
      <c r="FR39" s="87"/>
      <c r="FS39" s="88"/>
      <c r="FT39" s="86"/>
      <c r="FU39" s="87"/>
      <c r="FV39" s="87"/>
      <c r="FW39" s="87"/>
      <c r="FX39" s="88"/>
      <c r="FY39" s="86"/>
      <c r="FZ39" s="87"/>
      <c r="GA39" s="87"/>
      <c r="GB39" s="87"/>
      <c r="GC39" s="88"/>
      <c r="GD39" s="86"/>
      <c r="GE39" s="87"/>
      <c r="GF39" s="87"/>
      <c r="GG39" s="87"/>
      <c r="GH39" s="88"/>
      <c r="GI39" s="86"/>
      <c r="GJ39" s="87"/>
      <c r="GK39" s="87"/>
      <c r="GL39" s="87"/>
      <c r="GM39" s="88"/>
      <c r="GN39" s="86"/>
      <c r="GO39" s="87"/>
      <c r="GP39" s="87"/>
      <c r="GQ39" s="87"/>
      <c r="GR39" s="88"/>
    </row>
    <row r="40" spans="1:200" ht="11.25" customHeight="1" x14ac:dyDescent="0.3">
      <c r="A40" s="315"/>
      <c r="B40" s="316"/>
      <c r="C40" s="316"/>
      <c r="D40" s="316"/>
      <c r="E40" s="316"/>
      <c r="F40" s="316"/>
      <c r="G40" s="317"/>
      <c r="H40" s="321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  <c r="AA40" s="322"/>
      <c r="AB40" s="322"/>
      <c r="AC40" s="322"/>
      <c r="AD40" s="322"/>
      <c r="AE40" s="322"/>
      <c r="AF40" s="322"/>
      <c r="AG40" s="322"/>
      <c r="AH40" s="322"/>
      <c r="AI40" s="322"/>
      <c r="AJ40" s="322"/>
      <c r="AK40" s="322"/>
      <c r="AL40" s="322"/>
      <c r="AM40" s="322"/>
      <c r="AN40" s="322"/>
      <c r="AO40" s="322"/>
      <c r="AP40" s="322"/>
      <c r="AQ40" s="322"/>
      <c r="AR40" s="322"/>
      <c r="AS40" s="322"/>
      <c r="AT40" s="322"/>
      <c r="AU40" s="322"/>
      <c r="AV40" s="322"/>
      <c r="AW40" s="322"/>
      <c r="AX40" s="322"/>
      <c r="AY40" s="322"/>
      <c r="AZ40" s="322"/>
      <c r="BA40" s="322"/>
      <c r="BB40" s="322"/>
      <c r="BC40" s="322"/>
      <c r="BD40" s="323"/>
      <c r="BE40" s="296"/>
      <c r="BF40" s="297"/>
      <c r="BG40" s="297"/>
      <c r="BH40" s="297"/>
      <c r="BI40" s="297"/>
      <c r="BJ40" s="298"/>
      <c r="BK40" s="296"/>
      <c r="BL40" s="297"/>
      <c r="BM40" s="297"/>
      <c r="BN40" s="297"/>
      <c r="BO40" s="297"/>
      <c r="BP40" s="298"/>
      <c r="BQ40" s="296"/>
      <c r="BR40" s="297"/>
      <c r="BS40" s="297"/>
      <c r="BT40" s="297"/>
      <c r="BU40" s="297"/>
      <c r="BV40" s="298"/>
      <c r="BW40" s="299"/>
      <c r="BX40" s="300"/>
      <c r="BY40" s="300"/>
      <c r="BZ40" s="300"/>
      <c r="CA40" s="300"/>
      <c r="CB40" s="301"/>
      <c r="CC40" s="86"/>
      <c r="CD40" s="87"/>
      <c r="CE40" s="87"/>
      <c r="CF40" s="87"/>
      <c r="CG40" s="88"/>
      <c r="CH40" s="86"/>
      <c r="CI40" s="87"/>
      <c r="CJ40" s="87"/>
      <c r="CK40" s="87"/>
      <c r="CL40" s="88"/>
      <c r="CM40" s="86"/>
      <c r="CN40" s="87"/>
      <c r="CO40" s="87"/>
      <c r="CP40" s="87"/>
      <c r="CQ40" s="88"/>
      <c r="CR40" s="86"/>
      <c r="CS40" s="87"/>
      <c r="CT40" s="87"/>
      <c r="CU40" s="87"/>
      <c r="CV40" s="88"/>
      <c r="CW40" s="86"/>
      <c r="CX40" s="87"/>
      <c r="CY40" s="87"/>
      <c r="CZ40" s="87"/>
      <c r="DA40" s="88"/>
      <c r="DB40" s="86"/>
      <c r="DC40" s="87"/>
      <c r="DD40" s="87"/>
      <c r="DE40" s="87"/>
      <c r="DF40" s="88"/>
      <c r="DG40" s="86"/>
      <c r="DH40" s="87"/>
      <c r="DI40" s="87"/>
      <c r="DJ40" s="87"/>
      <c r="DK40" s="88"/>
      <c r="DL40" s="86"/>
      <c r="DM40" s="87"/>
      <c r="DN40" s="87"/>
      <c r="DO40" s="87"/>
      <c r="DP40" s="88"/>
      <c r="DQ40" s="86"/>
      <c r="DR40" s="87"/>
      <c r="DS40" s="87"/>
      <c r="DT40" s="87"/>
      <c r="DU40" s="88"/>
      <c r="DV40" s="86"/>
      <c r="DW40" s="87"/>
      <c r="DX40" s="87"/>
      <c r="DY40" s="87"/>
      <c r="DZ40" s="88"/>
      <c r="EA40" s="86"/>
      <c r="EB40" s="87"/>
      <c r="EC40" s="87"/>
      <c r="ED40" s="87"/>
      <c r="EE40" s="88"/>
      <c r="EF40" s="86"/>
      <c r="EG40" s="87"/>
      <c r="EH40" s="87"/>
      <c r="EI40" s="87"/>
      <c r="EJ40" s="88"/>
      <c r="EK40" s="86"/>
      <c r="EL40" s="87"/>
      <c r="EM40" s="87"/>
      <c r="EN40" s="87"/>
      <c r="EO40" s="88"/>
      <c r="EP40" s="86"/>
      <c r="EQ40" s="87"/>
      <c r="ER40" s="87"/>
      <c r="ES40" s="87"/>
      <c r="ET40" s="88"/>
      <c r="EU40" s="86"/>
      <c r="EV40" s="87"/>
      <c r="EW40" s="87"/>
      <c r="EX40" s="87"/>
      <c r="EY40" s="88"/>
      <c r="EZ40" s="86"/>
      <c r="FA40" s="87"/>
      <c r="FB40" s="87"/>
      <c r="FC40" s="87"/>
      <c r="FD40" s="88"/>
      <c r="FE40" s="86"/>
      <c r="FF40" s="87"/>
      <c r="FG40" s="87"/>
      <c r="FH40" s="87"/>
      <c r="FI40" s="88"/>
      <c r="FJ40" s="86"/>
      <c r="FK40" s="87"/>
      <c r="FL40" s="87"/>
      <c r="FM40" s="87"/>
      <c r="FN40" s="88"/>
      <c r="FO40" s="86"/>
      <c r="FP40" s="87"/>
      <c r="FQ40" s="87"/>
      <c r="FR40" s="87"/>
      <c r="FS40" s="88"/>
      <c r="FT40" s="86"/>
      <c r="FU40" s="87"/>
      <c r="FV40" s="87"/>
      <c r="FW40" s="87"/>
      <c r="FX40" s="88"/>
      <c r="FY40" s="86"/>
      <c r="FZ40" s="87"/>
      <c r="GA40" s="87"/>
      <c r="GB40" s="87"/>
      <c r="GC40" s="88"/>
      <c r="GD40" s="86"/>
      <c r="GE40" s="87"/>
      <c r="GF40" s="87"/>
      <c r="GG40" s="87"/>
      <c r="GH40" s="88"/>
      <c r="GI40" s="86"/>
      <c r="GJ40" s="87"/>
      <c r="GK40" s="87"/>
      <c r="GL40" s="87"/>
      <c r="GM40" s="88"/>
      <c r="GN40" s="86"/>
      <c r="GO40" s="87"/>
      <c r="GP40" s="87"/>
      <c r="GQ40" s="87"/>
      <c r="GR40" s="88"/>
    </row>
    <row r="41" spans="1:200" ht="11.25" customHeight="1" x14ac:dyDescent="0.3">
      <c r="A41" s="318"/>
      <c r="B41" s="319"/>
      <c r="C41" s="319"/>
      <c r="D41" s="319"/>
      <c r="E41" s="319"/>
      <c r="F41" s="319"/>
      <c r="G41" s="320"/>
      <c r="H41" s="324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  <c r="AA41" s="325"/>
      <c r="AB41" s="325"/>
      <c r="AC41" s="325"/>
      <c r="AD41" s="325"/>
      <c r="AE41" s="325"/>
      <c r="AF41" s="325"/>
      <c r="AG41" s="325"/>
      <c r="AH41" s="325"/>
      <c r="AI41" s="325"/>
      <c r="AJ41" s="325"/>
      <c r="AK41" s="325"/>
      <c r="AL41" s="325"/>
      <c r="AM41" s="325"/>
      <c r="AN41" s="325"/>
      <c r="AO41" s="325"/>
      <c r="AP41" s="325"/>
      <c r="AQ41" s="325"/>
      <c r="AR41" s="325"/>
      <c r="AS41" s="325"/>
      <c r="AT41" s="325"/>
      <c r="AU41" s="325"/>
      <c r="AV41" s="325"/>
      <c r="AW41" s="325"/>
      <c r="AX41" s="325"/>
      <c r="AY41" s="325"/>
      <c r="AZ41" s="325"/>
      <c r="BA41" s="325"/>
      <c r="BB41" s="325"/>
      <c r="BC41" s="325"/>
      <c r="BD41" s="326"/>
      <c r="BE41" s="299"/>
      <c r="BF41" s="300"/>
      <c r="BG41" s="300"/>
      <c r="BH41" s="300"/>
      <c r="BI41" s="300"/>
      <c r="BJ41" s="301"/>
      <c r="BK41" s="299"/>
      <c r="BL41" s="300"/>
      <c r="BM41" s="300"/>
      <c r="BN41" s="300"/>
      <c r="BO41" s="300"/>
      <c r="BP41" s="301"/>
      <c r="BQ41" s="299"/>
      <c r="BR41" s="300"/>
      <c r="BS41" s="300"/>
      <c r="BT41" s="300"/>
      <c r="BU41" s="300"/>
      <c r="BV41" s="301"/>
      <c r="BW41" s="296"/>
      <c r="BX41" s="297"/>
      <c r="BY41" s="297"/>
      <c r="BZ41" s="297"/>
      <c r="CA41" s="297"/>
      <c r="CB41" s="298"/>
      <c r="CC41" s="86"/>
      <c r="CD41" s="87"/>
      <c r="CE41" s="87"/>
      <c r="CF41" s="87"/>
      <c r="CG41" s="88"/>
      <c r="CH41" s="86"/>
      <c r="CI41" s="87"/>
      <c r="CJ41" s="87"/>
      <c r="CK41" s="87"/>
      <c r="CL41" s="88"/>
      <c r="CM41" s="86"/>
      <c r="CN41" s="87"/>
      <c r="CO41" s="87"/>
      <c r="CP41" s="87"/>
      <c r="CQ41" s="88"/>
      <c r="CR41" s="86"/>
      <c r="CS41" s="87"/>
      <c r="CT41" s="87"/>
      <c r="CU41" s="87"/>
      <c r="CV41" s="88"/>
      <c r="CW41" s="86"/>
      <c r="CX41" s="87"/>
      <c r="CY41" s="87"/>
      <c r="CZ41" s="87"/>
      <c r="DA41" s="88"/>
      <c r="DB41" s="86"/>
      <c r="DC41" s="87"/>
      <c r="DD41" s="87"/>
      <c r="DE41" s="87"/>
      <c r="DF41" s="88"/>
      <c r="DG41" s="86"/>
      <c r="DH41" s="87"/>
      <c r="DI41" s="87"/>
      <c r="DJ41" s="87"/>
      <c r="DK41" s="88"/>
      <c r="DL41" s="86"/>
      <c r="DM41" s="87"/>
      <c r="DN41" s="87"/>
      <c r="DO41" s="87"/>
      <c r="DP41" s="88"/>
      <c r="DQ41" s="86"/>
      <c r="DR41" s="87"/>
      <c r="DS41" s="87"/>
      <c r="DT41" s="87"/>
      <c r="DU41" s="88"/>
      <c r="DV41" s="86"/>
      <c r="DW41" s="87"/>
      <c r="DX41" s="87"/>
      <c r="DY41" s="87"/>
      <c r="DZ41" s="88"/>
      <c r="EA41" s="86"/>
      <c r="EB41" s="87"/>
      <c r="EC41" s="87"/>
      <c r="ED41" s="87"/>
      <c r="EE41" s="88"/>
      <c r="EF41" s="86"/>
      <c r="EG41" s="87"/>
      <c r="EH41" s="87"/>
      <c r="EI41" s="87"/>
      <c r="EJ41" s="88"/>
      <c r="EK41" s="86"/>
      <c r="EL41" s="87"/>
      <c r="EM41" s="87"/>
      <c r="EN41" s="87"/>
      <c r="EO41" s="88"/>
      <c r="EP41" s="86"/>
      <c r="EQ41" s="87"/>
      <c r="ER41" s="87"/>
      <c r="ES41" s="87"/>
      <c r="ET41" s="88"/>
      <c r="EU41" s="86"/>
      <c r="EV41" s="87"/>
      <c r="EW41" s="87"/>
      <c r="EX41" s="87"/>
      <c r="EY41" s="88"/>
      <c r="EZ41" s="86"/>
      <c r="FA41" s="87"/>
      <c r="FB41" s="87"/>
      <c r="FC41" s="87"/>
      <c r="FD41" s="88"/>
      <c r="FE41" s="86"/>
      <c r="FF41" s="87"/>
      <c r="FG41" s="87"/>
      <c r="FH41" s="87"/>
      <c r="FI41" s="88"/>
      <c r="FJ41" s="86"/>
      <c r="FK41" s="87"/>
      <c r="FL41" s="87"/>
      <c r="FM41" s="87"/>
      <c r="FN41" s="88"/>
      <c r="FO41" s="86"/>
      <c r="FP41" s="87"/>
      <c r="FQ41" s="87"/>
      <c r="FR41" s="87"/>
      <c r="FS41" s="88"/>
      <c r="FT41" s="86"/>
      <c r="FU41" s="87"/>
      <c r="FV41" s="87"/>
      <c r="FW41" s="87"/>
      <c r="FX41" s="88"/>
      <c r="FY41" s="86"/>
      <c r="FZ41" s="87"/>
      <c r="GA41" s="87"/>
      <c r="GB41" s="87"/>
      <c r="GC41" s="88"/>
      <c r="GD41" s="86"/>
      <c r="GE41" s="87"/>
      <c r="GF41" s="87"/>
      <c r="GG41" s="87"/>
      <c r="GH41" s="88"/>
      <c r="GI41" s="86"/>
      <c r="GJ41" s="87"/>
      <c r="GK41" s="87"/>
      <c r="GL41" s="87"/>
      <c r="GM41" s="88"/>
      <c r="GN41" s="86"/>
      <c r="GO41" s="87"/>
      <c r="GP41" s="87"/>
      <c r="GQ41" s="87"/>
      <c r="GR41" s="88"/>
    </row>
    <row r="42" spans="1:200" ht="11.25" customHeight="1" x14ac:dyDescent="0.3">
      <c r="A42" s="315"/>
      <c r="B42" s="316"/>
      <c r="C42" s="316"/>
      <c r="D42" s="316"/>
      <c r="E42" s="316"/>
      <c r="F42" s="316"/>
      <c r="G42" s="317"/>
      <c r="H42" s="321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  <c r="AA42" s="322"/>
      <c r="AB42" s="322"/>
      <c r="AC42" s="322"/>
      <c r="AD42" s="322"/>
      <c r="AE42" s="322"/>
      <c r="AF42" s="322"/>
      <c r="AG42" s="322"/>
      <c r="AH42" s="322"/>
      <c r="AI42" s="322"/>
      <c r="AJ42" s="322"/>
      <c r="AK42" s="322"/>
      <c r="AL42" s="322"/>
      <c r="AM42" s="322"/>
      <c r="AN42" s="322"/>
      <c r="AO42" s="322"/>
      <c r="AP42" s="322"/>
      <c r="AQ42" s="322"/>
      <c r="AR42" s="322"/>
      <c r="AS42" s="322"/>
      <c r="AT42" s="322"/>
      <c r="AU42" s="322"/>
      <c r="AV42" s="322"/>
      <c r="AW42" s="322"/>
      <c r="AX42" s="322"/>
      <c r="AY42" s="322"/>
      <c r="AZ42" s="322"/>
      <c r="BA42" s="322"/>
      <c r="BB42" s="322"/>
      <c r="BC42" s="322"/>
      <c r="BD42" s="323"/>
      <c r="BE42" s="296"/>
      <c r="BF42" s="297"/>
      <c r="BG42" s="297"/>
      <c r="BH42" s="297"/>
      <c r="BI42" s="297"/>
      <c r="BJ42" s="298"/>
      <c r="BK42" s="296"/>
      <c r="BL42" s="297"/>
      <c r="BM42" s="297"/>
      <c r="BN42" s="297"/>
      <c r="BO42" s="297"/>
      <c r="BP42" s="298"/>
      <c r="BQ42" s="296"/>
      <c r="BR42" s="297"/>
      <c r="BS42" s="297"/>
      <c r="BT42" s="297"/>
      <c r="BU42" s="297"/>
      <c r="BV42" s="298"/>
      <c r="BW42" s="299"/>
      <c r="BX42" s="300"/>
      <c r="BY42" s="300"/>
      <c r="BZ42" s="300"/>
      <c r="CA42" s="300"/>
      <c r="CB42" s="301"/>
      <c r="CC42" s="86"/>
      <c r="CD42" s="87"/>
      <c r="CE42" s="87"/>
      <c r="CF42" s="87"/>
      <c r="CG42" s="88"/>
      <c r="CH42" s="86"/>
      <c r="CI42" s="87"/>
      <c r="CJ42" s="87"/>
      <c r="CK42" s="87"/>
      <c r="CL42" s="88"/>
      <c r="CM42" s="86"/>
      <c r="CN42" s="87"/>
      <c r="CO42" s="87"/>
      <c r="CP42" s="87"/>
      <c r="CQ42" s="88"/>
      <c r="CR42" s="86"/>
      <c r="CS42" s="87"/>
      <c r="CT42" s="87"/>
      <c r="CU42" s="87"/>
      <c r="CV42" s="88"/>
      <c r="CW42" s="86"/>
      <c r="CX42" s="87"/>
      <c r="CY42" s="87"/>
      <c r="CZ42" s="87"/>
      <c r="DA42" s="88"/>
      <c r="DB42" s="86"/>
      <c r="DC42" s="87"/>
      <c r="DD42" s="87"/>
      <c r="DE42" s="87"/>
      <c r="DF42" s="88"/>
      <c r="DG42" s="86"/>
      <c r="DH42" s="87"/>
      <c r="DI42" s="87"/>
      <c r="DJ42" s="87"/>
      <c r="DK42" s="88"/>
      <c r="DL42" s="86"/>
      <c r="DM42" s="87"/>
      <c r="DN42" s="87"/>
      <c r="DO42" s="87"/>
      <c r="DP42" s="88"/>
      <c r="DQ42" s="86"/>
      <c r="DR42" s="87"/>
      <c r="DS42" s="87"/>
      <c r="DT42" s="87"/>
      <c r="DU42" s="88"/>
      <c r="DV42" s="86"/>
      <c r="DW42" s="87"/>
      <c r="DX42" s="87"/>
      <c r="DY42" s="87"/>
      <c r="DZ42" s="88"/>
      <c r="EA42" s="86"/>
      <c r="EB42" s="87"/>
      <c r="EC42" s="87"/>
      <c r="ED42" s="87"/>
      <c r="EE42" s="88"/>
      <c r="EF42" s="86"/>
      <c r="EG42" s="87"/>
      <c r="EH42" s="87"/>
      <c r="EI42" s="87"/>
      <c r="EJ42" s="88"/>
      <c r="EK42" s="86"/>
      <c r="EL42" s="87"/>
      <c r="EM42" s="87"/>
      <c r="EN42" s="87"/>
      <c r="EO42" s="88"/>
      <c r="EP42" s="86"/>
      <c r="EQ42" s="87"/>
      <c r="ER42" s="87"/>
      <c r="ES42" s="87"/>
      <c r="ET42" s="88"/>
      <c r="EU42" s="86"/>
      <c r="EV42" s="87"/>
      <c r="EW42" s="87"/>
      <c r="EX42" s="87"/>
      <c r="EY42" s="88"/>
      <c r="EZ42" s="86"/>
      <c r="FA42" s="87"/>
      <c r="FB42" s="87"/>
      <c r="FC42" s="87"/>
      <c r="FD42" s="88"/>
      <c r="FE42" s="86"/>
      <c r="FF42" s="87"/>
      <c r="FG42" s="87"/>
      <c r="FH42" s="87"/>
      <c r="FI42" s="88"/>
      <c r="FJ42" s="86"/>
      <c r="FK42" s="87"/>
      <c r="FL42" s="87"/>
      <c r="FM42" s="87"/>
      <c r="FN42" s="88"/>
      <c r="FO42" s="86"/>
      <c r="FP42" s="87"/>
      <c r="FQ42" s="87"/>
      <c r="FR42" s="87"/>
      <c r="FS42" s="88"/>
      <c r="FT42" s="86"/>
      <c r="FU42" s="87"/>
      <c r="FV42" s="87"/>
      <c r="FW42" s="87"/>
      <c r="FX42" s="88"/>
      <c r="FY42" s="86"/>
      <c r="FZ42" s="87"/>
      <c r="GA42" s="87"/>
      <c r="GB42" s="87"/>
      <c r="GC42" s="88"/>
      <c r="GD42" s="86"/>
      <c r="GE42" s="87"/>
      <c r="GF42" s="87"/>
      <c r="GG42" s="87"/>
      <c r="GH42" s="88"/>
      <c r="GI42" s="86"/>
      <c r="GJ42" s="87"/>
      <c r="GK42" s="87"/>
      <c r="GL42" s="87"/>
      <c r="GM42" s="88"/>
      <c r="GN42" s="86"/>
      <c r="GO42" s="87"/>
      <c r="GP42" s="87"/>
      <c r="GQ42" s="87"/>
      <c r="GR42" s="88"/>
    </row>
    <row r="43" spans="1:200" ht="11.25" customHeight="1" x14ac:dyDescent="0.3">
      <c r="A43" s="318"/>
      <c r="B43" s="319"/>
      <c r="C43" s="319"/>
      <c r="D43" s="319"/>
      <c r="E43" s="319"/>
      <c r="F43" s="319"/>
      <c r="G43" s="320"/>
      <c r="H43" s="324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25"/>
      <c r="AI43" s="325"/>
      <c r="AJ43" s="325"/>
      <c r="AK43" s="325"/>
      <c r="AL43" s="325"/>
      <c r="AM43" s="325"/>
      <c r="AN43" s="325"/>
      <c r="AO43" s="325"/>
      <c r="AP43" s="325"/>
      <c r="AQ43" s="325"/>
      <c r="AR43" s="325"/>
      <c r="AS43" s="325"/>
      <c r="AT43" s="325"/>
      <c r="AU43" s="325"/>
      <c r="AV43" s="325"/>
      <c r="AW43" s="325"/>
      <c r="AX43" s="325"/>
      <c r="AY43" s="325"/>
      <c r="AZ43" s="325"/>
      <c r="BA43" s="325"/>
      <c r="BB43" s="325"/>
      <c r="BC43" s="325"/>
      <c r="BD43" s="326"/>
      <c r="BE43" s="299"/>
      <c r="BF43" s="300"/>
      <c r="BG43" s="300"/>
      <c r="BH43" s="300"/>
      <c r="BI43" s="300"/>
      <c r="BJ43" s="301"/>
      <c r="BK43" s="299"/>
      <c r="BL43" s="300"/>
      <c r="BM43" s="300"/>
      <c r="BN43" s="300"/>
      <c r="BO43" s="300"/>
      <c r="BP43" s="301"/>
      <c r="BQ43" s="299"/>
      <c r="BR43" s="300"/>
      <c r="BS43" s="300"/>
      <c r="BT43" s="300"/>
      <c r="BU43" s="300"/>
      <c r="BV43" s="301"/>
      <c r="BW43" s="296"/>
      <c r="BX43" s="297"/>
      <c r="BY43" s="297"/>
      <c r="BZ43" s="297"/>
      <c r="CA43" s="297"/>
      <c r="CB43" s="298"/>
      <c r="CC43" s="86"/>
      <c r="CD43" s="87"/>
      <c r="CE43" s="87"/>
      <c r="CF43" s="87"/>
      <c r="CG43" s="88"/>
      <c r="CH43" s="86"/>
      <c r="CI43" s="87"/>
      <c r="CJ43" s="87"/>
      <c r="CK43" s="87"/>
      <c r="CL43" s="88"/>
      <c r="CM43" s="86"/>
      <c r="CN43" s="87"/>
      <c r="CO43" s="87"/>
      <c r="CP43" s="87"/>
      <c r="CQ43" s="88"/>
      <c r="CR43" s="86"/>
      <c r="CS43" s="87"/>
      <c r="CT43" s="87"/>
      <c r="CU43" s="87"/>
      <c r="CV43" s="88"/>
      <c r="CW43" s="86"/>
      <c r="CX43" s="87"/>
      <c r="CY43" s="87"/>
      <c r="CZ43" s="87"/>
      <c r="DA43" s="88"/>
      <c r="DB43" s="86"/>
      <c r="DC43" s="87"/>
      <c r="DD43" s="87"/>
      <c r="DE43" s="87"/>
      <c r="DF43" s="88"/>
      <c r="DG43" s="86"/>
      <c r="DH43" s="87"/>
      <c r="DI43" s="87"/>
      <c r="DJ43" s="87"/>
      <c r="DK43" s="88"/>
      <c r="DL43" s="86"/>
      <c r="DM43" s="87"/>
      <c r="DN43" s="87"/>
      <c r="DO43" s="87"/>
      <c r="DP43" s="88"/>
      <c r="DQ43" s="86"/>
      <c r="DR43" s="87"/>
      <c r="DS43" s="87"/>
      <c r="DT43" s="87"/>
      <c r="DU43" s="88"/>
      <c r="DV43" s="86"/>
      <c r="DW43" s="87"/>
      <c r="DX43" s="87"/>
      <c r="DY43" s="87"/>
      <c r="DZ43" s="88"/>
      <c r="EA43" s="86"/>
      <c r="EB43" s="87"/>
      <c r="EC43" s="87"/>
      <c r="ED43" s="87"/>
      <c r="EE43" s="88"/>
      <c r="EF43" s="86"/>
      <c r="EG43" s="87"/>
      <c r="EH43" s="87"/>
      <c r="EI43" s="87"/>
      <c r="EJ43" s="88"/>
      <c r="EK43" s="86"/>
      <c r="EL43" s="87"/>
      <c r="EM43" s="87"/>
      <c r="EN43" s="87"/>
      <c r="EO43" s="88"/>
      <c r="EP43" s="86"/>
      <c r="EQ43" s="87"/>
      <c r="ER43" s="87"/>
      <c r="ES43" s="87"/>
      <c r="ET43" s="88"/>
      <c r="EU43" s="86"/>
      <c r="EV43" s="87"/>
      <c r="EW43" s="87"/>
      <c r="EX43" s="87"/>
      <c r="EY43" s="88"/>
      <c r="EZ43" s="86"/>
      <c r="FA43" s="87"/>
      <c r="FB43" s="87"/>
      <c r="FC43" s="87"/>
      <c r="FD43" s="88"/>
      <c r="FE43" s="86"/>
      <c r="FF43" s="87"/>
      <c r="FG43" s="87"/>
      <c r="FH43" s="87"/>
      <c r="FI43" s="88"/>
      <c r="FJ43" s="86"/>
      <c r="FK43" s="87"/>
      <c r="FL43" s="87"/>
      <c r="FM43" s="87"/>
      <c r="FN43" s="88"/>
      <c r="FO43" s="86"/>
      <c r="FP43" s="87"/>
      <c r="FQ43" s="87"/>
      <c r="FR43" s="87"/>
      <c r="FS43" s="88"/>
      <c r="FT43" s="86"/>
      <c r="FU43" s="87"/>
      <c r="FV43" s="87"/>
      <c r="FW43" s="87"/>
      <c r="FX43" s="88"/>
      <c r="FY43" s="86"/>
      <c r="FZ43" s="87"/>
      <c r="GA43" s="87"/>
      <c r="GB43" s="87"/>
      <c r="GC43" s="88"/>
      <c r="GD43" s="86"/>
      <c r="GE43" s="87"/>
      <c r="GF43" s="87"/>
      <c r="GG43" s="87"/>
      <c r="GH43" s="88"/>
      <c r="GI43" s="86"/>
      <c r="GJ43" s="87"/>
      <c r="GK43" s="87"/>
      <c r="GL43" s="87"/>
      <c r="GM43" s="88"/>
      <c r="GN43" s="86"/>
      <c r="GO43" s="87"/>
      <c r="GP43" s="87"/>
      <c r="GQ43" s="87"/>
      <c r="GR43" s="88"/>
    </row>
    <row r="44" spans="1:200" ht="11.25" customHeight="1" x14ac:dyDescent="0.3">
      <c r="A44" s="315"/>
      <c r="B44" s="316"/>
      <c r="C44" s="316"/>
      <c r="D44" s="316"/>
      <c r="E44" s="316"/>
      <c r="F44" s="316"/>
      <c r="G44" s="317"/>
      <c r="H44" s="321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Y44" s="322"/>
      <c r="Z44" s="322"/>
      <c r="AA44" s="322"/>
      <c r="AB44" s="322"/>
      <c r="AC44" s="322"/>
      <c r="AD44" s="322"/>
      <c r="AE44" s="322"/>
      <c r="AF44" s="322"/>
      <c r="AG44" s="322"/>
      <c r="AH44" s="322"/>
      <c r="AI44" s="322"/>
      <c r="AJ44" s="322"/>
      <c r="AK44" s="322"/>
      <c r="AL44" s="322"/>
      <c r="AM44" s="322"/>
      <c r="AN44" s="322"/>
      <c r="AO44" s="322"/>
      <c r="AP44" s="322"/>
      <c r="AQ44" s="322"/>
      <c r="AR44" s="322"/>
      <c r="AS44" s="322"/>
      <c r="AT44" s="322"/>
      <c r="AU44" s="322"/>
      <c r="AV44" s="322"/>
      <c r="AW44" s="322"/>
      <c r="AX44" s="322"/>
      <c r="AY44" s="322"/>
      <c r="AZ44" s="322"/>
      <c r="BA44" s="322"/>
      <c r="BB44" s="322"/>
      <c r="BC44" s="322"/>
      <c r="BD44" s="323"/>
      <c r="BE44" s="296"/>
      <c r="BF44" s="297"/>
      <c r="BG44" s="297"/>
      <c r="BH44" s="297"/>
      <c r="BI44" s="297"/>
      <c r="BJ44" s="298"/>
      <c r="BK44" s="296"/>
      <c r="BL44" s="297"/>
      <c r="BM44" s="297"/>
      <c r="BN44" s="297"/>
      <c r="BO44" s="297"/>
      <c r="BP44" s="298"/>
      <c r="BQ44" s="296"/>
      <c r="BR44" s="297"/>
      <c r="BS44" s="297"/>
      <c r="BT44" s="297"/>
      <c r="BU44" s="297"/>
      <c r="BV44" s="298"/>
      <c r="BW44" s="299"/>
      <c r="BX44" s="300"/>
      <c r="BY44" s="300"/>
      <c r="BZ44" s="300"/>
      <c r="CA44" s="300"/>
      <c r="CB44" s="301"/>
      <c r="CC44" s="86"/>
      <c r="CD44" s="87"/>
      <c r="CE44" s="87"/>
      <c r="CF44" s="87"/>
      <c r="CG44" s="88"/>
      <c r="CH44" s="86"/>
      <c r="CI44" s="87"/>
      <c r="CJ44" s="87"/>
      <c r="CK44" s="87"/>
      <c r="CL44" s="88"/>
      <c r="CM44" s="86"/>
      <c r="CN44" s="87"/>
      <c r="CO44" s="87"/>
      <c r="CP44" s="87"/>
      <c r="CQ44" s="88"/>
      <c r="CR44" s="86"/>
      <c r="CS44" s="87"/>
      <c r="CT44" s="87"/>
      <c r="CU44" s="87"/>
      <c r="CV44" s="88"/>
      <c r="CW44" s="86"/>
      <c r="CX44" s="87"/>
      <c r="CY44" s="87"/>
      <c r="CZ44" s="87"/>
      <c r="DA44" s="88"/>
      <c r="DB44" s="86"/>
      <c r="DC44" s="87"/>
      <c r="DD44" s="87"/>
      <c r="DE44" s="87"/>
      <c r="DF44" s="88"/>
      <c r="DG44" s="86"/>
      <c r="DH44" s="87"/>
      <c r="DI44" s="87"/>
      <c r="DJ44" s="87"/>
      <c r="DK44" s="88"/>
      <c r="DL44" s="86"/>
      <c r="DM44" s="87"/>
      <c r="DN44" s="87"/>
      <c r="DO44" s="87"/>
      <c r="DP44" s="88"/>
      <c r="DQ44" s="86"/>
      <c r="DR44" s="87"/>
      <c r="DS44" s="87"/>
      <c r="DT44" s="87"/>
      <c r="DU44" s="88"/>
      <c r="DV44" s="86"/>
      <c r="DW44" s="87"/>
      <c r="DX44" s="87"/>
      <c r="DY44" s="87"/>
      <c r="DZ44" s="88"/>
      <c r="EA44" s="86"/>
      <c r="EB44" s="87"/>
      <c r="EC44" s="87"/>
      <c r="ED44" s="87"/>
      <c r="EE44" s="88"/>
      <c r="EF44" s="86"/>
      <c r="EG44" s="87"/>
      <c r="EH44" s="87"/>
      <c r="EI44" s="87"/>
      <c r="EJ44" s="88"/>
      <c r="EK44" s="86"/>
      <c r="EL44" s="87"/>
      <c r="EM44" s="87"/>
      <c r="EN44" s="87"/>
      <c r="EO44" s="88"/>
      <c r="EP44" s="86"/>
      <c r="EQ44" s="87"/>
      <c r="ER44" s="87"/>
      <c r="ES44" s="87"/>
      <c r="ET44" s="88"/>
      <c r="EU44" s="86"/>
      <c r="EV44" s="87"/>
      <c r="EW44" s="87"/>
      <c r="EX44" s="87"/>
      <c r="EY44" s="88"/>
      <c r="EZ44" s="86"/>
      <c r="FA44" s="87"/>
      <c r="FB44" s="87"/>
      <c r="FC44" s="87"/>
      <c r="FD44" s="88"/>
      <c r="FE44" s="86"/>
      <c r="FF44" s="87"/>
      <c r="FG44" s="87"/>
      <c r="FH44" s="87"/>
      <c r="FI44" s="88"/>
      <c r="FJ44" s="86"/>
      <c r="FK44" s="87"/>
      <c r="FL44" s="87"/>
      <c r="FM44" s="87"/>
      <c r="FN44" s="88"/>
      <c r="FO44" s="86"/>
      <c r="FP44" s="87"/>
      <c r="FQ44" s="87"/>
      <c r="FR44" s="87"/>
      <c r="FS44" s="88"/>
      <c r="FT44" s="86"/>
      <c r="FU44" s="87"/>
      <c r="FV44" s="87"/>
      <c r="FW44" s="87"/>
      <c r="FX44" s="88"/>
      <c r="FY44" s="86"/>
      <c r="FZ44" s="87"/>
      <c r="GA44" s="87"/>
      <c r="GB44" s="87"/>
      <c r="GC44" s="88"/>
      <c r="GD44" s="86"/>
      <c r="GE44" s="87"/>
      <c r="GF44" s="87"/>
      <c r="GG44" s="87"/>
      <c r="GH44" s="88"/>
      <c r="GI44" s="86"/>
      <c r="GJ44" s="87"/>
      <c r="GK44" s="87"/>
      <c r="GL44" s="87"/>
      <c r="GM44" s="88"/>
      <c r="GN44" s="86"/>
      <c r="GO44" s="87"/>
      <c r="GP44" s="87"/>
      <c r="GQ44" s="87"/>
      <c r="GR44" s="88"/>
    </row>
    <row r="45" spans="1:200" ht="11.25" customHeight="1" x14ac:dyDescent="0.3">
      <c r="A45" s="318"/>
      <c r="B45" s="319"/>
      <c r="C45" s="319"/>
      <c r="D45" s="319"/>
      <c r="E45" s="319"/>
      <c r="F45" s="319"/>
      <c r="G45" s="320"/>
      <c r="H45" s="324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25"/>
      <c r="AI45" s="325"/>
      <c r="AJ45" s="325"/>
      <c r="AK45" s="325"/>
      <c r="AL45" s="325"/>
      <c r="AM45" s="325"/>
      <c r="AN45" s="325"/>
      <c r="AO45" s="325"/>
      <c r="AP45" s="325"/>
      <c r="AQ45" s="325"/>
      <c r="AR45" s="325"/>
      <c r="AS45" s="325"/>
      <c r="AT45" s="325"/>
      <c r="AU45" s="325"/>
      <c r="AV45" s="325"/>
      <c r="AW45" s="325"/>
      <c r="AX45" s="325"/>
      <c r="AY45" s="325"/>
      <c r="AZ45" s="325"/>
      <c r="BA45" s="325"/>
      <c r="BB45" s="325"/>
      <c r="BC45" s="325"/>
      <c r="BD45" s="326"/>
      <c r="BE45" s="299"/>
      <c r="BF45" s="300"/>
      <c r="BG45" s="300"/>
      <c r="BH45" s="300"/>
      <c r="BI45" s="300"/>
      <c r="BJ45" s="301"/>
      <c r="BK45" s="299"/>
      <c r="BL45" s="300"/>
      <c r="BM45" s="300"/>
      <c r="BN45" s="300"/>
      <c r="BO45" s="300"/>
      <c r="BP45" s="301"/>
      <c r="BQ45" s="299"/>
      <c r="BR45" s="300"/>
      <c r="BS45" s="300"/>
      <c r="BT45" s="300"/>
      <c r="BU45" s="300"/>
      <c r="BV45" s="301"/>
      <c r="BW45" s="296"/>
      <c r="BX45" s="297"/>
      <c r="BY45" s="297"/>
      <c r="BZ45" s="297"/>
      <c r="CA45" s="297"/>
      <c r="CB45" s="298"/>
      <c r="CC45" s="86"/>
      <c r="CD45" s="87"/>
      <c r="CE45" s="87"/>
      <c r="CF45" s="87"/>
      <c r="CG45" s="88"/>
      <c r="CH45" s="86"/>
      <c r="CI45" s="87"/>
      <c r="CJ45" s="87"/>
      <c r="CK45" s="87"/>
      <c r="CL45" s="88"/>
      <c r="CM45" s="86"/>
      <c r="CN45" s="87"/>
      <c r="CO45" s="87"/>
      <c r="CP45" s="87"/>
      <c r="CQ45" s="88"/>
      <c r="CR45" s="86"/>
      <c r="CS45" s="87"/>
      <c r="CT45" s="87"/>
      <c r="CU45" s="87"/>
      <c r="CV45" s="88"/>
      <c r="CW45" s="86"/>
      <c r="CX45" s="87"/>
      <c r="CY45" s="87"/>
      <c r="CZ45" s="87"/>
      <c r="DA45" s="88"/>
      <c r="DB45" s="86"/>
      <c r="DC45" s="87"/>
      <c r="DD45" s="87"/>
      <c r="DE45" s="87"/>
      <c r="DF45" s="88"/>
      <c r="DG45" s="86"/>
      <c r="DH45" s="87"/>
      <c r="DI45" s="87"/>
      <c r="DJ45" s="87"/>
      <c r="DK45" s="88"/>
      <c r="DL45" s="86"/>
      <c r="DM45" s="87"/>
      <c r="DN45" s="87"/>
      <c r="DO45" s="87"/>
      <c r="DP45" s="88"/>
      <c r="DQ45" s="86"/>
      <c r="DR45" s="87"/>
      <c r="DS45" s="87"/>
      <c r="DT45" s="87"/>
      <c r="DU45" s="88"/>
      <c r="DV45" s="86"/>
      <c r="DW45" s="87"/>
      <c r="DX45" s="87"/>
      <c r="DY45" s="87"/>
      <c r="DZ45" s="88"/>
      <c r="EA45" s="86"/>
      <c r="EB45" s="87"/>
      <c r="EC45" s="87"/>
      <c r="ED45" s="87"/>
      <c r="EE45" s="88"/>
      <c r="EF45" s="86"/>
      <c r="EG45" s="87"/>
      <c r="EH45" s="87"/>
      <c r="EI45" s="87"/>
      <c r="EJ45" s="88"/>
      <c r="EK45" s="86"/>
      <c r="EL45" s="87"/>
      <c r="EM45" s="87"/>
      <c r="EN45" s="87"/>
      <c r="EO45" s="88"/>
      <c r="EP45" s="86"/>
      <c r="EQ45" s="87"/>
      <c r="ER45" s="87"/>
      <c r="ES45" s="87"/>
      <c r="ET45" s="88"/>
      <c r="EU45" s="86"/>
      <c r="EV45" s="87"/>
      <c r="EW45" s="87"/>
      <c r="EX45" s="87"/>
      <c r="EY45" s="88"/>
      <c r="EZ45" s="86"/>
      <c r="FA45" s="87"/>
      <c r="FB45" s="87"/>
      <c r="FC45" s="87"/>
      <c r="FD45" s="88"/>
      <c r="FE45" s="86"/>
      <c r="FF45" s="87"/>
      <c r="FG45" s="87"/>
      <c r="FH45" s="87"/>
      <c r="FI45" s="88"/>
      <c r="FJ45" s="86"/>
      <c r="FK45" s="87"/>
      <c r="FL45" s="87"/>
      <c r="FM45" s="87"/>
      <c r="FN45" s="88"/>
      <c r="FO45" s="86"/>
      <c r="FP45" s="87"/>
      <c r="FQ45" s="87"/>
      <c r="FR45" s="87"/>
      <c r="FS45" s="88"/>
      <c r="FT45" s="86"/>
      <c r="FU45" s="87"/>
      <c r="FV45" s="87"/>
      <c r="FW45" s="87"/>
      <c r="FX45" s="88"/>
      <c r="FY45" s="86"/>
      <c r="FZ45" s="87"/>
      <c r="GA45" s="87"/>
      <c r="GB45" s="87"/>
      <c r="GC45" s="88"/>
      <c r="GD45" s="86"/>
      <c r="GE45" s="87"/>
      <c r="GF45" s="87"/>
      <c r="GG45" s="87"/>
      <c r="GH45" s="88"/>
      <c r="GI45" s="86"/>
      <c r="GJ45" s="87"/>
      <c r="GK45" s="87"/>
      <c r="GL45" s="87"/>
      <c r="GM45" s="88"/>
      <c r="GN45" s="86"/>
      <c r="GO45" s="87"/>
      <c r="GP45" s="87"/>
      <c r="GQ45" s="87"/>
      <c r="GR45" s="88"/>
    </row>
    <row r="46" spans="1:200" ht="11.25" customHeight="1" x14ac:dyDescent="0.3">
      <c r="A46" s="315"/>
      <c r="B46" s="316"/>
      <c r="C46" s="316"/>
      <c r="D46" s="316"/>
      <c r="E46" s="316"/>
      <c r="F46" s="316"/>
      <c r="G46" s="317"/>
      <c r="H46" s="321"/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  <c r="AA46" s="322"/>
      <c r="AB46" s="322"/>
      <c r="AC46" s="322"/>
      <c r="AD46" s="322"/>
      <c r="AE46" s="322"/>
      <c r="AF46" s="322"/>
      <c r="AG46" s="322"/>
      <c r="AH46" s="322"/>
      <c r="AI46" s="322"/>
      <c r="AJ46" s="322"/>
      <c r="AK46" s="322"/>
      <c r="AL46" s="322"/>
      <c r="AM46" s="322"/>
      <c r="AN46" s="322"/>
      <c r="AO46" s="322"/>
      <c r="AP46" s="322"/>
      <c r="AQ46" s="322"/>
      <c r="AR46" s="322"/>
      <c r="AS46" s="322"/>
      <c r="AT46" s="322"/>
      <c r="AU46" s="322"/>
      <c r="AV46" s="322"/>
      <c r="AW46" s="322"/>
      <c r="AX46" s="322"/>
      <c r="AY46" s="322"/>
      <c r="AZ46" s="322"/>
      <c r="BA46" s="322"/>
      <c r="BB46" s="322"/>
      <c r="BC46" s="322"/>
      <c r="BD46" s="323"/>
      <c r="BE46" s="296"/>
      <c r="BF46" s="297"/>
      <c r="BG46" s="297"/>
      <c r="BH46" s="297"/>
      <c r="BI46" s="297"/>
      <c r="BJ46" s="298"/>
      <c r="BK46" s="296"/>
      <c r="BL46" s="297"/>
      <c r="BM46" s="297"/>
      <c r="BN46" s="297"/>
      <c r="BO46" s="297"/>
      <c r="BP46" s="298"/>
      <c r="BQ46" s="296"/>
      <c r="BR46" s="297"/>
      <c r="BS46" s="297"/>
      <c r="BT46" s="297"/>
      <c r="BU46" s="297"/>
      <c r="BV46" s="298"/>
      <c r="BW46" s="299"/>
      <c r="BX46" s="300"/>
      <c r="BY46" s="300"/>
      <c r="BZ46" s="300"/>
      <c r="CA46" s="300"/>
      <c r="CB46" s="301"/>
      <c r="CC46" s="86"/>
      <c r="CD46" s="87"/>
      <c r="CE46" s="87"/>
      <c r="CF46" s="87"/>
      <c r="CG46" s="88"/>
      <c r="CH46" s="86"/>
      <c r="CI46" s="87"/>
      <c r="CJ46" s="87"/>
      <c r="CK46" s="87"/>
      <c r="CL46" s="88"/>
      <c r="CM46" s="86"/>
      <c r="CN46" s="87"/>
      <c r="CO46" s="87"/>
      <c r="CP46" s="87"/>
      <c r="CQ46" s="88"/>
      <c r="CR46" s="86"/>
      <c r="CS46" s="87"/>
      <c r="CT46" s="87"/>
      <c r="CU46" s="87"/>
      <c r="CV46" s="88"/>
      <c r="CW46" s="86"/>
      <c r="CX46" s="87"/>
      <c r="CY46" s="87"/>
      <c r="CZ46" s="87"/>
      <c r="DA46" s="88"/>
      <c r="DB46" s="86"/>
      <c r="DC46" s="87"/>
      <c r="DD46" s="87"/>
      <c r="DE46" s="87"/>
      <c r="DF46" s="88"/>
      <c r="DG46" s="86"/>
      <c r="DH46" s="87"/>
      <c r="DI46" s="87"/>
      <c r="DJ46" s="87"/>
      <c r="DK46" s="88"/>
      <c r="DL46" s="86"/>
      <c r="DM46" s="87"/>
      <c r="DN46" s="87"/>
      <c r="DO46" s="87"/>
      <c r="DP46" s="88"/>
      <c r="DQ46" s="86"/>
      <c r="DR46" s="87"/>
      <c r="DS46" s="87"/>
      <c r="DT46" s="87"/>
      <c r="DU46" s="88"/>
      <c r="DV46" s="86"/>
      <c r="DW46" s="87"/>
      <c r="DX46" s="87"/>
      <c r="DY46" s="87"/>
      <c r="DZ46" s="88"/>
      <c r="EA46" s="86"/>
      <c r="EB46" s="87"/>
      <c r="EC46" s="87"/>
      <c r="ED46" s="87"/>
      <c r="EE46" s="88"/>
      <c r="EF46" s="86"/>
      <c r="EG46" s="87"/>
      <c r="EH46" s="87"/>
      <c r="EI46" s="87"/>
      <c r="EJ46" s="88"/>
      <c r="EK46" s="86"/>
      <c r="EL46" s="87"/>
      <c r="EM46" s="87"/>
      <c r="EN46" s="87"/>
      <c r="EO46" s="88"/>
      <c r="EP46" s="86"/>
      <c r="EQ46" s="87"/>
      <c r="ER46" s="87"/>
      <c r="ES46" s="87"/>
      <c r="ET46" s="88"/>
      <c r="EU46" s="86"/>
      <c r="EV46" s="87"/>
      <c r="EW46" s="87"/>
      <c r="EX46" s="87"/>
      <c r="EY46" s="88"/>
      <c r="EZ46" s="86"/>
      <c r="FA46" s="87"/>
      <c r="FB46" s="87"/>
      <c r="FC46" s="87"/>
      <c r="FD46" s="88"/>
      <c r="FE46" s="86"/>
      <c r="FF46" s="87"/>
      <c r="FG46" s="87"/>
      <c r="FH46" s="87"/>
      <c r="FI46" s="88"/>
      <c r="FJ46" s="86"/>
      <c r="FK46" s="87"/>
      <c r="FL46" s="87"/>
      <c r="FM46" s="87"/>
      <c r="FN46" s="88"/>
      <c r="FO46" s="86"/>
      <c r="FP46" s="87"/>
      <c r="FQ46" s="87"/>
      <c r="FR46" s="87"/>
      <c r="FS46" s="88"/>
      <c r="FT46" s="86"/>
      <c r="FU46" s="87"/>
      <c r="FV46" s="87"/>
      <c r="FW46" s="87"/>
      <c r="FX46" s="88"/>
      <c r="FY46" s="86"/>
      <c r="FZ46" s="87"/>
      <c r="GA46" s="87"/>
      <c r="GB46" s="87"/>
      <c r="GC46" s="88"/>
      <c r="GD46" s="86"/>
      <c r="GE46" s="87"/>
      <c r="GF46" s="87"/>
      <c r="GG46" s="87"/>
      <c r="GH46" s="88"/>
      <c r="GI46" s="86"/>
      <c r="GJ46" s="87"/>
      <c r="GK46" s="87"/>
      <c r="GL46" s="87"/>
      <c r="GM46" s="88"/>
      <c r="GN46" s="86"/>
      <c r="GO46" s="87"/>
      <c r="GP46" s="87"/>
      <c r="GQ46" s="87"/>
      <c r="GR46" s="88"/>
    </row>
    <row r="47" spans="1:200" ht="11.25" customHeight="1" x14ac:dyDescent="0.3">
      <c r="A47" s="318"/>
      <c r="B47" s="319"/>
      <c r="C47" s="319"/>
      <c r="D47" s="319"/>
      <c r="E47" s="319"/>
      <c r="F47" s="319"/>
      <c r="G47" s="320"/>
      <c r="H47" s="324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25"/>
      <c r="AI47" s="325"/>
      <c r="AJ47" s="325"/>
      <c r="AK47" s="325"/>
      <c r="AL47" s="325"/>
      <c r="AM47" s="325"/>
      <c r="AN47" s="325"/>
      <c r="AO47" s="325"/>
      <c r="AP47" s="325"/>
      <c r="AQ47" s="325"/>
      <c r="AR47" s="325"/>
      <c r="AS47" s="325"/>
      <c r="AT47" s="325"/>
      <c r="AU47" s="325"/>
      <c r="AV47" s="325"/>
      <c r="AW47" s="325"/>
      <c r="AX47" s="325"/>
      <c r="AY47" s="325"/>
      <c r="AZ47" s="325"/>
      <c r="BA47" s="325"/>
      <c r="BB47" s="325"/>
      <c r="BC47" s="325"/>
      <c r="BD47" s="326"/>
      <c r="BE47" s="299"/>
      <c r="BF47" s="300"/>
      <c r="BG47" s="300"/>
      <c r="BH47" s="300"/>
      <c r="BI47" s="300"/>
      <c r="BJ47" s="301"/>
      <c r="BK47" s="299"/>
      <c r="BL47" s="300"/>
      <c r="BM47" s="300"/>
      <c r="BN47" s="300"/>
      <c r="BO47" s="300"/>
      <c r="BP47" s="301"/>
      <c r="BQ47" s="299"/>
      <c r="BR47" s="300"/>
      <c r="BS47" s="300"/>
      <c r="BT47" s="300"/>
      <c r="BU47" s="300"/>
      <c r="BV47" s="301"/>
      <c r="BW47" s="296"/>
      <c r="BX47" s="297"/>
      <c r="BY47" s="297"/>
      <c r="BZ47" s="297"/>
      <c r="CA47" s="297"/>
      <c r="CB47" s="298"/>
      <c r="CC47" s="86"/>
      <c r="CD47" s="87"/>
      <c r="CE47" s="87"/>
      <c r="CF47" s="87"/>
      <c r="CG47" s="88"/>
      <c r="CH47" s="86"/>
      <c r="CI47" s="87"/>
      <c r="CJ47" s="87"/>
      <c r="CK47" s="87"/>
      <c r="CL47" s="88"/>
      <c r="CM47" s="86"/>
      <c r="CN47" s="87"/>
      <c r="CO47" s="87"/>
      <c r="CP47" s="87"/>
      <c r="CQ47" s="88"/>
      <c r="CR47" s="86"/>
      <c r="CS47" s="87"/>
      <c r="CT47" s="87"/>
      <c r="CU47" s="87"/>
      <c r="CV47" s="88"/>
      <c r="CW47" s="86"/>
      <c r="CX47" s="87"/>
      <c r="CY47" s="87"/>
      <c r="CZ47" s="87"/>
      <c r="DA47" s="88"/>
      <c r="DB47" s="86"/>
      <c r="DC47" s="87"/>
      <c r="DD47" s="87"/>
      <c r="DE47" s="87"/>
      <c r="DF47" s="88"/>
      <c r="DG47" s="86"/>
      <c r="DH47" s="87"/>
      <c r="DI47" s="87"/>
      <c r="DJ47" s="87"/>
      <c r="DK47" s="88"/>
      <c r="DL47" s="86"/>
      <c r="DM47" s="87"/>
      <c r="DN47" s="87"/>
      <c r="DO47" s="87"/>
      <c r="DP47" s="88"/>
      <c r="DQ47" s="86"/>
      <c r="DR47" s="87"/>
      <c r="DS47" s="87"/>
      <c r="DT47" s="87"/>
      <c r="DU47" s="88"/>
      <c r="DV47" s="86"/>
      <c r="DW47" s="87"/>
      <c r="DX47" s="87"/>
      <c r="DY47" s="87"/>
      <c r="DZ47" s="88"/>
      <c r="EA47" s="86"/>
      <c r="EB47" s="87"/>
      <c r="EC47" s="87"/>
      <c r="ED47" s="87"/>
      <c r="EE47" s="88"/>
      <c r="EF47" s="86"/>
      <c r="EG47" s="87"/>
      <c r="EH47" s="87"/>
      <c r="EI47" s="87"/>
      <c r="EJ47" s="88"/>
      <c r="EK47" s="86"/>
      <c r="EL47" s="87"/>
      <c r="EM47" s="87"/>
      <c r="EN47" s="87"/>
      <c r="EO47" s="88"/>
      <c r="EP47" s="86"/>
      <c r="EQ47" s="87"/>
      <c r="ER47" s="87"/>
      <c r="ES47" s="87"/>
      <c r="ET47" s="88"/>
      <c r="EU47" s="86"/>
      <c r="EV47" s="87"/>
      <c r="EW47" s="87"/>
      <c r="EX47" s="87"/>
      <c r="EY47" s="88"/>
      <c r="EZ47" s="86"/>
      <c r="FA47" s="87"/>
      <c r="FB47" s="87"/>
      <c r="FC47" s="87"/>
      <c r="FD47" s="88"/>
      <c r="FE47" s="86"/>
      <c r="FF47" s="87"/>
      <c r="FG47" s="87"/>
      <c r="FH47" s="87"/>
      <c r="FI47" s="88"/>
      <c r="FJ47" s="86"/>
      <c r="FK47" s="87"/>
      <c r="FL47" s="87"/>
      <c r="FM47" s="87"/>
      <c r="FN47" s="88"/>
      <c r="FO47" s="86"/>
      <c r="FP47" s="87"/>
      <c r="FQ47" s="87"/>
      <c r="FR47" s="87"/>
      <c r="FS47" s="88"/>
      <c r="FT47" s="86"/>
      <c r="FU47" s="87"/>
      <c r="FV47" s="87"/>
      <c r="FW47" s="87"/>
      <c r="FX47" s="88"/>
      <c r="FY47" s="86"/>
      <c r="FZ47" s="87"/>
      <c r="GA47" s="87"/>
      <c r="GB47" s="87"/>
      <c r="GC47" s="88"/>
      <c r="GD47" s="86"/>
      <c r="GE47" s="87"/>
      <c r="GF47" s="87"/>
      <c r="GG47" s="87"/>
      <c r="GH47" s="88"/>
      <c r="GI47" s="86"/>
      <c r="GJ47" s="87"/>
      <c r="GK47" s="87"/>
      <c r="GL47" s="87"/>
      <c r="GM47" s="88"/>
      <c r="GN47" s="86"/>
      <c r="GO47" s="87"/>
      <c r="GP47" s="87"/>
      <c r="GQ47" s="87"/>
      <c r="GR47" s="88"/>
    </row>
    <row r="48" spans="1:200" ht="11.25" customHeight="1" x14ac:dyDescent="0.3">
      <c r="A48" s="315"/>
      <c r="B48" s="316"/>
      <c r="C48" s="316"/>
      <c r="D48" s="316"/>
      <c r="E48" s="316"/>
      <c r="F48" s="316"/>
      <c r="G48" s="317"/>
      <c r="H48" s="321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322"/>
      <c r="AD48" s="322"/>
      <c r="AE48" s="322"/>
      <c r="AF48" s="322"/>
      <c r="AG48" s="322"/>
      <c r="AH48" s="322"/>
      <c r="AI48" s="322"/>
      <c r="AJ48" s="322"/>
      <c r="AK48" s="322"/>
      <c r="AL48" s="322"/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/>
      <c r="BD48" s="323"/>
      <c r="BE48" s="296"/>
      <c r="BF48" s="297"/>
      <c r="BG48" s="297"/>
      <c r="BH48" s="297"/>
      <c r="BI48" s="297"/>
      <c r="BJ48" s="298"/>
      <c r="BK48" s="296"/>
      <c r="BL48" s="297"/>
      <c r="BM48" s="297"/>
      <c r="BN48" s="297"/>
      <c r="BO48" s="297"/>
      <c r="BP48" s="298"/>
      <c r="BQ48" s="296"/>
      <c r="BR48" s="297"/>
      <c r="BS48" s="297"/>
      <c r="BT48" s="297"/>
      <c r="BU48" s="297"/>
      <c r="BV48" s="298"/>
      <c r="BW48" s="299"/>
      <c r="BX48" s="300"/>
      <c r="BY48" s="300"/>
      <c r="BZ48" s="300"/>
      <c r="CA48" s="300"/>
      <c r="CB48" s="301"/>
      <c r="CC48" s="86"/>
      <c r="CD48" s="87"/>
      <c r="CE48" s="87"/>
      <c r="CF48" s="87"/>
      <c r="CG48" s="88"/>
      <c r="CH48" s="86"/>
      <c r="CI48" s="87"/>
      <c r="CJ48" s="87"/>
      <c r="CK48" s="87"/>
      <c r="CL48" s="88"/>
      <c r="CM48" s="86"/>
      <c r="CN48" s="87"/>
      <c r="CO48" s="87"/>
      <c r="CP48" s="87"/>
      <c r="CQ48" s="88"/>
      <c r="CR48" s="86"/>
      <c r="CS48" s="87"/>
      <c r="CT48" s="87"/>
      <c r="CU48" s="87"/>
      <c r="CV48" s="88"/>
      <c r="CW48" s="86"/>
      <c r="CX48" s="87"/>
      <c r="CY48" s="87"/>
      <c r="CZ48" s="87"/>
      <c r="DA48" s="88"/>
      <c r="DB48" s="86"/>
      <c r="DC48" s="87"/>
      <c r="DD48" s="87"/>
      <c r="DE48" s="87"/>
      <c r="DF48" s="88"/>
      <c r="DG48" s="86"/>
      <c r="DH48" s="87"/>
      <c r="DI48" s="87"/>
      <c r="DJ48" s="87"/>
      <c r="DK48" s="88"/>
      <c r="DL48" s="86"/>
      <c r="DM48" s="87"/>
      <c r="DN48" s="87"/>
      <c r="DO48" s="87"/>
      <c r="DP48" s="88"/>
      <c r="DQ48" s="86"/>
      <c r="DR48" s="87"/>
      <c r="DS48" s="87"/>
      <c r="DT48" s="87"/>
      <c r="DU48" s="88"/>
      <c r="DV48" s="86"/>
      <c r="DW48" s="87"/>
      <c r="DX48" s="87"/>
      <c r="DY48" s="87"/>
      <c r="DZ48" s="88"/>
      <c r="EA48" s="86"/>
      <c r="EB48" s="87"/>
      <c r="EC48" s="87"/>
      <c r="ED48" s="87"/>
      <c r="EE48" s="88"/>
      <c r="EF48" s="86"/>
      <c r="EG48" s="87"/>
      <c r="EH48" s="87"/>
      <c r="EI48" s="87"/>
      <c r="EJ48" s="88"/>
      <c r="EK48" s="86"/>
      <c r="EL48" s="87"/>
      <c r="EM48" s="87"/>
      <c r="EN48" s="87"/>
      <c r="EO48" s="88"/>
      <c r="EP48" s="86"/>
      <c r="EQ48" s="87"/>
      <c r="ER48" s="87"/>
      <c r="ES48" s="87"/>
      <c r="ET48" s="88"/>
      <c r="EU48" s="86"/>
      <c r="EV48" s="87"/>
      <c r="EW48" s="87"/>
      <c r="EX48" s="87"/>
      <c r="EY48" s="88"/>
      <c r="EZ48" s="86"/>
      <c r="FA48" s="87"/>
      <c r="FB48" s="87"/>
      <c r="FC48" s="87"/>
      <c r="FD48" s="88"/>
      <c r="FE48" s="86"/>
      <c r="FF48" s="87"/>
      <c r="FG48" s="87"/>
      <c r="FH48" s="87"/>
      <c r="FI48" s="88"/>
      <c r="FJ48" s="86"/>
      <c r="FK48" s="87"/>
      <c r="FL48" s="87"/>
      <c r="FM48" s="87"/>
      <c r="FN48" s="88"/>
      <c r="FO48" s="86"/>
      <c r="FP48" s="87"/>
      <c r="FQ48" s="87"/>
      <c r="FR48" s="87"/>
      <c r="FS48" s="88"/>
      <c r="FT48" s="86"/>
      <c r="FU48" s="87"/>
      <c r="FV48" s="87"/>
      <c r="FW48" s="87"/>
      <c r="FX48" s="88"/>
      <c r="FY48" s="86"/>
      <c r="FZ48" s="87"/>
      <c r="GA48" s="87"/>
      <c r="GB48" s="87"/>
      <c r="GC48" s="88"/>
      <c r="GD48" s="86"/>
      <c r="GE48" s="87"/>
      <c r="GF48" s="87"/>
      <c r="GG48" s="87"/>
      <c r="GH48" s="88"/>
      <c r="GI48" s="86"/>
      <c r="GJ48" s="87"/>
      <c r="GK48" s="87"/>
      <c r="GL48" s="87"/>
      <c r="GM48" s="88"/>
      <c r="GN48" s="86"/>
      <c r="GO48" s="87"/>
      <c r="GP48" s="87"/>
      <c r="GQ48" s="87"/>
      <c r="GR48" s="88"/>
    </row>
    <row r="49" spans="1:200" ht="11.25" customHeight="1" x14ac:dyDescent="0.3">
      <c r="A49" s="318"/>
      <c r="B49" s="319"/>
      <c r="C49" s="319"/>
      <c r="D49" s="319"/>
      <c r="E49" s="319"/>
      <c r="F49" s="319"/>
      <c r="G49" s="320"/>
      <c r="H49" s="324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/>
      <c r="AS49" s="325"/>
      <c r="AT49" s="325"/>
      <c r="AU49" s="325"/>
      <c r="AV49" s="325"/>
      <c r="AW49" s="325"/>
      <c r="AX49" s="325"/>
      <c r="AY49" s="325"/>
      <c r="AZ49" s="325"/>
      <c r="BA49" s="325"/>
      <c r="BB49" s="325"/>
      <c r="BC49" s="325"/>
      <c r="BD49" s="326"/>
      <c r="BE49" s="299"/>
      <c r="BF49" s="300"/>
      <c r="BG49" s="300"/>
      <c r="BH49" s="300"/>
      <c r="BI49" s="300"/>
      <c r="BJ49" s="301"/>
      <c r="BK49" s="299"/>
      <c r="BL49" s="300"/>
      <c r="BM49" s="300"/>
      <c r="BN49" s="300"/>
      <c r="BO49" s="300"/>
      <c r="BP49" s="301"/>
      <c r="BQ49" s="299"/>
      <c r="BR49" s="300"/>
      <c r="BS49" s="300"/>
      <c r="BT49" s="300"/>
      <c r="BU49" s="300"/>
      <c r="BV49" s="301"/>
      <c r="BW49" s="296"/>
      <c r="BX49" s="297"/>
      <c r="BY49" s="297"/>
      <c r="BZ49" s="297"/>
      <c r="CA49" s="297"/>
      <c r="CB49" s="298"/>
      <c r="CC49" s="86"/>
      <c r="CD49" s="87"/>
      <c r="CE49" s="87"/>
      <c r="CF49" s="87"/>
      <c r="CG49" s="88"/>
      <c r="CH49" s="86"/>
      <c r="CI49" s="87"/>
      <c r="CJ49" s="87"/>
      <c r="CK49" s="87"/>
      <c r="CL49" s="88"/>
      <c r="CM49" s="86"/>
      <c r="CN49" s="87"/>
      <c r="CO49" s="87"/>
      <c r="CP49" s="87"/>
      <c r="CQ49" s="88"/>
      <c r="CR49" s="86"/>
      <c r="CS49" s="87"/>
      <c r="CT49" s="87"/>
      <c r="CU49" s="87"/>
      <c r="CV49" s="88"/>
      <c r="CW49" s="86"/>
      <c r="CX49" s="87"/>
      <c r="CY49" s="87"/>
      <c r="CZ49" s="87"/>
      <c r="DA49" s="88"/>
      <c r="DB49" s="86"/>
      <c r="DC49" s="87"/>
      <c r="DD49" s="87"/>
      <c r="DE49" s="87"/>
      <c r="DF49" s="88"/>
      <c r="DG49" s="86"/>
      <c r="DH49" s="87"/>
      <c r="DI49" s="87"/>
      <c r="DJ49" s="87"/>
      <c r="DK49" s="88"/>
      <c r="DL49" s="86"/>
      <c r="DM49" s="87"/>
      <c r="DN49" s="87"/>
      <c r="DO49" s="87"/>
      <c r="DP49" s="88"/>
      <c r="DQ49" s="86"/>
      <c r="DR49" s="87"/>
      <c r="DS49" s="87"/>
      <c r="DT49" s="87"/>
      <c r="DU49" s="88"/>
      <c r="DV49" s="86"/>
      <c r="DW49" s="87"/>
      <c r="DX49" s="87"/>
      <c r="DY49" s="87"/>
      <c r="DZ49" s="88"/>
      <c r="EA49" s="86"/>
      <c r="EB49" s="87"/>
      <c r="EC49" s="87"/>
      <c r="ED49" s="87"/>
      <c r="EE49" s="88"/>
      <c r="EF49" s="86"/>
      <c r="EG49" s="87"/>
      <c r="EH49" s="87"/>
      <c r="EI49" s="87"/>
      <c r="EJ49" s="88"/>
      <c r="EK49" s="86"/>
      <c r="EL49" s="87"/>
      <c r="EM49" s="87"/>
      <c r="EN49" s="87"/>
      <c r="EO49" s="88"/>
      <c r="EP49" s="86"/>
      <c r="EQ49" s="87"/>
      <c r="ER49" s="87"/>
      <c r="ES49" s="87"/>
      <c r="ET49" s="88"/>
      <c r="EU49" s="86"/>
      <c r="EV49" s="87"/>
      <c r="EW49" s="87"/>
      <c r="EX49" s="87"/>
      <c r="EY49" s="88"/>
      <c r="EZ49" s="86"/>
      <c r="FA49" s="87"/>
      <c r="FB49" s="87"/>
      <c r="FC49" s="87"/>
      <c r="FD49" s="88"/>
      <c r="FE49" s="86"/>
      <c r="FF49" s="87"/>
      <c r="FG49" s="87"/>
      <c r="FH49" s="87"/>
      <c r="FI49" s="88"/>
      <c r="FJ49" s="86"/>
      <c r="FK49" s="87"/>
      <c r="FL49" s="87"/>
      <c r="FM49" s="87"/>
      <c r="FN49" s="88"/>
      <c r="FO49" s="86"/>
      <c r="FP49" s="87"/>
      <c r="FQ49" s="87"/>
      <c r="FR49" s="87"/>
      <c r="FS49" s="88"/>
      <c r="FT49" s="86"/>
      <c r="FU49" s="87"/>
      <c r="FV49" s="87"/>
      <c r="FW49" s="87"/>
      <c r="FX49" s="88"/>
      <c r="FY49" s="86"/>
      <c r="FZ49" s="87"/>
      <c r="GA49" s="87"/>
      <c r="GB49" s="87"/>
      <c r="GC49" s="88"/>
      <c r="GD49" s="86"/>
      <c r="GE49" s="87"/>
      <c r="GF49" s="87"/>
      <c r="GG49" s="87"/>
      <c r="GH49" s="88"/>
      <c r="GI49" s="86"/>
      <c r="GJ49" s="87"/>
      <c r="GK49" s="87"/>
      <c r="GL49" s="87"/>
      <c r="GM49" s="88"/>
      <c r="GN49" s="86"/>
      <c r="GO49" s="87"/>
      <c r="GP49" s="87"/>
      <c r="GQ49" s="87"/>
      <c r="GR49" s="88"/>
    </row>
    <row r="50" spans="1:200" ht="11.25" customHeight="1" x14ac:dyDescent="0.3">
      <c r="A50" s="315"/>
      <c r="B50" s="316"/>
      <c r="C50" s="316"/>
      <c r="D50" s="316"/>
      <c r="E50" s="316"/>
      <c r="F50" s="316"/>
      <c r="G50" s="317"/>
      <c r="H50" s="321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  <c r="AA50" s="322"/>
      <c r="AB50" s="322"/>
      <c r="AC50" s="322"/>
      <c r="AD50" s="322"/>
      <c r="AE50" s="322"/>
      <c r="AF50" s="322"/>
      <c r="AG50" s="322"/>
      <c r="AH50" s="322"/>
      <c r="AI50" s="322"/>
      <c r="AJ50" s="322"/>
      <c r="AK50" s="322"/>
      <c r="AL50" s="322"/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/>
      <c r="BD50" s="323"/>
      <c r="BE50" s="296"/>
      <c r="BF50" s="297"/>
      <c r="BG50" s="297"/>
      <c r="BH50" s="297"/>
      <c r="BI50" s="297"/>
      <c r="BJ50" s="298"/>
      <c r="BK50" s="296"/>
      <c r="BL50" s="297"/>
      <c r="BM50" s="297"/>
      <c r="BN50" s="297"/>
      <c r="BO50" s="297"/>
      <c r="BP50" s="298"/>
      <c r="BQ50" s="296"/>
      <c r="BR50" s="297"/>
      <c r="BS50" s="297"/>
      <c r="BT50" s="297"/>
      <c r="BU50" s="297"/>
      <c r="BV50" s="298"/>
      <c r="BW50" s="299"/>
      <c r="BX50" s="300"/>
      <c r="BY50" s="300"/>
      <c r="BZ50" s="300"/>
      <c r="CA50" s="300"/>
      <c r="CB50" s="301"/>
      <c r="CC50" s="86"/>
      <c r="CD50" s="87"/>
      <c r="CE50" s="87"/>
      <c r="CF50" s="87"/>
      <c r="CG50" s="88"/>
      <c r="CH50" s="86"/>
      <c r="CI50" s="87"/>
      <c r="CJ50" s="87"/>
      <c r="CK50" s="87"/>
      <c r="CL50" s="88"/>
      <c r="CM50" s="86"/>
      <c r="CN50" s="87"/>
      <c r="CO50" s="87"/>
      <c r="CP50" s="87"/>
      <c r="CQ50" s="88"/>
      <c r="CR50" s="86"/>
      <c r="CS50" s="87"/>
      <c r="CT50" s="87"/>
      <c r="CU50" s="87"/>
      <c r="CV50" s="88"/>
      <c r="CW50" s="86"/>
      <c r="CX50" s="87"/>
      <c r="CY50" s="87"/>
      <c r="CZ50" s="87"/>
      <c r="DA50" s="88"/>
      <c r="DB50" s="86"/>
      <c r="DC50" s="87"/>
      <c r="DD50" s="87"/>
      <c r="DE50" s="87"/>
      <c r="DF50" s="88"/>
      <c r="DG50" s="86"/>
      <c r="DH50" s="87"/>
      <c r="DI50" s="87"/>
      <c r="DJ50" s="87"/>
      <c r="DK50" s="88"/>
      <c r="DL50" s="86"/>
      <c r="DM50" s="87"/>
      <c r="DN50" s="87"/>
      <c r="DO50" s="87"/>
      <c r="DP50" s="88"/>
      <c r="DQ50" s="86"/>
      <c r="DR50" s="87"/>
      <c r="DS50" s="87"/>
      <c r="DT50" s="87"/>
      <c r="DU50" s="88"/>
      <c r="DV50" s="86"/>
      <c r="DW50" s="87"/>
      <c r="DX50" s="87"/>
      <c r="DY50" s="87"/>
      <c r="DZ50" s="88"/>
      <c r="EA50" s="86"/>
      <c r="EB50" s="87"/>
      <c r="EC50" s="87"/>
      <c r="ED50" s="87"/>
      <c r="EE50" s="88"/>
      <c r="EF50" s="86"/>
      <c r="EG50" s="87"/>
      <c r="EH50" s="87"/>
      <c r="EI50" s="87"/>
      <c r="EJ50" s="88"/>
      <c r="EK50" s="86"/>
      <c r="EL50" s="87"/>
      <c r="EM50" s="87"/>
      <c r="EN50" s="87"/>
      <c r="EO50" s="88"/>
      <c r="EP50" s="86"/>
      <c r="EQ50" s="87"/>
      <c r="ER50" s="87"/>
      <c r="ES50" s="87"/>
      <c r="ET50" s="88"/>
      <c r="EU50" s="86"/>
      <c r="EV50" s="87"/>
      <c r="EW50" s="87"/>
      <c r="EX50" s="87"/>
      <c r="EY50" s="88"/>
      <c r="EZ50" s="86"/>
      <c r="FA50" s="87"/>
      <c r="FB50" s="87"/>
      <c r="FC50" s="87"/>
      <c r="FD50" s="88"/>
      <c r="FE50" s="86"/>
      <c r="FF50" s="87"/>
      <c r="FG50" s="87"/>
      <c r="FH50" s="87"/>
      <c r="FI50" s="88"/>
      <c r="FJ50" s="86"/>
      <c r="FK50" s="87"/>
      <c r="FL50" s="87"/>
      <c r="FM50" s="87"/>
      <c r="FN50" s="88"/>
      <c r="FO50" s="86"/>
      <c r="FP50" s="87"/>
      <c r="FQ50" s="87"/>
      <c r="FR50" s="87"/>
      <c r="FS50" s="88"/>
      <c r="FT50" s="86"/>
      <c r="FU50" s="87"/>
      <c r="FV50" s="87"/>
      <c r="FW50" s="87"/>
      <c r="FX50" s="88"/>
      <c r="FY50" s="86"/>
      <c r="FZ50" s="87"/>
      <c r="GA50" s="87"/>
      <c r="GB50" s="87"/>
      <c r="GC50" s="88"/>
      <c r="GD50" s="86"/>
      <c r="GE50" s="87"/>
      <c r="GF50" s="87"/>
      <c r="GG50" s="87"/>
      <c r="GH50" s="88"/>
      <c r="GI50" s="86"/>
      <c r="GJ50" s="87"/>
      <c r="GK50" s="87"/>
      <c r="GL50" s="87"/>
      <c r="GM50" s="88"/>
      <c r="GN50" s="86"/>
      <c r="GO50" s="87"/>
      <c r="GP50" s="87"/>
      <c r="GQ50" s="87"/>
      <c r="GR50" s="88"/>
    </row>
    <row r="51" spans="1:200" ht="11.25" customHeight="1" x14ac:dyDescent="0.3">
      <c r="A51" s="318"/>
      <c r="B51" s="319"/>
      <c r="C51" s="319"/>
      <c r="D51" s="319"/>
      <c r="E51" s="319"/>
      <c r="F51" s="319"/>
      <c r="G51" s="320"/>
      <c r="H51" s="324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  <c r="AV51" s="325"/>
      <c r="AW51" s="325"/>
      <c r="AX51" s="325"/>
      <c r="AY51" s="325"/>
      <c r="AZ51" s="325"/>
      <c r="BA51" s="325"/>
      <c r="BB51" s="325"/>
      <c r="BC51" s="325"/>
      <c r="BD51" s="326"/>
      <c r="BE51" s="299"/>
      <c r="BF51" s="300"/>
      <c r="BG51" s="300"/>
      <c r="BH51" s="300"/>
      <c r="BI51" s="300"/>
      <c r="BJ51" s="301"/>
      <c r="BK51" s="299"/>
      <c r="BL51" s="300"/>
      <c r="BM51" s="300"/>
      <c r="BN51" s="300"/>
      <c r="BO51" s="300"/>
      <c r="BP51" s="301"/>
      <c r="BQ51" s="299"/>
      <c r="BR51" s="300"/>
      <c r="BS51" s="300"/>
      <c r="BT51" s="300"/>
      <c r="BU51" s="300"/>
      <c r="BV51" s="301"/>
      <c r="BW51" s="296"/>
      <c r="BX51" s="297"/>
      <c r="BY51" s="297"/>
      <c r="BZ51" s="297"/>
      <c r="CA51" s="297"/>
      <c r="CB51" s="298"/>
      <c r="CC51" s="86"/>
      <c r="CD51" s="87"/>
      <c r="CE51" s="87"/>
      <c r="CF51" s="87"/>
      <c r="CG51" s="88"/>
      <c r="CH51" s="86"/>
      <c r="CI51" s="87"/>
      <c r="CJ51" s="87"/>
      <c r="CK51" s="87"/>
      <c r="CL51" s="88"/>
      <c r="CM51" s="86"/>
      <c r="CN51" s="87"/>
      <c r="CO51" s="87"/>
      <c r="CP51" s="87"/>
      <c r="CQ51" s="88"/>
      <c r="CR51" s="86"/>
      <c r="CS51" s="87"/>
      <c r="CT51" s="87"/>
      <c r="CU51" s="87"/>
      <c r="CV51" s="88"/>
      <c r="CW51" s="86"/>
      <c r="CX51" s="87"/>
      <c r="CY51" s="87"/>
      <c r="CZ51" s="87"/>
      <c r="DA51" s="88"/>
      <c r="DB51" s="86"/>
      <c r="DC51" s="87"/>
      <c r="DD51" s="87"/>
      <c r="DE51" s="87"/>
      <c r="DF51" s="88"/>
      <c r="DG51" s="86"/>
      <c r="DH51" s="87"/>
      <c r="DI51" s="87"/>
      <c r="DJ51" s="87"/>
      <c r="DK51" s="88"/>
      <c r="DL51" s="86"/>
      <c r="DM51" s="87"/>
      <c r="DN51" s="87"/>
      <c r="DO51" s="87"/>
      <c r="DP51" s="88"/>
      <c r="DQ51" s="86"/>
      <c r="DR51" s="87"/>
      <c r="DS51" s="87"/>
      <c r="DT51" s="87"/>
      <c r="DU51" s="88"/>
      <c r="DV51" s="86"/>
      <c r="DW51" s="87"/>
      <c r="DX51" s="87"/>
      <c r="DY51" s="87"/>
      <c r="DZ51" s="88"/>
      <c r="EA51" s="86"/>
      <c r="EB51" s="87"/>
      <c r="EC51" s="87"/>
      <c r="ED51" s="87"/>
      <c r="EE51" s="88"/>
      <c r="EF51" s="86"/>
      <c r="EG51" s="87"/>
      <c r="EH51" s="87"/>
      <c r="EI51" s="87"/>
      <c r="EJ51" s="88"/>
      <c r="EK51" s="86"/>
      <c r="EL51" s="87"/>
      <c r="EM51" s="87"/>
      <c r="EN51" s="87"/>
      <c r="EO51" s="88"/>
      <c r="EP51" s="86"/>
      <c r="EQ51" s="87"/>
      <c r="ER51" s="87"/>
      <c r="ES51" s="87"/>
      <c r="ET51" s="88"/>
      <c r="EU51" s="86"/>
      <c r="EV51" s="87"/>
      <c r="EW51" s="87"/>
      <c r="EX51" s="87"/>
      <c r="EY51" s="88"/>
      <c r="EZ51" s="86"/>
      <c r="FA51" s="87"/>
      <c r="FB51" s="87"/>
      <c r="FC51" s="87"/>
      <c r="FD51" s="88"/>
      <c r="FE51" s="86"/>
      <c r="FF51" s="87"/>
      <c r="FG51" s="87"/>
      <c r="FH51" s="87"/>
      <c r="FI51" s="88"/>
      <c r="FJ51" s="86"/>
      <c r="FK51" s="87"/>
      <c r="FL51" s="87"/>
      <c r="FM51" s="87"/>
      <c r="FN51" s="88"/>
      <c r="FO51" s="86"/>
      <c r="FP51" s="87"/>
      <c r="FQ51" s="87"/>
      <c r="FR51" s="87"/>
      <c r="FS51" s="88"/>
      <c r="FT51" s="86"/>
      <c r="FU51" s="87"/>
      <c r="FV51" s="87"/>
      <c r="FW51" s="87"/>
      <c r="FX51" s="88"/>
      <c r="FY51" s="86"/>
      <c r="FZ51" s="87"/>
      <c r="GA51" s="87"/>
      <c r="GB51" s="87"/>
      <c r="GC51" s="88"/>
      <c r="GD51" s="86"/>
      <c r="GE51" s="87"/>
      <c r="GF51" s="87"/>
      <c r="GG51" s="87"/>
      <c r="GH51" s="88"/>
      <c r="GI51" s="86"/>
      <c r="GJ51" s="87"/>
      <c r="GK51" s="87"/>
      <c r="GL51" s="87"/>
      <c r="GM51" s="88"/>
      <c r="GN51" s="86"/>
      <c r="GO51" s="87"/>
      <c r="GP51" s="87"/>
      <c r="GQ51" s="87"/>
      <c r="GR51" s="88"/>
    </row>
    <row r="52" spans="1:200" ht="11.25" customHeight="1" x14ac:dyDescent="0.3">
      <c r="A52" s="315"/>
      <c r="B52" s="316"/>
      <c r="C52" s="316"/>
      <c r="D52" s="316"/>
      <c r="E52" s="316"/>
      <c r="F52" s="316"/>
      <c r="G52" s="317"/>
      <c r="H52" s="321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  <c r="AA52" s="322"/>
      <c r="AB52" s="322"/>
      <c r="AC52" s="322"/>
      <c r="AD52" s="322"/>
      <c r="AE52" s="322"/>
      <c r="AF52" s="322"/>
      <c r="AG52" s="322"/>
      <c r="AH52" s="322"/>
      <c r="AI52" s="322"/>
      <c r="AJ52" s="322"/>
      <c r="AK52" s="322"/>
      <c r="AL52" s="322"/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/>
      <c r="AZ52" s="322"/>
      <c r="BA52" s="322"/>
      <c r="BB52" s="322"/>
      <c r="BC52" s="322"/>
      <c r="BD52" s="323"/>
      <c r="BE52" s="296"/>
      <c r="BF52" s="297"/>
      <c r="BG52" s="297"/>
      <c r="BH52" s="297"/>
      <c r="BI52" s="297"/>
      <c r="BJ52" s="298"/>
      <c r="BK52" s="296"/>
      <c r="BL52" s="297"/>
      <c r="BM52" s="297"/>
      <c r="BN52" s="297"/>
      <c r="BO52" s="297"/>
      <c r="BP52" s="298"/>
      <c r="BQ52" s="296"/>
      <c r="BR52" s="297"/>
      <c r="BS52" s="297"/>
      <c r="BT52" s="297"/>
      <c r="BU52" s="297"/>
      <c r="BV52" s="298"/>
      <c r="BW52" s="299"/>
      <c r="BX52" s="300"/>
      <c r="BY52" s="300"/>
      <c r="BZ52" s="300"/>
      <c r="CA52" s="300"/>
      <c r="CB52" s="301"/>
      <c r="CC52" s="86"/>
      <c r="CD52" s="87"/>
      <c r="CE52" s="87"/>
      <c r="CF52" s="87"/>
      <c r="CG52" s="88"/>
      <c r="CH52" s="86"/>
      <c r="CI52" s="87"/>
      <c r="CJ52" s="87"/>
      <c r="CK52" s="87"/>
      <c r="CL52" s="88"/>
      <c r="CM52" s="86"/>
      <c r="CN52" s="87"/>
      <c r="CO52" s="87"/>
      <c r="CP52" s="87"/>
      <c r="CQ52" s="88"/>
      <c r="CR52" s="86"/>
      <c r="CS52" s="87"/>
      <c r="CT52" s="87"/>
      <c r="CU52" s="87"/>
      <c r="CV52" s="88"/>
      <c r="CW52" s="86"/>
      <c r="CX52" s="87"/>
      <c r="CY52" s="87"/>
      <c r="CZ52" s="87"/>
      <c r="DA52" s="88"/>
      <c r="DB52" s="86"/>
      <c r="DC52" s="87"/>
      <c r="DD52" s="87"/>
      <c r="DE52" s="87"/>
      <c r="DF52" s="88"/>
      <c r="DG52" s="86"/>
      <c r="DH52" s="87"/>
      <c r="DI52" s="87"/>
      <c r="DJ52" s="87"/>
      <c r="DK52" s="88"/>
      <c r="DL52" s="86"/>
      <c r="DM52" s="87"/>
      <c r="DN52" s="87"/>
      <c r="DO52" s="87"/>
      <c r="DP52" s="88"/>
      <c r="DQ52" s="86"/>
      <c r="DR52" s="87"/>
      <c r="DS52" s="87"/>
      <c r="DT52" s="87"/>
      <c r="DU52" s="88"/>
      <c r="DV52" s="86"/>
      <c r="DW52" s="87"/>
      <c r="DX52" s="87"/>
      <c r="DY52" s="87"/>
      <c r="DZ52" s="88"/>
      <c r="EA52" s="86"/>
      <c r="EB52" s="87"/>
      <c r="EC52" s="87"/>
      <c r="ED52" s="87"/>
      <c r="EE52" s="88"/>
      <c r="EF52" s="86"/>
      <c r="EG52" s="87"/>
      <c r="EH52" s="87"/>
      <c r="EI52" s="87"/>
      <c r="EJ52" s="88"/>
      <c r="EK52" s="86"/>
      <c r="EL52" s="87"/>
      <c r="EM52" s="87"/>
      <c r="EN52" s="87"/>
      <c r="EO52" s="88"/>
      <c r="EP52" s="86"/>
      <c r="EQ52" s="87"/>
      <c r="ER52" s="87"/>
      <c r="ES52" s="87"/>
      <c r="ET52" s="88"/>
      <c r="EU52" s="86"/>
      <c r="EV52" s="87"/>
      <c r="EW52" s="87"/>
      <c r="EX52" s="87"/>
      <c r="EY52" s="88"/>
      <c r="EZ52" s="86"/>
      <c r="FA52" s="87"/>
      <c r="FB52" s="87"/>
      <c r="FC52" s="87"/>
      <c r="FD52" s="88"/>
      <c r="FE52" s="86"/>
      <c r="FF52" s="87"/>
      <c r="FG52" s="87"/>
      <c r="FH52" s="87"/>
      <c r="FI52" s="88"/>
      <c r="FJ52" s="86"/>
      <c r="FK52" s="87"/>
      <c r="FL52" s="87"/>
      <c r="FM52" s="87"/>
      <c r="FN52" s="88"/>
      <c r="FO52" s="86"/>
      <c r="FP52" s="87"/>
      <c r="FQ52" s="87"/>
      <c r="FR52" s="87"/>
      <c r="FS52" s="88"/>
      <c r="FT52" s="86"/>
      <c r="FU52" s="87"/>
      <c r="FV52" s="87"/>
      <c r="FW52" s="87"/>
      <c r="FX52" s="88"/>
      <c r="FY52" s="86"/>
      <c r="FZ52" s="87"/>
      <c r="GA52" s="87"/>
      <c r="GB52" s="87"/>
      <c r="GC52" s="88"/>
      <c r="GD52" s="86"/>
      <c r="GE52" s="87"/>
      <c r="GF52" s="87"/>
      <c r="GG52" s="87"/>
      <c r="GH52" s="88"/>
      <c r="GI52" s="86"/>
      <c r="GJ52" s="87"/>
      <c r="GK52" s="87"/>
      <c r="GL52" s="87"/>
      <c r="GM52" s="88"/>
      <c r="GN52" s="86"/>
      <c r="GO52" s="87"/>
      <c r="GP52" s="87"/>
      <c r="GQ52" s="87"/>
      <c r="GR52" s="88"/>
    </row>
    <row r="53" spans="1:200" ht="11" customHeight="1" x14ac:dyDescent="0.3">
      <c r="A53" s="318"/>
      <c r="B53" s="319"/>
      <c r="C53" s="319"/>
      <c r="D53" s="319"/>
      <c r="E53" s="319"/>
      <c r="F53" s="319"/>
      <c r="G53" s="320"/>
      <c r="H53" s="324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/>
      <c r="AS53" s="325"/>
      <c r="AT53" s="325"/>
      <c r="AU53" s="325"/>
      <c r="AV53" s="325"/>
      <c r="AW53" s="325"/>
      <c r="AX53" s="325"/>
      <c r="AY53" s="325"/>
      <c r="AZ53" s="325"/>
      <c r="BA53" s="325"/>
      <c r="BB53" s="325"/>
      <c r="BC53" s="325"/>
      <c r="BD53" s="326"/>
      <c r="BE53" s="299"/>
      <c r="BF53" s="300"/>
      <c r="BG53" s="300"/>
      <c r="BH53" s="300"/>
      <c r="BI53" s="300"/>
      <c r="BJ53" s="301"/>
      <c r="BK53" s="299"/>
      <c r="BL53" s="300"/>
      <c r="BM53" s="300"/>
      <c r="BN53" s="300"/>
      <c r="BO53" s="300"/>
      <c r="BP53" s="301"/>
      <c r="BQ53" s="299"/>
      <c r="BR53" s="300"/>
      <c r="BS53" s="300"/>
      <c r="BT53" s="300"/>
      <c r="BU53" s="300"/>
      <c r="BV53" s="301"/>
      <c r="BW53" s="296"/>
      <c r="BX53" s="297"/>
      <c r="BY53" s="297"/>
      <c r="BZ53" s="297"/>
      <c r="CA53" s="297"/>
      <c r="CB53" s="298"/>
      <c r="CC53" s="86"/>
      <c r="CD53" s="87"/>
      <c r="CE53" s="87"/>
      <c r="CF53" s="87"/>
      <c r="CG53" s="88"/>
      <c r="CH53" s="86"/>
      <c r="CI53" s="87"/>
      <c r="CJ53" s="87"/>
      <c r="CK53" s="87"/>
      <c r="CL53" s="88"/>
      <c r="CM53" s="86"/>
      <c r="CN53" s="87"/>
      <c r="CO53" s="87"/>
      <c r="CP53" s="87"/>
      <c r="CQ53" s="88"/>
      <c r="CR53" s="86"/>
      <c r="CS53" s="87"/>
      <c r="CT53" s="87"/>
      <c r="CU53" s="87"/>
      <c r="CV53" s="88"/>
      <c r="CW53" s="86"/>
      <c r="CX53" s="87"/>
      <c r="CY53" s="87"/>
      <c r="CZ53" s="87"/>
      <c r="DA53" s="88"/>
      <c r="DB53" s="86"/>
      <c r="DC53" s="87"/>
      <c r="DD53" s="87"/>
      <c r="DE53" s="87"/>
      <c r="DF53" s="88"/>
      <c r="DG53" s="86"/>
      <c r="DH53" s="87"/>
      <c r="DI53" s="87"/>
      <c r="DJ53" s="87"/>
      <c r="DK53" s="88"/>
      <c r="DL53" s="86"/>
      <c r="DM53" s="87"/>
      <c r="DN53" s="87"/>
      <c r="DO53" s="87"/>
      <c r="DP53" s="88"/>
      <c r="DQ53" s="86"/>
      <c r="DR53" s="87"/>
      <c r="DS53" s="87"/>
      <c r="DT53" s="87"/>
      <c r="DU53" s="88"/>
      <c r="DV53" s="86"/>
      <c r="DW53" s="87"/>
      <c r="DX53" s="87"/>
      <c r="DY53" s="87"/>
      <c r="DZ53" s="88"/>
      <c r="EA53" s="86"/>
      <c r="EB53" s="87"/>
      <c r="EC53" s="87"/>
      <c r="ED53" s="87"/>
      <c r="EE53" s="88"/>
      <c r="EF53" s="86"/>
      <c r="EG53" s="87"/>
      <c r="EH53" s="87"/>
      <c r="EI53" s="87"/>
      <c r="EJ53" s="88"/>
      <c r="EK53" s="86"/>
      <c r="EL53" s="87"/>
      <c r="EM53" s="87"/>
      <c r="EN53" s="87"/>
      <c r="EO53" s="88"/>
      <c r="EP53" s="86"/>
      <c r="EQ53" s="87"/>
      <c r="ER53" s="87"/>
      <c r="ES53" s="87"/>
      <c r="ET53" s="88"/>
      <c r="EU53" s="86"/>
      <c r="EV53" s="87"/>
      <c r="EW53" s="87"/>
      <c r="EX53" s="87"/>
      <c r="EY53" s="88"/>
      <c r="EZ53" s="86"/>
      <c r="FA53" s="87"/>
      <c r="FB53" s="87"/>
      <c r="FC53" s="87"/>
      <c r="FD53" s="88"/>
      <c r="FE53" s="86"/>
      <c r="FF53" s="87"/>
      <c r="FG53" s="87"/>
      <c r="FH53" s="87"/>
      <c r="FI53" s="88"/>
      <c r="FJ53" s="86"/>
      <c r="FK53" s="87"/>
      <c r="FL53" s="87"/>
      <c r="FM53" s="87"/>
      <c r="FN53" s="88"/>
      <c r="FO53" s="86"/>
      <c r="FP53" s="87"/>
      <c r="FQ53" s="87"/>
      <c r="FR53" s="87"/>
      <c r="FS53" s="88"/>
      <c r="FT53" s="86"/>
      <c r="FU53" s="87"/>
      <c r="FV53" s="87"/>
      <c r="FW53" s="87"/>
      <c r="FX53" s="88"/>
      <c r="FY53" s="86"/>
      <c r="FZ53" s="87"/>
      <c r="GA53" s="87"/>
      <c r="GB53" s="87"/>
      <c r="GC53" s="88"/>
      <c r="GD53" s="86"/>
      <c r="GE53" s="87"/>
      <c r="GF53" s="87"/>
      <c r="GG53" s="87"/>
      <c r="GH53" s="88"/>
      <c r="GI53" s="86"/>
      <c r="GJ53" s="87"/>
      <c r="GK53" s="87"/>
      <c r="GL53" s="87"/>
      <c r="GM53" s="88"/>
      <c r="GN53" s="86"/>
      <c r="GO53" s="87"/>
      <c r="GP53" s="87"/>
      <c r="GQ53" s="87"/>
      <c r="GR53" s="88"/>
    </row>
    <row r="54" spans="1:200" ht="11" customHeight="1" x14ac:dyDescent="0.3">
      <c r="A54" s="315"/>
      <c r="B54" s="316"/>
      <c r="C54" s="316"/>
      <c r="D54" s="316"/>
      <c r="E54" s="316"/>
      <c r="F54" s="316"/>
      <c r="G54" s="317"/>
      <c r="H54" s="321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  <c r="AA54" s="322"/>
      <c r="AB54" s="322"/>
      <c r="AC54" s="322"/>
      <c r="AD54" s="322"/>
      <c r="AE54" s="322"/>
      <c r="AF54" s="322"/>
      <c r="AG54" s="322"/>
      <c r="AH54" s="322"/>
      <c r="AI54" s="322"/>
      <c r="AJ54" s="322"/>
      <c r="AK54" s="322"/>
      <c r="AL54" s="322"/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/>
      <c r="BD54" s="323"/>
      <c r="BE54" s="296"/>
      <c r="BF54" s="297"/>
      <c r="BG54" s="297"/>
      <c r="BH54" s="297"/>
      <c r="BI54" s="297"/>
      <c r="BJ54" s="298"/>
      <c r="BK54" s="296"/>
      <c r="BL54" s="297"/>
      <c r="BM54" s="297"/>
      <c r="BN54" s="297"/>
      <c r="BO54" s="297"/>
      <c r="BP54" s="298"/>
      <c r="BQ54" s="296"/>
      <c r="BR54" s="297"/>
      <c r="BS54" s="297"/>
      <c r="BT54" s="297"/>
      <c r="BU54" s="297"/>
      <c r="BV54" s="298"/>
      <c r="BW54" s="299"/>
      <c r="BX54" s="300"/>
      <c r="BY54" s="300"/>
      <c r="BZ54" s="300"/>
      <c r="CA54" s="300"/>
      <c r="CB54" s="301"/>
      <c r="CC54" s="86"/>
      <c r="CD54" s="87"/>
      <c r="CE54" s="87"/>
      <c r="CF54" s="87"/>
      <c r="CG54" s="88"/>
      <c r="CH54" s="86"/>
      <c r="CI54" s="87"/>
      <c r="CJ54" s="87"/>
      <c r="CK54" s="87"/>
      <c r="CL54" s="88"/>
      <c r="CM54" s="86"/>
      <c r="CN54" s="87"/>
      <c r="CO54" s="87"/>
      <c r="CP54" s="87"/>
      <c r="CQ54" s="88"/>
      <c r="CR54" s="86"/>
      <c r="CS54" s="87"/>
      <c r="CT54" s="87"/>
      <c r="CU54" s="87"/>
      <c r="CV54" s="88"/>
      <c r="CW54" s="86"/>
      <c r="CX54" s="87"/>
      <c r="CY54" s="87"/>
      <c r="CZ54" s="87"/>
      <c r="DA54" s="88"/>
      <c r="DB54" s="86"/>
      <c r="DC54" s="87"/>
      <c r="DD54" s="87"/>
      <c r="DE54" s="87"/>
      <c r="DF54" s="88"/>
      <c r="DG54" s="86"/>
      <c r="DH54" s="87"/>
      <c r="DI54" s="87"/>
      <c r="DJ54" s="87"/>
      <c r="DK54" s="88"/>
      <c r="DL54" s="86"/>
      <c r="DM54" s="87"/>
      <c r="DN54" s="87"/>
      <c r="DO54" s="87"/>
      <c r="DP54" s="88"/>
      <c r="DQ54" s="86"/>
      <c r="DR54" s="87"/>
      <c r="DS54" s="87"/>
      <c r="DT54" s="87"/>
      <c r="DU54" s="88"/>
      <c r="DV54" s="86"/>
      <c r="DW54" s="87"/>
      <c r="DX54" s="87"/>
      <c r="DY54" s="87"/>
      <c r="DZ54" s="88"/>
      <c r="EA54" s="86"/>
      <c r="EB54" s="87"/>
      <c r="EC54" s="87"/>
      <c r="ED54" s="87"/>
      <c r="EE54" s="88"/>
      <c r="EF54" s="86"/>
      <c r="EG54" s="87"/>
      <c r="EH54" s="87"/>
      <c r="EI54" s="87"/>
      <c r="EJ54" s="88"/>
      <c r="EK54" s="86"/>
      <c r="EL54" s="87"/>
      <c r="EM54" s="87"/>
      <c r="EN54" s="87"/>
      <c r="EO54" s="88"/>
      <c r="EP54" s="86"/>
      <c r="EQ54" s="87"/>
      <c r="ER54" s="87"/>
      <c r="ES54" s="87"/>
      <c r="ET54" s="88"/>
      <c r="EU54" s="86"/>
      <c r="EV54" s="87"/>
      <c r="EW54" s="87"/>
      <c r="EX54" s="87"/>
      <c r="EY54" s="88"/>
      <c r="EZ54" s="86"/>
      <c r="FA54" s="87"/>
      <c r="FB54" s="87"/>
      <c r="FC54" s="87"/>
      <c r="FD54" s="88"/>
      <c r="FE54" s="86"/>
      <c r="FF54" s="87"/>
      <c r="FG54" s="87"/>
      <c r="FH54" s="87"/>
      <c r="FI54" s="88"/>
      <c r="FJ54" s="86"/>
      <c r="FK54" s="87"/>
      <c r="FL54" s="87"/>
      <c r="FM54" s="87"/>
      <c r="FN54" s="88"/>
      <c r="FO54" s="86"/>
      <c r="FP54" s="87"/>
      <c r="FQ54" s="87"/>
      <c r="FR54" s="87"/>
      <c r="FS54" s="88"/>
      <c r="FT54" s="86"/>
      <c r="FU54" s="87"/>
      <c r="FV54" s="87"/>
      <c r="FW54" s="87"/>
      <c r="FX54" s="88"/>
      <c r="FY54" s="86"/>
      <c r="FZ54" s="87"/>
      <c r="GA54" s="87"/>
      <c r="GB54" s="87"/>
      <c r="GC54" s="88"/>
      <c r="GD54" s="86"/>
      <c r="GE54" s="87"/>
      <c r="GF54" s="87"/>
      <c r="GG54" s="87"/>
      <c r="GH54" s="88"/>
      <c r="GI54" s="86"/>
      <c r="GJ54" s="87"/>
      <c r="GK54" s="87"/>
      <c r="GL54" s="87"/>
      <c r="GM54" s="88"/>
      <c r="GN54" s="86"/>
      <c r="GO54" s="87"/>
      <c r="GP54" s="87"/>
      <c r="GQ54" s="87"/>
      <c r="GR54" s="88"/>
    </row>
    <row r="55" spans="1:200" ht="11" customHeight="1" x14ac:dyDescent="0.3">
      <c r="A55" s="318"/>
      <c r="B55" s="319"/>
      <c r="C55" s="319"/>
      <c r="D55" s="319"/>
      <c r="E55" s="319"/>
      <c r="F55" s="319"/>
      <c r="G55" s="320"/>
      <c r="H55" s="324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  <c r="AG55" s="325"/>
      <c r="AH55" s="325"/>
      <c r="AI55" s="325"/>
      <c r="AJ55" s="325"/>
      <c r="AK55" s="325"/>
      <c r="AL55" s="325"/>
      <c r="AM55" s="325"/>
      <c r="AN55" s="325"/>
      <c r="AO55" s="325"/>
      <c r="AP55" s="325"/>
      <c r="AQ55" s="325"/>
      <c r="AR55" s="325"/>
      <c r="AS55" s="325"/>
      <c r="AT55" s="325"/>
      <c r="AU55" s="325"/>
      <c r="AV55" s="325"/>
      <c r="AW55" s="325"/>
      <c r="AX55" s="325"/>
      <c r="AY55" s="325"/>
      <c r="AZ55" s="325"/>
      <c r="BA55" s="325"/>
      <c r="BB55" s="325"/>
      <c r="BC55" s="325"/>
      <c r="BD55" s="326"/>
      <c r="BE55" s="299"/>
      <c r="BF55" s="300"/>
      <c r="BG55" s="300"/>
      <c r="BH55" s="300"/>
      <c r="BI55" s="300"/>
      <c r="BJ55" s="301"/>
      <c r="BK55" s="299"/>
      <c r="BL55" s="300"/>
      <c r="BM55" s="300"/>
      <c r="BN55" s="300"/>
      <c r="BO55" s="300"/>
      <c r="BP55" s="301"/>
      <c r="BQ55" s="299"/>
      <c r="BR55" s="300"/>
      <c r="BS55" s="300"/>
      <c r="BT55" s="300"/>
      <c r="BU55" s="300"/>
      <c r="BV55" s="301"/>
      <c r="BW55" s="296"/>
      <c r="BX55" s="297"/>
      <c r="BY55" s="297"/>
      <c r="BZ55" s="297"/>
      <c r="CA55" s="297"/>
      <c r="CB55" s="298"/>
      <c r="CC55" s="86"/>
      <c r="CD55" s="87"/>
      <c r="CE55" s="87"/>
      <c r="CF55" s="87"/>
      <c r="CG55" s="88"/>
      <c r="CH55" s="86"/>
      <c r="CI55" s="87"/>
      <c r="CJ55" s="87"/>
      <c r="CK55" s="87"/>
      <c r="CL55" s="88"/>
      <c r="CM55" s="86"/>
      <c r="CN55" s="87"/>
      <c r="CO55" s="87"/>
      <c r="CP55" s="87"/>
      <c r="CQ55" s="88"/>
      <c r="CR55" s="86"/>
      <c r="CS55" s="87"/>
      <c r="CT55" s="87"/>
      <c r="CU55" s="87"/>
      <c r="CV55" s="88"/>
      <c r="CW55" s="86"/>
      <c r="CX55" s="87"/>
      <c r="CY55" s="87"/>
      <c r="CZ55" s="87"/>
      <c r="DA55" s="88"/>
      <c r="DB55" s="86"/>
      <c r="DC55" s="87"/>
      <c r="DD55" s="87"/>
      <c r="DE55" s="87"/>
      <c r="DF55" s="88"/>
      <c r="DG55" s="86"/>
      <c r="DH55" s="87"/>
      <c r="DI55" s="87"/>
      <c r="DJ55" s="87"/>
      <c r="DK55" s="88"/>
      <c r="DL55" s="86"/>
      <c r="DM55" s="87"/>
      <c r="DN55" s="87"/>
      <c r="DO55" s="87"/>
      <c r="DP55" s="88"/>
      <c r="DQ55" s="86"/>
      <c r="DR55" s="87"/>
      <c r="DS55" s="87"/>
      <c r="DT55" s="87"/>
      <c r="DU55" s="88"/>
      <c r="DV55" s="86"/>
      <c r="DW55" s="87"/>
      <c r="DX55" s="87"/>
      <c r="DY55" s="87"/>
      <c r="DZ55" s="88"/>
      <c r="EA55" s="86"/>
      <c r="EB55" s="87"/>
      <c r="EC55" s="87"/>
      <c r="ED55" s="87"/>
      <c r="EE55" s="88"/>
      <c r="EF55" s="86"/>
      <c r="EG55" s="87"/>
      <c r="EH55" s="87"/>
      <c r="EI55" s="87"/>
      <c r="EJ55" s="88"/>
      <c r="EK55" s="86"/>
      <c r="EL55" s="87"/>
      <c r="EM55" s="87"/>
      <c r="EN55" s="87"/>
      <c r="EO55" s="88"/>
      <c r="EP55" s="86"/>
      <c r="EQ55" s="87"/>
      <c r="ER55" s="87"/>
      <c r="ES55" s="87"/>
      <c r="ET55" s="88"/>
      <c r="EU55" s="86"/>
      <c r="EV55" s="87"/>
      <c r="EW55" s="87"/>
      <c r="EX55" s="87"/>
      <c r="EY55" s="88"/>
      <c r="EZ55" s="86"/>
      <c r="FA55" s="87"/>
      <c r="FB55" s="87"/>
      <c r="FC55" s="87"/>
      <c r="FD55" s="88"/>
      <c r="FE55" s="86"/>
      <c r="FF55" s="87"/>
      <c r="FG55" s="87"/>
      <c r="FH55" s="87"/>
      <c r="FI55" s="88"/>
      <c r="FJ55" s="86"/>
      <c r="FK55" s="87"/>
      <c r="FL55" s="87"/>
      <c r="FM55" s="87"/>
      <c r="FN55" s="88"/>
      <c r="FO55" s="86"/>
      <c r="FP55" s="87"/>
      <c r="FQ55" s="87"/>
      <c r="FR55" s="87"/>
      <c r="FS55" s="88"/>
      <c r="FT55" s="86"/>
      <c r="FU55" s="87"/>
      <c r="FV55" s="87"/>
      <c r="FW55" s="87"/>
      <c r="FX55" s="88"/>
      <c r="FY55" s="86"/>
      <c r="FZ55" s="87"/>
      <c r="GA55" s="87"/>
      <c r="GB55" s="87"/>
      <c r="GC55" s="88"/>
      <c r="GD55" s="86"/>
      <c r="GE55" s="87"/>
      <c r="GF55" s="87"/>
      <c r="GG55" s="87"/>
      <c r="GH55" s="88"/>
      <c r="GI55" s="86"/>
      <c r="GJ55" s="87"/>
      <c r="GK55" s="87"/>
      <c r="GL55" s="87"/>
      <c r="GM55" s="88"/>
      <c r="GN55" s="86"/>
      <c r="GO55" s="87"/>
      <c r="GP55" s="87"/>
      <c r="GQ55" s="87"/>
      <c r="GR55" s="88"/>
    </row>
    <row r="56" spans="1:200" x14ac:dyDescent="0.3">
      <c r="A56" s="315"/>
      <c r="B56" s="316"/>
      <c r="C56" s="316"/>
      <c r="D56" s="316"/>
      <c r="E56" s="316"/>
      <c r="F56" s="316"/>
      <c r="G56" s="317"/>
      <c r="H56" s="321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  <c r="AA56" s="322"/>
      <c r="AB56" s="322"/>
      <c r="AC56" s="322"/>
      <c r="AD56" s="322"/>
      <c r="AE56" s="322"/>
      <c r="AF56" s="322"/>
      <c r="AG56" s="322"/>
      <c r="AH56" s="322"/>
      <c r="AI56" s="322"/>
      <c r="AJ56" s="322"/>
      <c r="AK56" s="322"/>
      <c r="AL56" s="322"/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/>
      <c r="BD56" s="323"/>
      <c r="BE56" s="296"/>
      <c r="BF56" s="297"/>
      <c r="BG56" s="297"/>
      <c r="BH56" s="297"/>
      <c r="BI56" s="297"/>
      <c r="BJ56" s="298"/>
      <c r="BK56" s="296"/>
      <c r="BL56" s="297"/>
      <c r="BM56" s="297"/>
      <c r="BN56" s="297"/>
      <c r="BO56" s="297"/>
      <c r="BP56" s="298"/>
      <c r="BQ56" s="296"/>
      <c r="BR56" s="297"/>
      <c r="BS56" s="297"/>
      <c r="BT56" s="297"/>
      <c r="BU56" s="297"/>
      <c r="BV56" s="298"/>
      <c r="BW56" s="299"/>
      <c r="BX56" s="300"/>
      <c r="BY56" s="300"/>
      <c r="BZ56" s="300"/>
      <c r="CA56" s="300"/>
      <c r="CB56" s="301"/>
      <c r="CC56" s="86"/>
      <c r="CD56" s="87"/>
      <c r="CE56" s="87"/>
      <c r="CF56" s="87"/>
      <c r="CG56" s="88"/>
      <c r="CH56" s="86"/>
      <c r="CI56" s="87"/>
      <c r="CJ56" s="87"/>
      <c r="CK56" s="87"/>
      <c r="CL56" s="88"/>
      <c r="CM56" s="86"/>
      <c r="CN56" s="87"/>
      <c r="CO56" s="87"/>
      <c r="CP56" s="87"/>
      <c r="CQ56" s="88"/>
      <c r="CR56" s="86"/>
      <c r="CS56" s="87"/>
      <c r="CT56" s="87"/>
      <c r="CU56" s="87"/>
      <c r="CV56" s="88"/>
      <c r="CW56" s="86"/>
      <c r="CX56" s="87"/>
      <c r="CY56" s="87"/>
      <c r="CZ56" s="87"/>
      <c r="DA56" s="88"/>
      <c r="DB56" s="86"/>
      <c r="DC56" s="87"/>
      <c r="DD56" s="87"/>
      <c r="DE56" s="87"/>
      <c r="DF56" s="88"/>
      <c r="DG56" s="86"/>
      <c r="DH56" s="87"/>
      <c r="DI56" s="87"/>
      <c r="DJ56" s="87"/>
      <c r="DK56" s="88"/>
      <c r="DL56" s="86"/>
      <c r="DM56" s="87"/>
      <c r="DN56" s="87"/>
      <c r="DO56" s="87"/>
      <c r="DP56" s="88"/>
      <c r="DQ56" s="86"/>
      <c r="DR56" s="87"/>
      <c r="DS56" s="87"/>
      <c r="DT56" s="87"/>
      <c r="DU56" s="88"/>
      <c r="DV56" s="86"/>
      <c r="DW56" s="87"/>
      <c r="DX56" s="87"/>
      <c r="DY56" s="87"/>
      <c r="DZ56" s="88"/>
      <c r="EA56" s="86"/>
      <c r="EB56" s="87"/>
      <c r="EC56" s="87"/>
      <c r="ED56" s="87"/>
      <c r="EE56" s="88"/>
      <c r="EF56" s="86"/>
      <c r="EG56" s="87"/>
      <c r="EH56" s="87"/>
      <c r="EI56" s="87"/>
      <c r="EJ56" s="88"/>
      <c r="EK56" s="86"/>
      <c r="EL56" s="87"/>
      <c r="EM56" s="87"/>
      <c r="EN56" s="87"/>
      <c r="EO56" s="88"/>
      <c r="EP56" s="86"/>
      <c r="EQ56" s="87"/>
      <c r="ER56" s="87"/>
      <c r="ES56" s="87"/>
      <c r="ET56" s="88"/>
      <c r="EU56" s="86"/>
      <c r="EV56" s="87"/>
      <c r="EW56" s="87"/>
      <c r="EX56" s="87"/>
      <c r="EY56" s="88"/>
      <c r="EZ56" s="86"/>
      <c r="FA56" s="87"/>
      <c r="FB56" s="87"/>
      <c r="FC56" s="87"/>
      <c r="FD56" s="88"/>
      <c r="FE56" s="86"/>
      <c r="FF56" s="87"/>
      <c r="FG56" s="87"/>
      <c r="FH56" s="87"/>
      <c r="FI56" s="88"/>
      <c r="FJ56" s="86"/>
      <c r="FK56" s="87"/>
      <c r="FL56" s="87"/>
      <c r="FM56" s="87"/>
      <c r="FN56" s="88"/>
      <c r="FO56" s="86"/>
      <c r="FP56" s="87"/>
      <c r="FQ56" s="87"/>
      <c r="FR56" s="87"/>
      <c r="FS56" s="88"/>
      <c r="FT56" s="86"/>
      <c r="FU56" s="87"/>
      <c r="FV56" s="87"/>
      <c r="FW56" s="87"/>
      <c r="FX56" s="88"/>
      <c r="FY56" s="86"/>
      <c r="FZ56" s="87"/>
      <c r="GA56" s="87"/>
      <c r="GB56" s="87"/>
      <c r="GC56" s="88"/>
      <c r="GD56" s="86"/>
      <c r="GE56" s="87"/>
      <c r="GF56" s="87"/>
      <c r="GG56" s="87"/>
      <c r="GH56" s="88"/>
      <c r="GI56" s="86"/>
      <c r="GJ56" s="87"/>
      <c r="GK56" s="87"/>
      <c r="GL56" s="87"/>
      <c r="GM56" s="88"/>
      <c r="GN56" s="86"/>
      <c r="GO56" s="87"/>
      <c r="GP56" s="87"/>
      <c r="GQ56" s="87"/>
      <c r="GR56" s="88"/>
    </row>
    <row r="57" spans="1:200" x14ac:dyDescent="0.3">
      <c r="A57" s="318"/>
      <c r="B57" s="319"/>
      <c r="C57" s="319"/>
      <c r="D57" s="319"/>
      <c r="E57" s="319"/>
      <c r="F57" s="319"/>
      <c r="G57" s="320"/>
      <c r="H57" s="324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  <c r="AA57" s="325"/>
      <c r="AB57" s="325"/>
      <c r="AC57" s="325"/>
      <c r="AD57" s="325"/>
      <c r="AE57" s="325"/>
      <c r="AF57" s="325"/>
      <c r="AG57" s="325"/>
      <c r="AH57" s="325"/>
      <c r="AI57" s="325"/>
      <c r="AJ57" s="325"/>
      <c r="AK57" s="325"/>
      <c r="AL57" s="325"/>
      <c r="AM57" s="325"/>
      <c r="AN57" s="325"/>
      <c r="AO57" s="325"/>
      <c r="AP57" s="325"/>
      <c r="AQ57" s="325"/>
      <c r="AR57" s="325"/>
      <c r="AS57" s="325"/>
      <c r="AT57" s="325"/>
      <c r="AU57" s="325"/>
      <c r="AV57" s="325"/>
      <c r="AW57" s="325"/>
      <c r="AX57" s="325"/>
      <c r="AY57" s="325"/>
      <c r="AZ57" s="325"/>
      <c r="BA57" s="325"/>
      <c r="BB57" s="325"/>
      <c r="BC57" s="325"/>
      <c r="BD57" s="326"/>
      <c r="BE57" s="299"/>
      <c r="BF57" s="300"/>
      <c r="BG57" s="300"/>
      <c r="BH57" s="300"/>
      <c r="BI57" s="300"/>
      <c r="BJ57" s="301"/>
      <c r="BK57" s="299"/>
      <c r="BL57" s="300"/>
      <c r="BM57" s="300"/>
      <c r="BN57" s="300"/>
      <c r="BO57" s="300"/>
      <c r="BP57" s="301"/>
      <c r="BQ57" s="299"/>
      <c r="BR57" s="300"/>
      <c r="BS57" s="300"/>
      <c r="BT57" s="300"/>
      <c r="BU57" s="300"/>
      <c r="BV57" s="301"/>
      <c r="BW57" s="296"/>
      <c r="BX57" s="297"/>
      <c r="BY57" s="297"/>
      <c r="BZ57" s="297"/>
      <c r="CA57" s="297"/>
      <c r="CB57" s="298"/>
      <c r="CC57" s="86"/>
      <c r="CD57" s="87"/>
      <c r="CE57" s="87"/>
      <c r="CF57" s="87"/>
      <c r="CG57" s="88"/>
      <c r="CH57" s="86"/>
      <c r="CI57" s="87"/>
      <c r="CJ57" s="87"/>
      <c r="CK57" s="87"/>
      <c r="CL57" s="88"/>
      <c r="CM57" s="86"/>
      <c r="CN57" s="87"/>
      <c r="CO57" s="87"/>
      <c r="CP57" s="87"/>
      <c r="CQ57" s="88"/>
      <c r="CR57" s="86"/>
      <c r="CS57" s="87"/>
      <c r="CT57" s="87"/>
      <c r="CU57" s="87"/>
      <c r="CV57" s="88"/>
      <c r="CW57" s="86"/>
      <c r="CX57" s="87"/>
      <c r="CY57" s="87"/>
      <c r="CZ57" s="87"/>
      <c r="DA57" s="88"/>
      <c r="DB57" s="86"/>
      <c r="DC57" s="87"/>
      <c r="DD57" s="87"/>
      <c r="DE57" s="87"/>
      <c r="DF57" s="88"/>
      <c r="DG57" s="86"/>
      <c r="DH57" s="87"/>
      <c r="DI57" s="87"/>
      <c r="DJ57" s="87"/>
      <c r="DK57" s="88"/>
      <c r="DL57" s="86"/>
      <c r="DM57" s="87"/>
      <c r="DN57" s="87"/>
      <c r="DO57" s="87"/>
      <c r="DP57" s="88"/>
      <c r="DQ57" s="86"/>
      <c r="DR57" s="87"/>
      <c r="DS57" s="87"/>
      <c r="DT57" s="87"/>
      <c r="DU57" s="88"/>
      <c r="DV57" s="86"/>
      <c r="DW57" s="87"/>
      <c r="DX57" s="87"/>
      <c r="DY57" s="87"/>
      <c r="DZ57" s="88"/>
      <c r="EA57" s="86"/>
      <c r="EB57" s="87"/>
      <c r="EC57" s="87"/>
      <c r="ED57" s="87"/>
      <c r="EE57" s="88"/>
      <c r="EF57" s="86"/>
      <c r="EG57" s="87"/>
      <c r="EH57" s="87"/>
      <c r="EI57" s="87"/>
      <c r="EJ57" s="88"/>
      <c r="EK57" s="86"/>
      <c r="EL57" s="87"/>
      <c r="EM57" s="87"/>
      <c r="EN57" s="87"/>
      <c r="EO57" s="88"/>
      <c r="EP57" s="86"/>
      <c r="EQ57" s="87"/>
      <c r="ER57" s="87"/>
      <c r="ES57" s="87"/>
      <c r="ET57" s="88"/>
      <c r="EU57" s="86"/>
      <c r="EV57" s="87"/>
      <c r="EW57" s="87"/>
      <c r="EX57" s="87"/>
      <c r="EY57" s="88"/>
      <c r="EZ57" s="86"/>
      <c r="FA57" s="87"/>
      <c r="FB57" s="87"/>
      <c r="FC57" s="87"/>
      <c r="FD57" s="88"/>
      <c r="FE57" s="86"/>
      <c r="FF57" s="87"/>
      <c r="FG57" s="87"/>
      <c r="FH57" s="87"/>
      <c r="FI57" s="88"/>
      <c r="FJ57" s="86"/>
      <c r="FK57" s="87"/>
      <c r="FL57" s="87"/>
      <c r="FM57" s="87"/>
      <c r="FN57" s="88"/>
      <c r="FO57" s="86"/>
      <c r="FP57" s="87"/>
      <c r="FQ57" s="87"/>
      <c r="FR57" s="87"/>
      <c r="FS57" s="88"/>
      <c r="FT57" s="86"/>
      <c r="FU57" s="87"/>
      <c r="FV57" s="87"/>
      <c r="FW57" s="87"/>
      <c r="FX57" s="88"/>
      <c r="FY57" s="86"/>
      <c r="FZ57" s="87"/>
      <c r="GA57" s="87"/>
      <c r="GB57" s="87"/>
      <c r="GC57" s="88"/>
      <c r="GD57" s="86"/>
      <c r="GE57" s="87"/>
      <c r="GF57" s="87"/>
      <c r="GG57" s="87"/>
      <c r="GH57" s="88"/>
      <c r="GI57" s="86"/>
      <c r="GJ57" s="87"/>
      <c r="GK57" s="87"/>
      <c r="GL57" s="87"/>
      <c r="GM57" s="88"/>
      <c r="GN57" s="86"/>
      <c r="GO57" s="87"/>
      <c r="GP57" s="87"/>
      <c r="GQ57" s="87"/>
      <c r="GR57" s="88"/>
    </row>
    <row r="58" spans="1:200" x14ac:dyDescent="0.3">
      <c r="A58" s="315"/>
      <c r="B58" s="316"/>
      <c r="C58" s="316"/>
      <c r="D58" s="316"/>
      <c r="E58" s="316"/>
      <c r="F58" s="316"/>
      <c r="G58" s="317"/>
      <c r="H58" s="321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  <c r="AA58" s="322"/>
      <c r="AB58" s="322"/>
      <c r="AC58" s="322"/>
      <c r="AD58" s="322"/>
      <c r="AE58" s="322"/>
      <c r="AF58" s="322"/>
      <c r="AG58" s="322"/>
      <c r="AH58" s="322"/>
      <c r="AI58" s="322"/>
      <c r="AJ58" s="322"/>
      <c r="AK58" s="322"/>
      <c r="AL58" s="322"/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/>
      <c r="BD58" s="323"/>
      <c r="BE58" s="296"/>
      <c r="BF58" s="297"/>
      <c r="BG58" s="297"/>
      <c r="BH58" s="297"/>
      <c r="BI58" s="297"/>
      <c r="BJ58" s="298"/>
      <c r="BK58" s="296"/>
      <c r="BL58" s="297"/>
      <c r="BM58" s="297"/>
      <c r="BN58" s="297"/>
      <c r="BO58" s="297"/>
      <c r="BP58" s="298"/>
      <c r="BQ58" s="296"/>
      <c r="BR58" s="297"/>
      <c r="BS58" s="297"/>
      <c r="BT58" s="297"/>
      <c r="BU58" s="297"/>
      <c r="BV58" s="298"/>
      <c r="BW58" s="299"/>
      <c r="BX58" s="300"/>
      <c r="BY58" s="300"/>
      <c r="BZ58" s="300"/>
      <c r="CA58" s="300"/>
      <c r="CB58" s="301"/>
      <c r="CC58" s="86"/>
      <c r="CD58" s="87"/>
      <c r="CE58" s="87"/>
      <c r="CF58" s="87"/>
      <c r="CG58" s="88"/>
      <c r="CH58" s="86"/>
      <c r="CI58" s="87"/>
      <c r="CJ58" s="87"/>
      <c r="CK58" s="87"/>
      <c r="CL58" s="88"/>
      <c r="CM58" s="86"/>
      <c r="CN58" s="87"/>
      <c r="CO58" s="87"/>
      <c r="CP58" s="87"/>
      <c r="CQ58" s="88"/>
      <c r="CR58" s="86"/>
      <c r="CS58" s="87"/>
      <c r="CT58" s="87"/>
      <c r="CU58" s="87"/>
      <c r="CV58" s="88"/>
      <c r="CW58" s="86"/>
      <c r="CX58" s="87"/>
      <c r="CY58" s="87"/>
      <c r="CZ58" s="87"/>
      <c r="DA58" s="88"/>
      <c r="DB58" s="86"/>
      <c r="DC58" s="87"/>
      <c r="DD58" s="87"/>
      <c r="DE58" s="87"/>
      <c r="DF58" s="88"/>
      <c r="DG58" s="86"/>
      <c r="DH58" s="87"/>
      <c r="DI58" s="87"/>
      <c r="DJ58" s="87"/>
      <c r="DK58" s="88"/>
      <c r="DL58" s="86"/>
      <c r="DM58" s="87"/>
      <c r="DN58" s="87"/>
      <c r="DO58" s="87"/>
      <c r="DP58" s="88"/>
      <c r="DQ58" s="86"/>
      <c r="DR58" s="87"/>
      <c r="DS58" s="87"/>
      <c r="DT58" s="87"/>
      <c r="DU58" s="88"/>
      <c r="DV58" s="86"/>
      <c r="DW58" s="87"/>
      <c r="DX58" s="87"/>
      <c r="DY58" s="87"/>
      <c r="DZ58" s="88"/>
      <c r="EA58" s="86"/>
      <c r="EB58" s="87"/>
      <c r="EC58" s="87"/>
      <c r="ED58" s="87"/>
      <c r="EE58" s="88"/>
      <c r="EF58" s="86"/>
      <c r="EG58" s="87"/>
      <c r="EH58" s="87"/>
      <c r="EI58" s="87"/>
      <c r="EJ58" s="88"/>
      <c r="EK58" s="86"/>
      <c r="EL58" s="87"/>
      <c r="EM58" s="87"/>
      <c r="EN58" s="87"/>
      <c r="EO58" s="88"/>
      <c r="EP58" s="86"/>
      <c r="EQ58" s="87"/>
      <c r="ER58" s="87"/>
      <c r="ES58" s="87"/>
      <c r="ET58" s="88"/>
      <c r="EU58" s="86"/>
      <c r="EV58" s="87"/>
      <c r="EW58" s="87"/>
      <c r="EX58" s="87"/>
      <c r="EY58" s="88"/>
      <c r="EZ58" s="86"/>
      <c r="FA58" s="87"/>
      <c r="FB58" s="87"/>
      <c r="FC58" s="87"/>
      <c r="FD58" s="88"/>
      <c r="FE58" s="86"/>
      <c r="FF58" s="87"/>
      <c r="FG58" s="87"/>
      <c r="FH58" s="87"/>
      <c r="FI58" s="88"/>
      <c r="FJ58" s="86"/>
      <c r="FK58" s="87"/>
      <c r="FL58" s="87"/>
      <c r="FM58" s="87"/>
      <c r="FN58" s="88"/>
      <c r="FO58" s="86"/>
      <c r="FP58" s="87"/>
      <c r="FQ58" s="87"/>
      <c r="FR58" s="87"/>
      <c r="FS58" s="88"/>
      <c r="FT58" s="86"/>
      <c r="FU58" s="87"/>
      <c r="FV58" s="87"/>
      <c r="FW58" s="87"/>
      <c r="FX58" s="88"/>
      <c r="FY58" s="86"/>
      <c r="FZ58" s="87"/>
      <c r="GA58" s="87"/>
      <c r="GB58" s="87"/>
      <c r="GC58" s="88"/>
      <c r="GD58" s="86"/>
      <c r="GE58" s="87"/>
      <c r="GF58" s="87"/>
      <c r="GG58" s="87"/>
      <c r="GH58" s="88"/>
      <c r="GI58" s="86"/>
      <c r="GJ58" s="87"/>
      <c r="GK58" s="87"/>
      <c r="GL58" s="87"/>
      <c r="GM58" s="88"/>
      <c r="GN58" s="86"/>
      <c r="GO58" s="87"/>
      <c r="GP58" s="87"/>
      <c r="GQ58" s="87"/>
      <c r="GR58" s="88"/>
    </row>
    <row r="59" spans="1:200" x14ac:dyDescent="0.3">
      <c r="A59" s="318"/>
      <c r="B59" s="319"/>
      <c r="C59" s="319"/>
      <c r="D59" s="319"/>
      <c r="E59" s="319"/>
      <c r="F59" s="319"/>
      <c r="G59" s="320"/>
      <c r="H59" s="324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  <c r="AA59" s="325"/>
      <c r="AB59" s="325"/>
      <c r="AC59" s="325"/>
      <c r="AD59" s="325"/>
      <c r="AE59" s="325"/>
      <c r="AF59" s="325"/>
      <c r="AG59" s="325"/>
      <c r="AH59" s="325"/>
      <c r="AI59" s="325"/>
      <c r="AJ59" s="325"/>
      <c r="AK59" s="325"/>
      <c r="AL59" s="325"/>
      <c r="AM59" s="325"/>
      <c r="AN59" s="325"/>
      <c r="AO59" s="325"/>
      <c r="AP59" s="325"/>
      <c r="AQ59" s="325"/>
      <c r="AR59" s="325"/>
      <c r="AS59" s="325"/>
      <c r="AT59" s="325"/>
      <c r="AU59" s="325"/>
      <c r="AV59" s="325"/>
      <c r="AW59" s="325"/>
      <c r="AX59" s="325"/>
      <c r="AY59" s="325"/>
      <c r="AZ59" s="325"/>
      <c r="BA59" s="325"/>
      <c r="BB59" s="325"/>
      <c r="BC59" s="325"/>
      <c r="BD59" s="326"/>
      <c r="BE59" s="299"/>
      <c r="BF59" s="300"/>
      <c r="BG59" s="300"/>
      <c r="BH59" s="300"/>
      <c r="BI59" s="300"/>
      <c r="BJ59" s="301"/>
      <c r="BK59" s="299"/>
      <c r="BL59" s="300"/>
      <c r="BM59" s="300"/>
      <c r="BN59" s="300"/>
      <c r="BO59" s="300"/>
      <c r="BP59" s="301"/>
      <c r="BQ59" s="299"/>
      <c r="BR59" s="300"/>
      <c r="BS59" s="300"/>
      <c r="BT59" s="300"/>
      <c r="BU59" s="300"/>
      <c r="BV59" s="301"/>
      <c r="BW59" s="296"/>
      <c r="BX59" s="297"/>
      <c r="BY59" s="297"/>
      <c r="BZ59" s="297"/>
      <c r="CA59" s="297"/>
      <c r="CB59" s="298"/>
      <c r="CC59" s="86"/>
      <c r="CD59" s="87"/>
      <c r="CE59" s="87"/>
      <c r="CF59" s="87"/>
      <c r="CG59" s="88"/>
      <c r="CH59" s="86"/>
      <c r="CI59" s="87"/>
      <c r="CJ59" s="87"/>
      <c r="CK59" s="87"/>
      <c r="CL59" s="88"/>
      <c r="CM59" s="86"/>
      <c r="CN59" s="87"/>
      <c r="CO59" s="87"/>
      <c r="CP59" s="87"/>
      <c r="CQ59" s="88"/>
      <c r="CR59" s="86"/>
      <c r="CS59" s="87"/>
      <c r="CT59" s="87"/>
      <c r="CU59" s="87"/>
      <c r="CV59" s="88"/>
      <c r="CW59" s="86"/>
      <c r="CX59" s="87"/>
      <c r="CY59" s="87"/>
      <c r="CZ59" s="87"/>
      <c r="DA59" s="88"/>
      <c r="DB59" s="86"/>
      <c r="DC59" s="87"/>
      <c r="DD59" s="87"/>
      <c r="DE59" s="87"/>
      <c r="DF59" s="88"/>
      <c r="DG59" s="86"/>
      <c r="DH59" s="87"/>
      <c r="DI59" s="87"/>
      <c r="DJ59" s="87"/>
      <c r="DK59" s="88"/>
      <c r="DL59" s="86"/>
      <c r="DM59" s="87"/>
      <c r="DN59" s="87"/>
      <c r="DO59" s="87"/>
      <c r="DP59" s="88"/>
      <c r="DQ59" s="86"/>
      <c r="DR59" s="87"/>
      <c r="DS59" s="87"/>
      <c r="DT59" s="87"/>
      <c r="DU59" s="88"/>
      <c r="DV59" s="86"/>
      <c r="DW59" s="87"/>
      <c r="DX59" s="87"/>
      <c r="DY59" s="87"/>
      <c r="DZ59" s="88"/>
      <c r="EA59" s="86"/>
      <c r="EB59" s="87"/>
      <c r="EC59" s="87"/>
      <c r="ED59" s="87"/>
      <c r="EE59" s="88"/>
      <c r="EF59" s="86"/>
      <c r="EG59" s="87"/>
      <c r="EH59" s="87"/>
      <c r="EI59" s="87"/>
      <c r="EJ59" s="88"/>
      <c r="EK59" s="86"/>
      <c r="EL59" s="87"/>
      <c r="EM59" s="87"/>
      <c r="EN59" s="87"/>
      <c r="EO59" s="88"/>
      <c r="EP59" s="86"/>
      <c r="EQ59" s="87"/>
      <c r="ER59" s="87"/>
      <c r="ES59" s="87"/>
      <c r="ET59" s="88"/>
      <c r="EU59" s="86"/>
      <c r="EV59" s="87"/>
      <c r="EW59" s="87"/>
      <c r="EX59" s="87"/>
      <c r="EY59" s="88"/>
      <c r="EZ59" s="86"/>
      <c r="FA59" s="87"/>
      <c r="FB59" s="87"/>
      <c r="FC59" s="87"/>
      <c r="FD59" s="88"/>
      <c r="FE59" s="86"/>
      <c r="FF59" s="87"/>
      <c r="FG59" s="87"/>
      <c r="FH59" s="87"/>
      <c r="FI59" s="88"/>
      <c r="FJ59" s="86"/>
      <c r="FK59" s="87"/>
      <c r="FL59" s="87"/>
      <c r="FM59" s="87"/>
      <c r="FN59" s="88"/>
      <c r="FO59" s="86"/>
      <c r="FP59" s="87"/>
      <c r="FQ59" s="87"/>
      <c r="FR59" s="87"/>
      <c r="FS59" s="88"/>
      <c r="FT59" s="86"/>
      <c r="FU59" s="87"/>
      <c r="FV59" s="87"/>
      <c r="FW59" s="87"/>
      <c r="FX59" s="88"/>
      <c r="FY59" s="86"/>
      <c r="FZ59" s="87"/>
      <c r="GA59" s="87"/>
      <c r="GB59" s="87"/>
      <c r="GC59" s="88"/>
      <c r="GD59" s="86"/>
      <c r="GE59" s="87"/>
      <c r="GF59" s="87"/>
      <c r="GG59" s="87"/>
      <c r="GH59" s="88"/>
      <c r="GI59" s="86"/>
      <c r="GJ59" s="87"/>
      <c r="GK59" s="87"/>
      <c r="GL59" s="87"/>
      <c r="GM59" s="88"/>
      <c r="GN59" s="86"/>
      <c r="GO59" s="87"/>
      <c r="GP59" s="87"/>
      <c r="GQ59" s="87"/>
      <c r="GR59" s="88"/>
    </row>
    <row r="60" spans="1:200" x14ac:dyDescent="0.3">
      <c r="A60" s="315"/>
      <c r="B60" s="316"/>
      <c r="C60" s="316"/>
      <c r="D60" s="316"/>
      <c r="E60" s="316"/>
      <c r="F60" s="316"/>
      <c r="G60" s="317"/>
      <c r="H60" s="321"/>
      <c r="I60" s="322"/>
      <c r="J60" s="322"/>
      <c r="K60" s="32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  <c r="AA60" s="322"/>
      <c r="AB60" s="322"/>
      <c r="AC60" s="322"/>
      <c r="AD60" s="322"/>
      <c r="AE60" s="322"/>
      <c r="AF60" s="322"/>
      <c r="AG60" s="322"/>
      <c r="AH60" s="322"/>
      <c r="AI60" s="322"/>
      <c r="AJ60" s="322"/>
      <c r="AK60" s="322"/>
      <c r="AL60" s="322"/>
      <c r="AM60" s="322"/>
      <c r="AN60" s="322"/>
      <c r="AO60" s="322"/>
      <c r="AP60" s="322"/>
      <c r="AQ60" s="322"/>
      <c r="AR60" s="322"/>
      <c r="AS60" s="322"/>
      <c r="AT60" s="322"/>
      <c r="AU60" s="322"/>
      <c r="AV60" s="322"/>
      <c r="AW60" s="322"/>
      <c r="AX60" s="322"/>
      <c r="AY60" s="322"/>
      <c r="AZ60" s="322"/>
      <c r="BA60" s="322"/>
      <c r="BB60" s="322"/>
      <c r="BC60" s="322"/>
      <c r="BD60" s="323"/>
      <c r="BE60" s="296"/>
      <c r="BF60" s="297"/>
      <c r="BG60" s="297"/>
      <c r="BH60" s="297"/>
      <c r="BI60" s="297"/>
      <c r="BJ60" s="298"/>
      <c r="BK60" s="296"/>
      <c r="BL60" s="297"/>
      <c r="BM60" s="297"/>
      <c r="BN60" s="297"/>
      <c r="BO60" s="297"/>
      <c r="BP60" s="298"/>
      <c r="BQ60" s="296"/>
      <c r="BR60" s="297"/>
      <c r="BS60" s="297"/>
      <c r="BT60" s="297"/>
      <c r="BU60" s="297"/>
      <c r="BV60" s="298"/>
      <c r="BW60" s="299"/>
      <c r="BX60" s="300"/>
      <c r="BY60" s="300"/>
      <c r="BZ60" s="300"/>
      <c r="CA60" s="300"/>
      <c r="CB60" s="301"/>
      <c r="CC60" s="86"/>
      <c r="CD60" s="87"/>
      <c r="CE60" s="87"/>
      <c r="CF60" s="87"/>
      <c r="CG60" s="88"/>
      <c r="CH60" s="86"/>
      <c r="CI60" s="87"/>
      <c r="CJ60" s="87"/>
      <c r="CK60" s="87"/>
      <c r="CL60" s="88"/>
      <c r="CM60" s="86"/>
      <c r="CN60" s="87"/>
      <c r="CO60" s="87"/>
      <c r="CP60" s="87"/>
      <c r="CQ60" s="88"/>
      <c r="CR60" s="86"/>
      <c r="CS60" s="87"/>
      <c r="CT60" s="87"/>
      <c r="CU60" s="87"/>
      <c r="CV60" s="88"/>
      <c r="CW60" s="86"/>
      <c r="CX60" s="87"/>
      <c r="CY60" s="87"/>
      <c r="CZ60" s="87"/>
      <c r="DA60" s="88"/>
      <c r="DB60" s="86"/>
      <c r="DC60" s="87"/>
      <c r="DD60" s="87"/>
      <c r="DE60" s="87"/>
      <c r="DF60" s="88"/>
      <c r="DG60" s="86"/>
      <c r="DH60" s="87"/>
      <c r="DI60" s="87"/>
      <c r="DJ60" s="87"/>
      <c r="DK60" s="88"/>
      <c r="DL60" s="86"/>
      <c r="DM60" s="87"/>
      <c r="DN60" s="87"/>
      <c r="DO60" s="87"/>
      <c r="DP60" s="88"/>
      <c r="DQ60" s="86"/>
      <c r="DR60" s="87"/>
      <c r="DS60" s="87"/>
      <c r="DT60" s="87"/>
      <c r="DU60" s="88"/>
      <c r="DV60" s="86"/>
      <c r="DW60" s="87"/>
      <c r="DX60" s="87"/>
      <c r="DY60" s="87"/>
      <c r="DZ60" s="88"/>
      <c r="EA60" s="86"/>
      <c r="EB60" s="87"/>
      <c r="EC60" s="87"/>
      <c r="ED60" s="87"/>
      <c r="EE60" s="88"/>
      <c r="EF60" s="86"/>
      <c r="EG60" s="87"/>
      <c r="EH60" s="87"/>
      <c r="EI60" s="87"/>
      <c r="EJ60" s="88"/>
      <c r="EK60" s="86"/>
      <c r="EL60" s="87"/>
      <c r="EM60" s="87"/>
      <c r="EN60" s="87"/>
      <c r="EO60" s="88"/>
      <c r="EP60" s="86"/>
      <c r="EQ60" s="87"/>
      <c r="ER60" s="87"/>
      <c r="ES60" s="87"/>
      <c r="ET60" s="88"/>
      <c r="EU60" s="86"/>
      <c r="EV60" s="87"/>
      <c r="EW60" s="87"/>
      <c r="EX60" s="87"/>
      <c r="EY60" s="88"/>
      <c r="EZ60" s="86"/>
      <c r="FA60" s="87"/>
      <c r="FB60" s="87"/>
      <c r="FC60" s="87"/>
      <c r="FD60" s="88"/>
      <c r="FE60" s="86"/>
      <c r="FF60" s="87"/>
      <c r="FG60" s="87"/>
      <c r="FH60" s="87"/>
      <c r="FI60" s="88"/>
      <c r="FJ60" s="86"/>
      <c r="FK60" s="87"/>
      <c r="FL60" s="87"/>
      <c r="FM60" s="87"/>
      <c r="FN60" s="88"/>
      <c r="FO60" s="86"/>
      <c r="FP60" s="87"/>
      <c r="FQ60" s="87"/>
      <c r="FR60" s="87"/>
      <c r="FS60" s="88"/>
      <c r="FT60" s="86"/>
      <c r="FU60" s="87"/>
      <c r="FV60" s="87"/>
      <c r="FW60" s="87"/>
      <c r="FX60" s="88"/>
      <c r="FY60" s="86"/>
      <c r="FZ60" s="87"/>
      <c r="GA60" s="87"/>
      <c r="GB60" s="87"/>
      <c r="GC60" s="88"/>
      <c r="GD60" s="86"/>
      <c r="GE60" s="87"/>
      <c r="GF60" s="87"/>
      <c r="GG60" s="87"/>
      <c r="GH60" s="88"/>
      <c r="GI60" s="86"/>
      <c r="GJ60" s="87"/>
      <c r="GK60" s="87"/>
      <c r="GL60" s="87"/>
      <c r="GM60" s="88"/>
      <c r="GN60" s="86"/>
      <c r="GO60" s="87"/>
      <c r="GP60" s="87"/>
      <c r="GQ60" s="87"/>
      <c r="GR60" s="88"/>
    </row>
    <row r="61" spans="1:200" x14ac:dyDescent="0.3">
      <c r="A61" s="318"/>
      <c r="B61" s="319"/>
      <c r="C61" s="319"/>
      <c r="D61" s="319"/>
      <c r="E61" s="319"/>
      <c r="F61" s="319"/>
      <c r="G61" s="320"/>
      <c r="H61" s="324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  <c r="AC61" s="325"/>
      <c r="AD61" s="325"/>
      <c r="AE61" s="325"/>
      <c r="AF61" s="325"/>
      <c r="AG61" s="325"/>
      <c r="AH61" s="325"/>
      <c r="AI61" s="325"/>
      <c r="AJ61" s="325"/>
      <c r="AK61" s="325"/>
      <c r="AL61" s="325"/>
      <c r="AM61" s="325"/>
      <c r="AN61" s="325"/>
      <c r="AO61" s="325"/>
      <c r="AP61" s="325"/>
      <c r="AQ61" s="325"/>
      <c r="AR61" s="325"/>
      <c r="AS61" s="325"/>
      <c r="AT61" s="325"/>
      <c r="AU61" s="325"/>
      <c r="AV61" s="325"/>
      <c r="AW61" s="325"/>
      <c r="AX61" s="325"/>
      <c r="AY61" s="325"/>
      <c r="AZ61" s="325"/>
      <c r="BA61" s="325"/>
      <c r="BB61" s="325"/>
      <c r="BC61" s="325"/>
      <c r="BD61" s="326"/>
      <c r="BE61" s="299"/>
      <c r="BF61" s="300"/>
      <c r="BG61" s="300"/>
      <c r="BH61" s="300"/>
      <c r="BI61" s="300"/>
      <c r="BJ61" s="301"/>
      <c r="BK61" s="299"/>
      <c r="BL61" s="300"/>
      <c r="BM61" s="300"/>
      <c r="BN61" s="300"/>
      <c r="BO61" s="300"/>
      <c r="BP61" s="301"/>
      <c r="BQ61" s="299"/>
      <c r="BR61" s="300"/>
      <c r="BS61" s="300"/>
      <c r="BT61" s="300"/>
      <c r="BU61" s="300"/>
      <c r="BV61" s="301"/>
      <c r="CC61" s="86"/>
      <c r="CD61" s="87"/>
      <c r="CE61" s="87"/>
      <c r="CF61" s="87"/>
      <c r="CG61" s="88"/>
      <c r="CH61" s="86"/>
      <c r="CI61" s="87"/>
      <c r="CJ61" s="87"/>
      <c r="CK61" s="87"/>
      <c r="CL61" s="88"/>
      <c r="CM61" s="86"/>
      <c r="CN61" s="87"/>
      <c r="CO61" s="87"/>
      <c r="CP61" s="87"/>
      <c r="CQ61" s="88"/>
      <c r="CR61" s="86"/>
      <c r="CS61" s="87"/>
      <c r="CT61" s="87"/>
      <c r="CU61" s="87"/>
      <c r="CV61" s="88"/>
      <c r="CW61" s="86"/>
      <c r="CX61" s="87"/>
      <c r="CY61" s="87"/>
      <c r="CZ61" s="87"/>
      <c r="DA61" s="88"/>
      <c r="DB61" s="86"/>
      <c r="DC61" s="87"/>
      <c r="DD61" s="87"/>
      <c r="DE61" s="87"/>
      <c r="DF61" s="88"/>
      <c r="DG61" s="86"/>
      <c r="DH61" s="87"/>
      <c r="DI61" s="87"/>
      <c r="DJ61" s="87"/>
      <c r="DK61" s="88"/>
      <c r="DL61" s="86"/>
      <c r="DM61" s="87"/>
      <c r="DN61" s="87"/>
      <c r="DO61" s="87"/>
      <c r="DP61" s="88"/>
      <c r="DQ61" s="86"/>
      <c r="DR61" s="87"/>
      <c r="DS61" s="87"/>
      <c r="DT61" s="87"/>
      <c r="DU61" s="88"/>
      <c r="DV61" s="86"/>
      <c r="DW61" s="87"/>
      <c r="DX61" s="87"/>
      <c r="DY61" s="87"/>
      <c r="DZ61" s="88"/>
      <c r="EA61" s="86"/>
      <c r="EB61" s="87"/>
      <c r="EC61" s="87"/>
      <c r="ED61" s="87"/>
      <c r="EE61" s="88"/>
      <c r="EF61" s="86"/>
      <c r="EG61" s="87"/>
      <c r="EH61" s="87"/>
      <c r="EI61" s="87"/>
      <c r="EJ61" s="88"/>
      <c r="EK61" s="86"/>
      <c r="EL61" s="87"/>
      <c r="EM61" s="87"/>
      <c r="EN61" s="87"/>
      <c r="EO61" s="88"/>
      <c r="EP61" s="86"/>
      <c r="EQ61" s="87"/>
      <c r="ER61" s="87"/>
      <c r="ES61" s="87"/>
      <c r="ET61" s="88"/>
      <c r="EU61" s="86"/>
      <c r="EV61" s="87"/>
      <c r="EW61" s="87"/>
      <c r="EX61" s="87"/>
      <c r="EY61" s="88"/>
      <c r="EZ61" s="86"/>
      <c r="FA61" s="87"/>
      <c r="FB61" s="87"/>
      <c r="FC61" s="87"/>
      <c r="FD61" s="88"/>
      <c r="FE61" s="86"/>
      <c r="FF61" s="87"/>
      <c r="FG61" s="87"/>
      <c r="FH61" s="87"/>
      <c r="FI61" s="88"/>
      <c r="FJ61" s="86"/>
      <c r="FK61" s="87"/>
      <c r="FL61" s="87"/>
      <c r="FM61" s="87"/>
      <c r="FN61" s="88"/>
      <c r="FO61" s="86"/>
      <c r="FP61" s="87"/>
      <c r="FQ61" s="87"/>
      <c r="FR61" s="87"/>
      <c r="FS61" s="88"/>
      <c r="FT61" s="86"/>
      <c r="FU61" s="87"/>
      <c r="FV61" s="87"/>
      <c r="FW61" s="87"/>
      <c r="FX61" s="88"/>
      <c r="FY61" s="86"/>
      <c r="FZ61" s="87"/>
      <c r="GA61" s="87"/>
      <c r="GB61" s="87"/>
      <c r="GC61" s="88"/>
      <c r="GD61" s="86"/>
      <c r="GE61" s="87"/>
      <c r="GF61" s="87"/>
      <c r="GG61" s="87"/>
      <c r="GH61" s="88"/>
      <c r="GI61" s="86"/>
      <c r="GJ61" s="87"/>
      <c r="GK61" s="87"/>
      <c r="GL61" s="87"/>
      <c r="GM61" s="88"/>
      <c r="GN61" s="86"/>
      <c r="GO61" s="87"/>
      <c r="GP61" s="87"/>
      <c r="GQ61" s="87"/>
      <c r="GR61" s="88"/>
    </row>
    <row r="62" spans="1:200" x14ac:dyDescent="0.3">
      <c r="AU62" s="305" t="s">
        <v>60</v>
      </c>
      <c r="AV62" s="305"/>
      <c r="AW62" s="305"/>
      <c r="AX62" s="305"/>
      <c r="AY62" s="305"/>
      <c r="AZ62" s="305"/>
      <c r="BA62" s="305"/>
      <c r="BB62" s="305"/>
      <c r="BC62" s="305"/>
      <c r="BD62" s="306"/>
      <c r="BE62" s="309"/>
      <c r="BF62" s="310"/>
      <c r="BG62" s="310"/>
      <c r="BH62" s="310"/>
      <c r="BI62" s="310"/>
      <c r="BJ62" s="311"/>
      <c r="BK62" s="309"/>
      <c r="BL62" s="310"/>
      <c r="BM62" s="310"/>
      <c r="BN62" s="310"/>
      <c r="BO62" s="310"/>
      <c r="BP62" s="311"/>
      <c r="BQ62" s="309"/>
      <c r="BR62" s="310"/>
      <c r="BS62" s="310"/>
      <c r="BT62" s="310"/>
      <c r="BU62" s="310"/>
      <c r="BV62" s="311"/>
      <c r="BW62" s="309"/>
      <c r="BX62" s="310"/>
      <c r="BY62" s="310"/>
      <c r="BZ62" s="310"/>
      <c r="CA62" s="310"/>
      <c r="CB62" s="311"/>
    </row>
    <row r="63" spans="1:200" x14ac:dyDescent="0.3">
      <c r="AU63" s="307"/>
      <c r="AV63" s="307"/>
      <c r="AW63" s="307"/>
      <c r="AX63" s="307"/>
      <c r="AY63" s="307"/>
      <c r="AZ63" s="307"/>
      <c r="BA63" s="307"/>
      <c r="BB63" s="307"/>
      <c r="BC63" s="307"/>
      <c r="BD63" s="308"/>
      <c r="BE63" s="312"/>
      <c r="BF63" s="313"/>
      <c r="BG63" s="313"/>
      <c r="BH63" s="313"/>
      <c r="BI63" s="313"/>
      <c r="BJ63" s="314"/>
      <c r="BK63" s="312"/>
      <c r="BL63" s="313"/>
      <c r="BM63" s="313"/>
      <c r="BN63" s="313"/>
      <c r="BO63" s="313"/>
      <c r="BP63" s="314"/>
      <c r="BQ63" s="312"/>
      <c r="BR63" s="313"/>
      <c r="BS63" s="313"/>
      <c r="BT63" s="313"/>
      <c r="BU63" s="313"/>
      <c r="BV63" s="314"/>
      <c r="BW63" s="312"/>
      <c r="BX63" s="313"/>
      <c r="BY63" s="313"/>
      <c r="BZ63" s="313"/>
      <c r="CA63" s="313"/>
      <c r="CB63" s="314"/>
    </row>
  </sheetData>
  <mergeCells count="202">
    <mergeCell ref="A60:G61"/>
    <mergeCell ref="H60:BD61"/>
    <mergeCell ref="BE60:BJ61"/>
    <mergeCell ref="BK60:BP61"/>
    <mergeCell ref="BQ60:BV61"/>
    <mergeCell ref="BW59:CB60"/>
    <mergeCell ref="BE56:BJ57"/>
    <mergeCell ref="BK56:BP57"/>
    <mergeCell ref="BQ56:BV57"/>
    <mergeCell ref="A58:G59"/>
    <mergeCell ref="H58:BD59"/>
    <mergeCell ref="BE58:BJ59"/>
    <mergeCell ref="BK58:BP59"/>
    <mergeCell ref="BQ58:BV59"/>
    <mergeCell ref="BW53:CB54"/>
    <mergeCell ref="BW55:CB56"/>
    <mergeCell ref="BW57:CB58"/>
    <mergeCell ref="A54:G55"/>
    <mergeCell ref="H54:BD55"/>
    <mergeCell ref="BE54:BJ55"/>
    <mergeCell ref="BK54:BP55"/>
    <mergeCell ref="BQ54:BV55"/>
    <mergeCell ref="A1:GR2"/>
    <mergeCell ref="A3:U3"/>
    <mergeCell ref="V3:BS3"/>
    <mergeCell ref="BT3:CH4"/>
    <mergeCell ref="CI3:DW4"/>
    <mergeCell ref="DX3:EP4"/>
    <mergeCell ref="EQ3:FW4"/>
    <mergeCell ref="GH3:GR3"/>
    <mergeCell ref="A4:U4"/>
    <mergeCell ref="V4:BS4"/>
    <mergeCell ref="GH4:GR4"/>
    <mergeCell ref="A5:O6"/>
    <mergeCell ref="P5:U5"/>
    <mergeCell ref="V5:BS5"/>
    <mergeCell ref="BT5:CH6"/>
    <mergeCell ref="CI5:DW6"/>
    <mergeCell ref="DX5:EP6"/>
    <mergeCell ref="EQ5:FW6"/>
    <mergeCell ref="GH5:GR5"/>
    <mergeCell ref="P6:U6"/>
    <mergeCell ref="V6:BS6"/>
    <mergeCell ref="GH6:GR6"/>
    <mergeCell ref="GL9:GP12"/>
    <mergeCell ref="A14:G15"/>
    <mergeCell ref="H14:BD15"/>
    <mergeCell ref="BE14:BJ15"/>
    <mergeCell ref="BK14:BP15"/>
    <mergeCell ref="BQ14:BV15"/>
    <mergeCell ref="BW14:CB14"/>
    <mergeCell ref="BW15:CB16"/>
    <mergeCell ref="A16:G17"/>
    <mergeCell ref="H16:BD17"/>
    <mergeCell ref="DT9:DW12"/>
    <mergeCell ref="ED9:EG12"/>
    <mergeCell ref="EN9:EQ12"/>
    <mergeCell ref="EX9:FA12"/>
    <mergeCell ref="FH9:FK12"/>
    <mergeCell ref="FR9:FU12"/>
    <mergeCell ref="EI8:EL11"/>
    <mergeCell ref="A7:G13"/>
    <mergeCell ref="H7:BD13"/>
    <mergeCell ref="BE7:CB7"/>
    <mergeCell ref="DA7:DC7"/>
    <mergeCell ref="BE8:BJ13"/>
    <mergeCell ref="BK8:BP13"/>
    <mergeCell ref="BQ8:BV13"/>
    <mergeCell ref="ES8:EV11"/>
    <mergeCell ref="FC8:FF11"/>
    <mergeCell ref="FM8:FP11"/>
    <mergeCell ref="FW8:FZ11"/>
    <mergeCell ref="GG8:GJ11"/>
    <mergeCell ref="GB9:GE12"/>
    <mergeCell ref="BW8:CB13"/>
    <mergeCell ref="BE16:BJ17"/>
    <mergeCell ref="BK16:BP17"/>
    <mergeCell ref="BQ16:BV17"/>
    <mergeCell ref="BW17:CB18"/>
    <mergeCell ref="DE8:DH11"/>
    <mergeCell ref="DO8:DR11"/>
    <mergeCell ref="DY8:EB11"/>
    <mergeCell ref="CF9:CI12"/>
    <mergeCell ref="CP9:CS12"/>
    <mergeCell ref="CZ9:DC12"/>
    <mergeCell ref="DJ9:DM12"/>
    <mergeCell ref="CK8:CN11"/>
    <mergeCell ref="CU8:CX11"/>
    <mergeCell ref="A18:G19"/>
    <mergeCell ref="H18:BD19"/>
    <mergeCell ref="BE18:BJ19"/>
    <mergeCell ref="BK18:BP19"/>
    <mergeCell ref="BQ18:BV19"/>
    <mergeCell ref="BW19:CB20"/>
    <mergeCell ref="A20:G21"/>
    <mergeCell ref="H20:BD21"/>
    <mergeCell ref="BE20:BJ21"/>
    <mergeCell ref="BK20:BP21"/>
    <mergeCell ref="BQ20:BV21"/>
    <mergeCell ref="BW21:CB22"/>
    <mergeCell ref="A22:G23"/>
    <mergeCell ref="H22:BD23"/>
    <mergeCell ref="BE22:BJ23"/>
    <mergeCell ref="BK22:BP23"/>
    <mergeCell ref="BQ22:BV23"/>
    <mergeCell ref="BW23:CB24"/>
    <mergeCell ref="A24:G25"/>
    <mergeCell ref="H24:BD25"/>
    <mergeCell ref="BE24:BJ25"/>
    <mergeCell ref="BK24:BP25"/>
    <mergeCell ref="BQ24:BV25"/>
    <mergeCell ref="BW25:CB26"/>
    <mergeCell ref="A26:G27"/>
    <mergeCell ref="H26:BD27"/>
    <mergeCell ref="BE26:BJ27"/>
    <mergeCell ref="BK26:BP27"/>
    <mergeCell ref="BQ26:BV27"/>
    <mergeCell ref="BW27:CB28"/>
    <mergeCell ref="A28:G29"/>
    <mergeCell ref="H28:BD29"/>
    <mergeCell ref="BE28:BJ29"/>
    <mergeCell ref="BK28:BP29"/>
    <mergeCell ref="BQ28:BV29"/>
    <mergeCell ref="BW29:CB30"/>
    <mergeCell ref="A30:G31"/>
    <mergeCell ref="H30:BD31"/>
    <mergeCell ref="BE30:BJ31"/>
    <mergeCell ref="BK30:BP31"/>
    <mergeCell ref="BQ30:BV31"/>
    <mergeCell ref="BW31:CB32"/>
    <mergeCell ref="A32:G33"/>
    <mergeCell ref="H32:BD33"/>
    <mergeCell ref="BE32:BJ33"/>
    <mergeCell ref="BK32:BP33"/>
    <mergeCell ref="BQ32:BV33"/>
    <mergeCell ref="BW33:CB34"/>
    <mergeCell ref="A34:G35"/>
    <mergeCell ref="H34:BD35"/>
    <mergeCell ref="BE34:BJ35"/>
    <mergeCell ref="BK34:BP35"/>
    <mergeCell ref="BQ34:BV35"/>
    <mergeCell ref="BW35:CB36"/>
    <mergeCell ref="A36:G37"/>
    <mergeCell ref="H36:BD37"/>
    <mergeCell ref="BE36:BJ37"/>
    <mergeCell ref="BK36:BP37"/>
    <mergeCell ref="BQ36:BV37"/>
    <mergeCell ref="BW37:CB38"/>
    <mergeCell ref="A38:G39"/>
    <mergeCell ref="H38:BD39"/>
    <mergeCell ref="BE38:BJ39"/>
    <mergeCell ref="BK38:BP39"/>
    <mergeCell ref="BQ38:BV39"/>
    <mergeCell ref="BW39:CB40"/>
    <mergeCell ref="A40:G41"/>
    <mergeCell ref="H40:BD41"/>
    <mergeCell ref="BE40:BJ41"/>
    <mergeCell ref="BK40:BP41"/>
    <mergeCell ref="BQ40:BV41"/>
    <mergeCell ref="BW41:CB42"/>
    <mergeCell ref="A42:G43"/>
    <mergeCell ref="H42:BD43"/>
    <mergeCell ref="BE42:BJ43"/>
    <mergeCell ref="BK42:BP43"/>
    <mergeCell ref="BQ42:BV43"/>
    <mergeCell ref="BW43:CB44"/>
    <mergeCell ref="A44:G45"/>
    <mergeCell ref="H44:BD45"/>
    <mergeCell ref="BE44:BJ45"/>
    <mergeCell ref="BK44:BP45"/>
    <mergeCell ref="BQ44:BV45"/>
    <mergeCell ref="BW45:CB46"/>
    <mergeCell ref="A46:G47"/>
    <mergeCell ref="H46:BD47"/>
    <mergeCell ref="BE46:BJ47"/>
    <mergeCell ref="BK46:BP47"/>
    <mergeCell ref="BQ46:BV47"/>
    <mergeCell ref="BW47:CB48"/>
    <mergeCell ref="A48:G49"/>
    <mergeCell ref="H48:BD49"/>
    <mergeCell ref="BE48:BJ49"/>
    <mergeCell ref="BK48:BP49"/>
    <mergeCell ref="BQ48:BV49"/>
    <mergeCell ref="BW49:CB50"/>
    <mergeCell ref="BQ52:BV53"/>
    <mergeCell ref="AU62:BD63"/>
    <mergeCell ref="BE62:BJ63"/>
    <mergeCell ref="BK62:BP63"/>
    <mergeCell ref="BQ62:BV63"/>
    <mergeCell ref="BW62:CB63"/>
    <mergeCell ref="A50:G51"/>
    <mergeCell ref="H50:BD51"/>
    <mergeCell ref="BE50:BJ51"/>
    <mergeCell ref="BK50:BP51"/>
    <mergeCell ref="BQ50:BV51"/>
    <mergeCell ref="BW51:CB52"/>
    <mergeCell ref="A52:G53"/>
    <mergeCell ref="H52:BD53"/>
    <mergeCell ref="BE52:BJ53"/>
    <mergeCell ref="BK52:BP53"/>
    <mergeCell ref="A56:G57"/>
    <mergeCell ref="H56:BD57"/>
  </mergeCells>
  <phoneticPr fontId="54" type="noConversion"/>
  <pageMargins left="0.23622047244094491" right="0.23622047244094491" top="0.35433070866141736" bottom="0.35433070866141736" header="0.31496062992125984" footer="0.31496062992125984"/>
  <pageSetup paperSize="9" scale="7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A874-4C8A-4622-81E2-9B891239881E}">
  <sheetPr codeName="Лист9"/>
  <dimension ref="A1:BK190"/>
  <sheetViews>
    <sheetView showGridLines="0" view="pageBreakPreview" topLeftCell="R42" zoomScale="41" zoomScaleNormal="55" zoomScalePageLayoutView="18" workbookViewId="0">
      <selection activeCell="J7" sqref="P8"/>
    </sheetView>
  </sheetViews>
  <sheetFormatPr defaultColWidth="5.6328125" defaultRowHeight="5.15" customHeight="1" x14ac:dyDescent="0.35"/>
  <cols>
    <col min="1" max="37" width="3.6328125" customWidth="1"/>
    <col min="38" max="38" width="3.81640625" customWidth="1"/>
    <col min="39" max="40" width="3.6328125" customWidth="1"/>
    <col min="41" max="54" width="3.81640625" customWidth="1"/>
    <col min="55" max="63" width="3.90625" customWidth="1"/>
  </cols>
  <sheetData>
    <row r="1" spans="1:63" ht="64.5" customHeight="1" thickBot="1" x14ac:dyDescent="0.4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560"/>
      <c r="M1" s="560"/>
      <c r="N1" s="560"/>
      <c r="O1" s="560"/>
      <c r="P1" s="560"/>
      <c r="Q1" s="560"/>
      <c r="R1" s="560"/>
      <c r="S1" s="560"/>
      <c r="T1" s="377" t="s">
        <v>160</v>
      </c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8"/>
    </row>
    <row r="2" spans="1:63" ht="15" customHeight="1" thickBot="1" x14ac:dyDescent="0.4">
      <c r="A2" s="385" t="s">
        <v>52</v>
      </c>
      <c r="B2" s="386"/>
      <c r="C2" s="386"/>
      <c r="D2" s="386"/>
      <c r="E2" s="386"/>
      <c r="F2" s="386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565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1"/>
      <c r="AE2" s="561"/>
      <c r="AF2" s="561"/>
      <c r="AG2" s="561"/>
      <c r="AH2" s="561"/>
      <c r="AI2" s="561"/>
      <c r="AJ2" s="561"/>
      <c r="AK2" s="561"/>
      <c r="AL2" s="561"/>
      <c r="AM2" s="561"/>
      <c r="AN2" s="561"/>
      <c r="AO2" s="561"/>
      <c r="AP2" s="32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4"/>
      <c r="BB2" s="32"/>
      <c r="BC2" s="33"/>
      <c r="BD2" s="33"/>
      <c r="BE2" s="33"/>
      <c r="BF2" s="33"/>
      <c r="BG2" s="33"/>
      <c r="BH2" s="33"/>
      <c r="BI2" s="33"/>
      <c r="BJ2" s="33"/>
      <c r="BK2" s="136"/>
    </row>
    <row r="3" spans="1:63" ht="15" customHeight="1" thickBot="1" x14ac:dyDescent="0.4">
      <c r="A3" s="387"/>
      <c r="B3" s="566"/>
      <c r="C3" s="566"/>
      <c r="D3" s="566"/>
      <c r="E3" s="566"/>
      <c r="F3" s="566"/>
      <c r="G3" s="567"/>
      <c r="H3" s="567"/>
      <c r="I3" s="567"/>
      <c r="J3" s="567"/>
      <c r="K3" s="567"/>
      <c r="L3" s="567"/>
      <c r="M3" s="567"/>
      <c r="N3" s="567"/>
      <c r="O3" s="567"/>
      <c r="P3" s="567"/>
      <c r="Q3" s="567"/>
      <c r="R3" s="567"/>
      <c r="S3" s="568"/>
      <c r="T3" s="561"/>
      <c r="U3" s="561"/>
      <c r="V3" s="561"/>
      <c r="W3" s="561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1"/>
      <c r="AI3" s="561"/>
      <c r="AJ3" s="561"/>
      <c r="AK3" s="561"/>
      <c r="AL3" s="561"/>
      <c r="AM3" s="561"/>
      <c r="AN3" s="561"/>
      <c r="AO3" s="561"/>
      <c r="AP3" s="35"/>
      <c r="AQ3" s="36"/>
      <c r="AR3" s="561"/>
      <c r="AS3" s="37"/>
      <c r="AT3" s="561"/>
      <c r="AU3" s="561" t="s">
        <v>23</v>
      </c>
      <c r="AV3" s="561"/>
      <c r="AW3" s="561"/>
      <c r="AX3" s="561"/>
      <c r="AY3" s="561"/>
      <c r="AZ3" s="561"/>
      <c r="BA3" s="38"/>
      <c r="BB3" s="35"/>
      <c r="BC3" s="389" t="s">
        <v>62</v>
      </c>
      <c r="BD3" s="389"/>
      <c r="BE3" s="389"/>
      <c r="BF3" s="389"/>
      <c r="BG3" s="389"/>
      <c r="BH3" s="389"/>
      <c r="BI3" s="572" t="s">
        <v>63</v>
      </c>
      <c r="BJ3" s="573" t="s">
        <v>64</v>
      </c>
      <c r="BK3" s="390"/>
    </row>
    <row r="4" spans="1:63" ht="15" customHeight="1" thickBot="1" x14ac:dyDescent="0.4">
      <c r="A4" s="387" t="s">
        <v>47</v>
      </c>
      <c r="B4" s="566"/>
      <c r="C4" s="566"/>
      <c r="D4" s="566"/>
      <c r="E4" s="566"/>
      <c r="F4" s="566"/>
      <c r="G4" s="569"/>
      <c r="H4" s="569"/>
      <c r="I4" s="569"/>
      <c r="J4" s="569"/>
      <c r="K4" s="569"/>
      <c r="L4" s="569"/>
      <c r="M4" s="569"/>
      <c r="N4" s="569"/>
      <c r="O4" s="569"/>
      <c r="P4" s="569"/>
      <c r="Q4" s="569"/>
      <c r="R4" s="569"/>
      <c r="S4" s="570"/>
      <c r="T4" s="561"/>
      <c r="U4" s="561"/>
      <c r="V4" s="561"/>
      <c r="W4" s="561"/>
      <c r="X4" s="561"/>
      <c r="Y4" s="561"/>
      <c r="Z4" s="561"/>
      <c r="AA4" s="561"/>
      <c r="AB4" s="561"/>
      <c r="AC4" s="561"/>
      <c r="AD4" s="561"/>
      <c r="AE4" s="561"/>
      <c r="AF4" s="561"/>
      <c r="AG4" s="561"/>
      <c r="AH4" s="561"/>
      <c r="AI4" s="561"/>
      <c r="AJ4" s="561"/>
      <c r="AK4" s="561"/>
      <c r="AL4" s="561"/>
      <c r="AM4" s="561"/>
      <c r="AN4" s="561"/>
      <c r="AO4" s="561"/>
      <c r="AP4" s="35"/>
      <c r="AQ4" s="36"/>
      <c r="AR4" s="39"/>
      <c r="AS4" s="40"/>
      <c r="AT4" s="561"/>
      <c r="AU4" s="561" t="s">
        <v>65</v>
      </c>
      <c r="AV4" s="561"/>
      <c r="AW4" s="561"/>
      <c r="AX4" s="561"/>
      <c r="AY4" s="561"/>
      <c r="AZ4" s="561"/>
      <c r="BA4" s="38"/>
      <c r="BB4" s="35"/>
      <c r="BC4" s="394" t="s">
        <v>51</v>
      </c>
      <c r="BD4" s="394"/>
      <c r="BE4" s="394"/>
      <c r="BF4" s="394"/>
      <c r="BG4" s="394"/>
      <c r="BH4" s="394"/>
      <c r="BI4" s="574"/>
      <c r="BJ4" s="575"/>
      <c r="BK4" s="390"/>
    </row>
    <row r="5" spans="1:63" ht="15.75" customHeight="1" thickBot="1" x14ac:dyDescent="0.4">
      <c r="A5" s="391"/>
      <c r="B5" s="392"/>
      <c r="C5" s="392"/>
      <c r="D5" s="392"/>
      <c r="E5" s="392"/>
      <c r="F5" s="392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57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561"/>
      <c r="AL5" s="561"/>
      <c r="AM5" s="561"/>
      <c r="AN5" s="561"/>
      <c r="AO5" s="561"/>
      <c r="AP5" s="35"/>
      <c r="AQ5" s="36"/>
      <c r="AR5" s="41"/>
      <c r="AS5" s="42"/>
      <c r="AT5" s="561"/>
      <c r="AU5" s="576" t="s">
        <v>66</v>
      </c>
      <c r="AV5" s="576"/>
      <c r="AW5" s="576"/>
      <c r="AX5" s="576"/>
      <c r="AY5" s="576"/>
      <c r="AZ5" s="561"/>
      <c r="BA5" s="38"/>
      <c r="BB5" s="35"/>
      <c r="BC5" s="561"/>
      <c r="BD5" s="561"/>
      <c r="BE5" s="561"/>
      <c r="BF5" s="561"/>
      <c r="BG5" s="561"/>
      <c r="BH5" s="561"/>
      <c r="BI5" s="561"/>
      <c r="BJ5" s="561"/>
      <c r="BK5" s="137"/>
    </row>
    <row r="6" spans="1:63" ht="15.75" customHeight="1" thickBot="1" x14ac:dyDescent="0.4">
      <c r="A6" s="138"/>
      <c r="B6" s="561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  <c r="Y6" s="561"/>
      <c r="Z6" s="561"/>
      <c r="AA6" s="561"/>
      <c r="AB6" s="561"/>
      <c r="AC6" s="561"/>
      <c r="AD6" s="561"/>
      <c r="AE6" s="561"/>
      <c r="AF6" s="561"/>
      <c r="AG6" s="561"/>
      <c r="AH6" s="561"/>
      <c r="AI6" s="561"/>
      <c r="AJ6" s="561"/>
      <c r="AK6" s="561"/>
      <c r="AL6" s="561"/>
      <c r="AM6" s="561"/>
      <c r="AN6" s="561"/>
      <c r="AO6" s="561"/>
      <c r="AP6" s="35"/>
      <c r="AQ6" s="43"/>
      <c r="AR6" s="44"/>
      <c r="AS6" s="45"/>
      <c r="AT6" s="46"/>
      <c r="AU6" s="576"/>
      <c r="AV6" s="576"/>
      <c r="AW6" s="576"/>
      <c r="AX6" s="576"/>
      <c r="AY6" s="576"/>
      <c r="AZ6" s="561"/>
      <c r="BA6" s="38"/>
      <c r="BB6" s="35"/>
      <c r="BC6" s="379"/>
      <c r="BD6" s="379"/>
      <c r="BE6" s="379" t="s">
        <v>120</v>
      </c>
      <c r="BF6" s="379"/>
      <c r="BG6" s="379"/>
      <c r="BH6" s="379"/>
      <c r="BI6" s="577" t="s">
        <v>63</v>
      </c>
      <c r="BJ6" s="578"/>
      <c r="BK6" s="381"/>
    </row>
    <row r="7" spans="1:63" ht="15.5" thickTop="1" thickBot="1" x14ac:dyDescent="0.4">
      <c r="A7" s="138"/>
      <c r="B7" s="561"/>
      <c r="C7" s="561"/>
      <c r="D7" s="561"/>
      <c r="E7" s="561"/>
      <c r="F7" s="561"/>
      <c r="G7" s="561"/>
      <c r="H7" s="561"/>
      <c r="I7" s="561"/>
      <c r="J7" s="561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61"/>
      <c r="V7" s="561"/>
      <c r="W7" s="561"/>
      <c r="X7" s="561"/>
      <c r="Y7" s="561"/>
      <c r="Z7" s="561"/>
      <c r="AA7" s="561"/>
      <c r="AB7" s="561"/>
      <c r="AC7" s="561"/>
      <c r="AD7" s="561"/>
      <c r="AE7" s="561"/>
      <c r="AF7" s="561"/>
      <c r="AG7" s="561"/>
      <c r="AH7" s="561"/>
      <c r="AI7" s="561"/>
      <c r="AJ7" s="561"/>
      <c r="AK7" s="561"/>
      <c r="AL7" s="561"/>
      <c r="AM7" s="561"/>
      <c r="AN7" s="561"/>
      <c r="AO7" s="561"/>
      <c r="AP7" s="47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9"/>
      <c r="BB7" s="47"/>
      <c r="BC7" s="384"/>
      <c r="BD7" s="384"/>
      <c r="BE7" s="384"/>
      <c r="BF7" s="384"/>
      <c r="BG7" s="384"/>
      <c r="BH7" s="384"/>
      <c r="BI7" s="380"/>
      <c r="BJ7" s="382"/>
      <c r="BK7" s="383"/>
    </row>
    <row r="8" spans="1:63" ht="14.5" x14ac:dyDescent="0.35">
      <c r="A8" s="138"/>
      <c r="B8" s="561"/>
      <c r="C8" s="561"/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561"/>
      <c r="Y8" s="561"/>
      <c r="Z8" s="561"/>
      <c r="AA8" s="561"/>
      <c r="AB8" s="561"/>
      <c r="AC8" s="561"/>
      <c r="AD8" s="561"/>
      <c r="AE8" s="561"/>
      <c r="AF8" s="561"/>
      <c r="AG8" s="561"/>
      <c r="AH8" s="561"/>
      <c r="AI8" s="561"/>
      <c r="AJ8" s="561"/>
      <c r="AK8" s="561"/>
      <c r="AL8" s="561"/>
      <c r="AM8" s="561"/>
      <c r="AN8" s="561"/>
      <c r="AO8" s="561"/>
      <c r="AP8" s="561"/>
      <c r="AQ8" s="561"/>
      <c r="AR8" s="561"/>
      <c r="AS8" s="561"/>
      <c r="AT8" s="561"/>
      <c r="AU8" s="561"/>
      <c r="AV8" s="561"/>
      <c r="AW8" s="561"/>
      <c r="AX8" s="561"/>
      <c r="AY8" s="561"/>
      <c r="AZ8" s="561"/>
      <c r="BA8" s="561"/>
      <c r="BB8" s="561"/>
      <c r="BC8" s="561"/>
      <c r="BD8" s="561"/>
      <c r="BE8" s="561"/>
      <c r="BF8" s="561"/>
      <c r="BG8" s="561"/>
      <c r="BH8" s="561"/>
      <c r="BI8" s="561"/>
      <c r="BJ8" s="561"/>
      <c r="BK8" s="137"/>
    </row>
    <row r="9" spans="1:63" ht="5.15" customHeight="1" x14ac:dyDescent="0.35">
      <c r="A9" s="138"/>
      <c r="B9" s="561"/>
      <c r="C9" s="561"/>
      <c r="D9" s="561"/>
      <c r="E9" s="561"/>
      <c r="F9" s="561"/>
      <c r="G9" s="561"/>
      <c r="H9" s="561"/>
      <c r="I9" s="561"/>
      <c r="J9" s="561"/>
      <c r="K9" s="561"/>
      <c r="L9" s="561"/>
      <c r="M9" s="561"/>
      <c r="N9" s="561"/>
      <c r="O9" s="561"/>
      <c r="P9" s="561"/>
      <c r="Q9" s="561"/>
      <c r="R9" s="561"/>
      <c r="S9" s="561"/>
      <c r="T9" s="561"/>
      <c r="U9" s="561"/>
      <c r="V9" s="561"/>
      <c r="W9" s="561"/>
      <c r="X9" s="561"/>
      <c r="Y9" s="561"/>
      <c r="Z9" s="561"/>
      <c r="AA9" s="561"/>
      <c r="AB9" s="561"/>
      <c r="AC9" s="561"/>
      <c r="AD9" s="561"/>
      <c r="AE9" s="561"/>
      <c r="AF9" s="561"/>
      <c r="AG9" s="561"/>
      <c r="AH9" s="561"/>
      <c r="AI9" s="561"/>
      <c r="AJ9" s="561"/>
      <c r="AK9" s="561"/>
      <c r="AL9" s="561"/>
      <c r="AM9" s="561"/>
      <c r="AN9" s="561"/>
      <c r="AO9" s="561"/>
      <c r="AP9" s="561"/>
      <c r="AQ9" s="561"/>
      <c r="AR9" s="561"/>
      <c r="AS9" s="561"/>
      <c r="AT9" s="561"/>
      <c r="AU9" s="561"/>
      <c r="AV9" s="561"/>
      <c r="AW9" s="561"/>
      <c r="AX9" s="561"/>
      <c r="AY9" s="561"/>
      <c r="AZ9" s="561"/>
      <c r="BA9" s="561"/>
      <c r="BB9" s="561"/>
      <c r="BC9" s="561"/>
      <c r="BD9" s="561"/>
      <c r="BE9" s="561"/>
      <c r="BF9" s="561"/>
      <c r="BG9" s="561"/>
      <c r="BH9" s="561"/>
      <c r="BI9" s="561"/>
      <c r="BJ9" s="561"/>
      <c r="BK9" s="137"/>
    </row>
    <row r="10" spans="1:63" ht="5.15" customHeight="1" x14ac:dyDescent="0.35">
      <c r="A10" s="138"/>
      <c r="B10" s="561"/>
      <c r="C10" s="561"/>
      <c r="D10" s="561"/>
      <c r="E10" s="561"/>
      <c r="F10" s="561"/>
      <c r="G10" s="561"/>
      <c r="H10" s="561"/>
      <c r="I10" s="561"/>
      <c r="J10" s="561"/>
      <c r="K10" s="561"/>
      <c r="L10" s="561"/>
      <c r="M10" s="561"/>
      <c r="N10" s="561"/>
      <c r="O10" s="561"/>
      <c r="P10" s="561"/>
      <c r="Q10" s="561"/>
      <c r="R10" s="561"/>
      <c r="S10" s="561"/>
      <c r="T10" s="561"/>
      <c r="U10" s="561"/>
      <c r="V10" s="561"/>
      <c r="W10" s="561"/>
      <c r="X10" s="561"/>
      <c r="Y10" s="561"/>
      <c r="Z10" s="561"/>
      <c r="AA10" s="561"/>
      <c r="AB10" s="561"/>
      <c r="AC10" s="561"/>
      <c r="AD10" s="561"/>
      <c r="AE10" s="561"/>
      <c r="AF10" s="561"/>
      <c r="AG10" s="561"/>
      <c r="AH10" s="561"/>
      <c r="AI10" s="561"/>
      <c r="AJ10" s="561"/>
      <c r="AK10" s="561"/>
      <c r="AL10" s="561"/>
      <c r="AM10" s="561"/>
      <c r="AN10" s="561"/>
      <c r="AO10" s="561"/>
      <c r="AP10" s="561"/>
      <c r="AQ10" s="561"/>
      <c r="AR10" s="561"/>
      <c r="AS10" s="561"/>
      <c r="AT10" s="561"/>
      <c r="AU10" s="561"/>
      <c r="AV10" s="561"/>
      <c r="AW10" s="561"/>
      <c r="AX10" s="561"/>
      <c r="AY10" s="561"/>
      <c r="AZ10" s="561"/>
      <c r="BA10" s="561"/>
      <c r="BB10" s="561"/>
      <c r="BC10" s="561"/>
      <c r="BD10" s="561"/>
      <c r="BE10" s="561"/>
      <c r="BF10" s="561"/>
      <c r="BG10" s="561"/>
      <c r="BH10" s="561"/>
      <c r="BI10" s="561"/>
      <c r="BJ10" s="561"/>
      <c r="BK10" s="137"/>
    </row>
    <row r="11" spans="1:63" ht="5.15" customHeight="1" x14ac:dyDescent="0.35">
      <c r="A11" s="138"/>
      <c r="B11" s="561"/>
      <c r="C11" s="561"/>
      <c r="D11" s="561"/>
      <c r="E11" s="561"/>
      <c r="F11" s="561"/>
      <c r="G11" s="561"/>
      <c r="H11" s="561"/>
      <c r="I11" s="561"/>
      <c r="J11" s="561"/>
      <c r="K11" s="561"/>
      <c r="L11" s="561"/>
      <c r="M11" s="561"/>
      <c r="N11" s="561"/>
      <c r="O11" s="561"/>
      <c r="P11" s="561"/>
      <c r="Q11" s="561"/>
      <c r="R11" s="561"/>
      <c r="S11" s="561"/>
      <c r="T11" s="561"/>
      <c r="U11" s="561"/>
      <c r="V11" s="561"/>
      <c r="W11" s="561"/>
      <c r="X11" s="561"/>
      <c r="Y11" s="561"/>
      <c r="Z11" s="561"/>
      <c r="AA11" s="561"/>
      <c r="AB11" s="561"/>
      <c r="AC11" s="561"/>
      <c r="AD11" s="561"/>
      <c r="AE11" s="561"/>
      <c r="AF11" s="561"/>
      <c r="AG11" s="561"/>
      <c r="AH11" s="561"/>
      <c r="AI11" s="561"/>
      <c r="AJ11" s="561"/>
      <c r="AK11" s="561"/>
      <c r="AL11" s="561"/>
      <c r="AM11" s="561"/>
      <c r="AN11" s="561"/>
      <c r="AO11" s="561"/>
      <c r="AP11" s="561"/>
      <c r="AQ11" s="561"/>
      <c r="AR11" s="561"/>
      <c r="AS11" s="561"/>
      <c r="AT11" s="561"/>
      <c r="AU11" s="561"/>
      <c r="AV11" s="561"/>
      <c r="AW11" s="561"/>
      <c r="AX11" s="561"/>
      <c r="AY11" s="561"/>
      <c r="AZ11" s="561"/>
      <c r="BA11" s="561"/>
      <c r="BB11" s="561"/>
      <c r="BC11" s="561"/>
      <c r="BD11" s="561"/>
      <c r="BE11" s="561"/>
      <c r="BF11" s="561"/>
      <c r="BG11" s="561"/>
      <c r="BH11" s="561"/>
      <c r="BI11" s="561"/>
      <c r="BJ11" s="561"/>
      <c r="BK11" s="137"/>
    </row>
    <row r="12" spans="1:63" ht="5.15" customHeight="1" x14ac:dyDescent="0.35">
      <c r="A12" s="138"/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1"/>
      <c r="N12" s="561"/>
      <c r="O12" s="561"/>
      <c r="P12" s="561"/>
      <c r="Q12" s="561"/>
      <c r="R12" s="561"/>
      <c r="S12" s="561"/>
      <c r="T12" s="561"/>
      <c r="U12" s="561"/>
      <c r="V12" s="561"/>
      <c r="W12" s="561"/>
      <c r="X12" s="561"/>
      <c r="Y12" s="561"/>
      <c r="Z12" s="561"/>
      <c r="AA12" s="561"/>
      <c r="AB12" s="561"/>
      <c r="AC12" s="561"/>
      <c r="AD12" s="561"/>
      <c r="AE12" s="561"/>
      <c r="AF12" s="561"/>
      <c r="AG12" s="561"/>
      <c r="AH12" s="561"/>
      <c r="AI12" s="561"/>
      <c r="AJ12" s="561"/>
      <c r="AK12" s="561"/>
      <c r="AL12" s="561"/>
      <c r="AM12" s="561"/>
      <c r="AN12" s="561"/>
      <c r="AO12" s="561"/>
      <c r="AP12" s="561"/>
      <c r="AQ12" s="561"/>
      <c r="AR12" s="561"/>
      <c r="AS12" s="561"/>
      <c r="AT12" s="561"/>
      <c r="AU12" s="561"/>
      <c r="AV12" s="561"/>
      <c r="AW12" s="561"/>
      <c r="AX12" s="561"/>
      <c r="AY12" s="561"/>
      <c r="AZ12" s="561"/>
      <c r="BA12" s="561"/>
      <c r="BB12" s="561"/>
      <c r="BC12" s="561"/>
      <c r="BD12" s="561"/>
      <c r="BE12" s="561"/>
      <c r="BF12" s="561"/>
      <c r="BG12" s="561"/>
      <c r="BH12" s="561"/>
      <c r="BI12" s="561"/>
      <c r="BJ12" s="561"/>
      <c r="BK12" s="137"/>
    </row>
    <row r="13" spans="1:63" ht="5.15" customHeight="1" x14ac:dyDescent="0.35">
      <c r="A13" s="138"/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1"/>
      <c r="N13" s="561"/>
      <c r="O13" s="561"/>
      <c r="P13" s="561"/>
      <c r="Q13" s="561"/>
      <c r="R13" s="561"/>
      <c r="S13" s="561"/>
      <c r="T13" s="561"/>
      <c r="U13" s="561"/>
      <c r="V13" s="561"/>
      <c r="W13" s="561"/>
      <c r="X13" s="561"/>
      <c r="Y13" s="561"/>
      <c r="Z13" s="561"/>
      <c r="AA13" s="561"/>
      <c r="AB13" s="561"/>
      <c r="AC13" s="561"/>
      <c r="AD13" s="561"/>
      <c r="AE13" s="561"/>
      <c r="AF13" s="561"/>
      <c r="AG13" s="561"/>
      <c r="AH13" s="561"/>
      <c r="AI13" s="561"/>
      <c r="AJ13" s="561"/>
      <c r="AK13" s="561"/>
      <c r="AL13" s="561"/>
      <c r="AM13" s="561"/>
      <c r="AN13" s="561"/>
      <c r="AO13" s="561"/>
      <c r="AP13" s="561"/>
      <c r="AQ13" s="561"/>
      <c r="AR13" s="561"/>
      <c r="AS13" s="561"/>
      <c r="AT13" s="561"/>
      <c r="AU13" s="561"/>
      <c r="AV13" s="561"/>
      <c r="AW13" s="561"/>
      <c r="AX13" s="561"/>
      <c r="AY13" s="561"/>
      <c r="AZ13" s="561"/>
      <c r="BA13" s="561"/>
      <c r="BB13" s="561"/>
      <c r="BC13" s="561"/>
      <c r="BD13" s="561"/>
      <c r="BE13" s="561"/>
      <c r="BF13" s="561"/>
      <c r="BG13" s="561"/>
      <c r="BH13" s="561"/>
      <c r="BI13" s="561"/>
      <c r="BJ13" s="561"/>
      <c r="BK13" s="137"/>
    </row>
    <row r="14" spans="1:63" ht="5.15" customHeight="1" x14ac:dyDescent="0.35">
      <c r="A14" s="138"/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1"/>
      <c r="N14" s="561"/>
      <c r="O14" s="561"/>
      <c r="P14" s="561"/>
      <c r="Q14" s="561"/>
      <c r="R14" s="561"/>
      <c r="S14" s="561"/>
      <c r="T14" s="561"/>
      <c r="U14" s="561"/>
      <c r="V14" s="561"/>
      <c r="W14" s="561"/>
      <c r="X14" s="561"/>
      <c r="Y14" s="561"/>
      <c r="Z14" s="561"/>
      <c r="AA14" s="561"/>
      <c r="AB14" s="561"/>
      <c r="AC14" s="561"/>
      <c r="AD14" s="561"/>
      <c r="AE14" s="561"/>
      <c r="AF14" s="561"/>
      <c r="AG14" s="561"/>
      <c r="AH14" s="561"/>
      <c r="AI14" s="561"/>
      <c r="AJ14" s="561"/>
      <c r="AK14" s="561"/>
      <c r="AL14" s="561"/>
      <c r="AM14" s="561"/>
      <c r="AN14" s="561"/>
      <c r="AO14" s="561"/>
      <c r="AP14" s="561"/>
      <c r="AQ14" s="561"/>
      <c r="AR14" s="561"/>
      <c r="AS14" s="561"/>
      <c r="AT14" s="561"/>
      <c r="AU14" s="561"/>
      <c r="AV14" s="561"/>
      <c r="AW14" s="561"/>
      <c r="AX14" s="561"/>
      <c r="AY14" s="561"/>
      <c r="AZ14" s="561"/>
      <c r="BA14" s="561"/>
      <c r="BB14" s="561"/>
      <c r="BC14" s="561"/>
      <c r="BD14" s="561"/>
      <c r="BE14" s="561"/>
      <c r="BF14" s="561"/>
      <c r="BG14" s="561"/>
      <c r="BH14" s="561"/>
      <c r="BI14" s="561"/>
      <c r="BJ14" s="561"/>
      <c r="BK14" s="137"/>
    </row>
    <row r="15" spans="1:63" ht="5.15" customHeight="1" x14ac:dyDescent="0.35">
      <c r="A15" s="138"/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1"/>
      <c r="Q15" s="561"/>
      <c r="R15" s="561"/>
      <c r="S15" s="561"/>
      <c r="T15" s="561"/>
      <c r="U15" s="561"/>
      <c r="V15" s="561"/>
      <c r="W15" s="561"/>
      <c r="X15" s="561"/>
      <c r="Y15" s="561"/>
      <c r="Z15" s="561"/>
      <c r="AA15" s="561"/>
      <c r="AB15" s="561"/>
      <c r="AC15" s="561"/>
      <c r="AD15" s="561"/>
      <c r="AE15" s="561"/>
      <c r="AF15" s="561"/>
      <c r="AG15" s="561"/>
      <c r="AH15" s="561"/>
      <c r="AI15" s="561"/>
      <c r="AJ15" s="561"/>
      <c r="AK15" s="561"/>
      <c r="AL15" s="561"/>
      <c r="AM15" s="561"/>
      <c r="AN15" s="561"/>
      <c r="AO15" s="561"/>
      <c r="AP15" s="561"/>
      <c r="AQ15" s="561"/>
      <c r="AR15" s="561"/>
      <c r="AS15" s="561"/>
      <c r="AT15" s="561"/>
      <c r="AU15" s="561"/>
      <c r="AV15" s="561"/>
      <c r="AW15" s="561"/>
      <c r="AX15" s="561"/>
      <c r="AY15" s="561"/>
      <c r="AZ15" s="561"/>
      <c r="BA15" s="561"/>
      <c r="BB15" s="561"/>
      <c r="BC15" s="561"/>
      <c r="BD15" s="561"/>
      <c r="BE15" s="561"/>
      <c r="BF15" s="561"/>
      <c r="BG15" s="561"/>
      <c r="BH15" s="561"/>
      <c r="BI15" s="561"/>
      <c r="BJ15" s="561"/>
      <c r="BK15" s="137"/>
    </row>
    <row r="16" spans="1:63" ht="5.15" customHeight="1" x14ac:dyDescent="0.35">
      <c r="A16" s="138"/>
      <c r="B16" s="561"/>
      <c r="C16" s="561"/>
      <c r="D16" s="561"/>
      <c r="E16" s="561"/>
      <c r="F16" s="561"/>
      <c r="G16" s="561"/>
      <c r="H16" s="561"/>
      <c r="I16" s="561"/>
      <c r="J16" s="561"/>
      <c r="K16" s="561"/>
      <c r="L16" s="561"/>
      <c r="M16" s="561"/>
      <c r="N16" s="561"/>
      <c r="O16" s="561"/>
      <c r="P16" s="561"/>
      <c r="Q16" s="561"/>
      <c r="R16" s="561"/>
      <c r="S16" s="561"/>
      <c r="T16" s="561"/>
      <c r="U16" s="561"/>
      <c r="V16" s="561"/>
      <c r="W16" s="561"/>
      <c r="X16" s="561"/>
      <c r="Y16" s="561"/>
      <c r="Z16" s="561"/>
      <c r="AA16" s="561"/>
      <c r="AB16" s="561"/>
      <c r="AC16" s="561"/>
      <c r="AD16" s="561"/>
      <c r="AE16" s="561"/>
      <c r="AF16" s="561"/>
      <c r="AG16" s="561"/>
      <c r="AH16" s="561"/>
      <c r="AI16" s="561"/>
      <c r="AJ16" s="561"/>
      <c r="AK16" s="561"/>
      <c r="AL16" s="561"/>
      <c r="AM16" s="561"/>
      <c r="AN16" s="561"/>
      <c r="AO16" s="561"/>
      <c r="AP16" s="561"/>
      <c r="AQ16" s="561"/>
      <c r="AR16" s="561"/>
      <c r="AS16" s="561"/>
      <c r="AT16" s="561"/>
      <c r="AU16" s="561"/>
      <c r="AV16" s="561"/>
      <c r="AW16" s="561"/>
      <c r="AX16" s="561"/>
      <c r="AY16" s="561"/>
      <c r="AZ16" s="561"/>
      <c r="BA16" s="561"/>
      <c r="BB16" s="561"/>
      <c r="BC16" s="561"/>
      <c r="BD16" s="561"/>
      <c r="BE16" s="561"/>
      <c r="BF16" s="561"/>
      <c r="BG16" s="561"/>
      <c r="BH16" s="561"/>
      <c r="BI16" s="561"/>
      <c r="BJ16" s="561"/>
      <c r="BK16" s="137"/>
    </row>
    <row r="17" spans="1:63" ht="5.15" customHeight="1" x14ac:dyDescent="0.35">
      <c r="A17" s="138"/>
      <c r="B17" s="561"/>
      <c r="C17" s="561"/>
      <c r="D17" s="579">
        <f>D22+5</f>
        <v>120</v>
      </c>
      <c r="E17" s="376"/>
      <c r="F17" s="91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562"/>
      <c r="AP17" s="562"/>
      <c r="AQ17" s="562"/>
      <c r="AR17" s="562"/>
      <c r="AS17" s="562"/>
      <c r="AT17" s="562"/>
      <c r="AU17" s="562"/>
      <c r="AV17" s="562"/>
      <c r="AW17" s="562"/>
      <c r="AX17" s="562"/>
      <c r="AY17" s="562"/>
      <c r="AZ17" s="562"/>
      <c r="BA17" s="562"/>
      <c r="BB17" s="562"/>
      <c r="BC17" s="562"/>
      <c r="BD17" s="562"/>
      <c r="BE17" s="562"/>
      <c r="BF17" s="562"/>
      <c r="BG17" s="562"/>
      <c r="BH17" s="562"/>
      <c r="BI17" s="562"/>
      <c r="BJ17" s="562"/>
      <c r="BK17" s="139"/>
    </row>
    <row r="18" spans="1:63" ht="5.15" customHeight="1" x14ac:dyDescent="0.35">
      <c r="A18" s="138"/>
      <c r="B18" s="561"/>
      <c r="C18" s="561"/>
      <c r="D18" s="579"/>
      <c r="E18" s="376"/>
      <c r="F18" s="91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562"/>
      <c r="AP18" s="562"/>
      <c r="AQ18" s="562"/>
      <c r="AR18" s="562"/>
      <c r="AS18" s="562"/>
      <c r="AT18" s="562"/>
      <c r="AU18" s="562"/>
      <c r="AV18" s="562"/>
      <c r="AW18" s="562"/>
      <c r="AX18" s="562"/>
      <c r="AY18" s="562"/>
      <c r="AZ18" s="562"/>
      <c r="BA18" s="562"/>
      <c r="BB18" s="562"/>
      <c r="BC18" s="562"/>
      <c r="BD18" s="562"/>
      <c r="BE18" s="562"/>
      <c r="BF18" s="562"/>
      <c r="BG18" s="562"/>
      <c r="BH18" s="562"/>
      <c r="BI18" s="562"/>
      <c r="BJ18" s="562"/>
      <c r="BK18" s="139"/>
    </row>
    <row r="19" spans="1:63" ht="5.15" customHeight="1" thickBot="1" x14ac:dyDescent="0.4">
      <c r="A19" s="138"/>
      <c r="B19" s="561"/>
      <c r="C19" s="561"/>
      <c r="D19" s="579"/>
      <c r="E19" s="376"/>
      <c r="F19" s="117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563"/>
      <c r="AP19" s="563"/>
      <c r="AQ19" s="563"/>
      <c r="AR19" s="563"/>
      <c r="AS19" s="563"/>
      <c r="AT19" s="563"/>
      <c r="AU19" s="563"/>
      <c r="AV19" s="563"/>
      <c r="AW19" s="563"/>
      <c r="AX19" s="563"/>
      <c r="AY19" s="563"/>
      <c r="AZ19" s="563"/>
      <c r="BA19" s="563"/>
      <c r="BB19" s="563"/>
      <c r="BC19" s="563"/>
      <c r="BD19" s="563"/>
      <c r="BE19" s="563"/>
      <c r="BF19" s="563"/>
      <c r="BG19" s="563"/>
      <c r="BH19" s="563"/>
      <c r="BI19" s="563"/>
      <c r="BJ19" s="563"/>
      <c r="BK19" s="140"/>
    </row>
    <row r="20" spans="1:63" ht="5.15" customHeight="1" x14ac:dyDescent="0.45">
      <c r="A20" s="138"/>
      <c r="B20" s="561"/>
      <c r="C20" s="561"/>
      <c r="D20" s="580"/>
      <c r="E20" s="580"/>
      <c r="F20" s="115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564"/>
      <c r="AP20" s="564"/>
      <c r="AQ20" s="564"/>
      <c r="AR20" s="564"/>
      <c r="AS20" s="564"/>
      <c r="AT20" s="564"/>
      <c r="AU20" s="564"/>
      <c r="AV20" s="564"/>
      <c r="AW20" s="564"/>
      <c r="AX20" s="564"/>
      <c r="AY20" s="564"/>
      <c r="AZ20" s="564"/>
      <c r="BA20" s="564"/>
      <c r="BB20" s="564"/>
      <c r="BC20" s="564"/>
      <c r="BD20" s="564"/>
      <c r="BE20" s="564"/>
      <c r="BF20" s="564"/>
      <c r="BG20" s="564"/>
      <c r="BH20" s="564"/>
      <c r="BI20" s="564"/>
      <c r="BJ20" s="564"/>
      <c r="BK20" s="141"/>
    </row>
    <row r="21" spans="1:63" ht="5.15" customHeight="1" x14ac:dyDescent="0.45">
      <c r="A21" s="138"/>
      <c r="B21" s="561"/>
      <c r="C21" s="561"/>
      <c r="D21" s="580"/>
      <c r="E21" s="580"/>
      <c r="F21" s="91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562"/>
      <c r="AP21" s="562"/>
      <c r="AQ21" s="562"/>
      <c r="AR21" s="562"/>
      <c r="AS21" s="562"/>
      <c r="AT21" s="562"/>
      <c r="AU21" s="562"/>
      <c r="AV21" s="562"/>
      <c r="AW21" s="562"/>
      <c r="AX21" s="562"/>
      <c r="AY21" s="562"/>
      <c r="AZ21" s="562"/>
      <c r="BA21" s="562"/>
      <c r="BB21" s="562"/>
      <c r="BC21" s="562"/>
      <c r="BD21" s="562"/>
      <c r="BE21" s="562"/>
      <c r="BF21" s="562"/>
      <c r="BG21" s="562"/>
      <c r="BH21" s="562"/>
      <c r="BI21" s="562"/>
      <c r="BJ21" s="562"/>
      <c r="BK21" s="139"/>
    </row>
    <row r="22" spans="1:63" ht="5.15" customHeight="1" x14ac:dyDescent="0.35">
      <c r="A22" s="138"/>
      <c r="B22" s="561"/>
      <c r="C22" s="561"/>
      <c r="D22" s="579">
        <f>D27+5</f>
        <v>115</v>
      </c>
      <c r="E22" s="376"/>
      <c r="F22" s="91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562"/>
      <c r="AP22" s="562"/>
      <c r="AQ22" s="562"/>
      <c r="AR22" s="562"/>
      <c r="AS22" s="562"/>
      <c r="AT22" s="562"/>
      <c r="AU22" s="562"/>
      <c r="AV22" s="562"/>
      <c r="AW22" s="562"/>
      <c r="AX22" s="562"/>
      <c r="AY22" s="562"/>
      <c r="AZ22" s="562"/>
      <c r="BA22" s="562"/>
      <c r="BB22" s="562"/>
      <c r="BC22" s="562"/>
      <c r="BD22" s="562"/>
      <c r="BE22" s="562"/>
      <c r="BF22" s="562"/>
      <c r="BG22" s="562"/>
      <c r="BH22" s="562"/>
      <c r="BI22" s="562"/>
      <c r="BJ22" s="562"/>
      <c r="BK22" s="139"/>
    </row>
    <row r="23" spans="1:63" ht="5.15" customHeight="1" x14ac:dyDescent="0.35">
      <c r="A23" s="138"/>
      <c r="B23" s="561"/>
      <c r="C23" s="561"/>
      <c r="D23" s="579"/>
      <c r="E23" s="376"/>
      <c r="F23" s="91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562"/>
      <c r="AP23" s="562"/>
      <c r="AQ23" s="562"/>
      <c r="AR23" s="562"/>
      <c r="AS23" s="562"/>
      <c r="AT23" s="562"/>
      <c r="AU23" s="562"/>
      <c r="AV23" s="562"/>
      <c r="AW23" s="562"/>
      <c r="AX23" s="562"/>
      <c r="AY23" s="562"/>
      <c r="AZ23" s="562"/>
      <c r="BA23" s="562"/>
      <c r="BB23" s="562"/>
      <c r="BC23" s="562"/>
      <c r="BD23" s="562"/>
      <c r="BE23" s="562"/>
      <c r="BF23" s="562"/>
      <c r="BG23" s="562"/>
      <c r="BH23" s="562"/>
      <c r="BI23" s="562"/>
      <c r="BJ23" s="562"/>
      <c r="BK23" s="139"/>
    </row>
    <row r="24" spans="1:63" ht="5.15" customHeight="1" thickBot="1" x14ac:dyDescent="0.4">
      <c r="A24" s="138"/>
      <c r="B24" s="561"/>
      <c r="C24" s="561"/>
      <c r="D24" s="579"/>
      <c r="E24" s="376"/>
      <c r="F24" s="117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563"/>
      <c r="AP24" s="563"/>
      <c r="AQ24" s="563"/>
      <c r="AR24" s="563"/>
      <c r="AS24" s="563"/>
      <c r="AT24" s="563"/>
      <c r="AU24" s="563"/>
      <c r="AV24" s="563"/>
      <c r="AW24" s="563"/>
      <c r="AX24" s="563"/>
      <c r="AY24" s="563"/>
      <c r="AZ24" s="563"/>
      <c r="BA24" s="563"/>
      <c r="BB24" s="563"/>
      <c r="BC24" s="563"/>
      <c r="BD24" s="563"/>
      <c r="BE24" s="563"/>
      <c r="BF24" s="563"/>
      <c r="BG24" s="563"/>
      <c r="BH24" s="563"/>
      <c r="BI24" s="563"/>
      <c r="BJ24" s="563"/>
      <c r="BK24" s="140"/>
    </row>
    <row r="25" spans="1:63" ht="5.15" customHeight="1" x14ac:dyDescent="0.45">
      <c r="A25" s="138"/>
      <c r="B25" s="561"/>
      <c r="C25" s="561"/>
      <c r="D25" s="580"/>
      <c r="E25" s="580"/>
      <c r="F25" s="115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564"/>
      <c r="AP25" s="564"/>
      <c r="AQ25" s="564"/>
      <c r="AR25" s="564"/>
      <c r="AS25" s="564"/>
      <c r="AT25" s="564"/>
      <c r="AU25" s="564"/>
      <c r="AV25" s="564"/>
      <c r="AW25" s="564"/>
      <c r="AX25" s="564"/>
      <c r="AY25" s="564"/>
      <c r="AZ25" s="564"/>
      <c r="BA25" s="564"/>
      <c r="BB25" s="564"/>
      <c r="BC25" s="564"/>
      <c r="BD25" s="564"/>
      <c r="BE25" s="564"/>
      <c r="BF25" s="564"/>
      <c r="BG25" s="564"/>
      <c r="BH25" s="564"/>
      <c r="BI25" s="564"/>
      <c r="BJ25" s="564"/>
      <c r="BK25" s="141"/>
    </row>
    <row r="26" spans="1:63" ht="5.15" customHeight="1" x14ac:dyDescent="0.45">
      <c r="A26" s="138"/>
      <c r="B26" s="561"/>
      <c r="C26" s="561"/>
      <c r="D26" s="580"/>
      <c r="E26" s="580"/>
      <c r="F26" s="91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562"/>
      <c r="AP26" s="562"/>
      <c r="AQ26" s="562"/>
      <c r="AR26" s="562"/>
      <c r="AS26" s="562"/>
      <c r="AT26" s="562"/>
      <c r="AU26" s="562"/>
      <c r="AV26" s="562"/>
      <c r="AW26" s="562"/>
      <c r="AX26" s="562"/>
      <c r="AY26" s="562"/>
      <c r="AZ26" s="562"/>
      <c r="BA26" s="562"/>
      <c r="BB26" s="562"/>
      <c r="BC26" s="562"/>
      <c r="BD26" s="562"/>
      <c r="BE26" s="562"/>
      <c r="BF26" s="562"/>
      <c r="BG26" s="562"/>
      <c r="BH26" s="562"/>
      <c r="BI26" s="562"/>
      <c r="BJ26" s="562"/>
      <c r="BK26" s="139"/>
    </row>
    <row r="27" spans="1:63" ht="5.15" customHeight="1" x14ac:dyDescent="0.35">
      <c r="A27" s="138"/>
      <c r="B27" s="561"/>
      <c r="C27" s="561"/>
      <c r="D27" s="579">
        <f>D32+5</f>
        <v>110</v>
      </c>
      <c r="E27" s="376"/>
      <c r="F27" s="91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562"/>
      <c r="AP27" s="562"/>
      <c r="AQ27" s="562"/>
      <c r="AR27" s="562"/>
      <c r="AS27" s="562"/>
      <c r="AT27" s="562"/>
      <c r="AU27" s="562"/>
      <c r="AV27" s="562"/>
      <c r="AW27" s="562"/>
      <c r="AX27" s="562"/>
      <c r="AY27" s="562"/>
      <c r="AZ27" s="562"/>
      <c r="BA27" s="562"/>
      <c r="BB27" s="562"/>
      <c r="BC27" s="562"/>
      <c r="BD27" s="562"/>
      <c r="BE27" s="562"/>
      <c r="BF27" s="562"/>
      <c r="BG27" s="562"/>
      <c r="BH27" s="562"/>
      <c r="BI27" s="562"/>
      <c r="BJ27" s="562"/>
      <c r="BK27" s="139"/>
    </row>
    <row r="28" spans="1:63" ht="5.15" customHeight="1" x14ac:dyDescent="0.35">
      <c r="A28" s="138"/>
      <c r="B28" s="561"/>
      <c r="C28" s="561"/>
      <c r="D28" s="579"/>
      <c r="E28" s="376"/>
      <c r="F28" s="91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562"/>
      <c r="AP28" s="562"/>
      <c r="AQ28" s="562"/>
      <c r="AR28" s="562"/>
      <c r="AS28" s="562"/>
      <c r="AT28" s="562"/>
      <c r="AU28" s="562"/>
      <c r="AV28" s="562"/>
      <c r="AW28" s="562"/>
      <c r="AX28" s="562"/>
      <c r="AY28" s="562"/>
      <c r="AZ28" s="562"/>
      <c r="BA28" s="562"/>
      <c r="BB28" s="562"/>
      <c r="BC28" s="562"/>
      <c r="BD28" s="562"/>
      <c r="BE28" s="562"/>
      <c r="BF28" s="562"/>
      <c r="BG28" s="562"/>
      <c r="BH28" s="562"/>
      <c r="BI28" s="562"/>
      <c r="BJ28" s="562"/>
      <c r="BK28" s="139"/>
    </row>
    <row r="29" spans="1:63" ht="5.15" customHeight="1" thickBot="1" x14ac:dyDescent="0.4">
      <c r="A29" s="138"/>
      <c r="B29" s="561"/>
      <c r="C29" s="561"/>
      <c r="D29" s="579"/>
      <c r="E29" s="376"/>
      <c r="F29" s="117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563"/>
      <c r="AP29" s="563"/>
      <c r="AQ29" s="563"/>
      <c r="AR29" s="563"/>
      <c r="AS29" s="563"/>
      <c r="AT29" s="563"/>
      <c r="AU29" s="563"/>
      <c r="AV29" s="563"/>
      <c r="AW29" s="563"/>
      <c r="AX29" s="563"/>
      <c r="AY29" s="563"/>
      <c r="AZ29" s="563"/>
      <c r="BA29" s="563"/>
      <c r="BB29" s="563"/>
      <c r="BC29" s="563"/>
      <c r="BD29" s="563"/>
      <c r="BE29" s="563"/>
      <c r="BF29" s="563"/>
      <c r="BG29" s="563"/>
      <c r="BH29" s="563"/>
      <c r="BI29" s="563"/>
      <c r="BJ29" s="563"/>
      <c r="BK29" s="140"/>
    </row>
    <row r="30" spans="1:63" ht="5.15" customHeight="1" x14ac:dyDescent="0.45">
      <c r="A30" s="138"/>
      <c r="B30" s="561"/>
      <c r="C30" s="561"/>
      <c r="D30" s="580"/>
      <c r="E30" s="580"/>
      <c r="F30" s="115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564"/>
      <c r="AP30" s="564"/>
      <c r="AQ30" s="564"/>
      <c r="AR30" s="564"/>
      <c r="AS30" s="564"/>
      <c r="AT30" s="564"/>
      <c r="AU30" s="564"/>
      <c r="AV30" s="564"/>
      <c r="AW30" s="564"/>
      <c r="AX30" s="564"/>
      <c r="AY30" s="564"/>
      <c r="AZ30" s="564"/>
      <c r="BA30" s="564"/>
      <c r="BB30" s="564"/>
      <c r="BC30" s="564"/>
      <c r="BD30" s="564"/>
      <c r="BE30" s="564"/>
      <c r="BF30" s="564"/>
      <c r="BG30" s="564"/>
      <c r="BH30" s="564"/>
      <c r="BI30" s="564"/>
      <c r="BJ30" s="564"/>
      <c r="BK30" s="141"/>
    </row>
    <row r="31" spans="1:63" ht="5.15" customHeight="1" x14ac:dyDescent="0.45">
      <c r="A31" s="138"/>
      <c r="B31" s="561"/>
      <c r="C31" s="561"/>
      <c r="D31" s="580"/>
      <c r="E31" s="580"/>
      <c r="F31" s="91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562"/>
      <c r="AP31" s="562"/>
      <c r="AQ31" s="562"/>
      <c r="AR31" s="562"/>
      <c r="AS31" s="562"/>
      <c r="AT31" s="562"/>
      <c r="AU31" s="562"/>
      <c r="AV31" s="562"/>
      <c r="AW31" s="562"/>
      <c r="AX31" s="562"/>
      <c r="AY31" s="562"/>
      <c r="AZ31" s="562"/>
      <c r="BA31" s="562"/>
      <c r="BB31" s="562"/>
      <c r="BC31" s="562"/>
      <c r="BD31" s="562"/>
      <c r="BE31" s="562"/>
      <c r="BF31" s="562"/>
      <c r="BG31" s="562"/>
      <c r="BH31" s="562"/>
      <c r="BI31" s="562"/>
      <c r="BJ31" s="562"/>
      <c r="BK31" s="139"/>
    </row>
    <row r="32" spans="1:63" ht="5.15" customHeight="1" x14ac:dyDescent="0.35">
      <c r="A32" s="138"/>
      <c r="B32" s="561"/>
      <c r="C32" s="561"/>
      <c r="D32" s="579">
        <f>D37+5</f>
        <v>105</v>
      </c>
      <c r="E32" s="376"/>
      <c r="F32" s="91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562"/>
      <c r="AP32" s="562"/>
      <c r="AQ32" s="562"/>
      <c r="AR32" s="562"/>
      <c r="AS32" s="562"/>
      <c r="AT32" s="562"/>
      <c r="AU32" s="562"/>
      <c r="AV32" s="562"/>
      <c r="AW32" s="562"/>
      <c r="AX32" s="562"/>
      <c r="AY32" s="562"/>
      <c r="AZ32" s="562"/>
      <c r="BA32" s="562"/>
      <c r="BB32" s="562"/>
      <c r="BC32" s="562"/>
      <c r="BD32" s="562"/>
      <c r="BE32" s="562"/>
      <c r="BF32" s="562"/>
      <c r="BG32" s="562"/>
      <c r="BH32" s="562"/>
      <c r="BI32" s="562"/>
      <c r="BJ32" s="562"/>
      <c r="BK32" s="139"/>
    </row>
    <row r="33" spans="1:63" ht="5.15" customHeight="1" x14ac:dyDescent="0.35">
      <c r="A33" s="138"/>
      <c r="B33" s="561"/>
      <c r="C33" s="561"/>
      <c r="D33" s="579"/>
      <c r="E33" s="376"/>
      <c r="F33" s="91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562"/>
      <c r="AP33" s="562"/>
      <c r="AQ33" s="562"/>
      <c r="AR33" s="562"/>
      <c r="AS33" s="562"/>
      <c r="AT33" s="562"/>
      <c r="AU33" s="562"/>
      <c r="AV33" s="562"/>
      <c r="AW33" s="562"/>
      <c r="AX33" s="562"/>
      <c r="AY33" s="562"/>
      <c r="AZ33" s="562"/>
      <c r="BA33" s="562"/>
      <c r="BB33" s="562"/>
      <c r="BC33" s="562"/>
      <c r="BD33" s="562"/>
      <c r="BE33" s="562"/>
      <c r="BF33" s="562"/>
      <c r="BG33" s="562"/>
      <c r="BH33" s="562"/>
      <c r="BI33" s="562"/>
      <c r="BJ33" s="562"/>
      <c r="BK33" s="139"/>
    </row>
    <row r="34" spans="1:63" ht="5.15" customHeight="1" thickBot="1" x14ac:dyDescent="0.4">
      <c r="A34" s="138"/>
      <c r="B34" s="561"/>
      <c r="C34" s="561"/>
      <c r="D34" s="579"/>
      <c r="E34" s="376"/>
      <c r="F34" s="117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563"/>
      <c r="AP34" s="563"/>
      <c r="AQ34" s="563"/>
      <c r="AR34" s="563"/>
      <c r="AS34" s="563"/>
      <c r="AT34" s="563"/>
      <c r="AU34" s="563"/>
      <c r="AV34" s="563"/>
      <c r="AW34" s="563"/>
      <c r="AX34" s="563"/>
      <c r="AY34" s="563"/>
      <c r="AZ34" s="563"/>
      <c r="BA34" s="563"/>
      <c r="BB34" s="563"/>
      <c r="BC34" s="563"/>
      <c r="BD34" s="563"/>
      <c r="BE34" s="563"/>
      <c r="BF34" s="563"/>
      <c r="BG34" s="563"/>
      <c r="BH34" s="563"/>
      <c r="BI34" s="563"/>
      <c r="BJ34" s="563"/>
      <c r="BK34" s="140"/>
    </row>
    <row r="35" spans="1:63" ht="5.15" customHeight="1" x14ac:dyDescent="0.45">
      <c r="A35" s="138"/>
      <c r="B35" s="561"/>
      <c r="C35" s="561"/>
      <c r="D35" s="580"/>
      <c r="E35" s="580"/>
      <c r="F35" s="115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564"/>
      <c r="AP35" s="564"/>
      <c r="AQ35" s="564"/>
      <c r="AR35" s="564"/>
      <c r="AS35" s="564"/>
      <c r="AT35" s="564"/>
      <c r="AU35" s="564"/>
      <c r="AV35" s="564"/>
      <c r="AW35" s="564"/>
      <c r="AX35" s="564"/>
      <c r="AY35" s="564"/>
      <c r="AZ35" s="564"/>
      <c r="BA35" s="564"/>
      <c r="BB35" s="564"/>
      <c r="BC35" s="564"/>
      <c r="BD35" s="564"/>
      <c r="BE35" s="564"/>
      <c r="BF35" s="564"/>
      <c r="BG35" s="564"/>
      <c r="BH35" s="564"/>
      <c r="BI35" s="564"/>
      <c r="BJ35" s="564"/>
      <c r="BK35" s="141"/>
    </row>
    <row r="36" spans="1:63" ht="5.15" customHeight="1" x14ac:dyDescent="0.45">
      <c r="A36" s="138"/>
      <c r="B36" s="561"/>
      <c r="C36" s="561"/>
      <c r="D36" s="580"/>
      <c r="E36" s="580"/>
      <c r="F36" s="91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562"/>
      <c r="AP36" s="562"/>
      <c r="AQ36" s="562"/>
      <c r="AR36" s="562"/>
      <c r="AS36" s="562"/>
      <c r="AT36" s="562"/>
      <c r="AU36" s="562"/>
      <c r="AV36" s="562"/>
      <c r="AW36" s="562"/>
      <c r="AX36" s="562"/>
      <c r="AY36" s="562"/>
      <c r="AZ36" s="562"/>
      <c r="BA36" s="562"/>
      <c r="BB36" s="562"/>
      <c r="BC36" s="562"/>
      <c r="BD36" s="562"/>
      <c r="BE36" s="562"/>
      <c r="BF36" s="562"/>
      <c r="BG36" s="562"/>
      <c r="BH36" s="562"/>
      <c r="BI36" s="562"/>
      <c r="BJ36" s="562"/>
      <c r="BK36" s="139"/>
    </row>
    <row r="37" spans="1:63" ht="5.15" customHeight="1" x14ac:dyDescent="0.35">
      <c r="A37" s="138"/>
      <c r="B37" s="561"/>
      <c r="C37" s="561"/>
      <c r="D37" s="579">
        <f>D42+5</f>
        <v>100</v>
      </c>
      <c r="E37" s="376"/>
      <c r="F37" s="91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562"/>
      <c r="AP37" s="562"/>
      <c r="AQ37" s="562"/>
      <c r="AR37" s="562"/>
      <c r="AS37" s="562"/>
      <c r="AT37" s="562"/>
      <c r="AU37" s="562"/>
      <c r="AV37" s="562"/>
      <c r="AW37" s="562"/>
      <c r="AX37" s="562"/>
      <c r="AY37" s="562"/>
      <c r="AZ37" s="562"/>
      <c r="BA37" s="562"/>
      <c r="BB37" s="562"/>
      <c r="BC37" s="562"/>
      <c r="BD37" s="562"/>
      <c r="BE37" s="562"/>
      <c r="BF37" s="562"/>
      <c r="BG37" s="562"/>
      <c r="BH37" s="562"/>
      <c r="BI37" s="562"/>
      <c r="BJ37" s="562"/>
      <c r="BK37" s="139"/>
    </row>
    <row r="38" spans="1:63" ht="5.15" customHeight="1" x14ac:dyDescent="0.35">
      <c r="A38" s="138"/>
      <c r="B38" s="561"/>
      <c r="C38" s="561"/>
      <c r="D38" s="579"/>
      <c r="E38" s="376"/>
      <c r="F38" s="91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562"/>
      <c r="AP38" s="562"/>
      <c r="AQ38" s="562"/>
      <c r="AR38" s="562"/>
      <c r="AS38" s="562"/>
      <c r="AT38" s="562"/>
      <c r="AU38" s="562"/>
      <c r="AV38" s="562"/>
      <c r="AW38" s="562"/>
      <c r="AX38" s="562"/>
      <c r="AY38" s="562"/>
      <c r="AZ38" s="562"/>
      <c r="BA38" s="562"/>
      <c r="BB38" s="562"/>
      <c r="BC38" s="562"/>
      <c r="BD38" s="562"/>
      <c r="BE38" s="562"/>
      <c r="BF38" s="562"/>
      <c r="BG38" s="562"/>
      <c r="BH38" s="562"/>
      <c r="BI38" s="562"/>
      <c r="BJ38" s="562"/>
      <c r="BK38" s="139"/>
    </row>
    <row r="39" spans="1:63" ht="5.15" customHeight="1" thickBot="1" x14ac:dyDescent="0.4">
      <c r="A39" s="138"/>
      <c r="B39" s="561"/>
      <c r="C39" s="561"/>
      <c r="D39" s="579"/>
      <c r="E39" s="376"/>
      <c r="F39" s="117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563"/>
      <c r="AP39" s="563"/>
      <c r="AQ39" s="563"/>
      <c r="AR39" s="563"/>
      <c r="AS39" s="563"/>
      <c r="AT39" s="563"/>
      <c r="AU39" s="563"/>
      <c r="AV39" s="563"/>
      <c r="AW39" s="563"/>
      <c r="AX39" s="563"/>
      <c r="AY39" s="563"/>
      <c r="AZ39" s="563"/>
      <c r="BA39" s="563"/>
      <c r="BB39" s="563"/>
      <c r="BC39" s="563"/>
      <c r="BD39" s="563"/>
      <c r="BE39" s="563"/>
      <c r="BF39" s="563"/>
      <c r="BG39" s="563"/>
      <c r="BH39" s="563"/>
      <c r="BI39" s="563"/>
      <c r="BJ39" s="563"/>
      <c r="BK39" s="140"/>
    </row>
    <row r="40" spans="1:63" ht="5.15" customHeight="1" x14ac:dyDescent="0.45">
      <c r="A40" s="138"/>
      <c r="B40" s="561"/>
      <c r="C40" s="561"/>
      <c r="D40" s="580"/>
      <c r="E40" s="580"/>
      <c r="F40" s="115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564"/>
      <c r="AP40" s="564"/>
      <c r="AQ40" s="564"/>
      <c r="AR40" s="564"/>
      <c r="AS40" s="564"/>
      <c r="AT40" s="564"/>
      <c r="AU40" s="564"/>
      <c r="AV40" s="564"/>
      <c r="AW40" s="564"/>
      <c r="AX40" s="564"/>
      <c r="AY40" s="564"/>
      <c r="AZ40" s="564"/>
      <c r="BA40" s="564"/>
      <c r="BB40" s="564"/>
      <c r="BC40" s="564"/>
      <c r="BD40" s="564"/>
      <c r="BE40" s="564"/>
      <c r="BF40" s="564"/>
      <c r="BG40" s="564"/>
      <c r="BH40" s="564"/>
      <c r="BI40" s="564"/>
      <c r="BJ40" s="564"/>
      <c r="BK40" s="141"/>
    </row>
    <row r="41" spans="1:63" ht="5.15" customHeight="1" x14ac:dyDescent="0.45">
      <c r="A41" s="138"/>
      <c r="B41" s="561"/>
      <c r="C41" s="561"/>
      <c r="D41" s="580"/>
      <c r="E41" s="580"/>
      <c r="F41" s="91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562"/>
      <c r="AP41" s="562"/>
      <c r="AQ41" s="562"/>
      <c r="AR41" s="562"/>
      <c r="AS41" s="562"/>
      <c r="AT41" s="562"/>
      <c r="AU41" s="562"/>
      <c r="AV41" s="562"/>
      <c r="AW41" s="562"/>
      <c r="AX41" s="562"/>
      <c r="AY41" s="562"/>
      <c r="AZ41" s="562"/>
      <c r="BA41" s="562"/>
      <c r="BB41" s="562"/>
      <c r="BC41" s="562"/>
      <c r="BD41" s="562"/>
      <c r="BE41" s="562"/>
      <c r="BF41" s="562"/>
      <c r="BG41" s="562"/>
      <c r="BH41" s="562"/>
      <c r="BI41" s="562"/>
      <c r="BJ41" s="562"/>
      <c r="BK41" s="139"/>
    </row>
    <row r="42" spans="1:63" ht="5.15" customHeight="1" x14ac:dyDescent="0.35">
      <c r="A42" s="138"/>
      <c r="B42" s="561"/>
      <c r="C42" s="561"/>
      <c r="D42" s="579">
        <f>D47+5</f>
        <v>95</v>
      </c>
      <c r="E42" s="376"/>
      <c r="F42" s="91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562"/>
      <c r="AP42" s="562"/>
      <c r="AQ42" s="562"/>
      <c r="AR42" s="562"/>
      <c r="AS42" s="562"/>
      <c r="AT42" s="562"/>
      <c r="AU42" s="562"/>
      <c r="AV42" s="562"/>
      <c r="AW42" s="562"/>
      <c r="AX42" s="562"/>
      <c r="AY42" s="562"/>
      <c r="AZ42" s="562"/>
      <c r="BA42" s="562"/>
      <c r="BB42" s="562"/>
      <c r="BC42" s="562"/>
      <c r="BD42" s="562"/>
      <c r="BE42" s="562"/>
      <c r="BF42" s="562"/>
      <c r="BG42" s="562"/>
      <c r="BH42" s="562"/>
      <c r="BI42" s="562"/>
      <c r="BJ42" s="562"/>
      <c r="BK42" s="139"/>
    </row>
    <row r="43" spans="1:63" ht="5.15" customHeight="1" x14ac:dyDescent="0.35">
      <c r="A43" s="138"/>
      <c r="B43" s="561"/>
      <c r="C43" s="561"/>
      <c r="D43" s="579"/>
      <c r="E43" s="376"/>
      <c r="F43" s="91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562"/>
      <c r="AP43" s="562"/>
      <c r="AQ43" s="562"/>
      <c r="AR43" s="562"/>
      <c r="AS43" s="562"/>
      <c r="AT43" s="562"/>
      <c r="AU43" s="562"/>
      <c r="AV43" s="562"/>
      <c r="AW43" s="562"/>
      <c r="AX43" s="562"/>
      <c r="AY43" s="562"/>
      <c r="AZ43" s="562"/>
      <c r="BA43" s="562"/>
      <c r="BB43" s="562"/>
      <c r="BC43" s="562"/>
      <c r="BD43" s="562"/>
      <c r="BE43" s="562"/>
      <c r="BF43" s="562"/>
      <c r="BG43" s="562"/>
      <c r="BH43" s="562"/>
      <c r="BI43" s="562"/>
      <c r="BJ43" s="562"/>
      <c r="BK43" s="139"/>
    </row>
    <row r="44" spans="1:63" ht="5.15" customHeight="1" thickBot="1" x14ac:dyDescent="0.4">
      <c r="A44" s="138"/>
      <c r="B44" s="561"/>
      <c r="C44" s="561"/>
      <c r="D44" s="579"/>
      <c r="E44" s="376"/>
      <c r="F44" s="117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563"/>
      <c r="AP44" s="563"/>
      <c r="AQ44" s="563"/>
      <c r="AR44" s="563"/>
      <c r="AS44" s="563"/>
      <c r="AT44" s="563"/>
      <c r="AU44" s="563"/>
      <c r="AV44" s="563"/>
      <c r="AW44" s="563"/>
      <c r="AX44" s="563"/>
      <c r="AY44" s="563"/>
      <c r="AZ44" s="563"/>
      <c r="BA44" s="563"/>
      <c r="BB44" s="563"/>
      <c r="BC44" s="563"/>
      <c r="BD44" s="563"/>
      <c r="BE44" s="563"/>
      <c r="BF44" s="563"/>
      <c r="BG44" s="563"/>
      <c r="BH44" s="563"/>
      <c r="BI44" s="563"/>
      <c r="BJ44" s="563"/>
      <c r="BK44" s="140"/>
    </row>
    <row r="45" spans="1:63" ht="5.15" customHeight="1" x14ac:dyDescent="0.45">
      <c r="A45" s="138"/>
      <c r="B45" s="561"/>
      <c r="C45" s="561"/>
      <c r="D45" s="580"/>
      <c r="E45" s="580"/>
      <c r="F45" s="115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564"/>
      <c r="AP45" s="564"/>
      <c r="AQ45" s="564"/>
      <c r="AR45" s="564"/>
      <c r="AS45" s="564"/>
      <c r="AT45" s="564"/>
      <c r="AU45" s="564"/>
      <c r="AV45" s="564"/>
      <c r="AW45" s="564"/>
      <c r="AX45" s="564"/>
      <c r="AY45" s="564"/>
      <c r="AZ45" s="564"/>
      <c r="BA45" s="564"/>
      <c r="BB45" s="564"/>
      <c r="BC45" s="564"/>
      <c r="BD45" s="564"/>
      <c r="BE45" s="564"/>
      <c r="BF45" s="564"/>
      <c r="BG45" s="564"/>
      <c r="BH45" s="564"/>
      <c r="BI45" s="564"/>
      <c r="BJ45" s="564"/>
      <c r="BK45" s="141"/>
    </row>
    <row r="46" spans="1:63" ht="5.15" customHeight="1" x14ac:dyDescent="0.45">
      <c r="A46" s="138"/>
      <c r="B46" s="561"/>
      <c r="C46" s="561"/>
      <c r="D46" s="580"/>
      <c r="E46" s="580"/>
      <c r="F46" s="91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562"/>
      <c r="AP46" s="562"/>
      <c r="AQ46" s="562"/>
      <c r="AR46" s="562"/>
      <c r="AS46" s="562"/>
      <c r="AT46" s="562"/>
      <c r="AU46" s="562"/>
      <c r="AV46" s="562"/>
      <c r="AW46" s="562"/>
      <c r="AX46" s="562"/>
      <c r="AY46" s="562"/>
      <c r="AZ46" s="562"/>
      <c r="BA46" s="562"/>
      <c r="BB46" s="562"/>
      <c r="BC46" s="562"/>
      <c r="BD46" s="562"/>
      <c r="BE46" s="562"/>
      <c r="BF46" s="562"/>
      <c r="BG46" s="562"/>
      <c r="BH46" s="562"/>
      <c r="BI46" s="562"/>
      <c r="BJ46" s="562"/>
      <c r="BK46" s="139"/>
    </row>
    <row r="47" spans="1:63" ht="5.15" customHeight="1" x14ac:dyDescent="0.35">
      <c r="A47" s="138"/>
      <c r="B47" s="561"/>
      <c r="C47" s="561"/>
      <c r="D47" s="579">
        <f>D52+5</f>
        <v>90</v>
      </c>
      <c r="E47" s="376"/>
      <c r="F47" s="91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562"/>
      <c r="AP47" s="562"/>
      <c r="AQ47" s="562"/>
      <c r="AR47" s="562"/>
      <c r="AS47" s="562"/>
      <c r="AT47" s="562"/>
      <c r="AU47" s="562"/>
      <c r="AV47" s="562"/>
      <c r="AW47" s="562"/>
      <c r="AX47" s="562"/>
      <c r="AY47" s="562"/>
      <c r="AZ47" s="562"/>
      <c r="BA47" s="562"/>
      <c r="BB47" s="562"/>
      <c r="BC47" s="562"/>
      <c r="BD47" s="562"/>
      <c r="BE47" s="562"/>
      <c r="BF47" s="562"/>
      <c r="BG47" s="562"/>
      <c r="BH47" s="562"/>
      <c r="BI47" s="562"/>
      <c r="BJ47" s="562"/>
      <c r="BK47" s="139"/>
    </row>
    <row r="48" spans="1:63" ht="5.15" customHeight="1" x14ac:dyDescent="0.35">
      <c r="A48" s="138"/>
      <c r="B48" s="561"/>
      <c r="C48" s="561"/>
      <c r="D48" s="579"/>
      <c r="E48" s="376"/>
      <c r="F48" s="91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562"/>
      <c r="AP48" s="562"/>
      <c r="AQ48" s="562"/>
      <c r="AR48" s="562"/>
      <c r="AS48" s="562"/>
      <c r="AT48" s="562"/>
      <c r="AU48" s="562"/>
      <c r="AV48" s="562"/>
      <c r="AW48" s="562"/>
      <c r="AX48" s="562"/>
      <c r="AY48" s="562"/>
      <c r="AZ48" s="562"/>
      <c r="BA48" s="562"/>
      <c r="BB48" s="562"/>
      <c r="BC48" s="562"/>
      <c r="BD48" s="562"/>
      <c r="BE48" s="562"/>
      <c r="BF48" s="562"/>
      <c r="BG48" s="562"/>
      <c r="BH48" s="562"/>
      <c r="BI48" s="562"/>
      <c r="BJ48" s="562"/>
      <c r="BK48" s="139"/>
    </row>
    <row r="49" spans="1:63" ht="5.15" customHeight="1" thickBot="1" x14ac:dyDescent="0.4">
      <c r="A49" s="138"/>
      <c r="B49" s="561"/>
      <c r="C49" s="561"/>
      <c r="D49" s="579"/>
      <c r="E49" s="376"/>
      <c r="F49" s="117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563"/>
      <c r="AP49" s="563"/>
      <c r="AQ49" s="563"/>
      <c r="AR49" s="563"/>
      <c r="AS49" s="563"/>
      <c r="AT49" s="563"/>
      <c r="AU49" s="563"/>
      <c r="AV49" s="563"/>
      <c r="AW49" s="563"/>
      <c r="AX49" s="563"/>
      <c r="AY49" s="563"/>
      <c r="AZ49" s="563"/>
      <c r="BA49" s="563"/>
      <c r="BB49" s="563"/>
      <c r="BC49" s="563"/>
      <c r="BD49" s="563"/>
      <c r="BE49" s="563"/>
      <c r="BF49" s="563"/>
      <c r="BG49" s="563"/>
      <c r="BH49" s="563"/>
      <c r="BI49" s="563"/>
      <c r="BJ49" s="563"/>
      <c r="BK49" s="140"/>
    </row>
    <row r="50" spans="1:63" ht="5.15" customHeight="1" x14ac:dyDescent="0.45">
      <c r="A50" s="138"/>
      <c r="B50" s="561"/>
      <c r="C50" s="561"/>
      <c r="D50" s="580"/>
      <c r="E50" s="580"/>
      <c r="F50" s="115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564"/>
      <c r="AP50" s="564"/>
      <c r="AQ50" s="564"/>
      <c r="AR50" s="564"/>
      <c r="AS50" s="564"/>
      <c r="AT50" s="564"/>
      <c r="AU50" s="564"/>
      <c r="AV50" s="564"/>
      <c r="AW50" s="564"/>
      <c r="AX50" s="564"/>
      <c r="AY50" s="564"/>
      <c r="AZ50" s="564"/>
      <c r="BA50" s="564"/>
      <c r="BB50" s="564"/>
      <c r="BC50" s="564"/>
      <c r="BD50" s="564"/>
      <c r="BE50" s="564"/>
      <c r="BF50" s="564"/>
      <c r="BG50" s="564"/>
      <c r="BH50" s="564"/>
      <c r="BI50" s="564"/>
      <c r="BJ50" s="564"/>
      <c r="BK50" s="141"/>
    </row>
    <row r="51" spans="1:63" ht="5.15" customHeight="1" x14ac:dyDescent="0.45">
      <c r="A51" s="138"/>
      <c r="B51" s="561"/>
      <c r="C51" s="561"/>
      <c r="D51" s="580"/>
      <c r="E51" s="580"/>
      <c r="F51" s="91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562"/>
      <c r="AP51" s="562"/>
      <c r="AQ51" s="562"/>
      <c r="AR51" s="562"/>
      <c r="AS51" s="562"/>
      <c r="AT51" s="562"/>
      <c r="AU51" s="562"/>
      <c r="AV51" s="562"/>
      <c r="AW51" s="562"/>
      <c r="AX51" s="562"/>
      <c r="AY51" s="562"/>
      <c r="AZ51" s="562"/>
      <c r="BA51" s="562"/>
      <c r="BB51" s="562"/>
      <c r="BC51" s="562"/>
      <c r="BD51" s="562"/>
      <c r="BE51" s="562"/>
      <c r="BF51" s="562"/>
      <c r="BG51" s="562"/>
      <c r="BH51" s="562"/>
      <c r="BI51" s="562"/>
      <c r="BJ51" s="562"/>
      <c r="BK51" s="139"/>
    </row>
    <row r="52" spans="1:63" ht="5.15" customHeight="1" x14ac:dyDescent="0.35">
      <c r="A52" s="138"/>
      <c r="B52" s="561"/>
      <c r="C52" s="561"/>
      <c r="D52" s="579">
        <f>D57+5</f>
        <v>85</v>
      </c>
      <c r="E52" s="376"/>
      <c r="F52" s="91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562"/>
      <c r="AP52" s="562"/>
      <c r="AQ52" s="562"/>
      <c r="AR52" s="562"/>
      <c r="AS52" s="562"/>
      <c r="AT52" s="562"/>
      <c r="AU52" s="562"/>
      <c r="AV52" s="562"/>
      <c r="AW52" s="562"/>
      <c r="AX52" s="562"/>
      <c r="AY52" s="562"/>
      <c r="AZ52" s="562"/>
      <c r="BA52" s="562"/>
      <c r="BB52" s="562"/>
      <c r="BC52" s="562"/>
      <c r="BD52" s="562"/>
      <c r="BE52" s="562"/>
      <c r="BF52" s="562"/>
      <c r="BG52" s="562"/>
      <c r="BH52" s="562"/>
      <c r="BI52" s="562"/>
      <c r="BJ52" s="562"/>
      <c r="BK52" s="139"/>
    </row>
    <row r="53" spans="1:63" ht="5.15" customHeight="1" x14ac:dyDescent="0.35">
      <c r="A53" s="138"/>
      <c r="B53" s="561"/>
      <c r="C53" s="561"/>
      <c r="D53" s="579"/>
      <c r="E53" s="376"/>
      <c r="F53" s="91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562"/>
      <c r="AP53" s="562"/>
      <c r="AQ53" s="562"/>
      <c r="AR53" s="562"/>
      <c r="AS53" s="562"/>
      <c r="AT53" s="562"/>
      <c r="AU53" s="562"/>
      <c r="AV53" s="562"/>
      <c r="AW53" s="562"/>
      <c r="AX53" s="562"/>
      <c r="AY53" s="562"/>
      <c r="AZ53" s="562"/>
      <c r="BA53" s="562"/>
      <c r="BB53" s="562"/>
      <c r="BC53" s="562"/>
      <c r="BD53" s="562"/>
      <c r="BE53" s="562"/>
      <c r="BF53" s="562"/>
      <c r="BG53" s="562"/>
      <c r="BH53" s="562"/>
      <c r="BI53" s="562"/>
      <c r="BJ53" s="562"/>
      <c r="BK53" s="139"/>
    </row>
    <row r="54" spans="1:63" ht="5.15" customHeight="1" thickBot="1" x14ac:dyDescent="0.4">
      <c r="A54" s="138"/>
      <c r="B54" s="561"/>
      <c r="C54" s="561"/>
      <c r="D54" s="579"/>
      <c r="E54" s="376"/>
      <c r="F54" s="117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563"/>
      <c r="AP54" s="563"/>
      <c r="AQ54" s="563"/>
      <c r="AR54" s="563"/>
      <c r="AS54" s="563"/>
      <c r="AT54" s="563"/>
      <c r="AU54" s="563"/>
      <c r="AV54" s="563"/>
      <c r="AW54" s="563"/>
      <c r="AX54" s="563"/>
      <c r="AY54" s="563"/>
      <c r="AZ54" s="563"/>
      <c r="BA54" s="563"/>
      <c r="BB54" s="563"/>
      <c r="BC54" s="563"/>
      <c r="BD54" s="563"/>
      <c r="BE54" s="563"/>
      <c r="BF54" s="563"/>
      <c r="BG54" s="563"/>
      <c r="BH54" s="563"/>
      <c r="BI54" s="563"/>
      <c r="BJ54" s="563"/>
      <c r="BK54" s="140"/>
    </row>
    <row r="55" spans="1:63" ht="5.15" customHeight="1" x14ac:dyDescent="0.45">
      <c r="A55" s="138"/>
      <c r="B55" s="561"/>
      <c r="C55" s="561"/>
      <c r="D55" s="580"/>
      <c r="E55" s="580"/>
      <c r="F55" s="115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564"/>
      <c r="AP55" s="564"/>
      <c r="AQ55" s="564"/>
      <c r="AR55" s="564"/>
      <c r="AS55" s="564"/>
      <c r="AT55" s="564"/>
      <c r="AU55" s="564"/>
      <c r="AV55" s="564"/>
      <c r="AW55" s="564"/>
      <c r="AX55" s="564"/>
      <c r="AY55" s="564"/>
      <c r="AZ55" s="564"/>
      <c r="BA55" s="564"/>
      <c r="BB55" s="564"/>
      <c r="BC55" s="564"/>
      <c r="BD55" s="564"/>
      <c r="BE55" s="564"/>
      <c r="BF55" s="564"/>
      <c r="BG55" s="564"/>
      <c r="BH55" s="564"/>
      <c r="BI55" s="564"/>
      <c r="BJ55" s="564"/>
      <c r="BK55" s="141"/>
    </row>
    <row r="56" spans="1:63" ht="5.15" customHeight="1" x14ac:dyDescent="0.45">
      <c r="A56" s="138"/>
      <c r="B56" s="561"/>
      <c r="C56" s="561"/>
      <c r="D56" s="580"/>
      <c r="E56" s="580"/>
      <c r="F56" s="91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562"/>
      <c r="AP56" s="562"/>
      <c r="AQ56" s="562"/>
      <c r="AR56" s="562"/>
      <c r="AS56" s="562"/>
      <c r="AT56" s="562"/>
      <c r="AU56" s="562"/>
      <c r="AV56" s="562"/>
      <c r="AW56" s="562"/>
      <c r="AX56" s="562"/>
      <c r="AY56" s="562"/>
      <c r="AZ56" s="562"/>
      <c r="BA56" s="562"/>
      <c r="BB56" s="562"/>
      <c r="BC56" s="562"/>
      <c r="BD56" s="562"/>
      <c r="BE56" s="562"/>
      <c r="BF56" s="562"/>
      <c r="BG56" s="562"/>
      <c r="BH56" s="562"/>
      <c r="BI56" s="562"/>
      <c r="BJ56" s="562"/>
      <c r="BK56" s="139"/>
    </row>
    <row r="57" spans="1:63" ht="5.15" customHeight="1" x14ac:dyDescent="0.35">
      <c r="A57" s="138"/>
      <c r="B57" s="561"/>
      <c r="C57" s="561"/>
      <c r="D57" s="579">
        <f>D62+5</f>
        <v>80</v>
      </c>
      <c r="E57" s="376"/>
      <c r="F57" s="91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562"/>
      <c r="AP57" s="562"/>
      <c r="AQ57" s="562"/>
      <c r="AR57" s="562"/>
      <c r="AS57" s="562"/>
      <c r="AT57" s="562"/>
      <c r="AU57" s="562"/>
      <c r="AV57" s="562"/>
      <c r="AW57" s="562"/>
      <c r="AX57" s="562"/>
      <c r="AY57" s="562"/>
      <c r="AZ57" s="562"/>
      <c r="BA57" s="562"/>
      <c r="BB57" s="562"/>
      <c r="BC57" s="562"/>
      <c r="BD57" s="562"/>
      <c r="BE57" s="562"/>
      <c r="BF57" s="562"/>
      <c r="BG57" s="562"/>
      <c r="BH57" s="562"/>
      <c r="BI57" s="562"/>
      <c r="BJ57" s="562"/>
      <c r="BK57" s="139"/>
    </row>
    <row r="58" spans="1:63" ht="5.15" customHeight="1" x14ac:dyDescent="0.35">
      <c r="A58" s="138"/>
      <c r="B58" s="561"/>
      <c r="C58" s="561"/>
      <c r="D58" s="579"/>
      <c r="E58" s="376"/>
      <c r="F58" s="91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562"/>
      <c r="AP58" s="562"/>
      <c r="AQ58" s="562"/>
      <c r="AR58" s="562"/>
      <c r="AS58" s="562"/>
      <c r="AT58" s="562"/>
      <c r="AU58" s="562"/>
      <c r="AV58" s="562"/>
      <c r="AW58" s="562"/>
      <c r="AX58" s="562"/>
      <c r="AY58" s="562"/>
      <c r="AZ58" s="562"/>
      <c r="BA58" s="562"/>
      <c r="BB58" s="562"/>
      <c r="BC58" s="562"/>
      <c r="BD58" s="562"/>
      <c r="BE58" s="562"/>
      <c r="BF58" s="562"/>
      <c r="BG58" s="562"/>
      <c r="BH58" s="562"/>
      <c r="BI58" s="562"/>
      <c r="BJ58" s="562"/>
      <c r="BK58" s="139"/>
    </row>
    <row r="59" spans="1:63" ht="5.15" customHeight="1" thickBot="1" x14ac:dyDescent="0.4">
      <c r="A59" s="138"/>
      <c r="B59" s="561"/>
      <c r="C59" s="561"/>
      <c r="D59" s="579"/>
      <c r="E59" s="376"/>
      <c r="F59" s="117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563"/>
      <c r="AP59" s="563"/>
      <c r="AQ59" s="563"/>
      <c r="AR59" s="563"/>
      <c r="AS59" s="563"/>
      <c r="AT59" s="563"/>
      <c r="AU59" s="563"/>
      <c r="AV59" s="563"/>
      <c r="AW59" s="563"/>
      <c r="AX59" s="563"/>
      <c r="AY59" s="563"/>
      <c r="AZ59" s="563"/>
      <c r="BA59" s="563"/>
      <c r="BB59" s="563"/>
      <c r="BC59" s="563"/>
      <c r="BD59" s="563"/>
      <c r="BE59" s="563"/>
      <c r="BF59" s="563"/>
      <c r="BG59" s="563"/>
      <c r="BH59" s="563"/>
      <c r="BI59" s="563"/>
      <c r="BJ59" s="563"/>
      <c r="BK59" s="140"/>
    </row>
    <row r="60" spans="1:63" ht="5.15" customHeight="1" x14ac:dyDescent="0.45">
      <c r="A60" s="138"/>
      <c r="B60" s="561"/>
      <c r="C60" s="561"/>
      <c r="D60" s="580"/>
      <c r="E60" s="580"/>
      <c r="F60" s="115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564"/>
      <c r="AP60" s="564"/>
      <c r="AQ60" s="564"/>
      <c r="AR60" s="564"/>
      <c r="AS60" s="564"/>
      <c r="AT60" s="564"/>
      <c r="AU60" s="564"/>
      <c r="AV60" s="564"/>
      <c r="AW60" s="564"/>
      <c r="AX60" s="564"/>
      <c r="AY60" s="564"/>
      <c r="AZ60" s="564"/>
      <c r="BA60" s="564"/>
      <c r="BB60" s="564"/>
      <c r="BC60" s="564"/>
      <c r="BD60" s="564"/>
      <c r="BE60" s="564"/>
      <c r="BF60" s="564"/>
      <c r="BG60" s="564"/>
      <c r="BH60" s="564"/>
      <c r="BI60" s="564"/>
      <c r="BJ60" s="564"/>
      <c r="BK60" s="141"/>
    </row>
    <row r="61" spans="1:63" ht="5.15" customHeight="1" x14ac:dyDescent="0.45">
      <c r="A61" s="138"/>
      <c r="B61" s="561"/>
      <c r="C61" s="561"/>
      <c r="D61" s="580"/>
      <c r="E61" s="580"/>
      <c r="F61" s="91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562"/>
      <c r="AP61" s="562"/>
      <c r="AQ61" s="562"/>
      <c r="AR61" s="562"/>
      <c r="AS61" s="562"/>
      <c r="AT61" s="562"/>
      <c r="AU61" s="562"/>
      <c r="AV61" s="562"/>
      <c r="AW61" s="562"/>
      <c r="AX61" s="562"/>
      <c r="AY61" s="562"/>
      <c r="AZ61" s="562"/>
      <c r="BA61" s="562"/>
      <c r="BB61" s="562"/>
      <c r="BC61" s="562"/>
      <c r="BD61" s="562"/>
      <c r="BE61" s="562"/>
      <c r="BF61" s="562"/>
      <c r="BG61" s="562"/>
      <c r="BH61" s="562"/>
      <c r="BI61" s="562"/>
      <c r="BJ61" s="562"/>
      <c r="BK61" s="139"/>
    </row>
    <row r="62" spans="1:63" ht="5.15" customHeight="1" x14ac:dyDescent="0.35">
      <c r="A62" s="138"/>
      <c r="B62" s="561"/>
      <c r="C62" s="561"/>
      <c r="D62" s="579">
        <f>D67+5</f>
        <v>75</v>
      </c>
      <c r="E62" s="376"/>
      <c r="F62" s="91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562"/>
      <c r="AP62" s="562"/>
      <c r="AQ62" s="562"/>
      <c r="AR62" s="562"/>
      <c r="AS62" s="562"/>
      <c r="AT62" s="562"/>
      <c r="AU62" s="562"/>
      <c r="AV62" s="562"/>
      <c r="AW62" s="562"/>
      <c r="AX62" s="562"/>
      <c r="AY62" s="562"/>
      <c r="AZ62" s="562"/>
      <c r="BA62" s="562"/>
      <c r="BB62" s="562"/>
      <c r="BC62" s="562"/>
      <c r="BD62" s="562"/>
      <c r="BE62" s="562"/>
      <c r="BF62" s="562"/>
      <c r="BG62" s="562"/>
      <c r="BH62" s="562"/>
      <c r="BI62" s="562"/>
      <c r="BJ62" s="562"/>
      <c r="BK62" s="139"/>
    </row>
    <row r="63" spans="1:63" ht="5.15" customHeight="1" x14ac:dyDescent="0.35">
      <c r="A63" s="138"/>
      <c r="B63" s="561"/>
      <c r="C63" s="561"/>
      <c r="D63" s="579"/>
      <c r="E63" s="376"/>
      <c r="F63" s="91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562"/>
      <c r="AP63" s="562"/>
      <c r="AQ63" s="562"/>
      <c r="AR63" s="562"/>
      <c r="AS63" s="562"/>
      <c r="AT63" s="562"/>
      <c r="AU63" s="562"/>
      <c r="AV63" s="562"/>
      <c r="AW63" s="562"/>
      <c r="AX63" s="562"/>
      <c r="AY63" s="562"/>
      <c r="AZ63" s="562"/>
      <c r="BA63" s="562"/>
      <c r="BB63" s="562"/>
      <c r="BC63" s="562"/>
      <c r="BD63" s="562"/>
      <c r="BE63" s="562"/>
      <c r="BF63" s="562"/>
      <c r="BG63" s="562"/>
      <c r="BH63" s="562"/>
      <c r="BI63" s="562"/>
      <c r="BJ63" s="562"/>
      <c r="BK63" s="139"/>
    </row>
    <row r="64" spans="1:63" ht="5.15" customHeight="1" thickBot="1" x14ac:dyDescent="0.4">
      <c r="A64" s="138"/>
      <c r="B64" s="561"/>
      <c r="C64" s="561"/>
      <c r="D64" s="579"/>
      <c r="E64" s="376"/>
      <c r="F64" s="117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563"/>
      <c r="AP64" s="563"/>
      <c r="AQ64" s="563"/>
      <c r="AR64" s="563"/>
      <c r="AS64" s="563"/>
      <c r="AT64" s="563"/>
      <c r="AU64" s="563"/>
      <c r="AV64" s="563"/>
      <c r="AW64" s="563"/>
      <c r="AX64" s="563"/>
      <c r="AY64" s="563"/>
      <c r="AZ64" s="563"/>
      <c r="BA64" s="563"/>
      <c r="BB64" s="563"/>
      <c r="BC64" s="563"/>
      <c r="BD64" s="563"/>
      <c r="BE64" s="563"/>
      <c r="BF64" s="563"/>
      <c r="BG64" s="563"/>
      <c r="BH64" s="563"/>
      <c r="BI64" s="563"/>
      <c r="BJ64" s="563"/>
      <c r="BK64" s="140"/>
    </row>
    <row r="65" spans="1:63" ht="5.15" customHeight="1" x14ac:dyDescent="0.45">
      <c r="A65" s="138"/>
      <c r="B65" s="561"/>
      <c r="C65" s="561"/>
      <c r="D65" s="580"/>
      <c r="E65" s="580"/>
      <c r="F65" s="115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564"/>
      <c r="AP65" s="564"/>
      <c r="AQ65" s="564"/>
      <c r="AR65" s="564"/>
      <c r="AS65" s="564"/>
      <c r="AT65" s="564"/>
      <c r="AU65" s="564"/>
      <c r="AV65" s="564"/>
      <c r="AW65" s="564"/>
      <c r="AX65" s="564"/>
      <c r="AY65" s="564"/>
      <c r="AZ65" s="564"/>
      <c r="BA65" s="564"/>
      <c r="BB65" s="564"/>
      <c r="BC65" s="564"/>
      <c r="BD65" s="564"/>
      <c r="BE65" s="564"/>
      <c r="BF65" s="564"/>
      <c r="BG65" s="564"/>
      <c r="BH65" s="564"/>
      <c r="BI65" s="564"/>
      <c r="BJ65" s="564"/>
      <c r="BK65" s="141"/>
    </row>
    <row r="66" spans="1:63" ht="5.15" customHeight="1" x14ac:dyDescent="0.45">
      <c r="A66" s="138"/>
      <c r="B66" s="561"/>
      <c r="C66" s="561"/>
      <c r="D66" s="580"/>
      <c r="E66" s="580"/>
      <c r="F66" s="91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562"/>
      <c r="AP66" s="562"/>
      <c r="AQ66" s="562"/>
      <c r="AR66" s="562"/>
      <c r="AS66" s="562"/>
      <c r="AT66" s="562"/>
      <c r="AU66" s="562"/>
      <c r="AV66" s="562"/>
      <c r="AW66" s="562"/>
      <c r="AX66" s="562"/>
      <c r="AY66" s="562"/>
      <c r="AZ66" s="562"/>
      <c r="BA66" s="562"/>
      <c r="BB66" s="562"/>
      <c r="BC66" s="562"/>
      <c r="BD66" s="562"/>
      <c r="BE66" s="562"/>
      <c r="BF66" s="562"/>
      <c r="BG66" s="562"/>
      <c r="BH66" s="562"/>
      <c r="BI66" s="562"/>
      <c r="BJ66" s="562"/>
      <c r="BK66" s="139"/>
    </row>
    <row r="67" spans="1:63" ht="5.15" customHeight="1" x14ac:dyDescent="0.35">
      <c r="A67" s="138"/>
      <c r="B67" s="561"/>
      <c r="C67" s="561"/>
      <c r="D67" s="579">
        <f>D72+5</f>
        <v>70</v>
      </c>
      <c r="E67" s="376"/>
      <c r="F67" s="91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562"/>
      <c r="AP67" s="562"/>
      <c r="AQ67" s="562"/>
      <c r="AR67" s="562"/>
      <c r="AS67" s="562"/>
      <c r="AT67" s="562"/>
      <c r="AU67" s="562"/>
      <c r="AV67" s="562"/>
      <c r="AW67" s="562"/>
      <c r="AX67" s="562"/>
      <c r="AY67" s="562"/>
      <c r="AZ67" s="562"/>
      <c r="BA67" s="562"/>
      <c r="BB67" s="562"/>
      <c r="BC67" s="562"/>
      <c r="BD67" s="562"/>
      <c r="BE67" s="562"/>
      <c r="BF67" s="562"/>
      <c r="BG67" s="562"/>
      <c r="BH67" s="562"/>
      <c r="BI67" s="562"/>
      <c r="BJ67" s="562"/>
      <c r="BK67" s="139"/>
    </row>
    <row r="68" spans="1:63" ht="5.15" customHeight="1" x14ac:dyDescent="0.35">
      <c r="A68" s="138"/>
      <c r="B68" s="561"/>
      <c r="C68" s="561"/>
      <c r="D68" s="579"/>
      <c r="E68" s="376"/>
      <c r="F68" s="91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562"/>
      <c r="AP68" s="562"/>
      <c r="AQ68" s="562"/>
      <c r="AR68" s="562"/>
      <c r="AS68" s="562"/>
      <c r="AT68" s="562"/>
      <c r="AU68" s="562"/>
      <c r="AV68" s="562"/>
      <c r="AW68" s="562"/>
      <c r="AX68" s="562"/>
      <c r="AY68" s="562"/>
      <c r="AZ68" s="562"/>
      <c r="BA68" s="562"/>
      <c r="BB68" s="562"/>
      <c r="BC68" s="562"/>
      <c r="BD68" s="562"/>
      <c r="BE68" s="562"/>
      <c r="BF68" s="562"/>
      <c r="BG68" s="562"/>
      <c r="BH68" s="562"/>
      <c r="BI68" s="562"/>
      <c r="BJ68" s="562"/>
      <c r="BK68" s="139"/>
    </row>
    <row r="69" spans="1:63" ht="5.15" customHeight="1" thickBot="1" x14ac:dyDescent="0.4">
      <c r="A69" s="138"/>
      <c r="B69" s="561"/>
      <c r="C69" s="561"/>
      <c r="D69" s="579"/>
      <c r="E69" s="376"/>
      <c r="F69" s="117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563"/>
      <c r="AP69" s="563"/>
      <c r="AQ69" s="563"/>
      <c r="AR69" s="563"/>
      <c r="AS69" s="563"/>
      <c r="AT69" s="563"/>
      <c r="AU69" s="563"/>
      <c r="AV69" s="563"/>
      <c r="AW69" s="563"/>
      <c r="AX69" s="563"/>
      <c r="AY69" s="563"/>
      <c r="AZ69" s="563"/>
      <c r="BA69" s="563"/>
      <c r="BB69" s="563"/>
      <c r="BC69" s="563"/>
      <c r="BD69" s="563"/>
      <c r="BE69" s="563"/>
      <c r="BF69" s="563"/>
      <c r="BG69" s="563"/>
      <c r="BH69" s="563"/>
      <c r="BI69" s="563"/>
      <c r="BJ69" s="563"/>
      <c r="BK69" s="140"/>
    </row>
    <row r="70" spans="1:63" ht="5.15" customHeight="1" x14ac:dyDescent="0.45">
      <c r="A70" s="138"/>
      <c r="B70" s="561"/>
      <c r="C70" s="561"/>
      <c r="D70" s="580"/>
      <c r="E70" s="580"/>
      <c r="F70" s="115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564"/>
      <c r="AP70" s="564"/>
      <c r="AQ70" s="564"/>
      <c r="AR70" s="564"/>
      <c r="AS70" s="564"/>
      <c r="AT70" s="564"/>
      <c r="AU70" s="564"/>
      <c r="AV70" s="564"/>
      <c r="AW70" s="564"/>
      <c r="AX70" s="564"/>
      <c r="AY70" s="564"/>
      <c r="AZ70" s="564"/>
      <c r="BA70" s="564"/>
      <c r="BB70" s="564"/>
      <c r="BC70" s="564"/>
      <c r="BD70" s="564"/>
      <c r="BE70" s="564"/>
      <c r="BF70" s="564"/>
      <c r="BG70" s="564"/>
      <c r="BH70" s="564"/>
      <c r="BI70" s="564"/>
      <c r="BJ70" s="564"/>
      <c r="BK70" s="141"/>
    </row>
    <row r="71" spans="1:63" ht="5.15" customHeight="1" x14ac:dyDescent="0.45">
      <c r="A71" s="138"/>
      <c r="B71" s="561"/>
      <c r="C71" s="561"/>
      <c r="D71" s="580"/>
      <c r="E71" s="580"/>
      <c r="F71" s="91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562"/>
      <c r="AP71" s="562"/>
      <c r="AQ71" s="562"/>
      <c r="AR71" s="562"/>
      <c r="AS71" s="562"/>
      <c r="AT71" s="562"/>
      <c r="AU71" s="562"/>
      <c r="AV71" s="562"/>
      <c r="AW71" s="562"/>
      <c r="AX71" s="562"/>
      <c r="AY71" s="562"/>
      <c r="AZ71" s="562"/>
      <c r="BA71" s="562"/>
      <c r="BB71" s="562"/>
      <c r="BC71" s="562"/>
      <c r="BD71" s="562"/>
      <c r="BE71" s="562"/>
      <c r="BF71" s="562"/>
      <c r="BG71" s="562"/>
      <c r="BH71" s="562"/>
      <c r="BI71" s="562"/>
      <c r="BJ71" s="562"/>
      <c r="BK71" s="139"/>
    </row>
    <row r="72" spans="1:63" ht="5.15" customHeight="1" x14ac:dyDescent="0.35">
      <c r="A72" s="138"/>
      <c r="B72" s="561"/>
      <c r="C72" s="561"/>
      <c r="D72" s="579">
        <f>D77+5</f>
        <v>65</v>
      </c>
      <c r="E72" s="376"/>
      <c r="F72" s="91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562"/>
      <c r="AP72" s="562"/>
      <c r="AQ72" s="562"/>
      <c r="AR72" s="562"/>
      <c r="AS72" s="562"/>
      <c r="AT72" s="562"/>
      <c r="AU72" s="562"/>
      <c r="AV72" s="562"/>
      <c r="AW72" s="562"/>
      <c r="AX72" s="562"/>
      <c r="AY72" s="562"/>
      <c r="AZ72" s="562"/>
      <c r="BA72" s="562"/>
      <c r="BB72" s="562"/>
      <c r="BC72" s="562"/>
      <c r="BD72" s="562"/>
      <c r="BE72" s="562"/>
      <c r="BF72" s="562"/>
      <c r="BG72" s="562"/>
      <c r="BH72" s="562"/>
      <c r="BI72" s="562"/>
      <c r="BJ72" s="562"/>
      <c r="BK72" s="139"/>
    </row>
    <row r="73" spans="1:63" ht="5.15" customHeight="1" x14ac:dyDescent="0.35">
      <c r="A73" s="138"/>
      <c r="B73" s="561"/>
      <c r="C73" s="561"/>
      <c r="D73" s="579"/>
      <c r="E73" s="376"/>
      <c r="F73" s="91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562"/>
      <c r="AP73" s="562"/>
      <c r="AQ73" s="562"/>
      <c r="AR73" s="562"/>
      <c r="AS73" s="562"/>
      <c r="AT73" s="562"/>
      <c r="AU73" s="562"/>
      <c r="AV73" s="562"/>
      <c r="AW73" s="562"/>
      <c r="AX73" s="562"/>
      <c r="AY73" s="562"/>
      <c r="AZ73" s="562"/>
      <c r="BA73" s="562"/>
      <c r="BB73" s="562"/>
      <c r="BC73" s="562"/>
      <c r="BD73" s="562"/>
      <c r="BE73" s="562"/>
      <c r="BF73" s="562"/>
      <c r="BG73" s="562"/>
      <c r="BH73" s="562"/>
      <c r="BI73" s="562"/>
      <c r="BJ73" s="562"/>
      <c r="BK73" s="139"/>
    </row>
    <row r="74" spans="1:63" ht="5.15" customHeight="1" thickBot="1" x14ac:dyDescent="0.4">
      <c r="A74" s="138"/>
      <c r="B74" s="561"/>
      <c r="C74" s="561"/>
      <c r="D74" s="579"/>
      <c r="E74" s="376"/>
      <c r="F74" s="117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563"/>
      <c r="AP74" s="563"/>
      <c r="AQ74" s="563"/>
      <c r="AR74" s="563"/>
      <c r="AS74" s="563"/>
      <c r="AT74" s="563"/>
      <c r="AU74" s="563"/>
      <c r="AV74" s="563"/>
      <c r="AW74" s="563"/>
      <c r="AX74" s="563"/>
      <c r="AY74" s="563"/>
      <c r="AZ74" s="563"/>
      <c r="BA74" s="563"/>
      <c r="BB74" s="563"/>
      <c r="BC74" s="563"/>
      <c r="BD74" s="563"/>
      <c r="BE74" s="563"/>
      <c r="BF74" s="563"/>
      <c r="BG74" s="563"/>
      <c r="BH74" s="563"/>
      <c r="BI74" s="563"/>
      <c r="BJ74" s="563"/>
      <c r="BK74" s="140"/>
    </row>
    <row r="75" spans="1:63" ht="5.15" customHeight="1" x14ac:dyDescent="0.45">
      <c r="A75" s="138"/>
      <c r="B75" s="561"/>
      <c r="C75" s="561"/>
      <c r="D75" s="580"/>
      <c r="E75" s="580"/>
      <c r="F75" s="115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564"/>
      <c r="AP75" s="564"/>
      <c r="AQ75" s="564"/>
      <c r="AR75" s="564"/>
      <c r="AS75" s="564"/>
      <c r="AT75" s="564"/>
      <c r="AU75" s="564"/>
      <c r="AV75" s="564"/>
      <c r="AW75" s="564"/>
      <c r="AX75" s="564"/>
      <c r="AY75" s="564"/>
      <c r="AZ75" s="564"/>
      <c r="BA75" s="564"/>
      <c r="BB75" s="564"/>
      <c r="BC75" s="564"/>
      <c r="BD75" s="564"/>
      <c r="BE75" s="564"/>
      <c r="BF75" s="564"/>
      <c r="BG75" s="564"/>
      <c r="BH75" s="564"/>
      <c r="BI75" s="564"/>
      <c r="BJ75" s="564"/>
      <c r="BK75" s="141"/>
    </row>
    <row r="76" spans="1:63" ht="5.15" customHeight="1" x14ac:dyDescent="0.45">
      <c r="A76" s="138"/>
      <c r="B76" s="561"/>
      <c r="C76" s="561"/>
      <c r="D76" s="580"/>
      <c r="E76" s="580"/>
      <c r="F76" s="91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562"/>
      <c r="AP76" s="562"/>
      <c r="AQ76" s="562"/>
      <c r="AR76" s="562"/>
      <c r="AS76" s="562"/>
      <c r="AT76" s="562"/>
      <c r="AU76" s="562"/>
      <c r="AV76" s="562"/>
      <c r="AW76" s="562"/>
      <c r="AX76" s="562"/>
      <c r="AY76" s="562"/>
      <c r="AZ76" s="562"/>
      <c r="BA76" s="562"/>
      <c r="BB76" s="562"/>
      <c r="BC76" s="562"/>
      <c r="BD76" s="562"/>
      <c r="BE76" s="562"/>
      <c r="BF76" s="562"/>
      <c r="BG76" s="562"/>
      <c r="BH76" s="562"/>
      <c r="BI76" s="562"/>
      <c r="BJ76" s="562"/>
      <c r="BK76" s="139"/>
    </row>
    <row r="77" spans="1:63" ht="5.15" customHeight="1" x14ac:dyDescent="0.35">
      <c r="A77" s="138"/>
      <c r="B77" s="561"/>
      <c r="C77" s="561"/>
      <c r="D77" s="579">
        <f>D82+5</f>
        <v>60</v>
      </c>
      <c r="E77" s="376"/>
      <c r="F77" s="91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562"/>
      <c r="AP77" s="562"/>
      <c r="AQ77" s="562"/>
      <c r="AR77" s="562"/>
      <c r="AS77" s="562"/>
      <c r="AT77" s="562"/>
      <c r="AU77" s="562"/>
      <c r="AV77" s="562"/>
      <c r="AW77" s="562"/>
      <c r="AX77" s="562"/>
      <c r="AY77" s="562"/>
      <c r="AZ77" s="562"/>
      <c r="BA77" s="562"/>
      <c r="BB77" s="562"/>
      <c r="BC77" s="562"/>
      <c r="BD77" s="562"/>
      <c r="BE77" s="562"/>
      <c r="BF77" s="562"/>
      <c r="BG77" s="562"/>
      <c r="BH77" s="562"/>
      <c r="BI77" s="562"/>
      <c r="BJ77" s="562"/>
      <c r="BK77" s="139"/>
    </row>
    <row r="78" spans="1:63" ht="5.15" customHeight="1" x14ac:dyDescent="0.35">
      <c r="A78" s="138"/>
      <c r="B78" s="561"/>
      <c r="C78" s="561"/>
      <c r="D78" s="579"/>
      <c r="E78" s="376"/>
      <c r="F78" s="91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562"/>
      <c r="AP78" s="562"/>
      <c r="AQ78" s="562"/>
      <c r="AR78" s="562"/>
      <c r="AS78" s="562"/>
      <c r="AT78" s="562"/>
      <c r="AU78" s="562"/>
      <c r="AV78" s="562"/>
      <c r="AW78" s="562"/>
      <c r="AX78" s="562"/>
      <c r="AY78" s="562"/>
      <c r="AZ78" s="562"/>
      <c r="BA78" s="562"/>
      <c r="BB78" s="562"/>
      <c r="BC78" s="562"/>
      <c r="BD78" s="562"/>
      <c r="BE78" s="562"/>
      <c r="BF78" s="562"/>
      <c r="BG78" s="562"/>
      <c r="BH78" s="562"/>
      <c r="BI78" s="562"/>
      <c r="BJ78" s="562"/>
      <c r="BK78" s="139"/>
    </row>
    <row r="79" spans="1:63" ht="5.15" customHeight="1" thickBot="1" x14ac:dyDescent="0.4">
      <c r="A79" s="138"/>
      <c r="B79" s="561"/>
      <c r="C79" s="561"/>
      <c r="D79" s="579"/>
      <c r="E79" s="376"/>
      <c r="F79" s="117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563"/>
      <c r="AP79" s="563"/>
      <c r="AQ79" s="563"/>
      <c r="AR79" s="563"/>
      <c r="AS79" s="563"/>
      <c r="AT79" s="563"/>
      <c r="AU79" s="563"/>
      <c r="AV79" s="563"/>
      <c r="AW79" s="563"/>
      <c r="AX79" s="563"/>
      <c r="AY79" s="563"/>
      <c r="AZ79" s="563"/>
      <c r="BA79" s="563"/>
      <c r="BB79" s="563"/>
      <c r="BC79" s="563"/>
      <c r="BD79" s="563"/>
      <c r="BE79" s="563"/>
      <c r="BF79" s="563"/>
      <c r="BG79" s="563"/>
      <c r="BH79" s="563"/>
      <c r="BI79" s="563"/>
      <c r="BJ79" s="563"/>
      <c r="BK79" s="140"/>
    </row>
    <row r="80" spans="1:63" ht="5.15" customHeight="1" x14ac:dyDescent="0.45">
      <c r="A80" s="138"/>
      <c r="B80" s="561"/>
      <c r="C80" s="561"/>
      <c r="D80" s="580"/>
      <c r="E80" s="580"/>
      <c r="F80" s="115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564"/>
      <c r="AP80" s="564"/>
      <c r="AQ80" s="564"/>
      <c r="AR80" s="564"/>
      <c r="AS80" s="564"/>
      <c r="AT80" s="564"/>
      <c r="AU80" s="564"/>
      <c r="AV80" s="564"/>
      <c r="AW80" s="564"/>
      <c r="AX80" s="564"/>
      <c r="AY80" s="564"/>
      <c r="AZ80" s="564"/>
      <c r="BA80" s="564"/>
      <c r="BB80" s="564"/>
      <c r="BC80" s="564"/>
      <c r="BD80" s="564"/>
      <c r="BE80" s="564"/>
      <c r="BF80" s="564"/>
      <c r="BG80" s="564"/>
      <c r="BH80" s="564"/>
      <c r="BI80" s="564"/>
      <c r="BJ80" s="564"/>
      <c r="BK80" s="141"/>
    </row>
    <row r="81" spans="1:63" ht="5.15" customHeight="1" x14ac:dyDescent="0.45">
      <c r="A81" s="138"/>
      <c r="B81" s="561"/>
      <c r="C81" s="561"/>
      <c r="D81" s="580"/>
      <c r="E81" s="580"/>
      <c r="F81" s="91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562"/>
      <c r="AP81" s="562"/>
      <c r="AQ81" s="562"/>
      <c r="AR81" s="562"/>
      <c r="AS81" s="562"/>
      <c r="AT81" s="562"/>
      <c r="AU81" s="562"/>
      <c r="AV81" s="562"/>
      <c r="AW81" s="562"/>
      <c r="AX81" s="562"/>
      <c r="AY81" s="562"/>
      <c r="AZ81" s="562"/>
      <c r="BA81" s="562"/>
      <c r="BB81" s="562"/>
      <c r="BC81" s="562"/>
      <c r="BD81" s="562"/>
      <c r="BE81" s="562"/>
      <c r="BF81" s="562"/>
      <c r="BG81" s="562"/>
      <c r="BH81" s="562"/>
      <c r="BI81" s="562"/>
      <c r="BJ81" s="562"/>
      <c r="BK81" s="139"/>
    </row>
    <row r="82" spans="1:63" ht="5.15" customHeight="1" x14ac:dyDescent="0.35">
      <c r="A82" s="138"/>
      <c r="B82" s="561"/>
      <c r="C82" s="561"/>
      <c r="D82" s="579">
        <f>D87+5</f>
        <v>55</v>
      </c>
      <c r="E82" s="376"/>
      <c r="F82" s="91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562"/>
      <c r="AP82" s="562"/>
      <c r="AQ82" s="562"/>
      <c r="AR82" s="562"/>
      <c r="AS82" s="562"/>
      <c r="AT82" s="562"/>
      <c r="AU82" s="562"/>
      <c r="AV82" s="562"/>
      <c r="AW82" s="562"/>
      <c r="AX82" s="562"/>
      <c r="AY82" s="562"/>
      <c r="AZ82" s="562"/>
      <c r="BA82" s="562"/>
      <c r="BB82" s="562"/>
      <c r="BC82" s="562"/>
      <c r="BD82" s="562"/>
      <c r="BE82" s="562"/>
      <c r="BF82" s="562"/>
      <c r="BG82" s="562"/>
      <c r="BH82" s="562"/>
      <c r="BI82" s="562"/>
      <c r="BJ82" s="562"/>
      <c r="BK82" s="139"/>
    </row>
    <row r="83" spans="1:63" ht="5.15" customHeight="1" x14ac:dyDescent="0.35">
      <c r="A83" s="138"/>
      <c r="B83" s="561"/>
      <c r="C83" s="561"/>
      <c r="D83" s="579"/>
      <c r="E83" s="376"/>
      <c r="F83" s="91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562"/>
      <c r="AP83" s="562"/>
      <c r="AQ83" s="562"/>
      <c r="AR83" s="562"/>
      <c r="AS83" s="562"/>
      <c r="AT83" s="562"/>
      <c r="AU83" s="562"/>
      <c r="AV83" s="562"/>
      <c r="AW83" s="562"/>
      <c r="AX83" s="562"/>
      <c r="AY83" s="562"/>
      <c r="AZ83" s="562"/>
      <c r="BA83" s="562"/>
      <c r="BB83" s="562"/>
      <c r="BC83" s="562"/>
      <c r="BD83" s="562"/>
      <c r="BE83" s="562"/>
      <c r="BF83" s="562"/>
      <c r="BG83" s="562"/>
      <c r="BH83" s="562"/>
      <c r="BI83" s="562"/>
      <c r="BJ83" s="562"/>
      <c r="BK83" s="139"/>
    </row>
    <row r="84" spans="1:63" ht="5.15" customHeight="1" thickBot="1" x14ac:dyDescent="0.4">
      <c r="A84" s="138"/>
      <c r="B84" s="561"/>
      <c r="C84" s="561"/>
      <c r="D84" s="579"/>
      <c r="E84" s="376"/>
      <c r="F84" s="117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563"/>
      <c r="AP84" s="563"/>
      <c r="AQ84" s="563"/>
      <c r="AR84" s="563"/>
      <c r="AS84" s="563"/>
      <c r="AT84" s="563"/>
      <c r="AU84" s="563"/>
      <c r="AV84" s="563"/>
      <c r="AW84" s="563"/>
      <c r="AX84" s="563"/>
      <c r="AY84" s="563"/>
      <c r="AZ84" s="563"/>
      <c r="BA84" s="563"/>
      <c r="BB84" s="563"/>
      <c r="BC84" s="563"/>
      <c r="BD84" s="563"/>
      <c r="BE84" s="563"/>
      <c r="BF84" s="563"/>
      <c r="BG84" s="563"/>
      <c r="BH84" s="563"/>
      <c r="BI84" s="563"/>
      <c r="BJ84" s="563"/>
      <c r="BK84" s="140"/>
    </row>
    <row r="85" spans="1:63" ht="5.15" customHeight="1" x14ac:dyDescent="0.45">
      <c r="A85" s="138"/>
      <c r="B85" s="561"/>
      <c r="C85" s="561"/>
      <c r="D85" s="580"/>
      <c r="E85" s="580"/>
      <c r="F85" s="115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564"/>
      <c r="AP85" s="564"/>
      <c r="AQ85" s="564"/>
      <c r="AR85" s="564"/>
      <c r="AS85" s="564"/>
      <c r="AT85" s="564"/>
      <c r="AU85" s="564"/>
      <c r="AV85" s="564"/>
      <c r="AW85" s="564"/>
      <c r="AX85" s="564"/>
      <c r="AY85" s="564"/>
      <c r="AZ85" s="564"/>
      <c r="BA85" s="564"/>
      <c r="BB85" s="564"/>
      <c r="BC85" s="564"/>
      <c r="BD85" s="564"/>
      <c r="BE85" s="564"/>
      <c r="BF85" s="564"/>
      <c r="BG85" s="564"/>
      <c r="BH85" s="564"/>
      <c r="BI85" s="564"/>
      <c r="BJ85" s="564"/>
      <c r="BK85" s="141"/>
    </row>
    <row r="86" spans="1:63" ht="5.15" customHeight="1" x14ac:dyDescent="0.45">
      <c r="A86" s="138"/>
      <c r="B86" s="561"/>
      <c r="C86" s="561"/>
      <c r="D86" s="580"/>
      <c r="E86" s="580"/>
      <c r="F86" s="91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562"/>
      <c r="AP86" s="562"/>
      <c r="AQ86" s="562"/>
      <c r="AR86" s="562"/>
      <c r="AS86" s="562"/>
      <c r="AT86" s="562"/>
      <c r="AU86" s="562"/>
      <c r="AV86" s="562"/>
      <c r="AW86" s="562"/>
      <c r="AX86" s="562"/>
      <c r="AY86" s="562"/>
      <c r="AZ86" s="562"/>
      <c r="BA86" s="562"/>
      <c r="BB86" s="562"/>
      <c r="BC86" s="562"/>
      <c r="BD86" s="562"/>
      <c r="BE86" s="562"/>
      <c r="BF86" s="562"/>
      <c r="BG86" s="562"/>
      <c r="BH86" s="562"/>
      <c r="BI86" s="562"/>
      <c r="BJ86" s="562"/>
      <c r="BK86" s="139"/>
    </row>
    <row r="87" spans="1:63" ht="5.15" customHeight="1" x14ac:dyDescent="0.35">
      <c r="A87" s="138"/>
      <c r="B87" s="561"/>
      <c r="C87" s="561"/>
      <c r="D87" s="579">
        <f>D92+5</f>
        <v>50</v>
      </c>
      <c r="E87" s="376"/>
      <c r="F87" s="91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562"/>
      <c r="AP87" s="562"/>
      <c r="AQ87" s="562"/>
      <c r="AR87" s="562"/>
      <c r="AS87" s="562"/>
      <c r="AT87" s="562"/>
      <c r="AU87" s="562"/>
      <c r="AV87" s="562"/>
      <c r="AW87" s="562"/>
      <c r="AX87" s="562"/>
      <c r="AY87" s="562"/>
      <c r="AZ87" s="562"/>
      <c r="BA87" s="562"/>
      <c r="BB87" s="562"/>
      <c r="BC87" s="562"/>
      <c r="BD87" s="562"/>
      <c r="BE87" s="562"/>
      <c r="BF87" s="562"/>
      <c r="BG87" s="562"/>
      <c r="BH87" s="562"/>
      <c r="BI87" s="562"/>
      <c r="BJ87" s="562"/>
      <c r="BK87" s="139"/>
    </row>
    <row r="88" spans="1:63" ht="5.15" customHeight="1" x14ac:dyDescent="0.35">
      <c r="A88" s="138"/>
      <c r="B88" s="561"/>
      <c r="C88" s="561"/>
      <c r="D88" s="579"/>
      <c r="E88" s="376"/>
      <c r="F88" s="91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562"/>
      <c r="AP88" s="562"/>
      <c r="AQ88" s="562"/>
      <c r="AR88" s="562"/>
      <c r="AS88" s="562"/>
      <c r="AT88" s="562"/>
      <c r="AU88" s="562"/>
      <c r="AV88" s="562"/>
      <c r="AW88" s="562"/>
      <c r="AX88" s="562"/>
      <c r="AY88" s="562"/>
      <c r="AZ88" s="562"/>
      <c r="BA88" s="562"/>
      <c r="BB88" s="562"/>
      <c r="BC88" s="562"/>
      <c r="BD88" s="562"/>
      <c r="BE88" s="562"/>
      <c r="BF88" s="562"/>
      <c r="BG88" s="562"/>
      <c r="BH88" s="562"/>
      <c r="BI88" s="562"/>
      <c r="BJ88" s="562"/>
      <c r="BK88" s="139"/>
    </row>
    <row r="89" spans="1:63" ht="5.15" customHeight="1" thickBot="1" x14ac:dyDescent="0.4">
      <c r="A89" s="138"/>
      <c r="B89" s="561"/>
      <c r="C89" s="561"/>
      <c r="D89" s="579"/>
      <c r="E89" s="376"/>
      <c r="F89" s="117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563"/>
      <c r="AP89" s="563"/>
      <c r="AQ89" s="563"/>
      <c r="AR89" s="563"/>
      <c r="AS89" s="563"/>
      <c r="AT89" s="563"/>
      <c r="AU89" s="563"/>
      <c r="AV89" s="563"/>
      <c r="AW89" s="563"/>
      <c r="AX89" s="563"/>
      <c r="AY89" s="563"/>
      <c r="AZ89" s="563"/>
      <c r="BA89" s="563"/>
      <c r="BB89" s="563"/>
      <c r="BC89" s="563"/>
      <c r="BD89" s="563"/>
      <c r="BE89" s="563"/>
      <c r="BF89" s="563"/>
      <c r="BG89" s="563"/>
      <c r="BH89" s="563"/>
      <c r="BI89" s="563"/>
      <c r="BJ89" s="563"/>
      <c r="BK89" s="140"/>
    </row>
    <row r="90" spans="1:63" ht="5.15" customHeight="1" x14ac:dyDescent="0.45">
      <c r="A90" s="138"/>
      <c r="B90" s="561"/>
      <c r="C90" s="561"/>
      <c r="D90" s="580"/>
      <c r="E90" s="580"/>
      <c r="F90" s="115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564"/>
      <c r="AP90" s="564"/>
      <c r="AQ90" s="564"/>
      <c r="AR90" s="564"/>
      <c r="AS90" s="564"/>
      <c r="AT90" s="564"/>
      <c r="AU90" s="564"/>
      <c r="AV90" s="564"/>
      <c r="AW90" s="564"/>
      <c r="AX90" s="564"/>
      <c r="AY90" s="564"/>
      <c r="AZ90" s="564"/>
      <c r="BA90" s="564"/>
      <c r="BB90" s="564"/>
      <c r="BC90" s="564"/>
      <c r="BD90" s="564"/>
      <c r="BE90" s="564"/>
      <c r="BF90" s="564"/>
      <c r="BG90" s="564"/>
      <c r="BH90" s="564"/>
      <c r="BI90" s="564"/>
      <c r="BJ90" s="564"/>
      <c r="BK90" s="141"/>
    </row>
    <row r="91" spans="1:63" ht="5.15" customHeight="1" x14ac:dyDescent="0.45">
      <c r="A91" s="138"/>
      <c r="B91" s="561"/>
      <c r="C91" s="561"/>
      <c r="D91" s="580"/>
      <c r="E91" s="580"/>
      <c r="F91" s="91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562"/>
      <c r="AP91" s="562"/>
      <c r="AQ91" s="562"/>
      <c r="AR91" s="562"/>
      <c r="AS91" s="562"/>
      <c r="AT91" s="562"/>
      <c r="AU91" s="562"/>
      <c r="AV91" s="562"/>
      <c r="AW91" s="562"/>
      <c r="AX91" s="562"/>
      <c r="AY91" s="562"/>
      <c r="AZ91" s="562"/>
      <c r="BA91" s="562"/>
      <c r="BB91" s="562"/>
      <c r="BC91" s="562"/>
      <c r="BD91" s="562"/>
      <c r="BE91" s="562"/>
      <c r="BF91" s="562"/>
      <c r="BG91" s="562"/>
      <c r="BH91" s="562"/>
      <c r="BI91" s="562"/>
      <c r="BJ91" s="562"/>
      <c r="BK91" s="139"/>
    </row>
    <row r="92" spans="1:63" ht="5.15" customHeight="1" x14ac:dyDescent="0.35">
      <c r="A92" s="138"/>
      <c r="B92" s="561"/>
      <c r="C92" s="561"/>
      <c r="D92" s="579">
        <f>D97+5</f>
        <v>45</v>
      </c>
      <c r="E92" s="376"/>
      <c r="F92" s="91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562"/>
      <c r="AP92" s="562"/>
      <c r="AQ92" s="562"/>
      <c r="AR92" s="562"/>
      <c r="AS92" s="562"/>
      <c r="AT92" s="562"/>
      <c r="AU92" s="562"/>
      <c r="AV92" s="562"/>
      <c r="AW92" s="562"/>
      <c r="AX92" s="562"/>
      <c r="AY92" s="562"/>
      <c r="AZ92" s="562"/>
      <c r="BA92" s="562"/>
      <c r="BB92" s="562"/>
      <c r="BC92" s="562"/>
      <c r="BD92" s="562"/>
      <c r="BE92" s="562"/>
      <c r="BF92" s="562"/>
      <c r="BG92" s="562"/>
      <c r="BH92" s="562"/>
      <c r="BI92" s="562"/>
      <c r="BJ92" s="562"/>
      <c r="BK92" s="139"/>
    </row>
    <row r="93" spans="1:63" ht="5.15" customHeight="1" x14ac:dyDescent="0.35">
      <c r="A93" s="138"/>
      <c r="B93" s="561"/>
      <c r="C93" s="561"/>
      <c r="D93" s="579"/>
      <c r="E93" s="376"/>
      <c r="F93" s="91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562"/>
      <c r="AP93" s="562"/>
      <c r="AQ93" s="562"/>
      <c r="AR93" s="562"/>
      <c r="AS93" s="562"/>
      <c r="AT93" s="562"/>
      <c r="AU93" s="562"/>
      <c r="AV93" s="562"/>
      <c r="AW93" s="562"/>
      <c r="AX93" s="562"/>
      <c r="AY93" s="562"/>
      <c r="AZ93" s="562"/>
      <c r="BA93" s="562"/>
      <c r="BB93" s="562"/>
      <c r="BC93" s="562"/>
      <c r="BD93" s="562"/>
      <c r="BE93" s="562"/>
      <c r="BF93" s="562"/>
      <c r="BG93" s="562"/>
      <c r="BH93" s="562"/>
      <c r="BI93" s="562"/>
      <c r="BJ93" s="562"/>
      <c r="BK93" s="139"/>
    </row>
    <row r="94" spans="1:63" ht="5.15" customHeight="1" thickBot="1" x14ac:dyDescent="0.4">
      <c r="A94" s="138"/>
      <c r="B94" s="561"/>
      <c r="C94" s="561"/>
      <c r="D94" s="579"/>
      <c r="E94" s="376"/>
      <c r="F94" s="117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563"/>
      <c r="AP94" s="563"/>
      <c r="AQ94" s="563"/>
      <c r="AR94" s="563"/>
      <c r="AS94" s="563"/>
      <c r="AT94" s="563"/>
      <c r="AU94" s="563"/>
      <c r="AV94" s="563"/>
      <c r="AW94" s="563"/>
      <c r="AX94" s="563"/>
      <c r="AY94" s="563"/>
      <c r="AZ94" s="563"/>
      <c r="BA94" s="563"/>
      <c r="BB94" s="563"/>
      <c r="BC94" s="563"/>
      <c r="BD94" s="563"/>
      <c r="BE94" s="563"/>
      <c r="BF94" s="563"/>
      <c r="BG94" s="563"/>
      <c r="BH94" s="563"/>
      <c r="BI94" s="563"/>
      <c r="BJ94" s="563"/>
      <c r="BK94" s="140"/>
    </row>
    <row r="95" spans="1:63" ht="5.15" customHeight="1" x14ac:dyDescent="0.45">
      <c r="A95" s="138"/>
      <c r="B95" s="561"/>
      <c r="C95" s="561"/>
      <c r="D95" s="580"/>
      <c r="E95" s="580"/>
      <c r="F95" s="115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564"/>
      <c r="AP95" s="564"/>
      <c r="AQ95" s="564"/>
      <c r="AR95" s="564"/>
      <c r="AS95" s="564"/>
      <c r="AT95" s="564"/>
      <c r="AU95" s="564"/>
      <c r="AV95" s="564"/>
      <c r="AW95" s="564"/>
      <c r="AX95" s="564"/>
      <c r="AY95" s="564"/>
      <c r="AZ95" s="564"/>
      <c r="BA95" s="564"/>
      <c r="BB95" s="564"/>
      <c r="BC95" s="564"/>
      <c r="BD95" s="564"/>
      <c r="BE95" s="564"/>
      <c r="BF95" s="564"/>
      <c r="BG95" s="564"/>
      <c r="BH95" s="564"/>
      <c r="BI95" s="564"/>
      <c r="BJ95" s="564"/>
      <c r="BK95" s="141"/>
    </row>
    <row r="96" spans="1:63" ht="5.15" customHeight="1" x14ac:dyDescent="0.45">
      <c r="A96" s="138"/>
      <c r="B96" s="561"/>
      <c r="C96" s="561"/>
      <c r="D96" s="580"/>
      <c r="E96" s="580"/>
      <c r="F96" s="91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562"/>
      <c r="AP96" s="562"/>
      <c r="AQ96" s="562"/>
      <c r="AR96" s="562"/>
      <c r="AS96" s="562"/>
      <c r="AT96" s="562"/>
      <c r="AU96" s="562"/>
      <c r="AV96" s="562"/>
      <c r="AW96" s="562"/>
      <c r="AX96" s="562"/>
      <c r="AY96" s="562"/>
      <c r="AZ96" s="562"/>
      <c r="BA96" s="562"/>
      <c r="BB96" s="562"/>
      <c r="BC96" s="562"/>
      <c r="BD96" s="562"/>
      <c r="BE96" s="562"/>
      <c r="BF96" s="562"/>
      <c r="BG96" s="562"/>
      <c r="BH96" s="562"/>
      <c r="BI96" s="562"/>
      <c r="BJ96" s="562"/>
      <c r="BK96" s="139"/>
    </row>
    <row r="97" spans="1:63" ht="5.15" customHeight="1" x14ac:dyDescent="0.35">
      <c r="A97" s="138"/>
      <c r="B97" s="561"/>
      <c r="C97" s="561"/>
      <c r="D97" s="579">
        <f>D102+5</f>
        <v>40</v>
      </c>
      <c r="E97" s="376"/>
      <c r="F97" s="91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562"/>
      <c r="AP97" s="562"/>
      <c r="AQ97" s="562"/>
      <c r="AR97" s="562"/>
      <c r="AS97" s="562"/>
      <c r="AT97" s="562"/>
      <c r="AU97" s="562"/>
      <c r="AV97" s="562"/>
      <c r="AW97" s="562"/>
      <c r="AX97" s="562"/>
      <c r="AY97" s="562"/>
      <c r="AZ97" s="562"/>
      <c r="BA97" s="562"/>
      <c r="BB97" s="562"/>
      <c r="BC97" s="562"/>
      <c r="BD97" s="562"/>
      <c r="BE97" s="562"/>
      <c r="BF97" s="562"/>
      <c r="BG97" s="562"/>
      <c r="BH97" s="562"/>
      <c r="BI97" s="562"/>
      <c r="BJ97" s="562"/>
      <c r="BK97" s="139"/>
    </row>
    <row r="98" spans="1:63" ht="5.15" customHeight="1" x14ac:dyDescent="0.35">
      <c r="A98" s="138"/>
      <c r="B98" s="561"/>
      <c r="C98" s="561"/>
      <c r="D98" s="579"/>
      <c r="E98" s="376"/>
      <c r="F98" s="91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562"/>
      <c r="AP98" s="562"/>
      <c r="AQ98" s="562"/>
      <c r="AR98" s="562"/>
      <c r="AS98" s="562"/>
      <c r="AT98" s="562"/>
      <c r="AU98" s="562"/>
      <c r="AV98" s="562"/>
      <c r="AW98" s="562"/>
      <c r="AX98" s="562"/>
      <c r="AY98" s="562"/>
      <c r="AZ98" s="562"/>
      <c r="BA98" s="562"/>
      <c r="BB98" s="562"/>
      <c r="BC98" s="562"/>
      <c r="BD98" s="562"/>
      <c r="BE98" s="562"/>
      <c r="BF98" s="562"/>
      <c r="BG98" s="562"/>
      <c r="BH98" s="562"/>
      <c r="BI98" s="562"/>
      <c r="BJ98" s="562"/>
      <c r="BK98" s="139"/>
    </row>
    <row r="99" spans="1:63" ht="5.15" customHeight="1" thickBot="1" x14ac:dyDescent="0.4">
      <c r="A99" s="138"/>
      <c r="B99" s="561"/>
      <c r="C99" s="561"/>
      <c r="D99" s="579"/>
      <c r="E99" s="376"/>
      <c r="F99" s="117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563"/>
      <c r="AP99" s="563"/>
      <c r="AQ99" s="563"/>
      <c r="AR99" s="563"/>
      <c r="AS99" s="563"/>
      <c r="AT99" s="563"/>
      <c r="AU99" s="563"/>
      <c r="AV99" s="563"/>
      <c r="AW99" s="563"/>
      <c r="AX99" s="563"/>
      <c r="AY99" s="563"/>
      <c r="AZ99" s="563"/>
      <c r="BA99" s="563"/>
      <c r="BB99" s="563"/>
      <c r="BC99" s="563"/>
      <c r="BD99" s="563"/>
      <c r="BE99" s="563"/>
      <c r="BF99" s="563"/>
      <c r="BG99" s="563"/>
      <c r="BH99" s="563"/>
      <c r="BI99" s="563"/>
      <c r="BJ99" s="563"/>
      <c r="BK99" s="140"/>
    </row>
    <row r="100" spans="1:63" ht="5.15" customHeight="1" x14ac:dyDescent="0.45">
      <c r="A100" s="138"/>
      <c r="B100" s="561"/>
      <c r="C100" s="561"/>
      <c r="D100" s="580"/>
      <c r="E100" s="580"/>
      <c r="F100" s="115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564"/>
      <c r="AP100" s="564"/>
      <c r="AQ100" s="564"/>
      <c r="AR100" s="564"/>
      <c r="AS100" s="564"/>
      <c r="AT100" s="564"/>
      <c r="AU100" s="564"/>
      <c r="AV100" s="564"/>
      <c r="AW100" s="564"/>
      <c r="AX100" s="564"/>
      <c r="AY100" s="564"/>
      <c r="AZ100" s="564"/>
      <c r="BA100" s="564"/>
      <c r="BB100" s="564"/>
      <c r="BC100" s="564"/>
      <c r="BD100" s="564"/>
      <c r="BE100" s="564"/>
      <c r="BF100" s="564"/>
      <c r="BG100" s="564"/>
      <c r="BH100" s="564"/>
      <c r="BI100" s="564"/>
      <c r="BJ100" s="564"/>
      <c r="BK100" s="141"/>
    </row>
    <row r="101" spans="1:63" ht="5.15" customHeight="1" x14ac:dyDescent="0.45">
      <c r="A101" s="138"/>
      <c r="B101" s="561"/>
      <c r="C101" s="561"/>
      <c r="D101" s="580"/>
      <c r="E101" s="580"/>
      <c r="F101" s="91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562"/>
      <c r="AP101" s="562"/>
      <c r="AQ101" s="562"/>
      <c r="AR101" s="562"/>
      <c r="AS101" s="562"/>
      <c r="AT101" s="562"/>
      <c r="AU101" s="562"/>
      <c r="AV101" s="562"/>
      <c r="AW101" s="562"/>
      <c r="AX101" s="562"/>
      <c r="AY101" s="562"/>
      <c r="AZ101" s="562"/>
      <c r="BA101" s="562"/>
      <c r="BB101" s="562"/>
      <c r="BC101" s="562"/>
      <c r="BD101" s="562"/>
      <c r="BE101" s="562"/>
      <c r="BF101" s="562"/>
      <c r="BG101" s="562"/>
      <c r="BH101" s="562"/>
      <c r="BI101" s="562"/>
      <c r="BJ101" s="562"/>
      <c r="BK101" s="139"/>
    </row>
    <row r="102" spans="1:63" ht="5.15" customHeight="1" x14ac:dyDescent="0.35">
      <c r="A102" s="138"/>
      <c r="B102" s="561"/>
      <c r="C102" s="561"/>
      <c r="D102" s="579">
        <f>D107+5</f>
        <v>35</v>
      </c>
      <c r="E102" s="376"/>
      <c r="F102" s="91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562"/>
      <c r="AP102" s="562"/>
      <c r="AQ102" s="562"/>
      <c r="AR102" s="562"/>
      <c r="AS102" s="562"/>
      <c r="AT102" s="562"/>
      <c r="AU102" s="562"/>
      <c r="AV102" s="562"/>
      <c r="AW102" s="562"/>
      <c r="AX102" s="562"/>
      <c r="AY102" s="562"/>
      <c r="AZ102" s="562"/>
      <c r="BA102" s="562"/>
      <c r="BB102" s="562"/>
      <c r="BC102" s="562"/>
      <c r="BD102" s="562"/>
      <c r="BE102" s="562"/>
      <c r="BF102" s="562"/>
      <c r="BG102" s="562"/>
      <c r="BH102" s="562"/>
      <c r="BI102" s="562"/>
      <c r="BJ102" s="562"/>
      <c r="BK102" s="139"/>
    </row>
    <row r="103" spans="1:63" ht="5.15" customHeight="1" x14ac:dyDescent="0.35">
      <c r="A103" s="138"/>
      <c r="B103" s="561"/>
      <c r="C103" s="561"/>
      <c r="D103" s="579"/>
      <c r="E103" s="376"/>
      <c r="F103" s="91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562"/>
      <c r="AP103" s="562"/>
      <c r="AQ103" s="562"/>
      <c r="AR103" s="562"/>
      <c r="AS103" s="562"/>
      <c r="AT103" s="562"/>
      <c r="AU103" s="562"/>
      <c r="AV103" s="562"/>
      <c r="AW103" s="562"/>
      <c r="AX103" s="562"/>
      <c r="AY103" s="562"/>
      <c r="AZ103" s="562"/>
      <c r="BA103" s="562"/>
      <c r="BB103" s="562"/>
      <c r="BC103" s="562"/>
      <c r="BD103" s="562"/>
      <c r="BE103" s="562"/>
      <c r="BF103" s="562"/>
      <c r="BG103" s="562"/>
      <c r="BH103" s="562"/>
      <c r="BI103" s="562"/>
      <c r="BJ103" s="562"/>
      <c r="BK103" s="139"/>
    </row>
    <row r="104" spans="1:63" ht="5.15" customHeight="1" thickBot="1" x14ac:dyDescent="0.4">
      <c r="A104" s="138"/>
      <c r="B104" s="561"/>
      <c r="C104" s="561"/>
      <c r="D104" s="579"/>
      <c r="E104" s="376"/>
      <c r="F104" s="117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563"/>
      <c r="AP104" s="563"/>
      <c r="AQ104" s="563"/>
      <c r="AR104" s="563"/>
      <c r="AS104" s="563"/>
      <c r="AT104" s="563"/>
      <c r="AU104" s="563"/>
      <c r="AV104" s="563"/>
      <c r="AW104" s="563"/>
      <c r="AX104" s="563"/>
      <c r="AY104" s="563"/>
      <c r="AZ104" s="563"/>
      <c r="BA104" s="563"/>
      <c r="BB104" s="563"/>
      <c r="BC104" s="563"/>
      <c r="BD104" s="563"/>
      <c r="BE104" s="563"/>
      <c r="BF104" s="563"/>
      <c r="BG104" s="563"/>
      <c r="BH104" s="563"/>
      <c r="BI104" s="563"/>
      <c r="BJ104" s="563"/>
      <c r="BK104" s="140"/>
    </row>
    <row r="105" spans="1:63" ht="5.15" customHeight="1" x14ac:dyDescent="0.45">
      <c r="A105" s="138"/>
      <c r="B105" s="561"/>
      <c r="C105" s="561"/>
      <c r="D105" s="580"/>
      <c r="E105" s="580"/>
      <c r="F105" s="115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564"/>
      <c r="AP105" s="564"/>
      <c r="AQ105" s="564"/>
      <c r="AR105" s="564"/>
      <c r="AS105" s="564"/>
      <c r="AT105" s="564"/>
      <c r="AU105" s="564"/>
      <c r="AV105" s="564"/>
      <c r="AW105" s="564"/>
      <c r="AX105" s="564"/>
      <c r="AY105" s="564"/>
      <c r="AZ105" s="564"/>
      <c r="BA105" s="564"/>
      <c r="BB105" s="564"/>
      <c r="BC105" s="564"/>
      <c r="BD105" s="564"/>
      <c r="BE105" s="564"/>
      <c r="BF105" s="564"/>
      <c r="BG105" s="564"/>
      <c r="BH105" s="564"/>
      <c r="BI105" s="564"/>
      <c r="BJ105" s="564"/>
      <c r="BK105" s="141"/>
    </row>
    <row r="106" spans="1:63" ht="5.15" customHeight="1" x14ac:dyDescent="0.45">
      <c r="A106" s="138"/>
      <c r="B106" s="561"/>
      <c r="C106" s="561"/>
      <c r="D106" s="580"/>
      <c r="E106" s="580"/>
      <c r="F106" s="91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562"/>
      <c r="AP106" s="562"/>
      <c r="AQ106" s="562"/>
      <c r="AR106" s="562"/>
      <c r="AS106" s="562"/>
      <c r="AT106" s="562"/>
      <c r="AU106" s="562"/>
      <c r="AV106" s="562"/>
      <c r="AW106" s="562"/>
      <c r="AX106" s="562"/>
      <c r="AY106" s="562"/>
      <c r="AZ106" s="562"/>
      <c r="BA106" s="562"/>
      <c r="BB106" s="562"/>
      <c r="BC106" s="562"/>
      <c r="BD106" s="562"/>
      <c r="BE106" s="562"/>
      <c r="BF106" s="562"/>
      <c r="BG106" s="562"/>
      <c r="BH106" s="562"/>
      <c r="BI106" s="562"/>
      <c r="BJ106" s="562"/>
      <c r="BK106" s="139"/>
    </row>
    <row r="107" spans="1:63" ht="5.15" customHeight="1" x14ac:dyDescent="0.35">
      <c r="A107" s="138"/>
      <c r="B107" s="561"/>
      <c r="C107" s="561"/>
      <c r="D107" s="579">
        <f>D112+5</f>
        <v>30</v>
      </c>
      <c r="E107" s="376"/>
      <c r="F107" s="91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562"/>
      <c r="AP107" s="562"/>
      <c r="AQ107" s="562"/>
      <c r="AR107" s="562"/>
      <c r="AS107" s="562"/>
      <c r="AT107" s="562"/>
      <c r="AU107" s="562"/>
      <c r="AV107" s="562"/>
      <c r="AW107" s="562"/>
      <c r="AX107" s="562"/>
      <c r="AY107" s="562"/>
      <c r="AZ107" s="562"/>
      <c r="BA107" s="562"/>
      <c r="BB107" s="562"/>
      <c r="BC107" s="562"/>
      <c r="BD107" s="562"/>
      <c r="BE107" s="562"/>
      <c r="BF107" s="562"/>
      <c r="BG107" s="562"/>
      <c r="BH107" s="562"/>
      <c r="BI107" s="562"/>
      <c r="BJ107" s="562"/>
      <c r="BK107" s="139"/>
    </row>
    <row r="108" spans="1:63" ht="5.15" customHeight="1" x14ac:dyDescent="0.35">
      <c r="A108" s="138"/>
      <c r="B108" s="561"/>
      <c r="C108" s="561"/>
      <c r="D108" s="579"/>
      <c r="E108" s="376"/>
      <c r="F108" s="91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562"/>
      <c r="AP108" s="562"/>
      <c r="AQ108" s="562"/>
      <c r="AR108" s="562"/>
      <c r="AS108" s="562"/>
      <c r="AT108" s="562"/>
      <c r="AU108" s="562"/>
      <c r="AV108" s="562"/>
      <c r="AW108" s="562"/>
      <c r="AX108" s="562"/>
      <c r="AY108" s="562"/>
      <c r="AZ108" s="562"/>
      <c r="BA108" s="562"/>
      <c r="BB108" s="562"/>
      <c r="BC108" s="562"/>
      <c r="BD108" s="562"/>
      <c r="BE108" s="562"/>
      <c r="BF108" s="562"/>
      <c r="BG108" s="562"/>
      <c r="BH108" s="562"/>
      <c r="BI108" s="562"/>
      <c r="BJ108" s="562"/>
      <c r="BK108" s="139"/>
    </row>
    <row r="109" spans="1:63" ht="5.15" customHeight="1" thickBot="1" x14ac:dyDescent="0.4">
      <c r="A109" s="138"/>
      <c r="B109" s="561"/>
      <c r="C109" s="561"/>
      <c r="D109" s="579"/>
      <c r="E109" s="376"/>
      <c r="F109" s="117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563"/>
      <c r="AP109" s="563"/>
      <c r="AQ109" s="563"/>
      <c r="AR109" s="563"/>
      <c r="AS109" s="563"/>
      <c r="AT109" s="563"/>
      <c r="AU109" s="563"/>
      <c r="AV109" s="563"/>
      <c r="AW109" s="563"/>
      <c r="AX109" s="563"/>
      <c r="AY109" s="563"/>
      <c r="AZ109" s="563"/>
      <c r="BA109" s="563"/>
      <c r="BB109" s="563"/>
      <c r="BC109" s="563"/>
      <c r="BD109" s="563"/>
      <c r="BE109" s="563"/>
      <c r="BF109" s="563"/>
      <c r="BG109" s="563"/>
      <c r="BH109" s="563"/>
      <c r="BI109" s="563"/>
      <c r="BJ109" s="563"/>
      <c r="BK109" s="140"/>
    </row>
    <row r="110" spans="1:63" ht="5.15" customHeight="1" x14ac:dyDescent="0.45">
      <c r="A110" s="138"/>
      <c r="B110" s="561"/>
      <c r="C110" s="561"/>
      <c r="D110" s="580"/>
      <c r="E110" s="580"/>
      <c r="F110" s="115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564"/>
      <c r="AP110" s="564"/>
      <c r="AQ110" s="564"/>
      <c r="AR110" s="564"/>
      <c r="AS110" s="564"/>
      <c r="AT110" s="564"/>
      <c r="AU110" s="564"/>
      <c r="AV110" s="564"/>
      <c r="AW110" s="564"/>
      <c r="AX110" s="564"/>
      <c r="AY110" s="564"/>
      <c r="AZ110" s="564"/>
      <c r="BA110" s="564"/>
      <c r="BB110" s="564"/>
      <c r="BC110" s="564"/>
      <c r="BD110" s="564"/>
      <c r="BE110" s="564"/>
      <c r="BF110" s="564"/>
      <c r="BG110" s="564"/>
      <c r="BH110" s="564"/>
      <c r="BI110" s="564"/>
      <c r="BJ110" s="564"/>
      <c r="BK110" s="141"/>
    </row>
    <row r="111" spans="1:63" ht="5.15" customHeight="1" x14ac:dyDescent="0.45">
      <c r="A111" s="138"/>
      <c r="B111" s="561"/>
      <c r="C111" s="561"/>
      <c r="D111" s="580"/>
      <c r="E111" s="580"/>
      <c r="F111" s="91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562"/>
      <c r="AP111" s="562"/>
      <c r="AQ111" s="562"/>
      <c r="AR111" s="562"/>
      <c r="AS111" s="562"/>
      <c r="AT111" s="562"/>
      <c r="AU111" s="562"/>
      <c r="AV111" s="562"/>
      <c r="AW111" s="562"/>
      <c r="AX111" s="562"/>
      <c r="AY111" s="562"/>
      <c r="AZ111" s="562"/>
      <c r="BA111" s="562"/>
      <c r="BB111" s="562"/>
      <c r="BC111" s="562"/>
      <c r="BD111" s="562"/>
      <c r="BE111" s="562"/>
      <c r="BF111" s="562"/>
      <c r="BG111" s="562"/>
      <c r="BH111" s="562"/>
      <c r="BI111" s="562"/>
      <c r="BJ111" s="562"/>
      <c r="BK111" s="139"/>
    </row>
    <row r="112" spans="1:63" ht="5.15" customHeight="1" x14ac:dyDescent="0.35">
      <c r="A112" s="138"/>
      <c r="B112" s="561"/>
      <c r="C112" s="561"/>
      <c r="D112" s="579">
        <f>D117+5</f>
        <v>25</v>
      </c>
      <c r="E112" s="376"/>
      <c r="F112" s="91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562"/>
      <c r="AP112" s="562"/>
      <c r="AQ112" s="562"/>
      <c r="AR112" s="562"/>
      <c r="AS112" s="562"/>
      <c r="AT112" s="562"/>
      <c r="AU112" s="562"/>
      <c r="AV112" s="562"/>
      <c r="AW112" s="562"/>
      <c r="AX112" s="562"/>
      <c r="AY112" s="562"/>
      <c r="AZ112" s="562"/>
      <c r="BA112" s="562"/>
      <c r="BB112" s="562"/>
      <c r="BC112" s="562"/>
      <c r="BD112" s="562"/>
      <c r="BE112" s="562"/>
      <c r="BF112" s="562"/>
      <c r="BG112" s="562"/>
      <c r="BH112" s="562"/>
      <c r="BI112" s="562"/>
      <c r="BJ112" s="562"/>
      <c r="BK112" s="139"/>
    </row>
    <row r="113" spans="1:63" ht="5.15" customHeight="1" x14ac:dyDescent="0.35">
      <c r="A113" s="138"/>
      <c r="B113" s="561"/>
      <c r="C113" s="561"/>
      <c r="D113" s="579"/>
      <c r="E113" s="376"/>
      <c r="F113" s="91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562"/>
      <c r="AP113" s="562"/>
      <c r="AQ113" s="562"/>
      <c r="AR113" s="562"/>
      <c r="AS113" s="562"/>
      <c r="AT113" s="562"/>
      <c r="AU113" s="562"/>
      <c r="AV113" s="562"/>
      <c r="AW113" s="562"/>
      <c r="AX113" s="562"/>
      <c r="AY113" s="562"/>
      <c r="AZ113" s="562"/>
      <c r="BA113" s="562"/>
      <c r="BB113" s="562"/>
      <c r="BC113" s="562"/>
      <c r="BD113" s="562"/>
      <c r="BE113" s="562"/>
      <c r="BF113" s="562"/>
      <c r="BG113" s="562"/>
      <c r="BH113" s="562"/>
      <c r="BI113" s="562"/>
      <c r="BJ113" s="562"/>
      <c r="BK113" s="139"/>
    </row>
    <row r="114" spans="1:63" ht="5.15" customHeight="1" thickBot="1" x14ac:dyDescent="0.4">
      <c r="A114" s="138"/>
      <c r="B114" s="561"/>
      <c r="C114" s="561"/>
      <c r="D114" s="579"/>
      <c r="E114" s="376"/>
      <c r="F114" s="117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563"/>
      <c r="AP114" s="563"/>
      <c r="AQ114" s="563"/>
      <c r="AR114" s="563"/>
      <c r="AS114" s="563"/>
      <c r="AT114" s="563"/>
      <c r="AU114" s="563"/>
      <c r="AV114" s="563"/>
      <c r="AW114" s="563"/>
      <c r="AX114" s="563"/>
      <c r="AY114" s="563"/>
      <c r="AZ114" s="563"/>
      <c r="BA114" s="563"/>
      <c r="BB114" s="563"/>
      <c r="BC114" s="563"/>
      <c r="BD114" s="563"/>
      <c r="BE114" s="563"/>
      <c r="BF114" s="563"/>
      <c r="BG114" s="563"/>
      <c r="BH114" s="563"/>
      <c r="BI114" s="563"/>
      <c r="BJ114" s="563"/>
      <c r="BK114" s="140"/>
    </row>
    <row r="115" spans="1:63" ht="5.15" customHeight="1" x14ac:dyDescent="0.45">
      <c r="A115" s="138"/>
      <c r="B115" s="561"/>
      <c r="C115" s="561"/>
      <c r="D115" s="580"/>
      <c r="E115" s="580"/>
      <c r="F115" s="115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564"/>
      <c r="AP115" s="564"/>
      <c r="AQ115" s="564"/>
      <c r="AR115" s="564"/>
      <c r="AS115" s="564"/>
      <c r="AT115" s="564"/>
      <c r="AU115" s="564"/>
      <c r="AV115" s="564"/>
      <c r="AW115" s="564"/>
      <c r="AX115" s="564"/>
      <c r="AY115" s="564"/>
      <c r="AZ115" s="564"/>
      <c r="BA115" s="564"/>
      <c r="BB115" s="564"/>
      <c r="BC115" s="564"/>
      <c r="BD115" s="564"/>
      <c r="BE115" s="564"/>
      <c r="BF115" s="564"/>
      <c r="BG115" s="564"/>
      <c r="BH115" s="564"/>
      <c r="BI115" s="564"/>
      <c r="BJ115" s="564"/>
      <c r="BK115" s="141"/>
    </row>
    <row r="116" spans="1:63" ht="5.15" customHeight="1" x14ac:dyDescent="0.45">
      <c r="A116" s="138"/>
      <c r="B116" s="561"/>
      <c r="C116" s="561"/>
      <c r="D116" s="580"/>
      <c r="E116" s="580"/>
      <c r="F116" s="91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562"/>
      <c r="AP116" s="562"/>
      <c r="AQ116" s="562"/>
      <c r="AR116" s="562"/>
      <c r="AS116" s="562"/>
      <c r="AT116" s="562"/>
      <c r="AU116" s="562"/>
      <c r="AV116" s="562"/>
      <c r="AW116" s="562"/>
      <c r="AX116" s="562"/>
      <c r="AY116" s="562"/>
      <c r="AZ116" s="562"/>
      <c r="BA116" s="562"/>
      <c r="BB116" s="562"/>
      <c r="BC116" s="562"/>
      <c r="BD116" s="562"/>
      <c r="BE116" s="562"/>
      <c r="BF116" s="562"/>
      <c r="BG116" s="562"/>
      <c r="BH116" s="562"/>
      <c r="BI116" s="562"/>
      <c r="BJ116" s="562"/>
      <c r="BK116" s="139"/>
    </row>
    <row r="117" spans="1:63" ht="5.15" customHeight="1" x14ac:dyDescent="0.35">
      <c r="A117" s="138"/>
      <c r="B117" s="561"/>
      <c r="C117" s="561"/>
      <c r="D117" s="579">
        <f>D122+5</f>
        <v>20</v>
      </c>
      <c r="E117" s="376"/>
      <c r="F117" s="91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562"/>
      <c r="AP117" s="562"/>
      <c r="AQ117" s="562"/>
      <c r="AR117" s="562"/>
      <c r="AS117" s="562"/>
      <c r="AT117" s="562"/>
      <c r="AU117" s="562"/>
      <c r="AV117" s="562"/>
      <c r="AW117" s="562"/>
      <c r="AX117" s="562"/>
      <c r="AY117" s="562"/>
      <c r="AZ117" s="562"/>
      <c r="BA117" s="562"/>
      <c r="BB117" s="562"/>
      <c r="BC117" s="562"/>
      <c r="BD117" s="562"/>
      <c r="BE117" s="562"/>
      <c r="BF117" s="562"/>
      <c r="BG117" s="562"/>
      <c r="BH117" s="562"/>
      <c r="BI117" s="562"/>
      <c r="BJ117" s="562"/>
      <c r="BK117" s="139"/>
    </row>
    <row r="118" spans="1:63" ht="5.15" customHeight="1" x14ac:dyDescent="0.35">
      <c r="A118" s="138"/>
      <c r="B118" s="561"/>
      <c r="C118" s="561"/>
      <c r="D118" s="579"/>
      <c r="E118" s="376"/>
      <c r="F118" s="91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562"/>
      <c r="AP118" s="562"/>
      <c r="AQ118" s="562"/>
      <c r="AR118" s="562"/>
      <c r="AS118" s="562"/>
      <c r="AT118" s="562"/>
      <c r="AU118" s="562"/>
      <c r="AV118" s="562"/>
      <c r="AW118" s="562"/>
      <c r="AX118" s="562"/>
      <c r="AY118" s="562"/>
      <c r="AZ118" s="562"/>
      <c r="BA118" s="562"/>
      <c r="BB118" s="562"/>
      <c r="BC118" s="562"/>
      <c r="BD118" s="562"/>
      <c r="BE118" s="562"/>
      <c r="BF118" s="562"/>
      <c r="BG118" s="562"/>
      <c r="BH118" s="562"/>
      <c r="BI118" s="562"/>
      <c r="BJ118" s="562"/>
      <c r="BK118" s="139"/>
    </row>
    <row r="119" spans="1:63" ht="5.15" customHeight="1" thickBot="1" x14ac:dyDescent="0.4">
      <c r="A119" s="138"/>
      <c r="B119" s="561"/>
      <c r="C119" s="561"/>
      <c r="D119" s="579"/>
      <c r="E119" s="376"/>
      <c r="F119" s="117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563"/>
      <c r="AP119" s="563"/>
      <c r="AQ119" s="563"/>
      <c r="AR119" s="563"/>
      <c r="AS119" s="563"/>
      <c r="AT119" s="563"/>
      <c r="AU119" s="563"/>
      <c r="AV119" s="563"/>
      <c r="AW119" s="563"/>
      <c r="AX119" s="563"/>
      <c r="AY119" s="563"/>
      <c r="AZ119" s="563"/>
      <c r="BA119" s="563"/>
      <c r="BB119" s="563"/>
      <c r="BC119" s="563"/>
      <c r="BD119" s="563"/>
      <c r="BE119" s="563"/>
      <c r="BF119" s="563"/>
      <c r="BG119" s="563"/>
      <c r="BH119" s="563"/>
      <c r="BI119" s="563"/>
      <c r="BJ119" s="563"/>
      <c r="BK119" s="140"/>
    </row>
    <row r="120" spans="1:63" ht="5.15" customHeight="1" x14ac:dyDescent="0.45">
      <c r="A120" s="138"/>
      <c r="B120" s="561"/>
      <c r="C120" s="561"/>
      <c r="D120" s="580"/>
      <c r="E120" s="580"/>
      <c r="F120" s="115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564"/>
      <c r="AP120" s="564"/>
      <c r="AQ120" s="564"/>
      <c r="AR120" s="564"/>
      <c r="AS120" s="564"/>
      <c r="AT120" s="564"/>
      <c r="AU120" s="564"/>
      <c r="AV120" s="564"/>
      <c r="AW120" s="564"/>
      <c r="AX120" s="564"/>
      <c r="AY120" s="564"/>
      <c r="AZ120" s="564"/>
      <c r="BA120" s="564"/>
      <c r="BB120" s="564"/>
      <c r="BC120" s="564"/>
      <c r="BD120" s="564"/>
      <c r="BE120" s="564"/>
      <c r="BF120" s="564"/>
      <c r="BG120" s="564"/>
      <c r="BH120" s="564"/>
      <c r="BI120" s="564"/>
      <c r="BJ120" s="564"/>
      <c r="BK120" s="141"/>
    </row>
    <row r="121" spans="1:63" ht="5.15" customHeight="1" x14ac:dyDescent="0.45">
      <c r="A121" s="138"/>
      <c r="B121" s="561"/>
      <c r="C121" s="561"/>
      <c r="D121" s="580"/>
      <c r="E121" s="580"/>
      <c r="F121" s="91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562"/>
      <c r="AP121" s="562"/>
      <c r="AQ121" s="562"/>
      <c r="AR121" s="562"/>
      <c r="AS121" s="562"/>
      <c r="AT121" s="562"/>
      <c r="AU121" s="562"/>
      <c r="AV121" s="562"/>
      <c r="AW121" s="562"/>
      <c r="AX121" s="562"/>
      <c r="AY121" s="562"/>
      <c r="AZ121" s="562"/>
      <c r="BA121" s="562"/>
      <c r="BB121" s="562"/>
      <c r="BC121" s="562"/>
      <c r="BD121" s="562"/>
      <c r="BE121" s="562"/>
      <c r="BF121" s="562"/>
      <c r="BG121" s="562"/>
      <c r="BH121" s="562"/>
      <c r="BI121" s="562"/>
      <c r="BJ121" s="562"/>
      <c r="BK121" s="139"/>
    </row>
    <row r="122" spans="1:63" ht="5.15" customHeight="1" x14ac:dyDescent="0.35">
      <c r="A122" s="138"/>
      <c r="B122" s="561"/>
      <c r="C122" s="561"/>
      <c r="D122" s="579">
        <f>D127+5</f>
        <v>15</v>
      </c>
      <c r="E122" s="376"/>
      <c r="F122" s="91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562"/>
      <c r="AP122" s="562"/>
      <c r="AQ122" s="562"/>
      <c r="AR122" s="562"/>
      <c r="AS122" s="562"/>
      <c r="AT122" s="562"/>
      <c r="AU122" s="562"/>
      <c r="AV122" s="562"/>
      <c r="AW122" s="562"/>
      <c r="AX122" s="562"/>
      <c r="AY122" s="562"/>
      <c r="AZ122" s="562"/>
      <c r="BA122" s="562"/>
      <c r="BB122" s="562"/>
      <c r="BC122" s="562"/>
      <c r="BD122" s="562"/>
      <c r="BE122" s="562"/>
      <c r="BF122" s="562"/>
      <c r="BG122" s="562"/>
      <c r="BH122" s="562"/>
      <c r="BI122" s="562"/>
      <c r="BJ122" s="562"/>
      <c r="BK122" s="139"/>
    </row>
    <row r="123" spans="1:63" ht="5.15" customHeight="1" x14ac:dyDescent="0.35">
      <c r="A123" s="138"/>
      <c r="B123" s="561"/>
      <c r="C123" s="561"/>
      <c r="D123" s="579"/>
      <c r="E123" s="376"/>
      <c r="F123" s="91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562"/>
      <c r="AP123" s="562"/>
      <c r="AQ123" s="562"/>
      <c r="AR123" s="562"/>
      <c r="AS123" s="562"/>
      <c r="AT123" s="562"/>
      <c r="AU123" s="562"/>
      <c r="AV123" s="562"/>
      <c r="AW123" s="562"/>
      <c r="AX123" s="562"/>
      <c r="AY123" s="562"/>
      <c r="AZ123" s="562"/>
      <c r="BA123" s="562"/>
      <c r="BB123" s="562"/>
      <c r="BC123" s="562"/>
      <c r="BD123" s="562"/>
      <c r="BE123" s="562"/>
      <c r="BF123" s="562"/>
      <c r="BG123" s="562"/>
      <c r="BH123" s="562"/>
      <c r="BI123" s="562"/>
      <c r="BJ123" s="562"/>
      <c r="BK123" s="139"/>
    </row>
    <row r="124" spans="1:63" ht="5.15" customHeight="1" thickBot="1" x14ac:dyDescent="0.4">
      <c r="A124" s="138"/>
      <c r="B124" s="561"/>
      <c r="C124" s="561"/>
      <c r="D124" s="579"/>
      <c r="E124" s="376"/>
      <c r="F124" s="117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563"/>
      <c r="AP124" s="563"/>
      <c r="AQ124" s="563"/>
      <c r="AR124" s="563"/>
      <c r="AS124" s="563"/>
      <c r="AT124" s="563"/>
      <c r="AU124" s="563"/>
      <c r="AV124" s="563"/>
      <c r="AW124" s="563"/>
      <c r="AX124" s="563"/>
      <c r="AY124" s="563"/>
      <c r="AZ124" s="563"/>
      <c r="BA124" s="563"/>
      <c r="BB124" s="563"/>
      <c r="BC124" s="563"/>
      <c r="BD124" s="563"/>
      <c r="BE124" s="563"/>
      <c r="BF124" s="563"/>
      <c r="BG124" s="563"/>
      <c r="BH124" s="563"/>
      <c r="BI124" s="563"/>
      <c r="BJ124" s="563"/>
      <c r="BK124" s="140"/>
    </row>
    <row r="125" spans="1:63" ht="5.15" customHeight="1" x14ac:dyDescent="0.45">
      <c r="A125" s="138"/>
      <c r="B125" s="561"/>
      <c r="C125" s="561"/>
      <c r="D125" s="580"/>
      <c r="E125" s="580"/>
      <c r="F125" s="115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564"/>
      <c r="AP125" s="564"/>
      <c r="AQ125" s="564"/>
      <c r="AR125" s="564"/>
      <c r="AS125" s="564"/>
      <c r="AT125" s="564"/>
      <c r="AU125" s="564"/>
      <c r="AV125" s="564"/>
      <c r="AW125" s="564"/>
      <c r="AX125" s="564"/>
      <c r="AY125" s="564"/>
      <c r="AZ125" s="564"/>
      <c r="BA125" s="564"/>
      <c r="BB125" s="564"/>
      <c r="BC125" s="564"/>
      <c r="BD125" s="564"/>
      <c r="BE125" s="564"/>
      <c r="BF125" s="564"/>
      <c r="BG125" s="564"/>
      <c r="BH125" s="564"/>
      <c r="BI125" s="564"/>
      <c r="BJ125" s="564"/>
      <c r="BK125" s="141"/>
    </row>
    <row r="126" spans="1:63" ht="5.15" customHeight="1" x14ac:dyDescent="0.45">
      <c r="A126" s="138"/>
      <c r="B126" s="561"/>
      <c r="C126" s="561"/>
      <c r="D126" s="580"/>
      <c r="E126" s="580"/>
      <c r="F126" s="91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562"/>
      <c r="AP126" s="562"/>
      <c r="AQ126" s="562"/>
      <c r="AR126" s="562"/>
      <c r="AS126" s="562"/>
      <c r="AT126" s="562"/>
      <c r="AU126" s="562"/>
      <c r="AV126" s="562"/>
      <c r="AW126" s="562"/>
      <c r="AX126" s="562"/>
      <c r="AY126" s="562"/>
      <c r="AZ126" s="562"/>
      <c r="BA126" s="562"/>
      <c r="BB126" s="562"/>
      <c r="BC126" s="562"/>
      <c r="BD126" s="562"/>
      <c r="BE126" s="562"/>
      <c r="BF126" s="562"/>
      <c r="BG126" s="562"/>
      <c r="BH126" s="562"/>
      <c r="BI126" s="562"/>
      <c r="BJ126" s="562"/>
      <c r="BK126" s="139"/>
    </row>
    <row r="127" spans="1:63" ht="5.15" customHeight="1" x14ac:dyDescent="0.35">
      <c r="A127" s="138"/>
      <c r="B127" s="561"/>
      <c r="C127" s="561"/>
      <c r="D127" s="579">
        <f>D132+5</f>
        <v>10</v>
      </c>
      <c r="E127" s="376"/>
      <c r="F127" s="91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562"/>
      <c r="AP127" s="562"/>
      <c r="AQ127" s="562"/>
      <c r="AR127" s="562"/>
      <c r="AS127" s="562"/>
      <c r="AT127" s="562"/>
      <c r="AU127" s="562"/>
      <c r="AV127" s="562"/>
      <c r="AW127" s="562"/>
      <c r="AX127" s="562"/>
      <c r="AY127" s="562"/>
      <c r="AZ127" s="562"/>
      <c r="BA127" s="562"/>
      <c r="BB127" s="562"/>
      <c r="BC127" s="562"/>
      <c r="BD127" s="562"/>
      <c r="BE127" s="562"/>
      <c r="BF127" s="562"/>
      <c r="BG127" s="562"/>
      <c r="BH127" s="562"/>
      <c r="BI127" s="562"/>
      <c r="BJ127" s="562"/>
      <c r="BK127" s="139"/>
    </row>
    <row r="128" spans="1:63" ht="5.15" customHeight="1" x14ac:dyDescent="0.35">
      <c r="A128" s="138"/>
      <c r="B128" s="561"/>
      <c r="C128" s="561"/>
      <c r="D128" s="579"/>
      <c r="E128" s="376"/>
      <c r="F128" s="91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562"/>
      <c r="AP128" s="562"/>
      <c r="AQ128" s="562"/>
      <c r="AR128" s="562"/>
      <c r="AS128" s="562"/>
      <c r="AT128" s="562"/>
      <c r="AU128" s="562"/>
      <c r="AV128" s="562"/>
      <c r="AW128" s="562"/>
      <c r="AX128" s="562"/>
      <c r="AY128" s="562"/>
      <c r="AZ128" s="562"/>
      <c r="BA128" s="562"/>
      <c r="BB128" s="562"/>
      <c r="BC128" s="562"/>
      <c r="BD128" s="562"/>
      <c r="BE128" s="562"/>
      <c r="BF128" s="562"/>
      <c r="BG128" s="562"/>
      <c r="BH128" s="562"/>
      <c r="BI128" s="562"/>
      <c r="BJ128" s="562"/>
      <c r="BK128" s="139"/>
    </row>
    <row r="129" spans="1:63" ht="5.15" customHeight="1" thickBot="1" x14ac:dyDescent="0.4">
      <c r="A129" s="138"/>
      <c r="B129" s="561"/>
      <c r="C129" s="561"/>
      <c r="D129" s="579"/>
      <c r="E129" s="376"/>
      <c r="F129" s="117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563"/>
      <c r="AP129" s="563"/>
      <c r="AQ129" s="563"/>
      <c r="AR129" s="563"/>
      <c r="AS129" s="563"/>
      <c r="AT129" s="563"/>
      <c r="AU129" s="563"/>
      <c r="AV129" s="563"/>
      <c r="AW129" s="563"/>
      <c r="AX129" s="563"/>
      <c r="AY129" s="563"/>
      <c r="AZ129" s="563"/>
      <c r="BA129" s="563"/>
      <c r="BB129" s="563"/>
      <c r="BC129" s="563"/>
      <c r="BD129" s="563"/>
      <c r="BE129" s="563"/>
      <c r="BF129" s="563"/>
      <c r="BG129" s="563"/>
      <c r="BH129" s="563"/>
      <c r="BI129" s="563"/>
      <c r="BJ129" s="563"/>
      <c r="BK129" s="140"/>
    </row>
    <row r="130" spans="1:63" ht="5.15" customHeight="1" x14ac:dyDescent="0.45">
      <c r="A130" s="138"/>
      <c r="B130" s="561"/>
      <c r="C130" s="561"/>
      <c r="D130" s="580"/>
      <c r="E130" s="580"/>
      <c r="F130" s="115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564"/>
      <c r="AP130" s="564"/>
      <c r="AQ130" s="564"/>
      <c r="AR130" s="564"/>
      <c r="AS130" s="564"/>
      <c r="AT130" s="564"/>
      <c r="AU130" s="564"/>
      <c r="AV130" s="564"/>
      <c r="AW130" s="564"/>
      <c r="AX130" s="564"/>
      <c r="AY130" s="564"/>
      <c r="AZ130" s="564"/>
      <c r="BA130" s="564"/>
      <c r="BB130" s="564"/>
      <c r="BC130" s="564"/>
      <c r="BD130" s="564"/>
      <c r="BE130" s="564"/>
      <c r="BF130" s="564"/>
      <c r="BG130" s="564"/>
      <c r="BH130" s="564"/>
      <c r="BI130" s="564"/>
      <c r="BJ130" s="564"/>
      <c r="BK130" s="141"/>
    </row>
    <row r="131" spans="1:63" ht="5.15" customHeight="1" x14ac:dyDescent="0.45">
      <c r="A131" s="138"/>
      <c r="B131" s="561"/>
      <c r="C131" s="561"/>
      <c r="D131" s="580"/>
      <c r="E131" s="580"/>
      <c r="F131" s="91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562"/>
      <c r="AP131" s="562"/>
      <c r="AQ131" s="562"/>
      <c r="AR131" s="562"/>
      <c r="AS131" s="562"/>
      <c r="AT131" s="562"/>
      <c r="AU131" s="562"/>
      <c r="AV131" s="562"/>
      <c r="AW131" s="562"/>
      <c r="AX131" s="562"/>
      <c r="AY131" s="562"/>
      <c r="AZ131" s="562"/>
      <c r="BA131" s="562"/>
      <c r="BB131" s="562"/>
      <c r="BC131" s="562"/>
      <c r="BD131" s="562"/>
      <c r="BE131" s="562"/>
      <c r="BF131" s="562"/>
      <c r="BG131" s="562"/>
      <c r="BH131" s="562"/>
      <c r="BI131" s="562"/>
      <c r="BJ131" s="562"/>
      <c r="BK131" s="139"/>
    </row>
    <row r="132" spans="1:63" ht="5.15" customHeight="1" x14ac:dyDescent="0.35">
      <c r="A132" s="138"/>
      <c r="B132" s="561"/>
      <c r="C132" s="561"/>
      <c r="D132" s="579">
        <f>D137+5</f>
        <v>5</v>
      </c>
      <c r="E132" s="376"/>
      <c r="F132" s="91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562"/>
      <c r="AP132" s="562"/>
      <c r="AQ132" s="562"/>
      <c r="AR132" s="562"/>
      <c r="AS132" s="562"/>
      <c r="AT132" s="562"/>
      <c r="AU132" s="562"/>
      <c r="AV132" s="562"/>
      <c r="AW132" s="562"/>
      <c r="AX132" s="562"/>
      <c r="AY132" s="562"/>
      <c r="AZ132" s="562"/>
      <c r="BA132" s="562"/>
      <c r="BB132" s="562"/>
      <c r="BC132" s="562"/>
      <c r="BD132" s="562"/>
      <c r="BE132" s="562"/>
      <c r="BF132" s="562"/>
      <c r="BG132" s="562"/>
      <c r="BH132" s="562"/>
      <c r="BI132" s="562"/>
      <c r="BJ132" s="562"/>
      <c r="BK132" s="139"/>
    </row>
    <row r="133" spans="1:63" ht="5.15" customHeight="1" x14ac:dyDescent="0.35">
      <c r="A133" s="138"/>
      <c r="B133" s="561"/>
      <c r="C133" s="561"/>
      <c r="D133" s="579"/>
      <c r="E133" s="376"/>
      <c r="F133" s="91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562"/>
      <c r="AP133" s="562"/>
      <c r="AQ133" s="562"/>
      <c r="AR133" s="562"/>
      <c r="AS133" s="562"/>
      <c r="AT133" s="562"/>
      <c r="AU133" s="562"/>
      <c r="AV133" s="562"/>
      <c r="AW133" s="562"/>
      <c r="AX133" s="562"/>
      <c r="AY133" s="562"/>
      <c r="AZ133" s="562"/>
      <c r="BA133" s="562"/>
      <c r="BB133" s="562"/>
      <c r="BC133" s="562"/>
      <c r="BD133" s="562"/>
      <c r="BE133" s="562"/>
      <c r="BF133" s="562"/>
      <c r="BG133" s="562"/>
      <c r="BH133" s="562"/>
      <c r="BI133" s="562"/>
      <c r="BJ133" s="562"/>
      <c r="BK133" s="139"/>
    </row>
    <row r="134" spans="1:63" ht="5.15" customHeight="1" thickBot="1" x14ac:dyDescent="0.4">
      <c r="A134" s="138"/>
      <c r="B134" s="561"/>
      <c r="C134" s="561"/>
      <c r="D134" s="579"/>
      <c r="E134" s="376"/>
      <c r="F134" s="117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563"/>
      <c r="AP134" s="563"/>
      <c r="AQ134" s="563"/>
      <c r="AR134" s="563"/>
      <c r="AS134" s="563"/>
      <c r="AT134" s="563"/>
      <c r="AU134" s="563"/>
      <c r="AV134" s="563"/>
      <c r="AW134" s="563"/>
      <c r="AX134" s="563"/>
      <c r="AY134" s="563"/>
      <c r="AZ134" s="563"/>
      <c r="BA134" s="563"/>
      <c r="BB134" s="563"/>
      <c r="BC134" s="563"/>
      <c r="BD134" s="563"/>
      <c r="BE134" s="563"/>
      <c r="BF134" s="563"/>
      <c r="BG134" s="563"/>
      <c r="BH134" s="563"/>
      <c r="BI134" s="563"/>
      <c r="BJ134" s="563"/>
      <c r="BK134" s="140"/>
    </row>
    <row r="135" spans="1:63" ht="5.15" customHeight="1" x14ac:dyDescent="0.45">
      <c r="A135" s="138"/>
      <c r="B135" s="561"/>
      <c r="C135" s="561"/>
      <c r="D135" s="580"/>
      <c r="E135" s="119"/>
      <c r="F135" s="115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564"/>
      <c r="AP135" s="564"/>
      <c r="AQ135" s="564"/>
      <c r="AR135" s="564"/>
      <c r="AS135" s="564"/>
      <c r="AT135" s="564"/>
      <c r="AU135" s="564"/>
      <c r="AV135" s="564"/>
      <c r="AW135" s="564"/>
      <c r="AX135" s="564"/>
      <c r="AY135" s="564"/>
      <c r="AZ135" s="564"/>
      <c r="BA135" s="564"/>
      <c r="BB135" s="564"/>
      <c r="BC135" s="564"/>
      <c r="BD135" s="564"/>
      <c r="BE135" s="564"/>
      <c r="BF135" s="564"/>
      <c r="BG135" s="564"/>
      <c r="BH135" s="564"/>
      <c r="BI135" s="564"/>
      <c r="BJ135" s="564"/>
      <c r="BK135" s="141"/>
    </row>
    <row r="136" spans="1:63" ht="5.15" customHeight="1" x14ac:dyDescent="0.45">
      <c r="A136" s="138"/>
      <c r="B136" s="561"/>
      <c r="C136" s="561"/>
      <c r="D136" s="580"/>
      <c r="E136" s="119"/>
      <c r="F136" s="91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562"/>
      <c r="AP136" s="562"/>
      <c r="AQ136" s="562"/>
      <c r="AR136" s="562"/>
      <c r="AS136" s="562"/>
      <c r="AT136" s="562"/>
      <c r="AU136" s="562"/>
      <c r="AV136" s="562"/>
      <c r="AW136" s="562"/>
      <c r="AX136" s="562"/>
      <c r="AY136" s="562"/>
      <c r="AZ136" s="562"/>
      <c r="BA136" s="562"/>
      <c r="BB136" s="562"/>
      <c r="BC136" s="562"/>
      <c r="BD136" s="562"/>
      <c r="BE136" s="562"/>
      <c r="BF136" s="562"/>
      <c r="BG136" s="562"/>
      <c r="BH136" s="562"/>
      <c r="BI136" s="562"/>
      <c r="BJ136" s="562"/>
      <c r="BK136" s="139"/>
    </row>
    <row r="137" spans="1:63" ht="5.15" customHeight="1" x14ac:dyDescent="0.35">
      <c r="A137" s="138"/>
      <c r="B137" s="561"/>
      <c r="C137" s="561"/>
      <c r="D137" s="579">
        <v>0</v>
      </c>
      <c r="E137" s="376"/>
      <c r="F137" s="91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562"/>
      <c r="AP137" s="562"/>
      <c r="AQ137" s="562"/>
      <c r="AR137" s="562"/>
      <c r="AS137" s="562"/>
      <c r="AT137" s="562"/>
      <c r="AU137" s="562"/>
      <c r="AV137" s="562"/>
      <c r="AW137" s="562"/>
      <c r="AX137" s="562"/>
      <c r="AY137" s="562"/>
      <c r="AZ137" s="562"/>
      <c r="BA137" s="562"/>
      <c r="BB137" s="562"/>
      <c r="BC137" s="562"/>
      <c r="BD137" s="562"/>
      <c r="BE137" s="562"/>
      <c r="BF137" s="562"/>
      <c r="BG137" s="562"/>
      <c r="BH137" s="562"/>
      <c r="BI137" s="562"/>
      <c r="BJ137" s="562"/>
      <c r="BK137" s="139"/>
    </row>
    <row r="138" spans="1:63" ht="5.15" customHeight="1" x14ac:dyDescent="0.35">
      <c r="A138" s="138"/>
      <c r="B138" s="561"/>
      <c r="C138" s="561"/>
      <c r="D138" s="579"/>
      <c r="E138" s="376"/>
      <c r="F138" s="91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562"/>
      <c r="AP138" s="562"/>
      <c r="AQ138" s="562"/>
      <c r="AR138" s="562"/>
      <c r="AS138" s="562"/>
      <c r="AT138" s="562"/>
      <c r="AU138" s="562"/>
      <c r="AV138" s="562"/>
      <c r="AW138" s="562"/>
      <c r="AX138" s="562"/>
      <c r="AY138" s="562"/>
      <c r="AZ138" s="562"/>
      <c r="BA138" s="562"/>
      <c r="BB138" s="562"/>
      <c r="BC138" s="562"/>
      <c r="BD138" s="562"/>
      <c r="BE138" s="562"/>
      <c r="BF138" s="562"/>
      <c r="BG138" s="562"/>
      <c r="BH138" s="562"/>
      <c r="BI138" s="562"/>
      <c r="BJ138" s="562"/>
      <c r="BK138" s="139"/>
    </row>
    <row r="139" spans="1:63" ht="5.15" customHeight="1" thickBot="1" x14ac:dyDescent="0.4">
      <c r="A139" s="138"/>
      <c r="B139" s="561"/>
      <c r="C139" s="561"/>
      <c r="D139" s="579"/>
      <c r="E139" s="376"/>
      <c r="F139" s="117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563"/>
      <c r="AP139" s="563"/>
      <c r="AQ139" s="563"/>
      <c r="AR139" s="563"/>
      <c r="AS139" s="563"/>
      <c r="AT139" s="563"/>
      <c r="AU139" s="563"/>
      <c r="AV139" s="563"/>
      <c r="AW139" s="563"/>
      <c r="AX139" s="563"/>
      <c r="AY139" s="563"/>
      <c r="AZ139" s="563"/>
      <c r="BA139" s="563"/>
      <c r="BB139" s="563"/>
      <c r="BC139" s="563"/>
      <c r="BD139" s="563"/>
      <c r="BE139" s="563"/>
      <c r="BF139" s="563"/>
      <c r="BG139" s="563"/>
      <c r="BH139" s="563"/>
      <c r="BI139" s="563"/>
      <c r="BJ139" s="563"/>
      <c r="BK139" s="140"/>
    </row>
    <row r="140" spans="1:63" ht="5.15" customHeight="1" x14ac:dyDescent="0.35">
      <c r="A140" s="138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61"/>
      <c r="AB140" s="561"/>
      <c r="AC140" s="561"/>
      <c r="AD140" s="561"/>
      <c r="AE140" s="561"/>
      <c r="AF140" s="561"/>
      <c r="AG140" s="561"/>
      <c r="AH140" s="561"/>
      <c r="AI140" s="561"/>
      <c r="AJ140" s="561"/>
      <c r="AK140" s="561"/>
      <c r="AL140" s="561"/>
      <c r="AM140" s="561"/>
      <c r="AN140" s="561"/>
      <c r="AO140" s="561"/>
      <c r="AP140" s="561"/>
      <c r="AQ140" s="561"/>
      <c r="AR140" s="561"/>
      <c r="AS140" s="561"/>
      <c r="AT140" s="561"/>
      <c r="AU140" s="561"/>
      <c r="AV140" s="561"/>
      <c r="AW140" s="561"/>
      <c r="AX140" s="561"/>
      <c r="AY140" s="561"/>
      <c r="AZ140" s="561"/>
      <c r="BA140" s="561"/>
      <c r="BB140" s="561"/>
      <c r="BC140" s="561"/>
      <c r="BD140" s="561"/>
      <c r="BE140" s="561"/>
      <c r="BF140" s="561"/>
      <c r="BG140" s="561"/>
      <c r="BH140" s="561"/>
      <c r="BI140" s="561"/>
      <c r="BJ140" s="561"/>
      <c r="BK140" s="137"/>
    </row>
    <row r="141" spans="1:63" ht="5.15" customHeight="1" x14ac:dyDescent="0.35">
      <c r="A141" s="138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61"/>
      <c r="AB141" s="561"/>
      <c r="AC141" s="561"/>
      <c r="AD141" s="561"/>
      <c r="AE141" s="561"/>
      <c r="AF141" s="561"/>
      <c r="AG141" s="561"/>
      <c r="AH141" s="561"/>
      <c r="AI141" s="561"/>
      <c r="AJ141" s="561"/>
      <c r="AK141" s="561"/>
      <c r="AL141" s="561"/>
      <c r="AM141" s="561"/>
      <c r="AN141" s="561"/>
      <c r="AO141" s="561"/>
      <c r="AP141" s="561"/>
      <c r="AQ141" s="561"/>
      <c r="AR141" s="561"/>
      <c r="AS141" s="561"/>
      <c r="AT141" s="561"/>
      <c r="AU141" s="561"/>
      <c r="AV141" s="561"/>
      <c r="AW141" s="561"/>
      <c r="AX141" s="561"/>
      <c r="AY141" s="561"/>
      <c r="AZ141" s="561"/>
      <c r="BA141" s="561"/>
      <c r="BB141" s="561"/>
      <c r="BC141" s="561"/>
      <c r="BD141" s="561"/>
      <c r="BE141" s="561"/>
      <c r="BF141" s="561"/>
      <c r="BG141" s="561"/>
      <c r="BH141" s="561"/>
      <c r="BI141" s="561"/>
      <c r="BJ141" s="561"/>
      <c r="BK141" s="137"/>
    </row>
    <row r="142" spans="1:63" ht="5.15" customHeight="1" x14ac:dyDescent="0.35">
      <c r="A142" s="138"/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61"/>
      <c r="AB142" s="561"/>
      <c r="AC142" s="561"/>
      <c r="AD142" s="561"/>
      <c r="AE142" s="561"/>
      <c r="AF142" s="561"/>
      <c r="AG142" s="561"/>
      <c r="AH142" s="561"/>
      <c r="AI142" s="561"/>
      <c r="AJ142" s="561"/>
      <c r="AK142" s="561"/>
      <c r="AL142" s="561"/>
      <c r="AM142" s="561"/>
      <c r="AN142" s="561"/>
      <c r="AO142" s="561"/>
      <c r="AP142" s="561"/>
      <c r="AQ142" s="561"/>
      <c r="AR142" s="561"/>
      <c r="AS142" s="561"/>
      <c r="AT142" s="561"/>
      <c r="AU142" s="561"/>
      <c r="AV142" s="561"/>
      <c r="AW142" s="561"/>
      <c r="AX142" s="561"/>
      <c r="AY142" s="561"/>
      <c r="AZ142" s="561"/>
      <c r="BA142" s="561"/>
      <c r="BB142" s="561"/>
      <c r="BC142" s="561"/>
      <c r="BD142" s="561"/>
      <c r="BE142" s="561"/>
      <c r="BF142" s="561"/>
      <c r="BG142" s="561"/>
      <c r="BH142" s="561"/>
      <c r="BI142" s="561"/>
      <c r="BJ142" s="561"/>
      <c r="BK142" s="137"/>
    </row>
    <row r="143" spans="1:63" ht="5.15" customHeight="1" x14ac:dyDescent="0.35">
      <c r="A143" s="138"/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61"/>
      <c r="AB143" s="561"/>
      <c r="AC143" s="561"/>
      <c r="AD143" s="561"/>
      <c r="AE143" s="561"/>
      <c r="AF143" s="561"/>
      <c r="AG143" s="561"/>
      <c r="AH143" s="561"/>
      <c r="AI143" s="561"/>
      <c r="AJ143" s="561"/>
      <c r="AK143" s="561"/>
      <c r="AL143" s="561"/>
      <c r="AM143" s="561"/>
      <c r="AN143" s="561"/>
      <c r="AO143" s="561"/>
      <c r="AP143" s="561"/>
      <c r="AQ143" s="561"/>
      <c r="AR143" s="561"/>
      <c r="AS143" s="561"/>
      <c r="AT143" s="561"/>
      <c r="AU143" s="561"/>
      <c r="AV143" s="561"/>
      <c r="AW143" s="561"/>
      <c r="AX143" s="561"/>
      <c r="AY143" s="561"/>
      <c r="AZ143" s="561"/>
      <c r="BA143" s="561"/>
      <c r="BB143" s="561"/>
      <c r="BC143" s="561"/>
      <c r="BD143" s="561"/>
      <c r="BE143" s="561"/>
      <c r="BF143" s="561"/>
      <c r="BG143" s="561"/>
      <c r="BH143" s="561"/>
      <c r="BI143" s="561"/>
      <c r="BJ143" s="561"/>
      <c r="BK143" s="137"/>
    </row>
    <row r="144" spans="1:63" ht="5.15" customHeight="1" x14ac:dyDescent="0.35">
      <c r="A144" s="138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1"/>
      <c r="P144" s="561"/>
      <c r="Q144" s="561"/>
      <c r="R144" s="561"/>
      <c r="S144" s="561"/>
      <c r="T144" s="561"/>
      <c r="U144" s="561"/>
      <c r="V144" s="561"/>
      <c r="W144" s="561"/>
      <c r="X144" s="561"/>
      <c r="Y144" s="561"/>
      <c r="Z144" s="561"/>
      <c r="AA144" s="561"/>
      <c r="AB144" s="561"/>
      <c r="AC144" s="561"/>
      <c r="AD144" s="561"/>
      <c r="AE144" s="561"/>
      <c r="AF144" s="561"/>
      <c r="AG144" s="561"/>
      <c r="AH144" s="561"/>
      <c r="AI144" s="561"/>
      <c r="AJ144" s="561"/>
      <c r="AK144" s="561"/>
      <c r="AL144" s="561"/>
      <c r="AM144" s="561"/>
      <c r="AN144" s="561"/>
      <c r="AO144" s="561"/>
      <c r="AP144" s="561"/>
      <c r="AQ144" s="561"/>
      <c r="AR144" s="561"/>
      <c r="AS144" s="561"/>
      <c r="AT144" s="561"/>
      <c r="AU144" s="561"/>
      <c r="AV144" s="561"/>
      <c r="AW144" s="561"/>
      <c r="AX144" s="561"/>
      <c r="AY144" s="561"/>
      <c r="AZ144" s="561"/>
      <c r="BA144" s="561"/>
      <c r="BB144" s="561"/>
      <c r="BC144" s="561"/>
      <c r="BD144" s="561"/>
      <c r="BE144" s="561"/>
      <c r="BF144" s="561"/>
      <c r="BG144" s="561"/>
      <c r="BH144" s="561"/>
      <c r="BI144" s="561"/>
      <c r="BJ144" s="561"/>
      <c r="BK144" s="137"/>
    </row>
    <row r="145" spans="1:63" ht="5.15" customHeight="1" x14ac:dyDescent="0.35">
      <c r="A145" s="138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1"/>
      <c r="P145" s="561"/>
      <c r="Q145" s="561"/>
      <c r="R145" s="561"/>
      <c r="S145" s="561"/>
      <c r="T145" s="561"/>
      <c r="U145" s="561"/>
      <c r="V145" s="561"/>
      <c r="W145" s="561"/>
      <c r="X145" s="561"/>
      <c r="Y145" s="561"/>
      <c r="Z145" s="561"/>
      <c r="AA145" s="561"/>
      <c r="AB145" s="561"/>
      <c r="AC145" s="561"/>
      <c r="AD145" s="561"/>
      <c r="AE145" s="561"/>
      <c r="AF145" s="561"/>
      <c r="AG145" s="561"/>
      <c r="AH145" s="561"/>
      <c r="AI145" s="561"/>
      <c r="AJ145" s="561"/>
      <c r="AK145" s="561"/>
      <c r="AL145" s="561"/>
      <c r="AM145" s="561"/>
      <c r="AN145" s="561"/>
      <c r="AO145" s="561"/>
      <c r="AP145" s="561"/>
      <c r="AQ145" s="561"/>
      <c r="AR145" s="561"/>
      <c r="AS145" s="561"/>
      <c r="AT145" s="561"/>
      <c r="AU145" s="561"/>
      <c r="AV145" s="561"/>
      <c r="AW145" s="561"/>
      <c r="AX145" s="561"/>
      <c r="AY145" s="561"/>
      <c r="AZ145" s="561"/>
      <c r="BA145" s="561"/>
      <c r="BB145" s="561"/>
      <c r="BC145" s="561"/>
      <c r="BD145" s="561"/>
      <c r="BE145" s="561"/>
      <c r="BF145" s="561"/>
      <c r="BG145" s="561"/>
      <c r="BH145" s="561"/>
      <c r="BI145" s="561"/>
      <c r="BJ145" s="561"/>
      <c r="BK145" s="137"/>
    </row>
    <row r="146" spans="1:63" ht="5.15" customHeight="1" x14ac:dyDescent="0.35">
      <c r="A146" s="138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61"/>
      <c r="AB146" s="561"/>
      <c r="AC146" s="561"/>
      <c r="AD146" s="561"/>
      <c r="AE146" s="561"/>
      <c r="AF146" s="561"/>
      <c r="AG146" s="561"/>
      <c r="AH146" s="561"/>
      <c r="AI146" s="561"/>
      <c r="AJ146" s="561"/>
      <c r="AK146" s="561"/>
      <c r="AL146" s="561"/>
      <c r="AM146" s="561"/>
      <c r="AN146" s="561"/>
      <c r="AO146" s="561"/>
      <c r="AP146" s="561"/>
      <c r="AQ146" s="561"/>
      <c r="AR146" s="561"/>
      <c r="AS146" s="561"/>
      <c r="AT146" s="561"/>
      <c r="AU146" s="561"/>
      <c r="AV146" s="561"/>
      <c r="AW146" s="561"/>
      <c r="AX146" s="561"/>
      <c r="AY146" s="561"/>
      <c r="AZ146" s="561"/>
      <c r="BA146" s="561"/>
      <c r="BB146" s="561"/>
      <c r="BC146" s="561"/>
      <c r="BD146" s="561"/>
      <c r="BE146" s="561"/>
      <c r="BF146" s="561"/>
      <c r="BG146" s="561"/>
      <c r="BH146" s="561"/>
      <c r="BI146" s="561"/>
      <c r="BJ146" s="561"/>
      <c r="BK146" s="137"/>
    </row>
    <row r="147" spans="1:63" ht="5.15" customHeight="1" x14ac:dyDescent="0.35">
      <c r="A147" s="138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1"/>
      <c r="P147" s="561"/>
      <c r="Q147" s="561"/>
      <c r="R147" s="561"/>
      <c r="S147" s="561"/>
      <c r="T147" s="561"/>
      <c r="U147" s="561"/>
      <c r="V147" s="561"/>
      <c r="W147" s="561"/>
      <c r="X147" s="561"/>
      <c r="Y147" s="561"/>
      <c r="Z147" s="561"/>
      <c r="AA147" s="561"/>
      <c r="AB147" s="561"/>
      <c r="AC147" s="561"/>
      <c r="AD147" s="561"/>
      <c r="AE147" s="561"/>
      <c r="AF147" s="561"/>
      <c r="AG147" s="561"/>
      <c r="AH147" s="561"/>
      <c r="AI147" s="561"/>
      <c r="AJ147" s="561"/>
      <c r="AK147" s="561"/>
      <c r="AL147" s="561"/>
      <c r="AM147" s="561"/>
      <c r="AN147" s="561"/>
      <c r="AO147" s="561"/>
      <c r="AP147" s="561"/>
      <c r="AQ147" s="561"/>
      <c r="AR147" s="561"/>
      <c r="AS147" s="561"/>
      <c r="AT147" s="561"/>
      <c r="AU147" s="561"/>
      <c r="AV147" s="561"/>
      <c r="AW147" s="561"/>
      <c r="AX147" s="561"/>
      <c r="AY147" s="561"/>
      <c r="AZ147" s="561"/>
      <c r="BA147" s="561"/>
      <c r="BB147" s="561"/>
      <c r="BC147" s="561"/>
      <c r="BD147" s="561"/>
      <c r="BE147" s="561"/>
      <c r="BF147" s="561"/>
      <c r="BG147" s="561"/>
      <c r="BH147" s="561"/>
      <c r="BI147" s="561"/>
      <c r="BJ147" s="561"/>
      <c r="BK147" s="137"/>
    </row>
    <row r="148" spans="1:63" ht="5.15" customHeight="1" x14ac:dyDescent="0.35">
      <c r="A148" s="138"/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61"/>
      <c r="AB148" s="561"/>
      <c r="AC148" s="561"/>
      <c r="AD148" s="561"/>
      <c r="AE148" s="561"/>
      <c r="AF148" s="561"/>
      <c r="AG148" s="561"/>
      <c r="AH148" s="561"/>
      <c r="AI148" s="561"/>
      <c r="AJ148" s="561"/>
      <c r="AK148" s="561"/>
      <c r="AL148" s="561"/>
      <c r="AM148" s="561"/>
      <c r="AN148" s="561"/>
      <c r="AO148" s="561"/>
      <c r="AP148" s="561"/>
      <c r="AQ148" s="561"/>
      <c r="AR148" s="561"/>
      <c r="AS148" s="561"/>
      <c r="AT148" s="561"/>
      <c r="AU148" s="561"/>
      <c r="AV148" s="561"/>
      <c r="AW148" s="561"/>
      <c r="AX148" s="561"/>
      <c r="AY148" s="561"/>
      <c r="AZ148" s="561"/>
      <c r="BA148" s="561"/>
      <c r="BB148" s="561"/>
      <c r="BC148" s="561"/>
      <c r="BD148" s="561"/>
      <c r="BE148" s="561"/>
      <c r="BF148" s="561"/>
      <c r="BG148" s="561"/>
      <c r="BH148" s="561"/>
      <c r="BI148" s="561"/>
      <c r="BJ148" s="561"/>
      <c r="BK148" s="137"/>
    </row>
    <row r="149" spans="1:63" ht="5.15" customHeight="1" x14ac:dyDescent="0.35">
      <c r="A149" s="138"/>
      <c r="B149" s="561"/>
      <c r="C149" s="561"/>
      <c r="D149" s="561"/>
      <c r="E149" s="561"/>
      <c r="F149" s="561"/>
      <c r="G149" s="561"/>
      <c r="H149" s="561"/>
      <c r="I149" s="561"/>
      <c r="J149" s="561"/>
      <c r="K149" s="561"/>
      <c r="L149" s="561"/>
      <c r="M149" s="561"/>
      <c r="N149" s="561"/>
      <c r="O149" s="561"/>
      <c r="P149" s="561"/>
      <c r="Q149" s="561"/>
      <c r="R149" s="561"/>
      <c r="S149" s="561"/>
      <c r="T149" s="561"/>
      <c r="U149" s="561"/>
      <c r="V149" s="561"/>
      <c r="W149" s="561"/>
      <c r="X149" s="561"/>
      <c r="Y149" s="561"/>
      <c r="Z149" s="561"/>
      <c r="AA149" s="561"/>
      <c r="AB149" s="561"/>
      <c r="AC149" s="561"/>
      <c r="AD149" s="561"/>
      <c r="AE149" s="561"/>
      <c r="AF149" s="561"/>
      <c r="AG149" s="561"/>
      <c r="AH149" s="561"/>
      <c r="AI149" s="561"/>
      <c r="AJ149" s="561"/>
      <c r="AK149" s="561"/>
      <c r="AL149" s="561"/>
      <c r="AM149" s="561"/>
      <c r="AN149" s="561"/>
      <c r="AO149" s="561"/>
      <c r="AP149" s="561"/>
      <c r="AQ149" s="561"/>
      <c r="AR149" s="561"/>
      <c r="AS149" s="561"/>
      <c r="AT149" s="561"/>
      <c r="AU149" s="561"/>
      <c r="AV149" s="561"/>
      <c r="AW149" s="561"/>
      <c r="AX149" s="561"/>
      <c r="AY149" s="561"/>
      <c r="AZ149" s="561"/>
      <c r="BA149" s="561"/>
      <c r="BB149" s="561"/>
      <c r="BC149" s="561"/>
      <c r="BD149" s="561"/>
      <c r="BE149" s="561"/>
      <c r="BF149" s="561"/>
      <c r="BG149" s="561"/>
      <c r="BH149" s="561"/>
      <c r="BI149" s="561"/>
      <c r="BJ149" s="561"/>
      <c r="BK149" s="137"/>
    </row>
    <row r="150" spans="1:63" ht="5.15" customHeight="1" x14ac:dyDescent="0.35">
      <c r="A150" s="142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4"/>
    </row>
    <row r="151" spans="1:63" ht="5.15" customHeight="1" x14ac:dyDescent="0.35">
      <c r="A151" s="561"/>
      <c r="B151" s="561"/>
      <c r="C151" s="561"/>
      <c r="D151" s="561"/>
      <c r="E151" s="561"/>
      <c r="F151" s="561"/>
      <c r="G151" s="561"/>
      <c r="H151" s="561"/>
      <c r="I151" s="561"/>
      <c r="J151" s="561"/>
      <c r="K151" s="561"/>
      <c r="L151" s="561"/>
      <c r="M151" s="561"/>
      <c r="N151" s="561"/>
      <c r="O151" s="561"/>
      <c r="P151" s="561"/>
      <c r="Q151" s="561"/>
      <c r="R151" s="561"/>
      <c r="S151" s="561"/>
      <c r="T151" s="561"/>
      <c r="U151" s="561"/>
      <c r="V151" s="561"/>
      <c r="W151" s="561"/>
      <c r="X151" s="561"/>
      <c r="Y151" s="561"/>
      <c r="Z151" s="561"/>
      <c r="AA151" s="561"/>
      <c r="AB151" s="561"/>
      <c r="AC151" s="561"/>
      <c r="AD151" s="561"/>
      <c r="AE151" s="561"/>
      <c r="AF151" s="561"/>
      <c r="AG151" s="561"/>
      <c r="AH151" s="561"/>
      <c r="AI151" s="561"/>
      <c r="AJ151" s="561"/>
      <c r="AK151" s="561"/>
      <c r="AL151" s="561"/>
      <c r="AM151" s="561"/>
      <c r="AN151" s="561"/>
      <c r="AO151" s="561"/>
      <c r="AP151" s="561"/>
      <c r="AQ151" s="561"/>
      <c r="AR151" s="561"/>
    </row>
    <row r="152" spans="1:63" ht="5.15" customHeight="1" x14ac:dyDescent="0.35">
      <c r="A152" s="561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1"/>
      <c r="P152" s="561"/>
      <c r="Q152" s="561"/>
      <c r="R152" s="561"/>
      <c r="S152" s="561"/>
      <c r="T152" s="561"/>
      <c r="U152" s="561"/>
      <c r="V152" s="561"/>
      <c r="W152" s="561"/>
      <c r="X152" s="561"/>
      <c r="Y152" s="561"/>
      <c r="Z152" s="561"/>
      <c r="AA152" s="561"/>
      <c r="AB152" s="561"/>
      <c r="AC152" s="561"/>
      <c r="AD152" s="561"/>
      <c r="AE152" s="561"/>
      <c r="AF152" s="561"/>
      <c r="AG152" s="561"/>
      <c r="AH152" s="561"/>
      <c r="AI152" s="561"/>
      <c r="AJ152" s="561"/>
      <c r="AK152" s="561"/>
      <c r="AL152" s="561"/>
      <c r="AM152" s="561"/>
      <c r="AN152" s="561"/>
      <c r="AO152" s="561"/>
      <c r="AP152" s="561"/>
      <c r="AQ152" s="561"/>
      <c r="AR152" s="561"/>
    </row>
    <row r="153" spans="1:63" ht="5.15" customHeight="1" x14ac:dyDescent="0.35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1"/>
      <c r="P153" s="561"/>
      <c r="Q153" s="561"/>
      <c r="R153" s="561"/>
      <c r="S153" s="561"/>
      <c r="T153" s="561"/>
      <c r="U153" s="561"/>
      <c r="V153" s="561"/>
      <c r="W153" s="561"/>
      <c r="X153" s="561"/>
      <c r="Y153" s="561"/>
      <c r="Z153" s="561"/>
      <c r="AA153" s="561"/>
      <c r="AB153" s="561"/>
      <c r="AC153" s="561"/>
      <c r="AD153" s="561"/>
      <c r="AE153" s="561"/>
      <c r="AF153" s="561"/>
      <c r="AG153" s="561"/>
      <c r="AH153" s="561"/>
      <c r="AI153" s="561"/>
      <c r="AJ153" s="561"/>
      <c r="AK153" s="561"/>
      <c r="AL153" s="561"/>
      <c r="AM153" s="561"/>
      <c r="AN153" s="561"/>
      <c r="AO153" s="561"/>
      <c r="AP153" s="561"/>
      <c r="AQ153" s="561"/>
      <c r="AR153" s="561"/>
    </row>
    <row r="154" spans="1:63" ht="5.15" customHeight="1" x14ac:dyDescent="0.35">
      <c r="A154" s="561"/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61"/>
      <c r="AB154" s="561"/>
      <c r="AC154" s="561"/>
      <c r="AD154" s="561"/>
      <c r="AE154" s="561"/>
      <c r="AF154" s="561"/>
      <c r="AG154" s="561"/>
      <c r="AH154" s="561"/>
      <c r="AI154" s="561"/>
      <c r="AJ154" s="561"/>
      <c r="AK154" s="561"/>
      <c r="AL154" s="561"/>
      <c r="AM154" s="561"/>
      <c r="AN154" s="561"/>
      <c r="AO154" s="561"/>
      <c r="AP154" s="561"/>
      <c r="AQ154" s="561"/>
      <c r="AR154" s="561"/>
    </row>
    <row r="155" spans="1:63" ht="5.15" customHeight="1" x14ac:dyDescent="0.35">
      <c r="A155" s="561"/>
      <c r="B155" s="561"/>
      <c r="C155" s="561"/>
      <c r="D155" s="561"/>
      <c r="E155" s="561"/>
      <c r="F155" s="561"/>
      <c r="G155" s="561"/>
      <c r="H155" s="561"/>
      <c r="I155" s="561"/>
      <c r="J155" s="561"/>
      <c r="K155" s="561"/>
      <c r="L155" s="561"/>
      <c r="M155" s="561"/>
      <c r="N155" s="561"/>
      <c r="O155" s="561"/>
      <c r="P155" s="561"/>
      <c r="Q155" s="561"/>
      <c r="R155" s="561"/>
      <c r="S155" s="561"/>
      <c r="T155" s="561"/>
      <c r="U155" s="561"/>
      <c r="V155" s="561"/>
      <c r="W155" s="561"/>
      <c r="X155" s="561"/>
      <c r="Y155" s="561"/>
      <c r="Z155" s="561"/>
      <c r="AA155" s="561"/>
      <c r="AB155" s="561"/>
      <c r="AC155" s="561"/>
      <c r="AD155" s="561"/>
      <c r="AE155" s="561"/>
      <c r="AF155" s="561"/>
      <c r="AG155" s="561"/>
      <c r="AH155" s="561"/>
      <c r="AI155" s="561"/>
      <c r="AJ155" s="561"/>
      <c r="AK155" s="561"/>
      <c r="AL155" s="561"/>
      <c r="AM155" s="561"/>
      <c r="AN155" s="561"/>
      <c r="AO155" s="561"/>
      <c r="AP155" s="561"/>
      <c r="AQ155" s="561"/>
      <c r="AR155" s="561"/>
    </row>
    <row r="156" spans="1:63" ht="5.15" customHeight="1" x14ac:dyDescent="0.35">
      <c r="A156" s="561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1"/>
      <c r="P156" s="561"/>
      <c r="Q156" s="561"/>
      <c r="R156" s="561"/>
      <c r="S156" s="561"/>
      <c r="T156" s="561"/>
      <c r="U156" s="561"/>
      <c r="V156" s="561"/>
      <c r="W156" s="561"/>
      <c r="X156" s="561"/>
      <c r="Y156" s="561"/>
      <c r="Z156" s="561"/>
      <c r="AA156" s="561"/>
      <c r="AB156" s="561"/>
      <c r="AC156" s="561"/>
      <c r="AD156" s="561"/>
      <c r="AE156" s="561"/>
      <c r="AF156" s="561"/>
      <c r="AG156" s="561"/>
      <c r="AH156" s="561"/>
      <c r="AI156" s="561"/>
      <c r="AJ156" s="561"/>
      <c r="AK156" s="561"/>
      <c r="AL156" s="561"/>
      <c r="AM156" s="561"/>
      <c r="AN156" s="561"/>
      <c r="AO156" s="561"/>
      <c r="AP156" s="561"/>
      <c r="AQ156" s="561"/>
      <c r="AR156" s="561"/>
    </row>
    <row r="157" spans="1:63" ht="5.15" customHeight="1" x14ac:dyDescent="0.35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1"/>
      <c r="P157" s="561"/>
      <c r="Q157" s="561"/>
      <c r="R157" s="561"/>
      <c r="S157" s="561"/>
      <c r="T157" s="561"/>
      <c r="U157" s="561"/>
      <c r="V157" s="561"/>
      <c r="W157" s="561"/>
      <c r="X157" s="561"/>
      <c r="Y157" s="561"/>
      <c r="Z157" s="561"/>
      <c r="AA157" s="561"/>
      <c r="AB157" s="561"/>
      <c r="AC157" s="561"/>
      <c r="AD157" s="561"/>
      <c r="AE157" s="561"/>
      <c r="AF157" s="561"/>
      <c r="AG157" s="561"/>
      <c r="AH157" s="561"/>
      <c r="AI157" s="561"/>
      <c r="AJ157" s="561"/>
      <c r="AK157" s="561"/>
      <c r="AL157" s="561"/>
      <c r="AM157" s="561"/>
      <c r="AN157" s="561"/>
      <c r="AO157" s="561"/>
      <c r="AP157" s="561"/>
      <c r="AQ157" s="561"/>
      <c r="AR157" s="561"/>
    </row>
    <row r="158" spans="1:63" ht="5.15" customHeight="1" x14ac:dyDescent="0.35">
      <c r="A158" s="561"/>
      <c r="B158" s="561"/>
      <c r="C158" s="561"/>
      <c r="D158" s="561"/>
      <c r="E158" s="561"/>
      <c r="F158" s="561"/>
      <c r="G158" s="561"/>
      <c r="H158" s="561"/>
      <c r="I158" s="561"/>
      <c r="J158" s="561"/>
      <c r="K158" s="561"/>
      <c r="L158" s="561"/>
      <c r="M158" s="561"/>
      <c r="N158" s="561"/>
      <c r="O158" s="561"/>
      <c r="P158" s="561"/>
      <c r="Q158" s="561"/>
      <c r="R158" s="561"/>
      <c r="S158" s="561"/>
      <c r="T158" s="561"/>
      <c r="U158" s="561"/>
      <c r="V158" s="561"/>
      <c r="W158" s="561"/>
      <c r="X158" s="561"/>
      <c r="Y158" s="561"/>
      <c r="Z158" s="561"/>
      <c r="AA158" s="561"/>
      <c r="AB158" s="561"/>
      <c r="AC158" s="561"/>
      <c r="AD158" s="561"/>
      <c r="AE158" s="561"/>
      <c r="AF158" s="561"/>
      <c r="AG158" s="561"/>
      <c r="AH158" s="561"/>
      <c r="AI158" s="561"/>
      <c r="AJ158" s="561"/>
      <c r="AK158" s="561"/>
      <c r="AL158" s="561"/>
      <c r="AM158" s="561"/>
      <c r="AN158" s="561"/>
      <c r="AO158" s="561"/>
      <c r="AP158" s="561"/>
      <c r="AQ158" s="561"/>
      <c r="AR158" s="561"/>
    </row>
    <row r="159" spans="1:63" ht="5.15" customHeight="1" x14ac:dyDescent="0.35">
      <c r="A159" s="561"/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61"/>
      <c r="AB159" s="561"/>
      <c r="AC159" s="561"/>
      <c r="AD159" s="561"/>
      <c r="AE159" s="561"/>
      <c r="AF159" s="561"/>
      <c r="AG159" s="561"/>
      <c r="AH159" s="561"/>
      <c r="AI159" s="561"/>
      <c r="AJ159" s="561"/>
      <c r="AK159" s="561"/>
      <c r="AL159" s="561"/>
      <c r="AM159" s="561"/>
      <c r="AN159" s="561"/>
      <c r="AO159" s="561"/>
      <c r="AP159" s="561"/>
      <c r="AQ159" s="561"/>
      <c r="AR159" s="561"/>
    </row>
    <row r="160" spans="1:63" ht="5.15" customHeight="1" x14ac:dyDescent="0.35">
      <c r="A160" s="561"/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61"/>
      <c r="AB160" s="561"/>
      <c r="AC160" s="561"/>
      <c r="AD160" s="561"/>
      <c r="AE160" s="561"/>
      <c r="AF160" s="561"/>
      <c r="AG160" s="561"/>
      <c r="AH160" s="561"/>
      <c r="AI160" s="561"/>
      <c r="AJ160" s="561"/>
      <c r="AK160" s="561"/>
      <c r="AL160" s="561"/>
      <c r="AM160" s="561"/>
      <c r="AN160" s="561"/>
      <c r="AO160" s="561"/>
      <c r="AP160" s="561"/>
      <c r="AQ160" s="561"/>
      <c r="AR160" s="561"/>
    </row>
    <row r="161" spans="1:44" ht="5.15" customHeight="1" x14ac:dyDescent="0.35">
      <c r="A161" s="561"/>
      <c r="B161" s="561"/>
      <c r="C161" s="561"/>
      <c r="D161" s="561"/>
      <c r="E161" s="561"/>
      <c r="F161" s="561"/>
      <c r="G161" s="561"/>
      <c r="H161" s="561"/>
      <c r="I161" s="561"/>
      <c r="J161" s="561"/>
      <c r="K161" s="561"/>
      <c r="L161" s="561"/>
      <c r="M161" s="561"/>
      <c r="N161" s="561"/>
      <c r="O161" s="561"/>
      <c r="P161" s="561"/>
      <c r="Q161" s="561"/>
      <c r="R161" s="561"/>
      <c r="S161" s="561"/>
      <c r="T161" s="561"/>
      <c r="U161" s="561"/>
      <c r="V161" s="561"/>
      <c r="W161" s="561"/>
      <c r="X161" s="561"/>
      <c r="Y161" s="561"/>
      <c r="Z161" s="561"/>
      <c r="AA161" s="561"/>
      <c r="AB161" s="561"/>
      <c r="AC161" s="561"/>
      <c r="AD161" s="561"/>
      <c r="AE161" s="561"/>
      <c r="AF161" s="561"/>
      <c r="AG161" s="561"/>
      <c r="AH161" s="561"/>
      <c r="AI161" s="561"/>
      <c r="AJ161" s="561"/>
      <c r="AK161" s="561"/>
      <c r="AL161" s="561"/>
      <c r="AM161" s="561"/>
      <c r="AN161" s="561"/>
      <c r="AO161" s="561"/>
      <c r="AP161" s="561"/>
      <c r="AQ161" s="561"/>
      <c r="AR161" s="561"/>
    </row>
    <row r="162" spans="1:44" ht="5.15" customHeight="1" x14ac:dyDescent="0.35">
      <c r="A162" s="561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1"/>
      <c r="P162" s="561"/>
      <c r="Q162" s="561"/>
      <c r="R162" s="561"/>
      <c r="S162" s="561"/>
      <c r="T162" s="561"/>
      <c r="U162" s="561"/>
      <c r="V162" s="561"/>
      <c r="W162" s="561"/>
      <c r="X162" s="561"/>
      <c r="Y162" s="561"/>
      <c r="Z162" s="561"/>
      <c r="AA162" s="561"/>
      <c r="AB162" s="561"/>
      <c r="AC162" s="561"/>
      <c r="AD162" s="561"/>
      <c r="AE162" s="561"/>
      <c r="AF162" s="561"/>
      <c r="AG162" s="561"/>
      <c r="AH162" s="561"/>
      <c r="AI162" s="561"/>
      <c r="AJ162" s="561"/>
      <c r="AK162" s="561"/>
      <c r="AL162" s="561"/>
      <c r="AM162" s="561"/>
      <c r="AN162" s="561"/>
      <c r="AO162" s="561"/>
      <c r="AP162" s="561"/>
      <c r="AQ162" s="561"/>
      <c r="AR162" s="561"/>
    </row>
    <row r="163" spans="1:44" ht="5.15" customHeight="1" x14ac:dyDescent="0.35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1"/>
      <c r="P163" s="561"/>
      <c r="Q163" s="561"/>
      <c r="R163" s="561"/>
      <c r="S163" s="561"/>
      <c r="T163" s="561"/>
      <c r="U163" s="561"/>
      <c r="V163" s="561"/>
      <c r="W163" s="561"/>
      <c r="X163" s="561"/>
      <c r="Y163" s="561"/>
      <c r="Z163" s="561"/>
      <c r="AA163" s="561"/>
      <c r="AB163" s="561"/>
      <c r="AC163" s="561"/>
      <c r="AD163" s="561"/>
      <c r="AE163" s="561"/>
      <c r="AF163" s="561"/>
      <c r="AG163" s="561"/>
      <c r="AH163" s="561"/>
      <c r="AI163" s="561"/>
      <c r="AJ163" s="561"/>
      <c r="AK163" s="561"/>
      <c r="AL163" s="561"/>
      <c r="AM163" s="561"/>
      <c r="AN163" s="561"/>
      <c r="AO163" s="561"/>
      <c r="AP163" s="561"/>
      <c r="AQ163" s="561"/>
      <c r="AR163" s="561"/>
    </row>
    <row r="164" spans="1:44" ht="5.15" customHeight="1" x14ac:dyDescent="0.35">
      <c r="A164" s="561"/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61"/>
      <c r="AB164" s="561"/>
      <c r="AC164" s="561"/>
      <c r="AD164" s="561"/>
      <c r="AE164" s="561"/>
      <c r="AF164" s="561"/>
      <c r="AG164" s="561"/>
      <c r="AH164" s="561"/>
      <c r="AI164" s="561"/>
      <c r="AJ164" s="561"/>
      <c r="AK164" s="561"/>
      <c r="AL164" s="561"/>
      <c r="AM164" s="561"/>
      <c r="AN164" s="561"/>
      <c r="AO164" s="561"/>
      <c r="AP164" s="561"/>
      <c r="AQ164" s="561"/>
      <c r="AR164" s="561"/>
    </row>
    <row r="165" spans="1:44" ht="5.15" customHeight="1" x14ac:dyDescent="0.35">
      <c r="A165" s="561"/>
      <c r="B165" s="561"/>
      <c r="C165" s="561"/>
      <c r="D165" s="561"/>
      <c r="E165" s="561"/>
      <c r="F165" s="561"/>
      <c r="G165" s="561"/>
      <c r="H165" s="561"/>
      <c r="I165" s="561"/>
      <c r="J165" s="561"/>
      <c r="K165" s="561"/>
      <c r="L165" s="561"/>
      <c r="M165" s="561"/>
      <c r="N165" s="561"/>
      <c r="O165" s="561"/>
      <c r="P165" s="561"/>
      <c r="Q165" s="561"/>
      <c r="R165" s="561"/>
      <c r="S165" s="561"/>
      <c r="T165" s="561"/>
      <c r="U165" s="561"/>
      <c r="V165" s="561"/>
      <c r="W165" s="561"/>
      <c r="X165" s="561"/>
      <c r="Y165" s="561"/>
      <c r="Z165" s="561"/>
      <c r="AA165" s="561"/>
      <c r="AB165" s="561"/>
      <c r="AC165" s="561"/>
      <c r="AD165" s="561"/>
      <c r="AE165" s="561"/>
      <c r="AF165" s="561"/>
      <c r="AG165" s="561"/>
      <c r="AH165" s="561"/>
      <c r="AI165" s="561"/>
      <c r="AJ165" s="561"/>
      <c r="AK165" s="561"/>
      <c r="AL165" s="561"/>
      <c r="AM165" s="561"/>
      <c r="AN165" s="561"/>
      <c r="AO165" s="561"/>
      <c r="AP165" s="561"/>
      <c r="AQ165" s="561"/>
      <c r="AR165" s="561"/>
    </row>
    <row r="166" spans="1:44" ht="5.15" customHeight="1" x14ac:dyDescent="0.35">
      <c r="A166" s="561"/>
      <c r="B166" s="561"/>
      <c r="C166" s="561"/>
      <c r="D166" s="561"/>
      <c r="E166" s="561"/>
      <c r="F166" s="561"/>
      <c r="G166" s="561"/>
      <c r="H166" s="561"/>
      <c r="I166" s="561"/>
      <c r="J166" s="561"/>
      <c r="K166" s="561"/>
      <c r="L166" s="561"/>
      <c r="M166" s="561"/>
      <c r="N166" s="561"/>
      <c r="O166" s="561"/>
      <c r="P166" s="561"/>
      <c r="Q166" s="561"/>
      <c r="R166" s="561"/>
      <c r="S166" s="561"/>
      <c r="T166" s="561"/>
      <c r="U166" s="561"/>
      <c r="V166" s="561"/>
      <c r="W166" s="561"/>
      <c r="X166" s="561"/>
      <c r="Y166" s="561"/>
      <c r="Z166" s="561"/>
      <c r="AA166" s="561"/>
      <c r="AB166" s="561"/>
      <c r="AC166" s="561"/>
      <c r="AD166" s="561"/>
      <c r="AE166" s="561"/>
      <c r="AF166" s="561"/>
      <c r="AG166" s="561"/>
      <c r="AH166" s="561"/>
      <c r="AI166" s="561"/>
      <c r="AJ166" s="561"/>
      <c r="AK166" s="561"/>
      <c r="AL166" s="561"/>
      <c r="AM166" s="561"/>
      <c r="AN166" s="561"/>
      <c r="AO166" s="561"/>
      <c r="AP166" s="561"/>
      <c r="AQ166" s="561"/>
      <c r="AR166" s="561"/>
    </row>
    <row r="167" spans="1:44" ht="5.15" customHeight="1" x14ac:dyDescent="0.35">
      <c r="A167" s="561"/>
      <c r="B167" s="561"/>
      <c r="C167" s="561"/>
      <c r="D167" s="561"/>
      <c r="E167" s="561"/>
      <c r="F167" s="561"/>
      <c r="G167" s="561"/>
      <c r="H167" s="561"/>
      <c r="I167" s="561"/>
      <c r="J167" s="561"/>
      <c r="K167" s="561"/>
      <c r="L167" s="561"/>
      <c r="M167" s="561"/>
      <c r="N167" s="561"/>
      <c r="O167" s="561"/>
      <c r="P167" s="561"/>
      <c r="Q167" s="561"/>
      <c r="R167" s="561"/>
      <c r="S167" s="561"/>
      <c r="T167" s="561"/>
      <c r="U167" s="561"/>
      <c r="V167" s="561"/>
      <c r="W167" s="561"/>
      <c r="X167" s="561"/>
      <c r="Y167" s="561"/>
      <c r="Z167" s="561"/>
      <c r="AA167" s="561"/>
      <c r="AB167" s="561"/>
      <c r="AC167" s="561"/>
      <c r="AD167" s="561"/>
      <c r="AE167" s="561"/>
      <c r="AF167" s="561"/>
      <c r="AG167" s="561"/>
      <c r="AH167" s="561"/>
      <c r="AI167" s="561"/>
      <c r="AJ167" s="561"/>
      <c r="AK167" s="561"/>
      <c r="AL167" s="561"/>
      <c r="AM167" s="561"/>
      <c r="AN167" s="561"/>
      <c r="AO167" s="561"/>
      <c r="AP167" s="561"/>
      <c r="AQ167" s="561"/>
      <c r="AR167" s="561"/>
    </row>
    <row r="168" spans="1:44" ht="5.15" customHeight="1" x14ac:dyDescent="0.35">
      <c r="A168" s="561"/>
      <c r="B168" s="561"/>
      <c r="C168" s="561"/>
      <c r="D168" s="561"/>
      <c r="E168" s="561"/>
      <c r="F168" s="561"/>
      <c r="G168" s="561"/>
      <c r="H168" s="561"/>
      <c r="I168" s="561"/>
      <c r="J168" s="561"/>
      <c r="K168" s="561"/>
      <c r="L168" s="561"/>
      <c r="M168" s="561"/>
      <c r="N168" s="561"/>
      <c r="O168" s="561"/>
      <c r="P168" s="561"/>
      <c r="Q168" s="561"/>
      <c r="R168" s="561"/>
      <c r="S168" s="561"/>
      <c r="T168" s="561"/>
      <c r="U168" s="561"/>
      <c r="V168" s="561"/>
      <c r="W168" s="561"/>
      <c r="X168" s="561"/>
      <c r="Y168" s="561"/>
      <c r="Z168" s="561"/>
      <c r="AA168" s="561"/>
      <c r="AB168" s="561"/>
      <c r="AC168" s="561"/>
      <c r="AD168" s="561"/>
      <c r="AE168" s="561"/>
      <c r="AF168" s="561"/>
      <c r="AG168" s="561"/>
      <c r="AH168" s="561"/>
      <c r="AI168" s="561"/>
      <c r="AJ168" s="561"/>
      <c r="AK168" s="561"/>
      <c r="AL168" s="561"/>
      <c r="AM168" s="561"/>
      <c r="AN168" s="561"/>
      <c r="AO168" s="561"/>
      <c r="AP168" s="561"/>
      <c r="AQ168" s="561"/>
      <c r="AR168" s="561"/>
    </row>
    <row r="169" spans="1:44" ht="5.15" customHeight="1" x14ac:dyDescent="0.35">
      <c r="A169" s="561"/>
      <c r="B169" s="561"/>
      <c r="C169" s="561"/>
      <c r="D169" s="561"/>
      <c r="E169" s="561"/>
      <c r="F169" s="561"/>
      <c r="G169" s="561"/>
      <c r="H169" s="561"/>
      <c r="I169" s="561"/>
      <c r="J169" s="561"/>
      <c r="K169" s="561"/>
      <c r="L169" s="561"/>
      <c r="M169" s="561"/>
      <c r="N169" s="561"/>
      <c r="O169" s="561"/>
      <c r="P169" s="561"/>
      <c r="Q169" s="561"/>
      <c r="R169" s="561"/>
      <c r="S169" s="561"/>
      <c r="T169" s="561"/>
      <c r="U169" s="561"/>
      <c r="V169" s="561"/>
      <c r="W169" s="561"/>
      <c r="X169" s="561"/>
      <c r="Y169" s="561"/>
      <c r="Z169" s="561"/>
      <c r="AA169" s="561"/>
      <c r="AB169" s="561"/>
      <c r="AC169" s="561"/>
      <c r="AD169" s="561"/>
      <c r="AE169" s="561"/>
      <c r="AF169" s="561"/>
      <c r="AG169" s="561"/>
      <c r="AH169" s="561"/>
      <c r="AI169" s="561"/>
      <c r="AJ169" s="561"/>
      <c r="AK169" s="561"/>
      <c r="AL169" s="561"/>
      <c r="AM169" s="561"/>
      <c r="AN169" s="561"/>
      <c r="AO169" s="561"/>
      <c r="AP169" s="561"/>
      <c r="AQ169" s="561"/>
      <c r="AR169" s="561"/>
    </row>
    <row r="170" spans="1:44" ht="5.15" customHeight="1" x14ac:dyDescent="0.35">
      <c r="A170" s="561"/>
      <c r="B170" s="561"/>
      <c r="C170" s="561"/>
      <c r="D170" s="561"/>
      <c r="E170" s="561"/>
      <c r="F170" s="561"/>
      <c r="G170" s="561"/>
      <c r="H170" s="561"/>
      <c r="I170" s="561"/>
      <c r="J170" s="561"/>
      <c r="K170" s="561"/>
      <c r="L170" s="561"/>
      <c r="M170" s="561"/>
      <c r="N170" s="561"/>
      <c r="O170" s="561"/>
      <c r="P170" s="561"/>
      <c r="Q170" s="561"/>
      <c r="R170" s="561"/>
      <c r="S170" s="561"/>
      <c r="T170" s="561"/>
      <c r="U170" s="561"/>
      <c r="V170" s="561"/>
      <c r="W170" s="561"/>
      <c r="X170" s="561"/>
      <c r="Y170" s="561"/>
      <c r="Z170" s="561"/>
      <c r="AA170" s="561"/>
      <c r="AB170" s="561"/>
      <c r="AC170" s="561"/>
      <c r="AD170" s="561"/>
      <c r="AE170" s="561"/>
      <c r="AF170" s="561"/>
      <c r="AG170" s="561"/>
      <c r="AH170" s="561"/>
      <c r="AI170" s="561"/>
      <c r="AJ170" s="561"/>
      <c r="AK170" s="561"/>
      <c r="AL170" s="561"/>
      <c r="AM170" s="561"/>
      <c r="AN170" s="561"/>
      <c r="AO170" s="561"/>
      <c r="AP170" s="561"/>
      <c r="AQ170" s="561"/>
      <c r="AR170" s="561"/>
    </row>
    <row r="171" spans="1:44" ht="5.15" customHeight="1" x14ac:dyDescent="0.35">
      <c r="A171" s="561"/>
      <c r="B171" s="561"/>
      <c r="C171" s="561"/>
      <c r="D171" s="561"/>
      <c r="E171" s="561"/>
      <c r="F171" s="561"/>
      <c r="G171" s="561"/>
      <c r="H171" s="561"/>
      <c r="I171" s="561"/>
      <c r="J171" s="561"/>
      <c r="K171" s="561"/>
      <c r="L171" s="561"/>
      <c r="M171" s="561"/>
      <c r="N171" s="561"/>
      <c r="O171" s="561"/>
      <c r="P171" s="561"/>
      <c r="Q171" s="561"/>
      <c r="R171" s="561"/>
      <c r="S171" s="561"/>
      <c r="T171" s="561"/>
      <c r="U171" s="561"/>
      <c r="V171" s="561"/>
      <c r="W171" s="561"/>
      <c r="X171" s="561"/>
      <c r="Y171" s="561"/>
      <c r="Z171" s="561"/>
      <c r="AA171" s="561"/>
      <c r="AB171" s="561"/>
      <c r="AC171" s="561"/>
      <c r="AD171" s="561"/>
      <c r="AE171" s="561"/>
      <c r="AF171" s="561"/>
      <c r="AG171" s="561"/>
      <c r="AH171" s="561"/>
      <c r="AI171" s="561"/>
      <c r="AJ171" s="561"/>
      <c r="AK171" s="561"/>
      <c r="AL171" s="561"/>
      <c r="AM171" s="561"/>
      <c r="AN171" s="561"/>
      <c r="AO171" s="561"/>
      <c r="AP171" s="561"/>
      <c r="AQ171" s="561"/>
      <c r="AR171" s="561"/>
    </row>
    <row r="172" spans="1:44" ht="5.15" customHeight="1" x14ac:dyDescent="0.35">
      <c r="A172" s="561"/>
      <c r="B172" s="561"/>
      <c r="C172" s="561"/>
      <c r="D172" s="561"/>
      <c r="E172" s="561"/>
      <c r="F172" s="561"/>
      <c r="G172" s="561"/>
      <c r="H172" s="561"/>
      <c r="I172" s="561"/>
      <c r="J172" s="561"/>
      <c r="K172" s="561"/>
      <c r="L172" s="561"/>
      <c r="M172" s="561"/>
      <c r="N172" s="561"/>
      <c r="O172" s="561"/>
      <c r="P172" s="561"/>
      <c r="Q172" s="561"/>
      <c r="R172" s="561"/>
      <c r="S172" s="561"/>
      <c r="T172" s="561"/>
      <c r="U172" s="561"/>
      <c r="V172" s="561"/>
      <c r="W172" s="561"/>
      <c r="X172" s="561"/>
      <c r="Y172" s="561"/>
      <c r="Z172" s="561"/>
      <c r="AA172" s="561"/>
      <c r="AB172" s="561"/>
      <c r="AC172" s="561"/>
      <c r="AD172" s="561"/>
      <c r="AE172" s="561"/>
      <c r="AF172" s="561"/>
      <c r="AG172" s="561"/>
      <c r="AH172" s="561"/>
      <c r="AI172" s="561"/>
      <c r="AJ172" s="561"/>
      <c r="AK172" s="561"/>
      <c r="AL172" s="561"/>
      <c r="AM172" s="561"/>
      <c r="AN172" s="561"/>
      <c r="AO172" s="561"/>
      <c r="AP172" s="561"/>
      <c r="AQ172" s="561"/>
      <c r="AR172" s="561"/>
    </row>
    <row r="173" spans="1:44" ht="5.15" customHeight="1" x14ac:dyDescent="0.35">
      <c r="A173" s="561"/>
      <c r="B173" s="561"/>
      <c r="C173" s="561"/>
      <c r="D173" s="561"/>
      <c r="E173" s="561"/>
      <c r="F173" s="561"/>
      <c r="G173" s="561"/>
      <c r="H173" s="561"/>
      <c r="I173" s="561"/>
      <c r="J173" s="561"/>
      <c r="K173" s="561"/>
      <c r="L173" s="561"/>
      <c r="M173" s="561"/>
      <c r="N173" s="561"/>
      <c r="O173" s="561"/>
      <c r="P173" s="561"/>
      <c r="Q173" s="561"/>
      <c r="R173" s="561"/>
      <c r="S173" s="561"/>
      <c r="T173" s="561"/>
      <c r="U173" s="561"/>
      <c r="V173" s="561"/>
      <c r="W173" s="561"/>
      <c r="X173" s="561"/>
      <c r="Y173" s="561"/>
      <c r="Z173" s="561"/>
      <c r="AA173" s="561"/>
      <c r="AB173" s="561"/>
      <c r="AC173" s="561"/>
      <c r="AD173" s="561"/>
      <c r="AE173" s="561"/>
      <c r="AF173" s="561"/>
      <c r="AG173" s="561"/>
      <c r="AH173" s="561"/>
      <c r="AI173" s="561"/>
      <c r="AJ173" s="561"/>
      <c r="AK173" s="561"/>
      <c r="AL173" s="561"/>
      <c r="AM173" s="561"/>
      <c r="AN173" s="561"/>
      <c r="AO173" s="561"/>
      <c r="AP173" s="561"/>
      <c r="AQ173" s="561"/>
      <c r="AR173" s="561"/>
    </row>
    <row r="174" spans="1:44" ht="5.15" customHeight="1" x14ac:dyDescent="0.35">
      <c r="A174" s="561"/>
      <c r="B174" s="561"/>
      <c r="C174" s="561"/>
      <c r="D174" s="561"/>
      <c r="E174" s="561"/>
      <c r="F174" s="561"/>
      <c r="G174" s="561"/>
      <c r="H174" s="561"/>
      <c r="I174" s="561"/>
      <c r="J174" s="561"/>
      <c r="K174" s="561"/>
      <c r="L174" s="561"/>
      <c r="M174" s="561"/>
      <c r="N174" s="561"/>
      <c r="O174" s="561"/>
      <c r="P174" s="561"/>
      <c r="Q174" s="561"/>
      <c r="R174" s="561"/>
      <c r="S174" s="561"/>
      <c r="T174" s="561"/>
      <c r="U174" s="561"/>
      <c r="V174" s="561"/>
      <c r="W174" s="561"/>
      <c r="X174" s="561"/>
      <c r="Y174" s="561"/>
      <c r="Z174" s="561"/>
      <c r="AA174" s="561"/>
      <c r="AB174" s="561"/>
      <c r="AC174" s="561"/>
      <c r="AD174" s="561"/>
      <c r="AE174" s="561"/>
      <c r="AF174" s="561"/>
      <c r="AG174" s="561"/>
      <c r="AH174" s="561"/>
      <c r="AI174" s="561"/>
      <c r="AJ174" s="561"/>
      <c r="AK174" s="561"/>
      <c r="AL174" s="561"/>
      <c r="AM174" s="561"/>
      <c r="AN174" s="561"/>
      <c r="AO174" s="561"/>
      <c r="AP174" s="561"/>
      <c r="AQ174" s="561"/>
      <c r="AR174" s="561"/>
    </row>
    <row r="175" spans="1:44" ht="5.15" customHeight="1" x14ac:dyDescent="0.35">
      <c r="A175" s="561"/>
      <c r="B175" s="561"/>
      <c r="C175" s="561"/>
      <c r="D175" s="561"/>
      <c r="E175" s="561"/>
      <c r="F175" s="561"/>
      <c r="G175" s="561"/>
      <c r="H175" s="561"/>
      <c r="I175" s="561"/>
      <c r="J175" s="561"/>
      <c r="K175" s="561"/>
      <c r="L175" s="561"/>
      <c r="M175" s="561"/>
      <c r="N175" s="561"/>
      <c r="O175" s="561"/>
      <c r="P175" s="561"/>
      <c r="Q175" s="561"/>
      <c r="R175" s="561"/>
      <c r="S175" s="561"/>
      <c r="T175" s="561"/>
      <c r="U175" s="561"/>
      <c r="V175" s="561"/>
      <c r="W175" s="561"/>
      <c r="X175" s="561"/>
      <c r="Y175" s="561"/>
      <c r="Z175" s="561"/>
      <c r="AA175" s="561"/>
      <c r="AB175" s="561"/>
      <c r="AC175" s="561"/>
      <c r="AD175" s="561"/>
      <c r="AE175" s="561"/>
      <c r="AF175" s="561"/>
      <c r="AG175" s="561"/>
      <c r="AH175" s="561"/>
      <c r="AI175" s="561"/>
      <c r="AJ175" s="561"/>
      <c r="AK175" s="561"/>
      <c r="AL175" s="561"/>
      <c r="AM175" s="561"/>
      <c r="AN175" s="561"/>
      <c r="AO175" s="561"/>
      <c r="AP175" s="561"/>
      <c r="AQ175" s="561"/>
      <c r="AR175" s="561"/>
    </row>
    <row r="176" spans="1:44" ht="5.15" customHeight="1" x14ac:dyDescent="0.35">
      <c r="A176" s="561"/>
      <c r="B176" s="561"/>
      <c r="C176" s="561"/>
      <c r="D176" s="561"/>
      <c r="E176" s="561"/>
      <c r="F176" s="561"/>
      <c r="G176" s="561"/>
      <c r="H176" s="561"/>
      <c r="I176" s="561"/>
      <c r="J176" s="561"/>
      <c r="K176" s="561"/>
      <c r="L176" s="561"/>
      <c r="M176" s="561"/>
      <c r="N176" s="561"/>
      <c r="O176" s="561"/>
      <c r="P176" s="561"/>
      <c r="Q176" s="561"/>
      <c r="R176" s="561"/>
      <c r="S176" s="561"/>
      <c r="T176" s="561"/>
      <c r="U176" s="561"/>
      <c r="V176" s="561"/>
      <c r="W176" s="561"/>
      <c r="X176" s="561"/>
      <c r="Y176" s="561"/>
      <c r="Z176" s="561"/>
      <c r="AA176" s="561"/>
      <c r="AB176" s="561"/>
      <c r="AC176" s="561"/>
      <c r="AD176" s="561"/>
      <c r="AE176" s="561"/>
      <c r="AF176" s="561"/>
      <c r="AG176" s="561"/>
      <c r="AH176" s="561"/>
      <c r="AI176" s="561"/>
      <c r="AJ176" s="561"/>
      <c r="AK176" s="561"/>
      <c r="AL176" s="561"/>
      <c r="AM176" s="561"/>
      <c r="AN176" s="561"/>
      <c r="AO176" s="561"/>
      <c r="AP176" s="561"/>
      <c r="AQ176" s="561"/>
      <c r="AR176" s="561"/>
    </row>
    <row r="177" spans="1:44" ht="5.15" customHeight="1" x14ac:dyDescent="0.35">
      <c r="A177" s="561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1"/>
      <c r="P177" s="561"/>
      <c r="Q177" s="561"/>
      <c r="R177" s="561"/>
      <c r="S177" s="561"/>
      <c r="T177" s="561"/>
      <c r="U177" s="561"/>
      <c r="V177" s="561"/>
      <c r="W177" s="561"/>
      <c r="X177" s="561"/>
      <c r="Y177" s="561"/>
      <c r="Z177" s="561"/>
      <c r="AA177" s="561"/>
      <c r="AB177" s="561"/>
      <c r="AC177" s="561"/>
      <c r="AD177" s="561"/>
      <c r="AE177" s="561"/>
      <c r="AF177" s="561"/>
      <c r="AG177" s="561"/>
      <c r="AH177" s="561"/>
      <c r="AI177" s="561"/>
      <c r="AJ177" s="561"/>
      <c r="AK177" s="561"/>
      <c r="AL177" s="561"/>
      <c r="AM177" s="561"/>
      <c r="AN177" s="561"/>
      <c r="AO177" s="561"/>
      <c r="AP177" s="561"/>
      <c r="AQ177" s="561"/>
      <c r="AR177" s="561"/>
    </row>
    <row r="178" spans="1:44" ht="5.15" customHeight="1" x14ac:dyDescent="0.35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1"/>
      <c r="P178" s="561"/>
      <c r="Q178" s="561"/>
      <c r="R178" s="561"/>
      <c r="S178" s="561"/>
      <c r="T178" s="561"/>
      <c r="U178" s="561"/>
      <c r="V178" s="561"/>
      <c r="W178" s="561"/>
      <c r="X178" s="561"/>
      <c r="Y178" s="561"/>
      <c r="Z178" s="561"/>
      <c r="AA178" s="561"/>
      <c r="AB178" s="561"/>
      <c r="AC178" s="561"/>
      <c r="AD178" s="561"/>
      <c r="AE178" s="561"/>
      <c r="AF178" s="561"/>
      <c r="AG178" s="561"/>
      <c r="AH178" s="561"/>
      <c r="AI178" s="561"/>
      <c r="AJ178" s="561"/>
      <c r="AK178" s="561"/>
      <c r="AL178" s="561"/>
      <c r="AM178" s="561"/>
      <c r="AN178" s="561"/>
      <c r="AO178" s="561"/>
      <c r="AP178" s="561"/>
      <c r="AQ178" s="561"/>
      <c r="AR178" s="561"/>
    </row>
    <row r="179" spans="1:44" ht="5.15" customHeight="1" x14ac:dyDescent="0.35">
      <c r="A179" s="561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61"/>
      <c r="AB179" s="561"/>
      <c r="AC179" s="561"/>
      <c r="AD179" s="561"/>
      <c r="AE179" s="561"/>
      <c r="AF179" s="561"/>
      <c r="AG179" s="561"/>
      <c r="AH179" s="561"/>
      <c r="AI179" s="561"/>
      <c r="AJ179" s="561"/>
      <c r="AK179" s="561"/>
      <c r="AL179" s="561"/>
      <c r="AM179" s="561"/>
      <c r="AN179" s="561"/>
      <c r="AO179" s="561"/>
      <c r="AP179" s="561"/>
      <c r="AQ179" s="561"/>
      <c r="AR179" s="561"/>
    </row>
    <row r="180" spans="1:44" ht="5.15" customHeight="1" x14ac:dyDescent="0.35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1"/>
      <c r="P180" s="561"/>
      <c r="Q180" s="561"/>
      <c r="R180" s="561"/>
      <c r="S180" s="561"/>
      <c r="T180" s="561"/>
      <c r="U180" s="561"/>
      <c r="V180" s="561"/>
      <c r="W180" s="561"/>
      <c r="X180" s="561"/>
      <c r="Y180" s="561"/>
      <c r="Z180" s="561"/>
      <c r="AA180" s="561"/>
      <c r="AB180" s="561"/>
      <c r="AC180" s="561"/>
      <c r="AD180" s="561"/>
      <c r="AE180" s="561"/>
      <c r="AF180" s="561"/>
      <c r="AG180" s="561"/>
      <c r="AH180" s="561"/>
      <c r="AI180" s="561"/>
      <c r="AJ180" s="561"/>
      <c r="AK180" s="561"/>
      <c r="AL180" s="561"/>
      <c r="AM180" s="561"/>
      <c r="AN180" s="561"/>
      <c r="AO180" s="561"/>
      <c r="AP180" s="561"/>
      <c r="AQ180" s="561"/>
      <c r="AR180" s="561"/>
    </row>
    <row r="181" spans="1:44" ht="5.15" customHeight="1" x14ac:dyDescent="0.35">
      <c r="A181" s="561"/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61"/>
      <c r="AB181" s="561"/>
      <c r="AC181" s="561"/>
      <c r="AD181" s="561"/>
      <c r="AE181" s="561"/>
      <c r="AF181" s="561"/>
      <c r="AG181" s="561"/>
      <c r="AH181" s="561"/>
      <c r="AI181" s="561"/>
      <c r="AJ181" s="561"/>
      <c r="AK181" s="561"/>
      <c r="AL181" s="561"/>
      <c r="AM181" s="561"/>
      <c r="AN181" s="561"/>
      <c r="AO181" s="561"/>
      <c r="AP181" s="561"/>
      <c r="AQ181" s="561"/>
      <c r="AR181" s="561"/>
    </row>
    <row r="182" spans="1:44" ht="5.15" customHeight="1" x14ac:dyDescent="0.35">
      <c r="A182" s="561"/>
      <c r="B182" s="561"/>
      <c r="C182" s="561"/>
      <c r="D182" s="561"/>
      <c r="E182" s="561"/>
      <c r="F182" s="561"/>
      <c r="G182" s="561"/>
      <c r="H182" s="561"/>
      <c r="I182" s="561"/>
      <c r="J182" s="561"/>
      <c r="K182" s="561"/>
      <c r="L182" s="561"/>
      <c r="M182" s="561"/>
      <c r="N182" s="561"/>
      <c r="O182" s="561"/>
      <c r="P182" s="561"/>
      <c r="Q182" s="561"/>
      <c r="R182" s="561"/>
      <c r="S182" s="561"/>
      <c r="T182" s="561"/>
      <c r="U182" s="561"/>
      <c r="V182" s="561"/>
      <c r="W182" s="561"/>
      <c r="X182" s="561"/>
      <c r="Y182" s="561"/>
      <c r="Z182" s="561"/>
      <c r="AA182" s="561"/>
      <c r="AB182" s="561"/>
      <c r="AC182" s="561"/>
      <c r="AD182" s="561"/>
      <c r="AE182" s="561"/>
      <c r="AF182" s="561"/>
      <c r="AG182" s="561"/>
      <c r="AH182" s="561"/>
      <c r="AI182" s="561"/>
      <c r="AJ182" s="561"/>
      <c r="AK182" s="561"/>
      <c r="AL182" s="561"/>
      <c r="AM182" s="561"/>
      <c r="AN182" s="561"/>
      <c r="AO182" s="561"/>
      <c r="AP182" s="561"/>
      <c r="AQ182" s="561"/>
      <c r="AR182" s="561"/>
    </row>
    <row r="183" spans="1:44" ht="5.15" customHeight="1" x14ac:dyDescent="0.35">
      <c r="A183" s="561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1"/>
      <c r="P183" s="561"/>
      <c r="Q183" s="561"/>
      <c r="R183" s="561"/>
      <c r="S183" s="561"/>
      <c r="T183" s="561"/>
      <c r="U183" s="561"/>
      <c r="V183" s="561"/>
      <c r="W183" s="561"/>
      <c r="X183" s="561"/>
      <c r="Y183" s="561"/>
      <c r="Z183" s="561"/>
      <c r="AA183" s="561"/>
      <c r="AB183" s="561"/>
      <c r="AC183" s="561"/>
      <c r="AD183" s="561"/>
      <c r="AE183" s="561"/>
      <c r="AF183" s="561"/>
      <c r="AG183" s="561"/>
      <c r="AH183" s="561"/>
      <c r="AI183" s="561"/>
      <c r="AJ183" s="561"/>
      <c r="AK183" s="561"/>
      <c r="AL183" s="561"/>
      <c r="AM183" s="561"/>
      <c r="AN183" s="561"/>
      <c r="AO183" s="561"/>
      <c r="AP183" s="561"/>
      <c r="AQ183" s="561"/>
      <c r="AR183" s="561"/>
    </row>
    <row r="184" spans="1:44" ht="5.15" customHeight="1" x14ac:dyDescent="0.35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1"/>
      <c r="P184" s="561"/>
      <c r="Q184" s="561"/>
      <c r="R184" s="561"/>
      <c r="S184" s="561"/>
      <c r="T184" s="561"/>
      <c r="U184" s="561"/>
      <c r="V184" s="561"/>
      <c r="W184" s="561"/>
      <c r="X184" s="561"/>
      <c r="Y184" s="561"/>
      <c r="Z184" s="561"/>
      <c r="AA184" s="561"/>
      <c r="AB184" s="561"/>
      <c r="AC184" s="561"/>
      <c r="AD184" s="561"/>
      <c r="AE184" s="561"/>
      <c r="AF184" s="561"/>
      <c r="AG184" s="561"/>
      <c r="AH184" s="561"/>
      <c r="AI184" s="561"/>
      <c r="AJ184" s="561"/>
      <c r="AK184" s="561"/>
      <c r="AL184" s="561"/>
      <c r="AM184" s="561"/>
      <c r="AN184" s="561"/>
      <c r="AO184" s="561"/>
      <c r="AP184" s="561"/>
      <c r="AQ184" s="561"/>
      <c r="AR184" s="561"/>
    </row>
    <row r="185" spans="1:44" ht="5.15" customHeight="1" x14ac:dyDescent="0.35">
      <c r="A185" s="561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61"/>
      <c r="AB185" s="561"/>
      <c r="AC185" s="561"/>
      <c r="AD185" s="561"/>
      <c r="AE185" s="561"/>
      <c r="AF185" s="561"/>
      <c r="AG185" s="561"/>
      <c r="AH185" s="561"/>
      <c r="AI185" s="561"/>
      <c r="AJ185" s="561"/>
      <c r="AK185" s="561"/>
      <c r="AL185" s="561"/>
      <c r="AM185" s="561"/>
      <c r="AN185" s="561"/>
      <c r="AO185" s="561"/>
      <c r="AP185" s="561"/>
      <c r="AQ185" s="561"/>
      <c r="AR185" s="561"/>
    </row>
    <row r="186" spans="1:44" ht="5.15" customHeight="1" x14ac:dyDescent="0.35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1"/>
      <c r="P186" s="561"/>
      <c r="Q186" s="561"/>
      <c r="R186" s="561"/>
      <c r="S186" s="561"/>
      <c r="T186" s="561"/>
      <c r="U186" s="561"/>
      <c r="V186" s="561"/>
      <c r="W186" s="561"/>
      <c r="X186" s="561"/>
      <c r="Y186" s="561"/>
      <c r="Z186" s="561"/>
      <c r="AA186" s="561"/>
      <c r="AB186" s="561"/>
      <c r="AC186" s="561"/>
      <c r="AD186" s="561"/>
      <c r="AE186" s="561"/>
      <c r="AF186" s="561"/>
      <c r="AG186" s="561"/>
      <c r="AH186" s="561"/>
      <c r="AI186" s="561"/>
      <c r="AJ186" s="561"/>
      <c r="AK186" s="561"/>
      <c r="AL186" s="561"/>
      <c r="AM186" s="561"/>
      <c r="AN186" s="561"/>
      <c r="AO186" s="561"/>
      <c r="AP186" s="561"/>
      <c r="AQ186" s="561"/>
      <c r="AR186" s="561"/>
    </row>
    <row r="187" spans="1:44" ht="5.15" customHeight="1" x14ac:dyDescent="0.35">
      <c r="A187" s="561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61"/>
      <c r="AB187" s="561"/>
      <c r="AC187" s="561"/>
      <c r="AD187" s="561"/>
      <c r="AE187" s="561"/>
      <c r="AF187" s="561"/>
      <c r="AG187" s="561"/>
      <c r="AH187" s="561"/>
      <c r="AI187" s="561"/>
      <c r="AJ187" s="561"/>
      <c r="AK187" s="561"/>
      <c r="AL187" s="561"/>
      <c r="AM187" s="561"/>
      <c r="AN187" s="561"/>
      <c r="AO187" s="561"/>
      <c r="AP187" s="561"/>
      <c r="AQ187" s="561"/>
      <c r="AR187" s="561"/>
    </row>
    <row r="188" spans="1:44" ht="5.15" customHeight="1" x14ac:dyDescent="0.35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1"/>
      <c r="P188" s="561"/>
      <c r="Q188" s="561"/>
      <c r="R188" s="561"/>
      <c r="S188" s="561"/>
      <c r="T188" s="561"/>
      <c r="U188" s="561"/>
      <c r="V188" s="561"/>
      <c r="W188" s="561"/>
      <c r="X188" s="561"/>
      <c r="Y188" s="561"/>
      <c r="Z188" s="561"/>
      <c r="AA188" s="561"/>
      <c r="AB188" s="561"/>
      <c r="AC188" s="561"/>
      <c r="AD188" s="561"/>
      <c r="AE188" s="561"/>
      <c r="AF188" s="561"/>
      <c r="AG188" s="561"/>
      <c r="AH188" s="561"/>
      <c r="AI188" s="561"/>
      <c r="AJ188" s="561"/>
      <c r="AK188" s="561"/>
      <c r="AL188" s="561"/>
      <c r="AM188" s="561"/>
      <c r="AN188" s="561"/>
      <c r="AO188" s="561"/>
      <c r="AP188" s="561"/>
      <c r="AQ188" s="561"/>
      <c r="AR188" s="561"/>
    </row>
    <row r="189" spans="1:44" ht="5.15" customHeight="1" x14ac:dyDescent="0.35">
      <c r="A189" s="561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61"/>
      <c r="AB189" s="561"/>
      <c r="AC189" s="561"/>
      <c r="AD189" s="561"/>
      <c r="AE189" s="561"/>
      <c r="AF189" s="561"/>
      <c r="AG189" s="561"/>
      <c r="AH189" s="561"/>
      <c r="AI189" s="561"/>
      <c r="AJ189" s="561"/>
      <c r="AK189" s="561"/>
      <c r="AL189" s="561"/>
      <c r="AM189" s="561"/>
      <c r="AN189" s="561"/>
      <c r="AO189" s="561"/>
      <c r="AP189" s="561"/>
      <c r="AQ189" s="561"/>
      <c r="AR189" s="561"/>
    </row>
    <row r="190" spans="1:44" ht="5.15" customHeight="1" x14ac:dyDescent="0.35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61"/>
      <c r="AB190" s="561"/>
      <c r="AC190" s="561"/>
      <c r="AD190" s="561"/>
      <c r="AE190" s="561"/>
      <c r="AF190" s="561"/>
      <c r="AG190" s="561"/>
      <c r="AH190" s="561"/>
      <c r="AI190" s="561"/>
      <c r="AJ190" s="561"/>
      <c r="AK190" s="561"/>
      <c r="AL190" s="561"/>
      <c r="AM190" s="561"/>
      <c r="AN190" s="561"/>
      <c r="AO190" s="561"/>
      <c r="AP190" s="561"/>
      <c r="AQ190" s="561"/>
      <c r="AR190" s="561"/>
    </row>
  </sheetData>
  <mergeCells count="41">
    <mergeCell ref="T1:BK1"/>
    <mergeCell ref="D97:E99"/>
    <mergeCell ref="D22:E24"/>
    <mergeCell ref="D42:E44"/>
    <mergeCell ref="D57:E59"/>
    <mergeCell ref="D17:E19"/>
    <mergeCell ref="D27:E29"/>
    <mergeCell ref="D32:E34"/>
    <mergeCell ref="D37:E39"/>
    <mergeCell ref="D47:E49"/>
    <mergeCell ref="D52:E54"/>
    <mergeCell ref="D92:E94"/>
    <mergeCell ref="A4:F5"/>
    <mergeCell ref="G4:S5"/>
    <mergeCell ref="BC4:BH4"/>
    <mergeCell ref="AU5:AY6"/>
    <mergeCell ref="D87:E89"/>
    <mergeCell ref="D62:E64"/>
    <mergeCell ref="D67:E69"/>
    <mergeCell ref="D77:E79"/>
    <mergeCell ref="D82:E84"/>
    <mergeCell ref="D132:E134"/>
    <mergeCell ref="D127:E129"/>
    <mergeCell ref="D137:E139"/>
    <mergeCell ref="D72:E74"/>
    <mergeCell ref="BC6:BD6"/>
    <mergeCell ref="BE6:BF6"/>
    <mergeCell ref="BG6:BH6"/>
    <mergeCell ref="BI6:BI7"/>
    <mergeCell ref="BJ6:BK7"/>
    <mergeCell ref="BC7:BH7"/>
    <mergeCell ref="A2:F3"/>
    <mergeCell ref="G2:S3"/>
    <mergeCell ref="BC3:BH3"/>
    <mergeCell ref="BI3:BI4"/>
    <mergeCell ref="BJ3:BK4"/>
    <mergeCell ref="D102:E104"/>
    <mergeCell ref="D107:E109"/>
    <mergeCell ref="D112:E114"/>
    <mergeCell ref="D117:E119"/>
    <mergeCell ref="D122:E124"/>
  </mergeCells>
  <pageMargins left="0.7" right="0.7" top="0.75" bottom="0.75" header="0.3" footer="0.3"/>
  <pageSetup paperSize="9" scale="5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7808-04E3-41AE-A1DB-4304178AEDAB}">
  <sheetPr codeName="Лист10">
    <pageSetUpPr fitToPage="1"/>
  </sheetPr>
  <dimension ref="A1:AS31"/>
  <sheetViews>
    <sheetView showGridLines="0" view="pageLayout" topLeftCell="A10" zoomScale="23" zoomScaleNormal="40" zoomScalePageLayoutView="23" workbookViewId="0">
      <selection activeCell="J7" sqref="P8"/>
    </sheetView>
  </sheetViews>
  <sheetFormatPr defaultColWidth="5.6328125" defaultRowHeight="30" customHeight="1" x14ac:dyDescent="0.35"/>
  <sheetData>
    <row r="1" spans="1:45" ht="30" customHeight="1" x14ac:dyDescent="0.35">
      <c r="A1" s="399"/>
      <c r="B1" s="400"/>
      <c r="C1" s="400"/>
      <c r="D1" s="400"/>
      <c r="E1" s="400"/>
      <c r="F1" s="400"/>
      <c r="G1" s="400"/>
      <c r="H1" s="395" t="s">
        <v>85</v>
      </c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5"/>
      <c r="AO1" s="395"/>
      <c r="AP1" s="395"/>
      <c r="AQ1" s="395"/>
      <c r="AR1" s="395"/>
      <c r="AS1" s="396"/>
    </row>
    <row r="2" spans="1:45" ht="30" customHeight="1" x14ac:dyDescent="0.35">
      <c r="A2" s="401"/>
      <c r="B2" s="402"/>
      <c r="C2" s="402"/>
      <c r="D2" s="402"/>
      <c r="E2" s="402"/>
      <c r="F2" s="402"/>
      <c r="G2" s="402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397"/>
      <c r="AG2" s="397"/>
      <c r="AH2" s="397"/>
      <c r="AI2" s="397"/>
      <c r="AJ2" s="397"/>
      <c r="AK2" s="397"/>
      <c r="AL2" s="397"/>
      <c r="AM2" s="397"/>
      <c r="AN2" s="397"/>
      <c r="AO2" s="397"/>
      <c r="AP2" s="397"/>
      <c r="AQ2" s="397"/>
      <c r="AR2" s="397"/>
      <c r="AS2" s="398"/>
    </row>
    <row r="3" spans="1:45" s="3" customFormat="1" ht="30" customHeight="1" x14ac:dyDescent="0.35">
      <c r="A3" s="414" t="s">
        <v>86</v>
      </c>
      <c r="B3" s="415"/>
      <c r="C3" s="415"/>
      <c r="D3" s="415"/>
      <c r="E3" s="415"/>
      <c r="F3" s="416"/>
      <c r="G3" s="416"/>
      <c r="H3" s="416"/>
      <c r="I3" s="416"/>
      <c r="J3" s="416"/>
      <c r="K3" s="416"/>
      <c r="L3" s="416"/>
      <c r="M3" s="416"/>
      <c r="N3" s="416"/>
      <c r="O3" s="415" t="s">
        <v>28</v>
      </c>
      <c r="P3" s="415"/>
      <c r="Q3" s="415"/>
      <c r="R3" s="415"/>
      <c r="S3" s="415"/>
      <c r="T3" s="417"/>
      <c r="U3" s="417"/>
      <c r="V3" s="417"/>
      <c r="W3" s="417"/>
      <c r="X3" s="417"/>
      <c r="Y3" s="417"/>
      <c r="Z3" s="417"/>
      <c r="AA3" s="417"/>
      <c r="AB3" s="417"/>
      <c r="AC3" s="415" t="s">
        <v>1</v>
      </c>
      <c r="AD3" s="415"/>
      <c r="AE3" s="415"/>
      <c r="AF3" s="415"/>
      <c r="AG3" s="415"/>
      <c r="AH3" s="403"/>
      <c r="AI3" s="404"/>
      <c r="AJ3" s="404"/>
      <c r="AK3" s="404"/>
      <c r="AL3" s="404"/>
      <c r="AM3" s="404"/>
      <c r="AN3" s="404"/>
      <c r="AO3" s="404"/>
      <c r="AP3" s="404"/>
      <c r="AQ3" s="404"/>
      <c r="AR3" s="405" t="s">
        <v>19</v>
      </c>
      <c r="AS3" s="406"/>
    </row>
    <row r="4" spans="1:45" s="3" customFormat="1" ht="30" customHeight="1" thickBot="1" x14ac:dyDescent="0.4">
      <c r="A4" s="407" t="s">
        <v>88</v>
      </c>
      <c r="B4" s="408"/>
      <c r="C4" s="408"/>
      <c r="D4" s="408"/>
      <c r="E4" s="408"/>
      <c r="F4" s="409"/>
      <c r="G4" s="409"/>
      <c r="H4" s="409"/>
      <c r="I4" s="409"/>
      <c r="J4" s="409"/>
      <c r="K4" s="409"/>
      <c r="L4" s="409"/>
      <c r="M4" s="409"/>
      <c r="N4" s="409"/>
      <c r="O4" s="408" t="s">
        <v>89</v>
      </c>
      <c r="P4" s="408"/>
      <c r="Q4" s="408"/>
      <c r="R4" s="408"/>
      <c r="S4" s="408"/>
      <c r="T4" s="409"/>
      <c r="U4" s="409"/>
      <c r="V4" s="409"/>
      <c r="W4" s="409"/>
      <c r="X4" s="409"/>
      <c r="Y4" s="409"/>
      <c r="Z4" s="409"/>
      <c r="AA4" s="409"/>
      <c r="AB4" s="409"/>
      <c r="AC4" s="408" t="s">
        <v>87</v>
      </c>
      <c r="AD4" s="408"/>
      <c r="AE4" s="408"/>
      <c r="AF4" s="408"/>
      <c r="AG4" s="408"/>
      <c r="AH4" s="410"/>
      <c r="AI4" s="411"/>
      <c r="AJ4" s="411"/>
      <c r="AK4" s="411"/>
      <c r="AL4" s="411"/>
      <c r="AM4" s="411"/>
      <c r="AN4" s="411"/>
      <c r="AO4" s="411"/>
      <c r="AP4" s="411"/>
      <c r="AQ4" s="411"/>
      <c r="AR4" s="412"/>
      <c r="AS4" s="413"/>
    </row>
    <row r="5" spans="1:45" s="3" customFormat="1" ht="30" customHeight="1" thickBot="1" x14ac:dyDescent="0.4">
      <c r="A5" s="418" t="s">
        <v>90</v>
      </c>
      <c r="B5" s="419"/>
      <c r="C5" s="419"/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19"/>
      <c r="O5" s="419" t="s">
        <v>91</v>
      </c>
      <c r="P5" s="419"/>
      <c r="Q5" s="419"/>
      <c r="R5" s="419"/>
      <c r="S5" s="419"/>
      <c r="T5" s="419"/>
      <c r="U5" s="419"/>
      <c r="V5" s="419"/>
      <c r="W5" s="419"/>
      <c r="X5" s="419"/>
      <c r="Y5" s="419"/>
      <c r="Z5" s="419"/>
      <c r="AA5" s="419"/>
      <c r="AB5" s="419"/>
      <c r="AC5" s="419" t="s">
        <v>92</v>
      </c>
      <c r="AD5" s="419"/>
      <c r="AE5" s="419"/>
      <c r="AF5" s="419"/>
      <c r="AG5" s="419"/>
      <c r="AH5" s="419"/>
      <c r="AI5" s="419"/>
      <c r="AJ5" s="419"/>
      <c r="AK5" s="419"/>
      <c r="AL5" s="419"/>
      <c r="AM5" s="419"/>
      <c r="AN5" s="419"/>
      <c r="AO5" s="419"/>
      <c r="AP5" s="419"/>
      <c r="AQ5" s="419"/>
      <c r="AR5" s="419"/>
      <c r="AS5" s="420"/>
    </row>
    <row r="6" spans="1:45" ht="30" customHeight="1" x14ac:dyDescent="0.35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4"/>
      <c r="W6" s="55"/>
      <c r="X6" s="55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6"/>
    </row>
    <row r="7" spans="1:45" ht="30" customHeight="1" x14ac:dyDescent="0.35">
      <c r="A7" s="57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9"/>
      <c r="W7" s="60"/>
      <c r="X7" s="60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61"/>
    </row>
    <row r="8" spans="1:45" ht="30" customHeight="1" x14ac:dyDescent="0.35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9"/>
      <c r="W8" s="60"/>
      <c r="X8" s="60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61"/>
    </row>
    <row r="9" spans="1:45" ht="30" customHeight="1" x14ac:dyDescent="0.35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9"/>
      <c r="W9" s="60"/>
      <c r="X9" s="60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61"/>
    </row>
    <row r="10" spans="1:45" ht="30" customHeight="1" x14ac:dyDescent="0.3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9"/>
      <c r="W10" s="60"/>
      <c r="X10" s="60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61"/>
    </row>
    <row r="11" spans="1:45" ht="30" customHeight="1" x14ac:dyDescent="0.3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9"/>
      <c r="W11" s="60"/>
      <c r="X11" s="60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61"/>
    </row>
    <row r="12" spans="1:45" ht="30" customHeight="1" x14ac:dyDescent="0.3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9"/>
      <c r="W12" s="60"/>
      <c r="X12" s="60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61"/>
    </row>
    <row r="13" spans="1:45" ht="30" customHeight="1" x14ac:dyDescent="0.35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9"/>
      <c r="W13" s="60"/>
      <c r="X13" s="60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61"/>
    </row>
    <row r="14" spans="1:45" ht="30" customHeight="1" x14ac:dyDescent="0.35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9"/>
      <c r="W14" s="60"/>
      <c r="X14" s="60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61"/>
    </row>
    <row r="15" spans="1:45" ht="30" customHeight="1" x14ac:dyDescent="0.35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9"/>
      <c r="W15" s="60"/>
      <c r="X15" s="60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61"/>
    </row>
    <row r="16" spans="1:45" ht="30" customHeight="1" x14ac:dyDescent="0.35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9"/>
      <c r="W16" s="60"/>
      <c r="X16" s="60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61"/>
    </row>
    <row r="17" spans="1:45" ht="30" customHeight="1" x14ac:dyDescent="0.35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9"/>
      <c r="W17" s="60"/>
      <c r="X17" s="60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61"/>
    </row>
    <row r="18" spans="1:45" ht="30" customHeight="1" x14ac:dyDescent="0.3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9"/>
      <c r="W18" s="60"/>
      <c r="X18" s="60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61"/>
    </row>
    <row r="19" spans="1:45" ht="30" customHeight="1" x14ac:dyDescent="0.35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 t="s">
        <v>93</v>
      </c>
      <c r="U19" s="58"/>
      <c r="V19" s="59"/>
      <c r="W19" s="60"/>
      <c r="X19" s="60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61"/>
    </row>
    <row r="20" spans="1:45" ht="30" customHeight="1" thickBot="1" x14ac:dyDescent="0.4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4"/>
      <c r="W20" s="65"/>
      <c r="X20" s="65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6"/>
    </row>
    <row r="21" spans="1:45" ht="30" customHeight="1" thickBot="1" x14ac:dyDescent="0.4">
      <c r="A21" s="421" t="s">
        <v>94</v>
      </c>
      <c r="B21" s="422"/>
      <c r="C21" s="422"/>
      <c r="D21" s="422"/>
      <c r="E21" s="422"/>
      <c r="F21" s="422"/>
      <c r="G21" s="422"/>
      <c r="H21" s="422"/>
      <c r="I21" s="422"/>
      <c r="J21" s="422"/>
      <c r="K21" s="422"/>
      <c r="L21" s="422"/>
      <c r="M21" s="422"/>
      <c r="N21" s="422"/>
      <c r="O21" s="422"/>
      <c r="P21" s="422" t="s">
        <v>95</v>
      </c>
      <c r="Q21" s="422"/>
      <c r="R21" s="422"/>
      <c r="S21" s="422"/>
      <c r="T21" s="422"/>
      <c r="U21" s="422"/>
      <c r="V21" s="422"/>
      <c r="W21" s="422"/>
      <c r="X21" s="422"/>
      <c r="Y21" s="422"/>
      <c r="Z21" s="422"/>
      <c r="AA21" s="422"/>
      <c r="AB21" s="422"/>
      <c r="AC21" s="422"/>
      <c r="AD21" s="422"/>
      <c r="AE21" s="422" t="s">
        <v>96</v>
      </c>
      <c r="AF21" s="422"/>
      <c r="AG21" s="422"/>
      <c r="AH21" s="422"/>
      <c r="AI21" s="422"/>
      <c r="AJ21" s="422"/>
      <c r="AK21" s="422"/>
      <c r="AL21" s="422"/>
      <c r="AM21" s="422"/>
      <c r="AN21" s="422"/>
      <c r="AO21" s="422"/>
      <c r="AP21" s="422"/>
      <c r="AQ21" s="422"/>
      <c r="AR21" s="422"/>
      <c r="AS21" s="423"/>
    </row>
    <row r="22" spans="1:45" ht="30" customHeight="1" x14ac:dyDescent="0.5">
      <c r="A22" s="430"/>
      <c r="B22" s="431"/>
      <c r="C22" s="431"/>
      <c r="D22" s="431"/>
      <c r="E22" s="431"/>
      <c r="F22" s="431"/>
      <c r="G22" s="431"/>
      <c r="H22" s="431"/>
      <c r="I22" s="431"/>
      <c r="J22" s="431"/>
      <c r="K22" s="431"/>
      <c r="L22" s="431"/>
      <c r="M22" s="431"/>
      <c r="N22" s="431"/>
      <c r="O22" s="432"/>
      <c r="P22" s="430"/>
      <c r="Q22" s="431"/>
      <c r="R22" s="431"/>
      <c r="S22" s="431"/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2"/>
      <c r="AE22" s="430"/>
      <c r="AF22" s="431"/>
      <c r="AG22" s="431"/>
      <c r="AH22" s="431"/>
      <c r="AI22" s="431"/>
      <c r="AJ22" s="431"/>
      <c r="AK22" s="431"/>
      <c r="AL22" s="431"/>
      <c r="AM22" s="431"/>
      <c r="AN22" s="431"/>
      <c r="AO22" s="431"/>
      <c r="AP22" s="431"/>
      <c r="AQ22" s="431"/>
      <c r="AR22" s="431"/>
      <c r="AS22" s="432"/>
    </row>
    <row r="23" spans="1:45" ht="30" customHeight="1" x14ac:dyDescent="0.5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6"/>
      <c r="P23" s="424"/>
      <c r="Q23" s="425"/>
      <c r="R23" s="425"/>
      <c r="S23" s="425"/>
      <c r="T23" s="425"/>
      <c r="U23" s="425"/>
      <c r="V23" s="425"/>
      <c r="W23" s="425"/>
      <c r="X23" s="425"/>
      <c r="Y23" s="425"/>
      <c r="Z23" s="425"/>
      <c r="AA23" s="425"/>
      <c r="AB23" s="425"/>
      <c r="AC23" s="425"/>
      <c r="AD23" s="426"/>
      <c r="AE23" s="424"/>
      <c r="AF23" s="425"/>
      <c r="AG23" s="425"/>
      <c r="AH23" s="425"/>
      <c r="AI23" s="425"/>
      <c r="AJ23" s="425"/>
      <c r="AK23" s="425"/>
      <c r="AL23" s="425"/>
      <c r="AM23" s="425"/>
      <c r="AN23" s="425"/>
      <c r="AO23" s="425"/>
      <c r="AP23" s="425"/>
      <c r="AQ23" s="425"/>
      <c r="AR23" s="425"/>
      <c r="AS23" s="426"/>
    </row>
    <row r="24" spans="1:45" ht="30" customHeight="1" x14ac:dyDescent="0.5">
      <c r="A24" s="425"/>
      <c r="B24" s="425"/>
      <c r="C24" s="425"/>
      <c r="D24" s="425"/>
      <c r="E24" s="425"/>
      <c r="F24" s="425"/>
      <c r="G24" s="425"/>
      <c r="H24" s="425"/>
      <c r="I24" s="425"/>
      <c r="J24" s="425"/>
      <c r="K24" s="425"/>
      <c r="L24" s="425"/>
      <c r="M24" s="425"/>
      <c r="N24" s="425"/>
      <c r="O24" s="426"/>
      <c r="P24" s="92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4"/>
      <c r="AE24" s="424"/>
      <c r="AF24" s="425"/>
      <c r="AG24" s="425"/>
      <c r="AH24" s="425"/>
      <c r="AI24" s="425"/>
      <c r="AJ24" s="425"/>
      <c r="AK24" s="425"/>
      <c r="AL24" s="425"/>
      <c r="AM24" s="425"/>
      <c r="AN24" s="425"/>
      <c r="AO24" s="425"/>
      <c r="AP24" s="425"/>
      <c r="AQ24" s="425"/>
      <c r="AR24" s="425"/>
      <c r="AS24" s="426"/>
    </row>
    <row r="25" spans="1:45" ht="30" customHeight="1" x14ac:dyDescent="0.5">
      <c r="A25" s="424"/>
      <c r="B25" s="425"/>
      <c r="C25" s="425"/>
      <c r="D25" s="425"/>
      <c r="E25" s="425"/>
      <c r="F25" s="425"/>
      <c r="G25" s="425"/>
      <c r="H25" s="425"/>
      <c r="I25" s="425"/>
      <c r="J25" s="425"/>
      <c r="K25" s="425"/>
      <c r="L25" s="425"/>
      <c r="M25" s="425"/>
      <c r="N25" s="425"/>
      <c r="O25" s="426"/>
      <c r="P25" s="424"/>
      <c r="Q25" s="425"/>
      <c r="R25" s="425"/>
      <c r="S25" s="425"/>
      <c r="T25" s="425"/>
      <c r="U25" s="425"/>
      <c r="V25" s="425"/>
      <c r="W25" s="425"/>
      <c r="X25" s="425"/>
      <c r="Y25" s="425"/>
      <c r="Z25" s="425"/>
      <c r="AA25" s="425"/>
      <c r="AB25" s="425"/>
      <c r="AC25" s="425"/>
      <c r="AD25" s="426"/>
      <c r="AE25" s="427"/>
      <c r="AF25" s="428"/>
      <c r="AG25" s="428"/>
      <c r="AH25" s="428"/>
      <c r="AI25" s="428"/>
      <c r="AJ25" s="428"/>
      <c r="AK25" s="428"/>
      <c r="AL25" s="428"/>
      <c r="AM25" s="428"/>
      <c r="AN25" s="428"/>
      <c r="AO25" s="428"/>
      <c r="AP25" s="428"/>
      <c r="AQ25" s="428"/>
      <c r="AR25" s="428"/>
      <c r="AS25" s="429"/>
    </row>
    <row r="26" spans="1:45" ht="30" customHeight="1" x14ac:dyDescent="0.5">
      <c r="A26" s="424"/>
      <c r="B26" s="425"/>
      <c r="C26" s="425"/>
      <c r="D26" s="425"/>
      <c r="E26" s="425"/>
      <c r="F26" s="425"/>
      <c r="G26" s="425"/>
      <c r="H26" s="425"/>
      <c r="I26" s="425"/>
      <c r="J26" s="425"/>
      <c r="K26" s="425"/>
      <c r="L26" s="425"/>
      <c r="M26" s="425"/>
      <c r="N26" s="425"/>
      <c r="O26" s="426"/>
      <c r="P26" s="424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/>
      <c r="AB26" s="425"/>
      <c r="AC26" s="425"/>
      <c r="AD26" s="426"/>
      <c r="AE26" s="427"/>
      <c r="AF26" s="428"/>
      <c r="AG26" s="428"/>
      <c r="AH26" s="428"/>
      <c r="AI26" s="428"/>
      <c r="AJ26" s="428"/>
      <c r="AK26" s="428"/>
      <c r="AL26" s="428"/>
      <c r="AM26" s="428"/>
      <c r="AN26" s="428"/>
      <c r="AO26" s="428"/>
      <c r="AP26" s="428"/>
      <c r="AQ26" s="428"/>
      <c r="AR26" s="428"/>
      <c r="AS26" s="429"/>
    </row>
    <row r="27" spans="1:45" ht="30" customHeight="1" x14ac:dyDescent="0.5">
      <c r="A27" s="424"/>
      <c r="B27" s="425"/>
      <c r="C27" s="425"/>
      <c r="D27" s="425"/>
      <c r="E27" s="425"/>
      <c r="F27" s="425"/>
      <c r="G27" s="425"/>
      <c r="H27" s="425"/>
      <c r="I27" s="425"/>
      <c r="J27" s="425"/>
      <c r="K27" s="425"/>
      <c r="L27" s="425"/>
      <c r="M27" s="425"/>
      <c r="N27" s="425"/>
      <c r="O27" s="426"/>
      <c r="P27" s="424"/>
      <c r="Q27" s="425"/>
      <c r="R27" s="425"/>
      <c r="S27" s="425"/>
      <c r="T27" s="425"/>
      <c r="U27" s="425"/>
      <c r="V27" s="425"/>
      <c r="W27" s="425"/>
      <c r="X27" s="425"/>
      <c r="Y27" s="425"/>
      <c r="Z27" s="425"/>
      <c r="AA27" s="425"/>
      <c r="AB27" s="425"/>
      <c r="AC27" s="425"/>
      <c r="AD27" s="426"/>
      <c r="AE27" s="427"/>
      <c r="AF27" s="428"/>
      <c r="AG27" s="428"/>
      <c r="AH27" s="428"/>
      <c r="AI27" s="428"/>
      <c r="AJ27" s="428"/>
      <c r="AK27" s="428"/>
      <c r="AL27" s="428"/>
      <c r="AM27" s="428"/>
      <c r="AN27" s="428"/>
      <c r="AO27" s="428"/>
      <c r="AP27" s="428"/>
      <c r="AQ27" s="428"/>
      <c r="AR27" s="428"/>
      <c r="AS27" s="429"/>
    </row>
    <row r="28" spans="1:45" ht="30" customHeight="1" x14ac:dyDescent="0.5">
      <c r="A28" s="424"/>
      <c r="B28" s="425"/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  <c r="O28" s="426"/>
      <c r="P28" s="427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9"/>
      <c r="AE28" s="427"/>
      <c r="AF28" s="428"/>
      <c r="AG28" s="428"/>
      <c r="AH28" s="428"/>
      <c r="AI28" s="428"/>
      <c r="AJ28" s="428"/>
      <c r="AK28" s="428"/>
      <c r="AL28" s="428"/>
      <c r="AM28" s="428"/>
      <c r="AN28" s="428"/>
      <c r="AO28" s="428"/>
      <c r="AP28" s="428"/>
      <c r="AQ28" s="428"/>
      <c r="AR28" s="428"/>
      <c r="AS28" s="429"/>
    </row>
    <row r="29" spans="1:45" ht="30" customHeight="1" thickBot="1" x14ac:dyDescent="0.55000000000000004">
      <c r="A29" s="436"/>
      <c r="B29" s="437"/>
      <c r="C29" s="437"/>
      <c r="D29" s="437"/>
      <c r="E29" s="437"/>
      <c r="F29" s="437"/>
      <c r="G29" s="437"/>
      <c r="H29" s="437"/>
      <c r="I29" s="437"/>
      <c r="J29" s="437"/>
      <c r="K29" s="437"/>
      <c r="L29" s="437"/>
      <c r="M29" s="438"/>
      <c r="N29" s="438"/>
      <c r="O29" s="439"/>
      <c r="P29" s="427"/>
      <c r="Q29" s="428"/>
      <c r="R29" s="428"/>
      <c r="S29" s="428"/>
      <c r="T29" s="428"/>
      <c r="U29" s="428"/>
      <c r="V29" s="428"/>
      <c r="W29" s="428"/>
      <c r="X29" s="428"/>
      <c r="Y29" s="428"/>
      <c r="Z29" s="428"/>
      <c r="AA29" s="428"/>
      <c r="AB29" s="428"/>
      <c r="AC29" s="428"/>
      <c r="AD29" s="429"/>
      <c r="AE29" s="427"/>
      <c r="AF29" s="428"/>
      <c r="AG29" s="428"/>
      <c r="AH29" s="428"/>
      <c r="AI29" s="428"/>
      <c r="AJ29" s="428"/>
      <c r="AK29" s="428"/>
      <c r="AL29" s="428"/>
      <c r="AM29" s="428"/>
      <c r="AN29" s="428"/>
      <c r="AO29" s="428"/>
      <c r="AP29" s="428"/>
      <c r="AQ29" s="428"/>
      <c r="AR29" s="428"/>
      <c r="AS29" s="429"/>
    </row>
    <row r="30" spans="1:45" ht="30" customHeight="1" x14ac:dyDescent="0.5">
      <c r="A30" s="443"/>
      <c r="B30" s="444"/>
      <c r="C30" s="444"/>
      <c r="D30" s="444"/>
      <c r="E30" s="444"/>
      <c r="F30" s="444"/>
      <c r="G30" s="444"/>
      <c r="H30" s="444"/>
      <c r="I30" s="444"/>
      <c r="J30" s="444"/>
      <c r="K30" s="444"/>
      <c r="L30" s="445"/>
      <c r="M30" s="440" t="s">
        <v>97</v>
      </c>
      <c r="N30" s="441"/>
      <c r="O30" s="442"/>
      <c r="P30" s="427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9"/>
      <c r="AB30" s="440" t="s">
        <v>98</v>
      </c>
      <c r="AC30" s="441"/>
      <c r="AD30" s="442"/>
      <c r="AE30" s="427"/>
      <c r="AF30" s="428"/>
      <c r="AG30" s="428"/>
      <c r="AH30" s="428"/>
      <c r="AI30" s="428"/>
      <c r="AJ30" s="428"/>
      <c r="AK30" s="428"/>
      <c r="AL30" s="428"/>
      <c r="AM30" s="428"/>
      <c r="AN30" s="428"/>
      <c r="AO30" s="428"/>
      <c r="AP30" s="429"/>
      <c r="AQ30" s="440" t="s">
        <v>99</v>
      </c>
      <c r="AR30" s="441"/>
      <c r="AS30" s="442"/>
    </row>
    <row r="31" spans="1:45" ht="30" customHeight="1" thickBot="1" x14ac:dyDescent="0.55000000000000004">
      <c r="A31" s="446"/>
      <c r="B31" s="447"/>
      <c r="C31" s="447"/>
      <c r="D31" s="447"/>
      <c r="E31" s="447"/>
      <c r="F31" s="447"/>
      <c r="G31" s="447"/>
      <c r="H31" s="447"/>
      <c r="I31" s="447"/>
      <c r="J31" s="447"/>
      <c r="K31" s="447"/>
      <c r="L31" s="448"/>
      <c r="M31" s="433"/>
      <c r="N31" s="434"/>
      <c r="O31" s="435"/>
      <c r="P31" s="449"/>
      <c r="Q31" s="450"/>
      <c r="R31" s="450"/>
      <c r="S31" s="450"/>
      <c r="T31" s="450"/>
      <c r="U31" s="450"/>
      <c r="V31" s="450"/>
      <c r="W31" s="450"/>
      <c r="X31" s="450"/>
      <c r="Y31" s="450"/>
      <c r="Z31" s="450"/>
      <c r="AA31" s="451"/>
      <c r="AB31" s="433"/>
      <c r="AC31" s="434"/>
      <c r="AD31" s="435"/>
      <c r="AE31" s="449"/>
      <c r="AF31" s="450"/>
      <c r="AG31" s="450"/>
      <c r="AH31" s="450"/>
      <c r="AI31" s="450"/>
      <c r="AJ31" s="450"/>
      <c r="AK31" s="450"/>
      <c r="AL31" s="450"/>
      <c r="AM31" s="450"/>
      <c r="AN31" s="450"/>
      <c r="AO31" s="450"/>
      <c r="AP31" s="451"/>
      <c r="AQ31" s="433"/>
      <c r="AR31" s="434"/>
      <c r="AS31" s="435"/>
    </row>
  </sheetData>
  <mergeCells count="57">
    <mergeCell ref="AQ31:AS31"/>
    <mergeCell ref="A29:O29"/>
    <mergeCell ref="P29:AD29"/>
    <mergeCell ref="AE29:AS29"/>
    <mergeCell ref="M30:O30"/>
    <mergeCell ref="P30:AA30"/>
    <mergeCell ref="AB30:AD30"/>
    <mergeCell ref="AE30:AP30"/>
    <mergeCell ref="AQ30:AS30"/>
    <mergeCell ref="A30:L30"/>
    <mergeCell ref="A31:L31"/>
    <mergeCell ref="M31:O31"/>
    <mergeCell ref="P31:AA31"/>
    <mergeCell ref="AB31:AD31"/>
    <mergeCell ref="AE31:AP31"/>
    <mergeCell ref="A27:O27"/>
    <mergeCell ref="P27:AD27"/>
    <mergeCell ref="AE27:AS27"/>
    <mergeCell ref="A28:O28"/>
    <mergeCell ref="P28:AD28"/>
    <mergeCell ref="AE28:AS28"/>
    <mergeCell ref="A26:O26"/>
    <mergeCell ref="P26:AD26"/>
    <mergeCell ref="AE26:AS26"/>
    <mergeCell ref="A22:O22"/>
    <mergeCell ref="P22:AD22"/>
    <mergeCell ref="AE22:AS22"/>
    <mergeCell ref="A23:O23"/>
    <mergeCell ref="P23:AD23"/>
    <mergeCell ref="AE23:AS23"/>
    <mergeCell ref="A24:O24"/>
    <mergeCell ref="AE24:AS24"/>
    <mergeCell ref="A25:O25"/>
    <mergeCell ref="P25:AD25"/>
    <mergeCell ref="AE25:AS25"/>
    <mergeCell ref="A5:N5"/>
    <mergeCell ref="O5:AB5"/>
    <mergeCell ref="AC5:AS5"/>
    <mergeCell ref="A21:O21"/>
    <mergeCell ref="P21:AD21"/>
    <mergeCell ref="AE21:AS21"/>
    <mergeCell ref="H1:AS2"/>
    <mergeCell ref="A1:G2"/>
    <mergeCell ref="AH3:AQ3"/>
    <mergeCell ref="AR3:AS3"/>
    <mergeCell ref="A4:E4"/>
    <mergeCell ref="F4:N4"/>
    <mergeCell ref="O4:S4"/>
    <mergeCell ref="T4:AB4"/>
    <mergeCell ref="AC4:AG4"/>
    <mergeCell ref="AH4:AQ4"/>
    <mergeCell ref="AR4:AS4"/>
    <mergeCell ref="A3:E3"/>
    <mergeCell ref="F3:N3"/>
    <mergeCell ref="O3:S3"/>
    <mergeCell ref="T3:AB3"/>
    <mergeCell ref="AC3:AG3"/>
  </mergeCells>
  <pageMargins left="0.7" right="0.7" top="0.75" bottom="0.75" header="0.3" footer="0.3"/>
  <pageSetup paperSize="9" scale="51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2A76-0A70-49C2-9843-928D2076F533}">
  <sheetPr codeName="Лист11">
    <pageSetUpPr fitToPage="1"/>
  </sheetPr>
  <dimension ref="A1:H25"/>
  <sheetViews>
    <sheetView view="pageLayout" zoomScale="28" zoomScaleNormal="70" zoomScalePageLayoutView="28" workbookViewId="0">
      <selection activeCell="J7" sqref="P8"/>
    </sheetView>
  </sheetViews>
  <sheetFormatPr defaultRowHeight="14.5" x14ac:dyDescent="0.35"/>
  <cols>
    <col min="1" max="1" width="3.08984375" bestFit="1" customWidth="1"/>
    <col min="2" max="2" width="32.08984375" customWidth="1"/>
    <col min="3" max="3" width="38.54296875" customWidth="1"/>
    <col min="4" max="4" width="62.54296875" customWidth="1"/>
    <col min="8" max="8" width="33.90625" customWidth="1"/>
  </cols>
  <sheetData>
    <row r="1" spans="1:8" ht="15" customHeight="1" x14ac:dyDescent="0.35">
      <c r="A1" s="395"/>
      <c r="B1" s="395"/>
      <c r="C1" s="456" t="s">
        <v>122</v>
      </c>
      <c r="D1" s="456"/>
      <c r="E1" s="456"/>
      <c r="F1" s="456"/>
      <c r="G1" s="456"/>
      <c r="H1" s="456"/>
    </row>
    <row r="2" spans="1:8" ht="27.75" customHeight="1" x14ac:dyDescent="0.35">
      <c r="A2" s="455"/>
      <c r="B2" s="455"/>
      <c r="C2" s="457"/>
      <c r="D2" s="457"/>
      <c r="E2" s="457"/>
      <c r="F2" s="457"/>
      <c r="G2" s="457"/>
      <c r="H2" s="457"/>
    </row>
    <row r="3" spans="1:8" ht="30" customHeight="1" x14ac:dyDescent="0.35">
      <c r="A3" s="458" t="s">
        <v>123</v>
      </c>
      <c r="B3" s="459"/>
      <c r="C3" s="460"/>
      <c r="D3" s="461"/>
      <c r="E3" s="461"/>
      <c r="F3" s="461"/>
      <c r="G3" s="461"/>
      <c r="H3" s="462"/>
    </row>
    <row r="4" spans="1:8" ht="30" customHeight="1" x14ac:dyDescent="0.35">
      <c r="A4" s="458" t="s">
        <v>28</v>
      </c>
      <c r="B4" s="459"/>
      <c r="C4" s="460"/>
      <c r="D4" s="461"/>
      <c r="E4" s="461"/>
      <c r="F4" s="461"/>
      <c r="G4" s="461"/>
      <c r="H4" s="462"/>
    </row>
    <row r="5" spans="1:8" x14ac:dyDescent="0.35">
      <c r="A5" s="405" t="s">
        <v>19</v>
      </c>
      <c r="B5" s="465" t="s">
        <v>124</v>
      </c>
      <c r="C5" s="466"/>
      <c r="D5" s="405" t="s">
        <v>125</v>
      </c>
      <c r="E5" s="405" t="s">
        <v>43</v>
      </c>
      <c r="F5" s="405"/>
      <c r="G5" s="405"/>
      <c r="H5" s="452" t="s">
        <v>126</v>
      </c>
    </row>
    <row r="6" spans="1:8" x14ac:dyDescent="0.35">
      <c r="A6" s="405"/>
      <c r="B6" s="467"/>
      <c r="C6" s="468"/>
      <c r="D6" s="405"/>
      <c r="E6" s="95" t="s">
        <v>97</v>
      </c>
      <c r="F6" s="95" t="s">
        <v>127</v>
      </c>
      <c r="G6" s="95" t="s">
        <v>128</v>
      </c>
      <c r="H6" s="452"/>
    </row>
    <row r="7" spans="1:8" ht="80.150000000000006" customHeight="1" x14ac:dyDescent="0.35">
      <c r="A7" s="100"/>
      <c r="B7" s="453"/>
      <c r="C7" s="454"/>
      <c r="D7" s="101"/>
      <c r="E7" s="100"/>
      <c r="F7" s="100"/>
      <c r="G7" s="100"/>
      <c r="H7" s="101"/>
    </row>
    <row r="8" spans="1:8" ht="80.150000000000006" customHeight="1" x14ac:dyDescent="0.35">
      <c r="A8" s="100"/>
      <c r="B8" s="453"/>
      <c r="C8" s="454"/>
      <c r="D8" s="101"/>
      <c r="E8" s="100"/>
      <c r="F8" s="100"/>
      <c r="G8" s="100"/>
      <c r="H8" s="102"/>
    </row>
    <row r="9" spans="1:8" ht="80.150000000000006" customHeight="1" x14ac:dyDescent="0.35">
      <c r="A9" s="100"/>
      <c r="B9" s="453"/>
      <c r="C9" s="454"/>
      <c r="D9" s="101"/>
      <c r="E9" s="100"/>
      <c r="F9" s="100"/>
      <c r="G9" s="100"/>
      <c r="H9" s="102"/>
    </row>
    <row r="10" spans="1:8" ht="80" customHeight="1" x14ac:dyDescent="0.35">
      <c r="A10" s="96"/>
      <c r="B10" s="463"/>
      <c r="C10" s="464"/>
      <c r="D10" s="97"/>
      <c r="E10" s="96"/>
      <c r="F10" s="96"/>
      <c r="G10" s="96"/>
      <c r="H10" s="98"/>
    </row>
    <row r="11" spans="1:8" ht="80" customHeight="1" x14ac:dyDescent="0.35">
      <c r="A11" s="96"/>
      <c r="B11" s="463"/>
      <c r="C11" s="464"/>
      <c r="D11" s="97"/>
      <c r="E11" s="96"/>
      <c r="F11" s="96"/>
      <c r="G11" s="96"/>
      <c r="H11" s="98"/>
    </row>
    <row r="12" spans="1:8" ht="80" customHeight="1" x14ac:dyDescent="0.35">
      <c r="A12" s="96"/>
      <c r="B12" s="463"/>
      <c r="C12" s="464"/>
      <c r="D12" s="97"/>
      <c r="E12" s="96"/>
      <c r="F12" s="96"/>
      <c r="G12" s="96"/>
      <c r="H12" s="98"/>
    </row>
    <row r="13" spans="1:8" ht="80" customHeight="1" x14ac:dyDescent="0.35">
      <c r="A13" s="96"/>
      <c r="B13" s="463"/>
      <c r="C13" s="464"/>
      <c r="D13" s="97"/>
      <c r="E13" s="96"/>
      <c r="F13" s="96"/>
      <c r="G13" s="96"/>
      <c r="H13" s="98"/>
    </row>
    <row r="14" spans="1:8" ht="80" customHeight="1" x14ac:dyDescent="0.35"/>
    <row r="15" spans="1:8" ht="80" customHeight="1" x14ac:dyDescent="0.35"/>
    <row r="16" spans="1:8" ht="80" customHeight="1" x14ac:dyDescent="0.35"/>
    <row r="17" ht="80" customHeight="1" x14ac:dyDescent="0.35"/>
    <row r="18" ht="80" customHeight="1" x14ac:dyDescent="0.35"/>
    <row r="19" ht="80" customHeight="1" x14ac:dyDescent="0.35"/>
    <row r="20" ht="80" customHeight="1" x14ac:dyDescent="0.35"/>
    <row r="21" ht="80" customHeight="1" x14ac:dyDescent="0.35"/>
    <row r="22" ht="80" customHeight="1" x14ac:dyDescent="0.35"/>
    <row r="23" ht="80" customHeight="1" x14ac:dyDescent="0.35"/>
    <row r="24" ht="80" customHeight="1" x14ac:dyDescent="0.35"/>
    <row r="25" ht="80" customHeight="1" x14ac:dyDescent="0.35"/>
  </sheetData>
  <mergeCells count="18">
    <mergeCell ref="B11:C11"/>
    <mergeCell ref="B12:C12"/>
    <mergeCell ref="B13:C13"/>
    <mergeCell ref="B8:C8"/>
    <mergeCell ref="B9:C9"/>
    <mergeCell ref="B10:C10"/>
    <mergeCell ref="A5:A6"/>
    <mergeCell ref="B5:C6"/>
    <mergeCell ref="D5:D6"/>
    <mergeCell ref="E5:G5"/>
    <mergeCell ref="H5:H6"/>
    <mergeCell ref="B7:C7"/>
    <mergeCell ref="A1:B2"/>
    <mergeCell ref="C1:H2"/>
    <mergeCell ref="A3:B3"/>
    <mergeCell ref="C3:H3"/>
    <mergeCell ref="A4:B4"/>
    <mergeCell ref="C4:H4"/>
  </mergeCells>
  <pageMargins left="0.7" right="0.7" top="0.75" bottom="0.75" header="0.3" footer="0.3"/>
  <pageSetup paperSize="9" scale="66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221C-89C8-4035-AD4D-2209816CC752}">
  <sheetPr codeName="Лист12">
    <pageSetUpPr fitToPage="1"/>
  </sheetPr>
  <dimension ref="A1:J18"/>
  <sheetViews>
    <sheetView zoomScale="55" zoomScaleNormal="55" workbookViewId="0">
      <selection activeCell="J7" sqref="P8"/>
    </sheetView>
  </sheetViews>
  <sheetFormatPr defaultColWidth="9.08984375" defaultRowHeight="18.5" x14ac:dyDescent="0.45"/>
  <cols>
    <col min="1" max="1" width="4" style="72" customWidth="1"/>
    <col min="2" max="3" width="26" style="67" customWidth="1"/>
    <col min="4" max="4" width="14.453125" style="67" customWidth="1"/>
    <col min="5" max="5" width="12.90625" style="67" customWidth="1"/>
    <col min="6" max="6" width="29.90625" style="67" customWidth="1"/>
    <col min="7" max="7" width="30.90625" style="67" customWidth="1"/>
    <col min="8" max="8" width="12.453125" style="72" customWidth="1"/>
    <col min="9" max="9" width="29.54296875" style="67" customWidth="1"/>
    <col min="10" max="10" width="52.453125" style="67" customWidth="1"/>
    <col min="11" max="16384" width="9.08984375" style="67"/>
  </cols>
  <sheetData>
    <row r="1" spans="1:10" ht="18.75" customHeight="1" x14ac:dyDescent="0.45">
      <c r="A1" s="469" t="s">
        <v>100</v>
      </c>
      <c r="B1" s="470"/>
      <c r="C1" s="470"/>
      <c r="D1" s="470"/>
      <c r="E1" s="470"/>
      <c r="F1" s="470"/>
      <c r="G1" s="470"/>
      <c r="H1" s="470"/>
      <c r="I1" s="470"/>
      <c r="J1" s="471"/>
    </row>
    <row r="2" spans="1:10" ht="33" customHeight="1" x14ac:dyDescent="0.45">
      <c r="A2" s="472"/>
      <c r="B2" s="473"/>
      <c r="C2" s="473"/>
      <c r="D2" s="473"/>
      <c r="E2" s="473"/>
      <c r="F2" s="473"/>
      <c r="G2" s="473"/>
      <c r="H2" s="473"/>
      <c r="I2" s="473"/>
      <c r="J2" s="474"/>
    </row>
    <row r="3" spans="1:10" x14ac:dyDescent="0.45">
      <c r="A3" s="475" t="s">
        <v>101</v>
      </c>
      <c r="B3" s="475"/>
      <c r="C3" s="476"/>
      <c r="D3" s="477"/>
      <c r="E3" s="478"/>
      <c r="F3" s="145"/>
      <c r="G3" s="146"/>
      <c r="H3" s="147"/>
      <c r="I3" s="146"/>
      <c r="J3" s="148" t="s">
        <v>102</v>
      </c>
    </row>
    <row r="4" spans="1:10" x14ac:dyDescent="0.45">
      <c r="A4" s="475" t="s">
        <v>129</v>
      </c>
      <c r="B4" s="475"/>
      <c r="C4" s="476"/>
      <c r="D4" s="477"/>
      <c r="E4" s="478"/>
      <c r="F4" s="145"/>
      <c r="G4" s="146"/>
      <c r="H4" s="147"/>
      <c r="I4" s="146"/>
      <c r="J4" s="148" t="s">
        <v>103</v>
      </c>
    </row>
    <row r="5" spans="1:10" x14ac:dyDescent="0.45">
      <c r="A5" s="475" t="s">
        <v>28</v>
      </c>
      <c r="B5" s="475"/>
      <c r="C5" s="476"/>
      <c r="D5" s="477"/>
      <c r="E5" s="478"/>
      <c r="F5" s="145"/>
      <c r="G5" s="146"/>
      <c r="H5" s="147"/>
      <c r="I5" s="146"/>
      <c r="J5" s="148"/>
    </row>
    <row r="6" spans="1:10" x14ac:dyDescent="0.45">
      <c r="A6" s="475" t="s">
        <v>104</v>
      </c>
      <c r="B6" s="475"/>
      <c r="C6" s="479"/>
      <c r="D6" s="480"/>
      <c r="E6" s="481"/>
      <c r="F6" s="145"/>
      <c r="G6" s="146"/>
      <c r="H6" s="147"/>
      <c r="I6" s="146"/>
      <c r="J6" s="148" t="s">
        <v>105</v>
      </c>
    </row>
    <row r="7" spans="1:10" x14ac:dyDescent="0.45">
      <c r="A7" s="475" t="s">
        <v>130</v>
      </c>
      <c r="B7" s="475"/>
      <c r="C7" s="479"/>
      <c r="D7" s="480"/>
      <c r="E7" s="481"/>
      <c r="F7" s="145"/>
      <c r="G7" s="146"/>
      <c r="H7" s="147"/>
      <c r="I7" s="146"/>
      <c r="J7" s="148"/>
    </row>
    <row r="8" spans="1:10" ht="18.75" customHeight="1" x14ac:dyDescent="0.45">
      <c r="A8" s="482" t="s">
        <v>106</v>
      </c>
      <c r="B8" s="483"/>
      <c r="C8" s="484"/>
      <c r="D8" s="103"/>
      <c r="E8" s="482" t="s">
        <v>107</v>
      </c>
      <c r="F8" s="484"/>
      <c r="G8" s="103" t="s">
        <v>108</v>
      </c>
      <c r="H8" s="485" t="s">
        <v>112</v>
      </c>
      <c r="I8" s="482" t="s">
        <v>109</v>
      </c>
      <c r="J8" s="484"/>
    </row>
    <row r="9" spans="1:10" x14ac:dyDescent="0.45">
      <c r="A9" s="68" t="s">
        <v>110</v>
      </c>
      <c r="B9" s="488" t="s">
        <v>131</v>
      </c>
      <c r="C9" s="489"/>
      <c r="D9" s="104" t="s">
        <v>111</v>
      </c>
      <c r="E9" s="490" t="s">
        <v>132</v>
      </c>
      <c r="F9" s="491"/>
      <c r="G9" s="105" t="s">
        <v>133</v>
      </c>
      <c r="H9" s="486"/>
      <c r="I9" s="492"/>
      <c r="J9" s="493"/>
    </row>
    <row r="10" spans="1:10" x14ac:dyDescent="0.45">
      <c r="A10" s="68" t="s">
        <v>113</v>
      </c>
      <c r="B10" s="488" t="s">
        <v>134</v>
      </c>
      <c r="C10" s="489"/>
      <c r="D10" s="104" t="s">
        <v>114</v>
      </c>
      <c r="E10" s="490" t="s">
        <v>135</v>
      </c>
      <c r="F10" s="491"/>
      <c r="G10" s="105" t="s">
        <v>136</v>
      </c>
      <c r="H10" s="486"/>
      <c r="I10" s="494"/>
      <c r="J10" s="495"/>
    </row>
    <row r="11" spans="1:10" x14ac:dyDescent="0.45">
      <c r="A11" s="68" t="s">
        <v>115</v>
      </c>
      <c r="B11" s="498"/>
      <c r="C11" s="499"/>
      <c r="D11" s="104" t="s">
        <v>116</v>
      </c>
      <c r="E11" s="490"/>
      <c r="F11" s="491"/>
      <c r="G11" s="105"/>
      <c r="H11" s="487"/>
      <c r="I11" s="494"/>
      <c r="J11" s="495"/>
    </row>
    <row r="12" spans="1:10" x14ac:dyDescent="0.45">
      <c r="A12" s="68" t="s">
        <v>137</v>
      </c>
      <c r="B12" s="129"/>
      <c r="C12" s="130"/>
      <c r="D12" s="104" t="s">
        <v>52</v>
      </c>
      <c r="E12" s="500">
        <v>43646</v>
      </c>
      <c r="F12" s="491"/>
      <c r="G12" s="106">
        <v>43646</v>
      </c>
      <c r="H12" s="107" t="s">
        <v>138</v>
      </c>
      <c r="I12" s="496"/>
      <c r="J12" s="497"/>
    </row>
    <row r="13" spans="1:10" ht="48.75" customHeight="1" x14ac:dyDescent="0.45">
      <c r="A13" s="73" t="s">
        <v>19</v>
      </c>
      <c r="B13" s="501" t="s">
        <v>141</v>
      </c>
      <c r="C13" s="502"/>
      <c r="D13" s="501" t="s">
        <v>119</v>
      </c>
      <c r="E13" s="502"/>
      <c r="F13" s="108" t="s">
        <v>139</v>
      </c>
      <c r="G13" s="73" t="s">
        <v>117</v>
      </c>
      <c r="H13" s="73" t="s">
        <v>118</v>
      </c>
      <c r="I13" s="501" t="s">
        <v>140</v>
      </c>
      <c r="J13" s="502"/>
    </row>
    <row r="14" spans="1:10" ht="214.5" customHeight="1" x14ac:dyDescent="0.45">
      <c r="A14" s="69"/>
      <c r="B14" s="503"/>
      <c r="C14" s="504"/>
      <c r="D14" s="505"/>
      <c r="E14" s="506"/>
      <c r="F14" s="109"/>
      <c r="G14" s="70"/>
      <c r="H14" s="71"/>
      <c r="I14" s="507"/>
      <c r="J14" s="508"/>
    </row>
    <row r="15" spans="1:10" ht="265.5" customHeight="1" x14ac:dyDescent="0.45">
      <c r="A15" s="69"/>
      <c r="B15" s="503"/>
      <c r="C15" s="504"/>
      <c r="D15" s="505"/>
      <c r="E15" s="506"/>
      <c r="F15" s="109"/>
      <c r="G15" s="70"/>
      <c r="H15" s="71"/>
      <c r="I15" s="507"/>
      <c r="J15" s="508"/>
    </row>
    <row r="16" spans="1:10" ht="144.75" customHeight="1" x14ac:dyDescent="0.45">
      <c r="A16" s="69"/>
      <c r="B16" s="503"/>
      <c r="C16" s="504"/>
      <c r="D16" s="507"/>
      <c r="E16" s="508"/>
      <c r="F16" s="109"/>
      <c r="G16" s="70"/>
      <c r="H16" s="71"/>
      <c r="I16" s="507"/>
      <c r="J16" s="508"/>
    </row>
    <row r="17" spans="1:10" customFormat="1" ht="134.25" customHeight="1" x14ac:dyDescent="0.35">
      <c r="A17" s="99"/>
      <c r="B17" s="503"/>
      <c r="C17" s="504"/>
      <c r="D17" s="503"/>
      <c r="E17" s="504"/>
      <c r="F17" s="109"/>
      <c r="G17" s="70"/>
      <c r="H17" s="71"/>
      <c r="I17" s="507"/>
      <c r="J17" s="508"/>
    </row>
    <row r="18" spans="1:10" customFormat="1" ht="134.25" customHeight="1" x14ac:dyDescent="0.35">
      <c r="A18" s="99"/>
      <c r="B18" s="503"/>
      <c r="C18" s="504"/>
      <c r="D18" s="503"/>
      <c r="E18" s="504"/>
      <c r="F18" s="109"/>
      <c r="G18" s="70"/>
      <c r="H18" s="71"/>
      <c r="I18" s="507"/>
      <c r="J18" s="508"/>
    </row>
  </sheetData>
  <mergeCells count="41">
    <mergeCell ref="B17:C17"/>
    <mergeCell ref="D17:E17"/>
    <mergeCell ref="I17:J17"/>
    <mergeCell ref="B18:C18"/>
    <mergeCell ref="D18:E18"/>
    <mergeCell ref="I18:J18"/>
    <mergeCell ref="B15:C15"/>
    <mergeCell ref="D15:E15"/>
    <mergeCell ref="I15:J15"/>
    <mergeCell ref="B16:C16"/>
    <mergeCell ref="D16:E16"/>
    <mergeCell ref="I16:J16"/>
    <mergeCell ref="B13:C13"/>
    <mergeCell ref="D13:E13"/>
    <mergeCell ref="I13:J13"/>
    <mergeCell ref="B14:C14"/>
    <mergeCell ref="D14:E14"/>
    <mergeCell ref="I14:J14"/>
    <mergeCell ref="H8:H11"/>
    <mergeCell ref="I8:J8"/>
    <mergeCell ref="B9:C9"/>
    <mergeCell ref="E9:F9"/>
    <mergeCell ref="I9:J12"/>
    <mergeCell ref="B10:C10"/>
    <mergeCell ref="E10:F10"/>
    <mergeCell ref="B11:C11"/>
    <mergeCell ref="E11:F11"/>
    <mergeCell ref="E12:F12"/>
    <mergeCell ref="A6:B6"/>
    <mergeCell ref="C6:E6"/>
    <mergeCell ref="A7:B7"/>
    <mergeCell ref="C7:E7"/>
    <mergeCell ref="A8:C8"/>
    <mergeCell ref="E8:F8"/>
    <mergeCell ref="A1:J2"/>
    <mergeCell ref="A5:B5"/>
    <mergeCell ref="C5:E5"/>
    <mergeCell ref="A3:B3"/>
    <mergeCell ref="C3:E3"/>
    <mergeCell ref="A4:B4"/>
    <mergeCell ref="C4:E4"/>
  </mergeCells>
  <pageMargins left="0.25" right="0.25" top="0.75" bottom="0.75" header="0.3" footer="0.3"/>
  <pageSetup paperSize="9" scale="41" fitToHeight="0" orientation="portrait" r:id="rId1"/>
  <headerFooter>
    <oddFooter>&amp;CЕСЛИ ВАМ ИЗВЕСТНЫ БОЛЕЕ БЕЗОПАСНЫЕ / ЭФФЕКТИВНЫЕ МЕТОДЫ РАБОТЫ, ПОЖАЛУЙСТА, СООБЩИТЕ РАЗРАБОТЧИКУ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8</vt:i4>
      </vt:variant>
    </vt:vector>
  </HeadingPairs>
  <TitlesOfParts>
    <vt:vector size="19" baseType="lpstr">
      <vt:lpstr>Время такта</vt:lpstr>
      <vt:lpstr>Лист наблюдений</vt:lpstr>
      <vt:lpstr>Карта СР </vt:lpstr>
      <vt:lpstr>Ручная работа </vt:lpstr>
      <vt:lpstr>Периодическая работа</vt:lpstr>
      <vt:lpstr>Производственная способность</vt:lpstr>
      <vt:lpstr>Объедененная таблица (1 опер)</vt:lpstr>
      <vt:lpstr>Диаграмма</vt:lpstr>
      <vt:lpstr>Отчет об улучшении</vt:lpstr>
      <vt:lpstr>Общий список улучшений</vt:lpstr>
      <vt:lpstr>СОП </vt:lpstr>
      <vt:lpstr>Время_такта</vt:lpstr>
      <vt:lpstr>Диаграмма!Область_печати</vt:lpstr>
      <vt:lpstr>'Лист наблюдений'!Область_печати</vt:lpstr>
      <vt:lpstr>'Периодическая работа'!Область_печати</vt:lpstr>
      <vt:lpstr>'Производственная способность'!Область_печати</vt:lpstr>
      <vt:lpstr>'Ручная работа '!Область_печати</vt:lpstr>
      <vt:lpstr>'СОП '!Область_печати</vt:lpstr>
      <vt:lpstr>ФРВ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Горюнов Антон Николаевич</cp:lastModifiedBy>
  <cp:lastPrinted>2023-03-21T06:54:35Z</cp:lastPrinted>
  <dcterms:created xsi:type="dcterms:W3CDTF">2021-04-16T10:02:03Z</dcterms:created>
  <dcterms:modified xsi:type="dcterms:W3CDTF">2023-03-21T06:57:49Z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WorkbookGuid">
    <vt:lpwstr>25882deb-845a-4ff4-a4d5-d0b180edf52e</vt:lpwstr>
  </property>
</Properties>
</file>