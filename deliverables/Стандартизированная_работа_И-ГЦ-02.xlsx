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Начало" sheetId="1" r:id="rId1"/>
    <sheet name="Ввод" sheetId="2" r:id="rId2"/>
    <sheet name="Режимы И-ГЦ-02" sheetId="3" r:id="rId3"/>
    <sheet name="Ассортимент" sheetId="4" r:id="rId4"/>
    <sheet name="Замеры ДО" sheetId="5" r:id="rId5"/>
    <sheet name="Замеры ЦЕЛЬ" sheetId="6" r:id="rId6"/>
    <sheet name="Периодическая работа" sheetId="7" r:id="rId7"/>
    <sheet name="Расчет ДО" sheetId="8" r:id="rId8"/>
    <sheet name="Расчет ЦЕЛЬ" sheetId="9" r:id="rId9"/>
    <sheet name="Время такта" sheetId="10" r:id="rId10"/>
    <sheet name="Лист наблюдений" sheetId="11" r:id="rId11"/>
    <sheet name="Ручная работа" sheetId="12" r:id="rId12"/>
    <sheet name="Карта СР" sheetId="13" r:id="rId13"/>
    <sheet name="Производственная способность" sheetId="14" r:id="rId14"/>
    <sheet name="ОТ ДО" sheetId="15" r:id="rId15"/>
    <sheet name="ОТ ЦЕЛЬ" sheetId="16" r:id="rId16"/>
    <sheet name="Диаграмма" sheetId="17" r:id="rId17"/>
    <sheet name="Общий список улучшений" sheetId="18" r:id="rId18"/>
    <sheet name="Отчет об улучшении" sheetId="19" r:id="rId19"/>
    <sheet name="СОП" sheetId="20" r:id="rId20"/>
    <sheet name="СОП санобработка" sheetId="21" r:id="rId21"/>
    <sheet name="План внедрения" sheetId="22" r:id="rId22"/>
    <sheet name="Критерии качества СР" sheetId="23" r:id="rId23"/>
    <sheet name="Чек-лист СОП" sheetId="24" r:id="rId24"/>
    <sheet name="Показатели" sheetId="25" r:id="rId25"/>
    <sheet name="Контроль" sheetId="26" r:id="rId26"/>
    <sheet name="Допущения и источники" sheetId="27" r:id="rId27"/>
    <sheet name="Лист ознакомления" sheetId="28" r:id="rId28"/>
  </sheets>
  <definedNames>
    <definedName name="_xlnm._FilterDatabase" localSheetId="3" hidden="1">Ассортимент!$A$7:$T$25</definedName>
    <definedName name="_xlnm.Print_Area" localSheetId="3">Ассортимент!$A$1:$T$30</definedName>
    <definedName name="_xlnm.Print_Area" localSheetId="1">Ввод!$A$1:$D$43</definedName>
    <definedName name="_xlnm.Print_Area" localSheetId="9">'Время такта'!$A$1:$E$21</definedName>
    <definedName name="_xlnm.Print_Area" localSheetId="16">Диаграмма!$A$1:$K$81</definedName>
    <definedName name="_xlnm.Print_Area" localSheetId="26">'Допущения и источники'!$A$1:$F$62</definedName>
    <definedName name="_xlnm.Print_Area" localSheetId="4">'Замеры ДО'!$A$1:$X$382</definedName>
    <definedName name="_xlnm.Print_Area" localSheetId="5">'Замеры ЦЕЛЬ'!$A$1:$X$382</definedName>
    <definedName name="_xlnm.Print_Area" localSheetId="12">'Карта СР'!$A$1:$J$44</definedName>
    <definedName name="_xlnm.Print_Area" localSheetId="25">Контроль!$A$1:$E$42</definedName>
    <definedName name="_xlnm.Print_Area" localSheetId="22">'Критерии качества СР'!$A$1:$J$20</definedName>
    <definedName name="_xlnm.Print_Area" localSheetId="10">'Лист наблюдений'!$A$1:$F$30</definedName>
    <definedName name="_xlnm.Print_Area" localSheetId="27">'Лист ознакомления'!$A$1:$G$22</definedName>
    <definedName name="_xlnm.Print_Area" localSheetId="0">Начало!$A$1:$H$58</definedName>
    <definedName name="_xlnm.Print_Area" localSheetId="17">'Общий список улучшений'!$A$1:$K$18</definedName>
    <definedName name="_xlnm.Print_Area" localSheetId="14">'ОТ ДО'!$A$1:$AS$35</definedName>
    <definedName name="_xlnm.Print_Area" localSheetId="15">'ОТ ЦЕЛЬ'!$A$1:$AS$35</definedName>
    <definedName name="_xlnm.Print_Area" localSheetId="18">'Отчет об улучшении'!$A$1:$F$34</definedName>
    <definedName name="_xlnm.Print_Area" localSheetId="6">'Периодическая работа'!$A$1:$R$28</definedName>
    <definedName name="_xlnm.Print_Area" localSheetId="21">'План внедрения'!$A$1:$H$22</definedName>
    <definedName name="_xlnm.Print_Area" localSheetId="24">Показатели!$A$1:$E$43</definedName>
    <definedName name="_xlnm.Print_Area" localSheetId="13">'Производственная способность'!$A$1:$R$39</definedName>
    <definedName name="_xlnm.Print_Area" localSheetId="7">'Расчет ДО'!$A$1:$U$62</definedName>
    <definedName name="_xlnm.Print_Area" localSheetId="8">'Расчет ЦЕЛЬ'!$A$1:$U$62</definedName>
    <definedName name="_xlnm.Print_Area" localSheetId="2">'Режимы И-ГЦ-02'!$A$1:$J$25</definedName>
    <definedName name="_xlnm.Print_Area" localSheetId="11">'Ручная работа'!$A$1:$S$29</definedName>
    <definedName name="_xlnm.Print_Area" localSheetId="20">'СОП санобработка'!$A$1:$G$25</definedName>
    <definedName name="_xlnm.Print_Area" localSheetId="19">СОП!$A$1:$H$35</definedName>
    <definedName name="_xlnm.Print_Area" localSheetId="23">'Чек-лист СОП'!$A$1:$F$38</definedName>
    <definedName name="_xlnm.Print_Titles" localSheetId="3">Ассортимент!$1:$3</definedName>
    <definedName name="_xlnm.Print_Titles" localSheetId="1">Ввод!$1:$3</definedName>
    <definedName name="_xlnm.Print_Titles" localSheetId="9">'Время такта'!$1:$3</definedName>
    <definedName name="_xlnm.Print_Titles" localSheetId="16">Диаграмма!$1:$3</definedName>
    <definedName name="_xlnm.Print_Titles" localSheetId="26">'Допущения и источники'!$1:$3</definedName>
    <definedName name="_xlnm.Print_Titles" localSheetId="4">'Замеры ДО'!$1:$3</definedName>
    <definedName name="_xlnm.Print_Titles" localSheetId="5">'Замеры ЦЕЛЬ'!$1:$3</definedName>
    <definedName name="_xlnm.Print_Titles" localSheetId="12">'Карта СР'!$1:$3</definedName>
    <definedName name="_xlnm.Print_Titles" localSheetId="25">Контроль!$1:$3</definedName>
    <definedName name="_xlnm.Print_Titles" localSheetId="22">'Критерии качества СР'!$1:$3</definedName>
    <definedName name="_xlnm.Print_Titles" localSheetId="10">'Лист наблюдений'!$1:$3</definedName>
    <definedName name="_xlnm.Print_Titles" localSheetId="27">'Лист ознакомления'!$1:$3</definedName>
    <definedName name="_xlnm.Print_Titles" localSheetId="0">Начало!$1:$3</definedName>
    <definedName name="_xlnm.Print_Titles" localSheetId="17">'Общий список улучшений'!$1:$3</definedName>
    <definedName name="_xlnm.Print_Titles" localSheetId="14">'ОТ ДО'!$1:$3</definedName>
    <definedName name="_xlnm.Print_Titles" localSheetId="15">'ОТ ЦЕЛЬ'!$1:$3</definedName>
    <definedName name="_xlnm.Print_Titles" localSheetId="18">'Отчет об улучшении'!$1:$3</definedName>
    <definedName name="_xlnm.Print_Titles" localSheetId="6">'Периодическая работа'!$1:$3</definedName>
    <definedName name="_xlnm.Print_Titles" localSheetId="21">'План внедрения'!$1:$3</definedName>
    <definedName name="_xlnm.Print_Titles" localSheetId="24">Показатели!$1:$3</definedName>
    <definedName name="_xlnm.Print_Titles" localSheetId="13">'Производственная способность'!$1:$3</definedName>
    <definedName name="_xlnm.Print_Titles" localSheetId="7">'Расчет ДО'!$1:$3</definedName>
    <definedName name="_xlnm.Print_Titles" localSheetId="8">'Расчет ЦЕЛЬ'!$1:$3</definedName>
    <definedName name="_xlnm.Print_Titles" localSheetId="2">'Режимы И-ГЦ-02'!$1:$3</definedName>
    <definedName name="_xlnm.Print_Titles" localSheetId="11">'Ручная работа'!$1:$3</definedName>
    <definedName name="_xlnm.Print_Titles" localSheetId="20">'СОП санобработка'!$1:$3</definedName>
    <definedName name="_xlnm.Print_Titles" localSheetId="19">СОП!$1:$3</definedName>
    <definedName name="_xlnm.Print_Titles" localSheetId="23">'Чек-лист СОП'!$1:$3</definedName>
  </definedNames>
  <calcPr calcId="124519" fullCalcOnLoad="1" calcMode="auto" forceFullCalc="1"/>
</workbook>
</file>

<file path=xl/comments1.xml><?xml version="1.0" encoding="utf-8"?>
<comments xmlns="http://schemas.openxmlformats.org/spreadsheetml/2006/main">
  <authors>
    <author>Расчётная книга</author>
  </authors>
  <commentList>
    <comment ref="B6" authorId="0">
      <text>
        <r>
          <rPr>
            <sz val="8"/>
            <color indexed="81"/>
            <rFont val="Tahoma"/>
            <family val="2"/>
          </rPr>
          <t>ЗАМЕНИТЕ НА РЕАЛЬНЫЕ ДАННЫЕ.
В титуле И-ГЦ-02 также указано ООО «Курортное кафе». Перед утверждением сверить реквизиты.</t>
        </r>
      </text>
    </comment>
    <comment ref="B7" authorId="0">
      <text>
        <r>
          <rPr>
            <sz val="8"/>
            <color indexed="81"/>
            <rFont val="Tahoma"/>
            <family val="2"/>
          </rPr>
          <t>ЗАМЕНИТЕ НА РЕАЛЬНЫЕ ДАННЫЕ.
Уточнить наименование цеха.</t>
        </r>
      </text>
    </comment>
    <comment ref="B8" authorId="0">
      <text>
        <r>
          <rPr>
            <sz val="8"/>
            <color indexed="81"/>
            <rFont val="Tahoma"/>
            <family val="2"/>
          </rPr>
          <t>ЗАМЕНИТЕ НА РЕАЛЬНЫЕ ДАННЫЕ.
Фактическое рабочее место и инвентарный номер оборудования.</t>
        </r>
      </text>
    </comment>
    <comment ref="B9" authorId="0">
      <text>
        <r>
          <rPr>
            <sz val="8"/>
            <color indexed="81"/>
            <rFont val="Tahoma"/>
            <family val="2"/>
          </rPr>
          <t>ЗАМЕНИТЕ НА РЕАЛЬНЫЕ ДАННЫЕ.
Без вымышленных подписей и подтверждения проведения наблюдений.</t>
        </r>
      </text>
    </comment>
    <comment ref="B10" authorId="0">
      <text>
        <r>
          <rPr>
            <sz val="8"/>
            <color indexed="81"/>
            <rFont val="Tahoma"/>
            <family val="2"/>
          </rPr>
          <t>ЗАМЕНИТЕ НА РЕАЛЬНЫЕ ДАННЫЕ.
Демонстрационная дата; от неё рассчитываются плановые сроки.</t>
        </r>
      </text>
    </comment>
    <comment ref="B12" authorId="0">
      <text>
        <r>
          <rPr>
            <sz val="8"/>
            <color indexed="81"/>
            <rFont val="Tahoma"/>
            <family val="2"/>
          </rPr>
          <t>ЗАМЕНИТЕ НА РЕАЛЬНЫЕ ДАННЫЕ.
Выбор перестраивает наблюдения, ручную работу, ОТ, карту и СОП. Общие расчёты всегда учитывают все 18 продуктов.</t>
        </r>
      </text>
    </comment>
    <comment ref="B13" authorId="0">
      <text>
        <r>
          <rPr>
            <sz val="8"/>
            <color indexed="81"/>
            <rFont val="Tahoma"/>
            <family val="2"/>
          </rPr>
          <t>ЗАМЕНИТЕ НА РЕАЛЬНЫЕ ДАННЫЕ.
ДО — модель исходного состояния; ЦЕЛЬ — прогноз. Ни один не является фактом до замены замеров.</t>
        </r>
      </text>
    </comment>
    <comment ref="B14" authorId="0">
      <text>
        <r>
          <rPr>
            <sz val="8"/>
            <color indexed="81"/>
            <rFont val="Tahoma"/>
            <family val="2"/>
          </rPr>
          <t>ЗАМЕНИТЕ НА РЕАЛЬНЫЕ ДАННЫЕ.
Укажите дату, смену, исполнителя и ссылку на лист/видеозапись реальных замеров.</t>
        </r>
      </text>
    </comment>
    <comment ref="B15" authorId="0">
      <text>
        <r>
          <rPr>
            <sz val="8"/>
            <color indexed="81"/>
            <rFont val="Tahoma"/>
            <family val="2"/>
          </rPr>
          <t>ЗАМЕНИТЕ НА РЕАЛЬНЫЕ ДАННЫЕ.
Не переименовывать прогноз в факт без контрольных наблюдений.</t>
        </r>
      </text>
    </comment>
    <comment ref="B17" authorId="0">
      <text>
        <r>
          <rPr>
            <sz val="8"/>
            <color indexed="81"/>
            <rFont val="Tahoma"/>
            <family val="2"/>
          </rPr>
          <t>ЗАМЕНИТЕ НА РЕАЛЬНЫЕ ДАННЫЕ.
Модель рассчитывает ОДНУ смену. Для разных смен используйте отдельные копии книги.</t>
        </r>
      </text>
    </comment>
    <comment ref="B18" authorId="0">
      <text>
        <r>
          <rPr>
            <sz val="8"/>
            <color indexed="81"/>
            <rFont val="Tahoma"/>
            <family val="2"/>
          </rPr>
          <t>ЗАМЕНИТЕ НА РЕАЛЬНЫЕ ДАННЫЕ.
Только регламентированное время. Не включайте сюда периодическую санобработку.</t>
        </r>
      </text>
    </comment>
    <comment ref="B19" authorId="0">
      <text>
        <r>
          <rPr>
            <sz val="8"/>
            <color indexed="81"/>
            <rFont val="Tahoma"/>
            <family val="2"/>
          </rPr>
          <t>ЗАМЕНИТЕ НА РЕАЛЬНЫЕ ДАННЫЕ.
Сумма перерывов; не учитывать повторно в периодической работе.</t>
        </r>
      </text>
    </comment>
    <comment ref="B20" authorId="0">
      <text>
        <r>
          <rPr>
            <sz val="8"/>
            <color indexed="81"/>
            <rFont val="Tahoma"/>
            <family val="2"/>
          </rPr>
          <t>ЗАМЕНИТЕ НА РЕАЛЬНЫЕ ДАННЫЕ.
Не включает подачу тары и санобработку бака, учтённые отдельно.</t>
        </r>
      </text>
    </comment>
    <comment ref="B21" authorId="0">
      <text>
        <r>
          <rPr>
            <sz val="8"/>
            <color indexed="81"/>
            <rFont val="Tahoma"/>
            <family val="2"/>
          </rPr>
          <t>ЗАМЕНИТЕ НА РЕАЛЬНЫЕ ДАННЫЕ.
Не включает санобработку бака. Она целиком находится в периодической работе.</t>
        </r>
      </text>
    </comment>
    <comment ref="B22" authorId="0">
      <text>
        <r>
          <rPr>
            <sz val="8"/>
            <color indexed="81"/>
            <rFont val="Tahoma"/>
            <family val="2"/>
          </rPr>
          <t>ЗАМЕНИТЕ НА РЕАЛЬНЫЕ ДАННЫЕ.
При значении не 1 ресурсные оценки агрегированные. ОТ и карта описывают только одну ячейку; нужен фактический график распределения.</t>
        </r>
      </text>
    </comment>
    <comment ref="B23" authorId="0">
      <text>
        <r>
          <rPr>
            <sz val="8"/>
            <color indexed="81"/>
            <rFont val="Tahoma"/>
            <family val="2"/>
          </rPr>
          <t>ЗАМЕНИТЕ НА РЕАЛЬНЫЕ ДАННЫЕ.
В базовой схеме оператор не выполняет другую работу во время автоматической программы. Дополнительные люди не ускоряют машину автоматически.</t>
        </r>
      </text>
    </comment>
    <comment ref="B25" authorId="0">
      <text>
        <r>
          <rPr>
            <sz val="8"/>
            <color indexed="81"/>
            <rFont val="Tahoma"/>
            <family val="2"/>
          </rPr>
          <t>ЗАМЕНИТЕ НА РЕАЛЬНЫЕ ДАННЫЕ.
Фактический счётчик. 0 означает подготовленный чистый бак. Для неполного предыдущего блока введите 1–3.</t>
        </r>
      </text>
    </comment>
    <comment ref="B26" authorId="0">
      <text>
        <r>
          <rPr>
            <sz val="8"/>
            <color indexed="81"/>
            <rFont val="Tahoma"/>
            <family val="2"/>
          </rPr>
          <t>ЗАМЕНИТЕ НА РЕАЛЬНЫЕ ДАННЫЕ.
ДЕМО: 1 — резерв полного комплекса после неполной четвёрки в конце смены. Это плановое допущение; уточнить по санпрограмме. Регулярную обработку после 4 помывок отключить нельзя.</t>
        </r>
      </text>
    </comment>
    <comment ref="B33" authorId="0">
      <text>
        <r>
          <rPr>
            <sz val="8"/>
            <color indexed="81"/>
            <rFont val="Tahoma"/>
            <family val="2"/>
          </rPr>
          <t>ЗАМЕНИТЕ НА РЕАЛЬНЫЕ ДАННЫЕ.
Проект распределения ролей, не назначение приказом.</t>
        </r>
      </text>
    </comment>
    <comment ref="B34" authorId="0">
      <text>
        <r>
          <rPr>
            <sz val="8"/>
            <color indexed="81"/>
            <rFont val="Tahoma"/>
            <family val="2"/>
          </rPr>
          <t>ЗАМЕНИТЕ НА РЕАЛЬНЫЕ ДАННЫЕ.
Проверяет режимы, нормы загрузки, санпрограмму и качество.</t>
        </r>
      </text>
    </comment>
    <comment ref="B35" authorId="0">
      <text>
        <r>
          <rPr>
            <sz val="8"/>
            <color indexed="81"/>
            <rFont val="Tahoma"/>
            <family val="2"/>
          </rPr>
          <t>ЗАМЕНИТЕ НА РЕАЛЬНЫЕ ДАННЫЕ.
Указать реально наблюдаемого и обученного исполнителя.</t>
        </r>
      </text>
    </comment>
    <comment ref="B36" authorId="0">
      <text>
        <r>
          <rPr>
            <sz val="8"/>
            <color indexed="81"/>
            <rFont val="Tahoma"/>
            <family val="2"/>
          </rPr>
          <t>ЗАМЕНИТЕ НА РЕАЛЬНЫЕ ДАННЫЕ.
Согласовать безопасные действия, СИЗ, инструкции и допуск.</t>
        </r>
      </text>
    </comment>
    <comment ref="B37" authorId="0">
      <text>
        <r>
          <rPr>
            <sz val="8"/>
            <color indexed="81"/>
            <rFont val="Tahoma"/>
            <family val="2"/>
          </rPr>
          <t>ЗАМЕНИТЕ НА РЕАЛЬНЫЕ ДАННЫЕ.
Утверждение выполняется вне расчётной модели в установленном порядке.</t>
        </r>
      </text>
    </comment>
    <comment ref="B38" authorId="0">
      <text>
        <r>
          <rPr>
            <sz val="8"/>
            <color indexed="81"/>
            <rFont val="Tahoma"/>
            <family val="2"/>
          </rPr>
          <t>ЗАМЕНИТЕ НА РЕАЛЬНЫЕ ДАННЫЕ.
Редактировать только после реального согласования и утверждения; подпись не генерируется.</t>
        </r>
      </text>
    </comment>
    <comment ref="B40" authorId="0">
      <text>
        <r>
          <rPr>
            <sz val="8"/>
            <color indexed="81"/>
            <rFont val="Tahoma"/>
            <family val="2"/>
          </rPr>
          <t>ЗАМЕНИТЕ НА РЕАЛЬНЫЕ ДАННЫЕ.
Переключает подробный отчёт об улучшении.</t>
        </r>
      </text>
    </comment>
  </commentList>
</comments>
</file>

<file path=xl/comments2.xml><?xml version="1.0" encoding="utf-8"?>
<comments xmlns="http://schemas.openxmlformats.org/spreadsheetml/2006/main">
  <authors>
    <author>Расчётная книга</author>
  </authors>
  <commentList>
    <comment ref="F8"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8"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8"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8"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8"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9"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9"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9"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9"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9"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0"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0"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0"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0"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0"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1"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1"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1"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1"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1"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2"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2"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2"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2"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2"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3"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3"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3"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3"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3"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4"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4"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4"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4"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4"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5"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5"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5"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5"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5"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6"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6"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6"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6"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6"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7"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7"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7"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7"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7"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8"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8"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8"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8"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8"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19"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19"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19"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19"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19"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0"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0"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0"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0"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0"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1"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1"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1"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1"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1"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2"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2"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2"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2"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2"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3"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3"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3"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3"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3"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4"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4"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4"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4"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4"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 ref="F25" authorId="0">
      <text>
        <r>
          <rPr>
            <sz val="8"/>
            <color indexed="81"/>
            <rFont val="Tahoma"/>
            <family val="2"/>
          </rPr>
          <t>ЗАМЕНИТЕ НА РЕАЛЬНЫЕ ДАННЫЕ.
Потребность в годном продукте после мойки за одну смену. 0 исключает позицию из плана.</t>
        </r>
      </text>
    </comment>
    <comment ref="G25" authorId="0">
      <text>
        <r>
          <rPr>
            <sz val="8"/>
            <color indexed="81"/>
            <rFont val="Tahoma"/>
            <family val="2"/>
          </rPr>
          <t>ЗАМЕНИТЕ НА РЕАЛЬНЫЕ ДАННЫЕ.
ДЕМО. Масса подготовленного сырья, поступившего в мойку / масса полученного сырья. Не норматив отходов.</t>
        </r>
      </text>
    </comment>
    <comment ref="H25" authorId="0">
      <text>
        <r>
          <rPr>
            <sz val="8"/>
            <color indexed="81"/>
            <rFont val="Tahoma"/>
            <family val="2"/>
          </rPr>
          <t>ЗАМЕНИТЕ НА РЕАЛЬНЫЕ ДАННЫЕ.
ДЕМО 100%. Годная масса после мойки / масса загруженного сырья. Не путать с выходом подготовки.</t>
        </r>
      </text>
    </comment>
    <comment ref="I25" authorId="0">
      <text>
        <r>
          <rPr>
            <sz val="8"/>
            <color indexed="81"/>
            <rFont val="Tahoma"/>
            <family val="2"/>
          </rPr>
          <t>ЗАМЕНИТЕ НА РЕАЛЬНЫЕ ДАННЫЕ.
Плановая масса загрузки. Не превышать серый предел. Неполную последнюю партию модель обрабатывает полным циклом, без линейного сокращения времени.</t>
        </r>
      </text>
    </comment>
    <comment ref="J25" authorId="0">
      <text>
        <r>
          <rPr>
            <sz val="8"/>
            <color indexed="81"/>
            <rFont val="Tahoma"/>
            <family val="2"/>
          </rPr>
          <t>ЗАМЕНИТЕ НА РЕАЛЬНЫЕ ДАННЫЕ.
Масса, при которой выполнены замеры ДО и ЦЕЛЬ. При смене партии нужны новые замеры: времена не масштабируются пропорционально кг.</t>
        </r>
      </text>
    </comment>
  </commentList>
</comments>
</file>

<file path=xl/comments3.xml><?xml version="1.0" encoding="utf-8"?>
<comments xmlns="http://schemas.openxmlformats.org/spreadsheetml/2006/main">
  <authors>
    <author>Расчётная книга</author>
  </authors>
  <commentList>
    <comment ref="E10" authorId="0">
      <text>
        <r>
          <rPr>
            <sz val="8"/>
            <color indexed="81"/>
            <rFont val="Tahoma"/>
            <family val="2"/>
          </rPr>
          <t>ЗАМЕНИТЕ НА РЕАЛЬНЫЕ ДАННЫЕ.
Латук, цикл 1. 0 исключает все элементы данного цикла, а не один выброс.</t>
        </r>
      </text>
    </comment>
    <comment ref="F10" authorId="0">
      <text>
        <r>
          <rPr>
            <sz val="8"/>
            <color indexed="81"/>
            <rFont val="Tahoma"/>
            <family val="2"/>
          </rPr>
          <t>ЗАМЕНИТЕ НА РЕАЛЬНЫЕ ДАННЫЕ.
Латук, цикл 2. 0 исключает все элементы данного цикла, а не один выброс.</t>
        </r>
      </text>
    </comment>
    <comment ref="G10" authorId="0">
      <text>
        <r>
          <rPr>
            <sz val="8"/>
            <color indexed="81"/>
            <rFont val="Tahoma"/>
            <family val="2"/>
          </rPr>
          <t>ЗАМЕНИТЕ НА РЕАЛЬНЫЕ ДАННЫЕ.
Латук, цикл 3. 0 исключает все элементы данного цикла, а не один выброс.</t>
        </r>
      </text>
    </comment>
    <comment ref="H10" authorId="0">
      <text>
        <r>
          <rPr>
            <sz val="8"/>
            <color indexed="81"/>
            <rFont val="Tahoma"/>
            <family val="2"/>
          </rPr>
          <t>ЗАМЕНИТЕ НА РЕАЛЬНЫЕ ДАННЫЕ.
Латук, цикл 4. 0 исключает все элементы данного цикла, а не один выброс.</t>
        </r>
      </text>
    </comment>
    <comment ref="I10" authorId="0">
      <text>
        <r>
          <rPr>
            <sz val="8"/>
            <color indexed="81"/>
            <rFont val="Tahoma"/>
            <family val="2"/>
          </rPr>
          <t>ЗАМЕНИТЕ НА РЕАЛЬНЫЕ ДАННЫЕ.
Латук, цикл 5. 0 исключает все элементы данного цикла, а не один выброс.</t>
        </r>
      </text>
    </comment>
    <comment ref="J10" authorId="0">
      <text>
        <r>
          <rPr>
            <sz val="8"/>
            <color indexed="81"/>
            <rFont val="Tahoma"/>
            <family val="2"/>
          </rPr>
          <t>ЗАМЕНИТЕ НА РЕАЛЬНЫЕ ДАННЫЕ.
Латук, цикл 6. 0 исключает все элементы данного цикла, а не один выброс.</t>
        </r>
      </text>
    </comment>
    <comment ref="K10" authorId="0">
      <text>
        <r>
          <rPr>
            <sz val="8"/>
            <color indexed="81"/>
            <rFont val="Tahoma"/>
            <family val="2"/>
          </rPr>
          <t>ЗАМЕНИТЕ НА РЕАЛЬНЫЕ ДАННЫЕ.
Латук, цикл 7. 0 исключает все элементы данного цикла, а не один выброс.</t>
        </r>
      </text>
    </comment>
    <comment ref="L10" authorId="0">
      <text>
        <r>
          <rPr>
            <sz val="8"/>
            <color indexed="81"/>
            <rFont val="Tahoma"/>
            <family val="2"/>
          </rPr>
          <t>ЗАМЕНИТЕ НА РЕАЛЬНЫЕ ДАННЫЕ.
Латук, цикл 8. 0 исключает все элементы данного цикла, а не один выброс.</t>
        </r>
      </text>
    </comment>
    <comment ref="M10" authorId="0">
      <text>
        <r>
          <rPr>
            <sz val="8"/>
            <color indexed="81"/>
            <rFont val="Tahoma"/>
            <family val="2"/>
          </rPr>
          <t>ЗАМЕНИТЕ НА РЕАЛЬНЫЕ ДАННЫЕ.
Латук, цикл 9. 0 исключает все элементы данного цикла, а не один выброс.</t>
        </r>
      </text>
    </comment>
    <comment ref="N10" authorId="0">
      <text>
        <r>
          <rPr>
            <sz val="8"/>
            <color indexed="81"/>
            <rFont val="Tahoma"/>
            <family val="2"/>
          </rPr>
          <t>ЗАМЕНИТЕ НА РЕАЛЬНЫЕ ДАННЫЕ.
Латук, цикл 10. 0 исключает все элементы данного цикла, а не один выброс.</t>
        </r>
      </text>
    </comment>
    <comment ref="E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2" authorId="0">
      <text>
        <r>
          <rPr>
            <sz val="8"/>
            <color indexed="81"/>
            <rFont val="Tahoma"/>
            <family val="2"/>
          </rPr>
          <t>ЗАМЕНИТЕ НА РЕАЛЬНЫЕ ДАННЫЕ.
ДЕМО, ДО, Латук,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2" authorId="0">
      <text>
        <r>
          <rPr>
            <sz val="8"/>
            <color indexed="81"/>
            <rFont val="Tahoma"/>
            <family val="2"/>
          </rPr>
          <t>ЗАМЕНИТЕ НА РЕАЛЬНЫЕ ДАННЫЕ.
ДЕМО, ДО, Латук,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2" authorId="0">
      <text>
        <r>
          <rPr>
            <sz val="8"/>
            <color indexed="81"/>
            <rFont val="Tahoma"/>
            <family val="2"/>
          </rPr>
          <t>ЗАМЕНИТЕ НА РЕАЛЬНЫЕ ДАННЫЕ.
ДЕМО, ДО, Латук,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2" authorId="0">
      <text>
        <r>
          <rPr>
            <sz val="8"/>
            <color indexed="81"/>
            <rFont val="Tahoma"/>
            <family val="2"/>
          </rPr>
          <t>ЗАМЕНИТЕ НА РЕАЛЬНЫЕ ДАННЫЕ.
ДЕМО, ДО, Латук,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2" authorId="0">
      <text>
        <r>
          <rPr>
            <sz val="8"/>
            <color indexed="81"/>
            <rFont val="Tahoma"/>
            <family val="2"/>
          </rPr>
          <t>ЗАМЕНИТЕ НА РЕАЛЬНЫЕ ДАННЫЕ.
ДЕМО, ДО, Латук,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2" authorId="0">
      <text>
        <r>
          <rPr>
            <sz val="8"/>
            <color indexed="81"/>
            <rFont val="Tahoma"/>
            <family val="2"/>
          </rPr>
          <t>ЗАМЕНИТЕ НА РЕАЛЬНЫЕ ДАННЫЕ.
ДЕМО, ДО, Латук,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2" authorId="0">
      <text>
        <r>
          <rPr>
            <sz val="8"/>
            <color indexed="81"/>
            <rFont val="Tahoma"/>
            <family val="2"/>
          </rPr>
          <t>ЗАМЕНИТЕ НА РЕАЛЬНЫЕ ДАННЫЕ.
ДЕМО, ДО, Латук,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2" authorId="0">
      <text>
        <r>
          <rPr>
            <sz val="8"/>
            <color indexed="81"/>
            <rFont val="Tahoma"/>
            <family val="2"/>
          </rPr>
          <t>ЗАМЕНИТЕ НА РЕАЛЬНЫЕ ДАННЫЕ.
ДЕМО, ДО, Латук,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2" authorId="0">
      <text>
        <r>
          <rPr>
            <sz val="8"/>
            <color indexed="81"/>
            <rFont val="Tahoma"/>
            <family val="2"/>
          </rPr>
          <t>ЗАМЕНИТЕ НА РЕАЛЬНЫЕ ДАННЫЕ.
ДЕМО, ДО, Латук,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2" authorId="0">
      <text>
        <r>
          <rPr>
            <sz val="8"/>
            <color indexed="81"/>
            <rFont val="Tahoma"/>
            <family val="2"/>
          </rPr>
          <t>ЗАМЕНИТЕ НА РЕАЛЬНЫЕ ДАННЫЕ.
ДЕМО, ДО, Латук,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3" authorId="0">
      <text>
        <r>
          <rPr>
            <sz val="8"/>
            <color indexed="81"/>
            <rFont val="Tahoma"/>
            <family val="2"/>
          </rPr>
          <t>ЗАМЕНИТЕ НА РЕАЛЬНЫЕ ДАННЫЕ.
ДЕМО, ДО, Латук,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3" authorId="0">
      <text>
        <r>
          <rPr>
            <sz val="8"/>
            <color indexed="81"/>
            <rFont val="Tahoma"/>
            <family val="2"/>
          </rPr>
          <t>ЗАМЕНИТЕ НА РЕАЛЬНЫЕ ДАННЫЕ.
ДЕМО, ДО, Латук,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3" authorId="0">
      <text>
        <r>
          <rPr>
            <sz val="8"/>
            <color indexed="81"/>
            <rFont val="Tahoma"/>
            <family val="2"/>
          </rPr>
          <t>ЗАМЕНИТЕ НА РЕАЛЬНЫЕ ДАННЫЕ.
ДЕМО, ДО, Латук,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3" authorId="0">
      <text>
        <r>
          <rPr>
            <sz val="8"/>
            <color indexed="81"/>
            <rFont val="Tahoma"/>
            <family val="2"/>
          </rPr>
          <t>ЗАМЕНИТЕ НА РЕАЛЬНЫЕ ДАННЫЕ.
ДЕМО, ДО, Латук,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3" authorId="0">
      <text>
        <r>
          <rPr>
            <sz val="8"/>
            <color indexed="81"/>
            <rFont val="Tahoma"/>
            <family val="2"/>
          </rPr>
          <t>ЗАМЕНИТЕ НА РЕАЛЬНЫЕ ДАННЫЕ.
ДЕМО, ДО, Латук,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3" authorId="0">
      <text>
        <r>
          <rPr>
            <sz val="8"/>
            <color indexed="81"/>
            <rFont val="Tahoma"/>
            <family val="2"/>
          </rPr>
          <t>ЗАМЕНИТЕ НА РЕАЛЬНЫЕ ДАННЫЕ.
ДЕМО, ДО, Латук,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3" authorId="0">
      <text>
        <r>
          <rPr>
            <sz val="8"/>
            <color indexed="81"/>
            <rFont val="Tahoma"/>
            <family val="2"/>
          </rPr>
          <t>ЗАМЕНИТЕ НА РЕАЛЬНЫЕ ДАННЫЕ.
ДЕМО, ДО, Латук,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3" authorId="0">
      <text>
        <r>
          <rPr>
            <sz val="8"/>
            <color indexed="81"/>
            <rFont val="Tahoma"/>
            <family val="2"/>
          </rPr>
          <t>ЗАМЕНИТЕ НА РЕАЛЬНЫЕ ДАННЫЕ.
ДЕМО, ДО, Латук,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3" authorId="0">
      <text>
        <r>
          <rPr>
            <sz val="8"/>
            <color indexed="81"/>
            <rFont val="Tahoma"/>
            <family val="2"/>
          </rPr>
          <t>ЗАМЕНИТЕ НА РЕАЛЬНЫЕ ДАННЫЕ.
ДЕМО, ДО, Латук,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3" authorId="0">
      <text>
        <r>
          <rPr>
            <sz val="8"/>
            <color indexed="81"/>
            <rFont val="Tahoma"/>
            <family val="2"/>
          </rPr>
          <t>ЗАМЕНИТЕ НА РЕАЛЬНЫЕ ДАННЫЕ.
ДЕМО, ДО, Латук,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4" authorId="0">
      <text>
        <r>
          <rPr>
            <sz val="8"/>
            <color indexed="81"/>
            <rFont val="Tahoma"/>
            <family val="2"/>
          </rPr>
          <t>ЗАМЕНИТЕ НА РЕАЛЬНЫЕ ДАННЫЕ.
ДЕМО, ДО, Латук,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4" authorId="0">
      <text>
        <r>
          <rPr>
            <sz val="8"/>
            <color indexed="81"/>
            <rFont val="Tahoma"/>
            <family val="2"/>
          </rPr>
          <t>ЗАМЕНИТЕ НА РЕАЛЬНЫЕ ДАННЫЕ.
ДЕМО, ДО, Латук,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4" authorId="0">
      <text>
        <r>
          <rPr>
            <sz val="8"/>
            <color indexed="81"/>
            <rFont val="Tahoma"/>
            <family val="2"/>
          </rPr>
          <t>ЗАМЕНИТЕ НА РЕАЛЬНЫЕ ДАННЫЕ.
ДЕМО, ДО, Латук,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4" authorId="0">
      <text>
        <r>
          <rPr>
            <sz val="8"/>
            <color indexed="81"/>
            <rFont val="Tahoma"/>
            <family val="2"/>
          </rPr>
          <t>ЗАМЕНИТЕ НА РЕАЛЬНЫЕ ДАННЫЕ.
ДЕМО, ДО, Латук,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4" authorId="0">
      <text>
        <r>
          <rPr>
            <sz val="8"/>
            <color indexed="81"/>
            <rFont val="Tahoma"/>
            <family val="2"/>
          </rPr>
          <t>ЗАМЕНИТЕ НА РЕАЛЬНЫЕ ДАННЫЕ.
ДЕМО, ДО, Латук,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4" authorId="0">
      <text>
        <r>
          <rPr>
            <sz val="8"/>
            <color indexed="81"/>
            <rFont val="Tahoma"/>
            <family val="2"/>
          </rPr>
          <t>ЗАМЕНИТЕ НА РЕАЛЬНЫЕ ДАННЫЕ.
ДЕМО, ДО, Латук,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4" authorId="0">
      <text>
        <r>
          <rPr>
            <sz val="8"/>
            <color indexed="81"/>
            <rFont val="Tahoma"/>
            <family val="2"/>
          </rPr>
          <t>ЗАМЕНИТЕ НА РЕАЛЬНЫЕ ДАННЫЕ.
ДЕМО, ДО, Латук,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4" authorId="0">
      <text>
        <r>
          <rPr>
            <sz val="8"/>
            <color indexed="81"/>
            <rFont val="Tahoma"/>
            <family val="2"/>
          </rPr>
          <t>ЗАМЕНИТЕ НА РЕАЛЬНЫЕ ДАННЫЕ.
ДЕМО, ДО, Латук,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4" authorId="0">
      <text>
        <r>
          <rPr>
            <sz val="8"/>
            <color indexed="81"/>
            <rFont val="Tahoma"/>
            <family val="2"/>
          </rPr>
          <t>ЗАМЕНИТЕ НА РЕАЛЬНЫЕ ДАННЫЕ.
ДЕМО, ДО, Латук,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4" authorId="0">
      <text>
        <r>
          <rPr>
            <sz val="8"/>
            <color indexed="81"/>
            <rFont val="Tahoma"/>
            <family val="2"/>
          </rPr>
          <t>ЗАМЕНИТЕ НА РЕАЛЬНЫЕ ДАННЫЕ.
ДЕМО, ДО, Латук,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5" authorId="0">
      <text>
        <r>
          <rPr>
            <sz val="8"/>
            <color indexed="81"/>
            <rFont val="Tahoma"/>
            <family val="2"/>
          </rPr>
          <t>ЗАМЕНИТЕ НА РЕАЛЬНЫЕ ДАННЫЕ.
ДЕМО, ДО, Латук,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5" authorId="0">
      <text>
        <r>
          <rPr>
            <sz val="8"/>
            <color indexed="81"/>
            <rFont val="Tahoma"/>
            <family val="2"/>
          </rPr>
          <t>ЗАМЕНИТЕ НА РЕАЛЬНЫЕ ДАННЫЕ.
ДЕМО, ДО, Латук,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5" authorId="0">
      <text>
        <r>
          <rPr>
            <sz val="8"/>
            <color indexed="81"/>
            <rFont val="Tahoma"/>
            <family val="2"/>
          </rPr>
          <t>ЗАМЕНИТЕ НА РЕАЛЬНЫЕ ДАННЫЕ.
ДЕМО, ДО, Латук,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5" authorId="0">
      <text>
        <r>
          <rPr>
            <sz val="8"/>
            <color indexed="81"/>
            <rFont val="Tahoma"/>
            <family val="2"/>
          </rPr>
          <t>ЗАМЕНИТЕ НА РЕАЛЬНЫЕ ДАННЫЕ.
ДЕМО, ДО, Латук,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5" authorId="0">
      <text>
        <r>
          <rPr>
            <sz val="8"/>
            <color indexed="81"/>
            <rFont val="Tahoma"/>
            <family val="2"/>
          </rPr>
          <t>ЗАМЕНИТЕ НА РЕАЛЬНЫЕ ДАННЫЕ.
ДЕМО, ДО, Латук,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5" authorId="0">
      <text>
        <r>
          <rPr>
            <sz val="8"/>
            <color indexed="81"/>
            <rFont val="Tahoma"/>
            <family val="2"/>
          </rPr>
          <t>ЗАМЕНИТЕ НА РЕАЛЬНЫЕ ДАННЫЕ.
ДЕМО, ДО, Латук,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5" authorId="0">
      <text>
        <r>
          <rPr>
            <sz val="8"/>
            <color indexed="81"/>
            <rFont val="Tahoma"/>
            <family val="2"/>
          </rPr>
          <t>ЗАМЕНИТЕ НА РЕАЛЬНЫЕ ДАННЫЕ.
ДЕМО, ДО, Латук,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5" authorId="0">
      <text>
        <r>
          <rPr>
            <sz val="8"/>
            <color indexed="81"/>
            <rFont val="Tahoma"/>
            <family val="2"/>
          </rPr>
          <t>ЗАМЕНИТЕ НА РЕАЛЬНЫЕ ДАННЫЕ.
ДЕМО, ДО, Латук,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5" authorId="0">
      <text>
        <r>
          <rPr>
            <sz val="8"/>
            <color indexed="81"/>
            <rFont val="Tahoma"/>
            <family val="2"/>
          </rPr>
          <t>ЗАМЕНИТЕ НА РЕАЛЬНЫЕ ДАННЫЕ.
ДЕМО, ДО, Латук,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5" authorId="0">
      <text>
        <r>
          <rPr>
            <sz val="8"/>
            <color indexed="81"/>
            <rFont val="Tahoma"/>
            <family val="2"/>
          </rPr>
          <t>ЗАМЕНИТЕ НА РЕАЛЬНЫЕ ДАННЫЕ.
ДЕМО, ДО, Латук,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6" authorId="0">
      <text>
        <r>
          <rPr>
            <sz val="8"/>
            <color indexed="81"/>
            <rFont val="Tahoma"/>
            <family val="2"/>
          </rPr>
          <t>ЗАМЕНИТЕ НА РЕАЛЬНЫЕ ДАННЫЕ.
ДЕМО, ДО, Латук,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6" authorId="0">
      <text>
        <r>
          <rPr>
            <sz val="8"/>
            <color indexed="81"/>
            <rFont val="Tahoma"/>
            <family val="2"/>
          </rPr>
          <t>ЗАМЕНИТЕ НА РЕАЛЬНЫЕ ДАННЫЕ.
ДЕМО, ДО, Латук,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6" authorId="0">
      <text>
        <r>
          <rPr>
            <sz val="8"/>
            <color indexed="81"/>
            <rFont val="Tahoma"/>
            <family val="2"/>
          </rPr>
          <t>ЗАМЕНИТЕ НА РЕАЛЬНЫЕ ДАННЫЕ.
ДЕМО, ДО, Латук,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6" authorId="0">
      <text>
        <r>
          <rPr>
            <sz val="8"/>
            <color indexed="81"/>
            <rFont val="Tahoma"/>
            <family val="2"/>
          </rPr>
          <t>ЗАМЕНИТЕ НА РЕАЛЬНЫЕ ДАННЫЕ.
ДЕМО, ДО, Латук,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6" authorId="0">
      <text>
        <r>
          <rPr>
            <sz val="8"/>
            <color indexed="81"/>
            <rFont val="Tahoma"/>
            <family val="2"/>
          </rPr>
          <t>ЗАМЕНИТЕ НА РЕАЛЬНЫЕ ДАННЫЕ.
ДЕМО, ДО, Латук,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6" authorId="0">
      <text>
        <r>
          <rPr>
            <sz val="8"/>
            <color indexed="81"/>
            <rFont val="Tahoma"/>
            <family val="2"/>
          </rPr>
          <t>ЗАМЕНИТЕ НА РЕАЛЬНЫЕ ДАННЫЕ.
ДЕМО, ДО, Латук,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6" authorId="0">
      <text>
        <r>
          <rPr>
            <sz val="8"/>
            <color indexed="81"/>
            <rFont val="Tahoma"/>
            <family val="2"/>
          </rPr>
          <t>ЗАМЕНИТЕ НА РЕАЛЬНЫЕ ДАННЫЕ.
ДЕМО, ДО, Латук,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6" authorId="0">
      <text>
        <r>
          <rPr>
            <sz val="8"/>
            <color indexed="81"/>
            <rFont val="Tahoma"/>
            <family val="2"/>
          </rPr>
          <t>ЗАМЕНИТЕ НА РЕАЛЬНЫЕ ДАННЫЕ.
ДЕМО, ДО, Латук,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6" authorId="0">
      <text>
        <r>
          <rPr>
            <sz val="8"/>
            <color indexed="81"/>
            <rFont val="Tahoma"/>
            <family val="2"/>
          </rPr>
          <t>ЗАМЕНИТЕ НА РЕАЛЬНЫЕ ДАННЫЕ.
ДЕМО, ДО, Латук,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6" authorId="0">
      <text>
        <r>
          <rPr>
            <sz val="8"/>
            <color indexed="81"/>
            <rFont val="Tahoma"/>
            <family val="2"/>
          </rPr>
          <t>ЗАМЕНИТЕ НА РЕАЛЬНЫЕ ДАННЫЕ.
ДЕМО, ДО, Латук,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8" authorId="0">
      <text>
        <r>
          <rPr>
            <sz val="8"/>
            <color indexed="81"/>
            <rFont val="Tahoma"/>
            <family val="2"/>
          </rPr>
          <t>ЗАМЕНИТЕ НА РЕАЛЬНЫЕ ДАННЫЕ.
ДЕМО, ДО, Латук,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8" authorId="0">
      <text>
        <r>
          <rPr>
            <sz val="8"/>
            <color indexed="81"/>
            <rFont val="Tahoma"/>
            <family val="2"/>
          </rPr>
          <t>ЗАМЕНИТЕ НА РЕАЛЬНЫЕ ДАННЫЕ.
ДЕМО, ДО, Латук,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8" authorId="0">
      <text>
        <r>
          <rPr>
            <sz val="8"/>
            <color indexed="81"/>
            <rFont val="Tahoma"/>
            <family val="2"/>
          </rPr>
          <t>ЗАМЕНИТЕ НА РЕАЛЬНЫЕ ДАННЫЕ.
ДЕМО, ДО, Латук,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8" authorId="0">
      <text>
        <r>
          <rPr>
            <sz val="8"/>
            <color indexed="81"/>
            <rFont val="Tahoma"/>
            <family val="2"/>
          </rPr>
          <t>ЗАМЕНИТЕ НА РЕАЛЬНЫЕ ДАННЫЕ.
ДЕМО, ДО, Латук,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8" authorId="0">
      <text>
        <r>
          <rPr>
            <sz val="8"/>
            <color indexed="81"/>
            <rFont val="Tahoma"/>
            <family val="2"/>
          </rPr>
          <t>ЗАМЕНИТЕ НА РЕАЛЬНЫЕ ДАННЫЕ.
ДЕМО, ДО, Латук,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8" authorId="0">
      <text>
        <r>
          <rPr>
            <sz val="8"/>
            <color indexed="81"/>
            <rFont val="Tahoma"/>
            <family val="2"/>
          </rPr>
          <t>ЗАМЕНИТЕ НА РЕАЛЬНЫЕ ДАННЫЕ.
ДЕМО, ДО, Латук,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8" authorId="0">
      <text>
        <r>
          <rPr>
            <sz val="8"/>
            <color indexed="81"/>
            <rFont val="Tahoma"/>
            <family val="2"/>
          </rPr>
          <t>ЗАМЕНИТЕ НА РЕАЛЬНЫЕ ДАННЫЕ.
ДЕМО, ДО, Латук,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8" authorId="0">
      <text>
        <r>
          <rPr>
            <sz val="8"/>
            <color indexed="81"/>
            <rFont val="Tahoma"/>
            <family val="2"/>
          </rPr>
          <t>ЗАМЕНИТЕ НА РЕАЛЬНЫЕ ДАННЫЕ.
ДЕМО, ДО, Латук,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8" authorId="0">
      <text>
        <r>
          <rPr>
            <sz val="8"/>
            <color indexed="81"/>
            <rFont val="Tahoma"/>
            <family val="2"/>
          </rPr>
          <t>ЗАМЕНИТЕ НА РЕАЛЬНЫЕ ДАННЫЕ.
ДЕМО, ДО, Латук,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8" authorId="0">
      <text>
        <r>
          <rPr>
            <sz val="8"/>
            <color indexed="81"/>
            <rFont val="Tahoma"/>
            <family val="2"/>
          </rPr>
          <t>ЗАМЕНИТЕ НА РЕАЛЬНЫЕ ДАННЫЕ.
ДЕМО, ДО, Латук,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9" authorId="0">
      <text>
        <r>
          <rPr>
            <sz val="8"/>
            <color indexed="81"/>
            <rFont val="Tahoma"/>
            <family val="2"/>
          </rPr>
          <t>ЗАМЕНИТЕ НА РЕАЛЬНЫЕ ДАННЫЕ.
ДЕМО, ДО, Латук,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9" authorId="0">
      <text>
        <r>
          <rPr>
            <sz val="8"/>
            <color indexed="81"/>
            <rFont val="Tahoma"/>
            <family val="2"/>
          </rPr>
          <t>ЗАМЕНИТЕ НА РЕАЛЬНЫЕ ДАННЫЕ.
ДЕМО, ДО, Латук,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9" authorId="0">
      <text>
        <r>
          <rPr>
            <sz val="8"/>
            <color indexed="81"/>
            <rFont val="Tahoma"/>
            <family val="2"/>
          </rPr>
          <t>ЗАМЕНИТЕ НА РЕАЛЬНЫЕ ДАННЫЕ.
ДЕМО, ДО, Латук,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9" authorId="0">
      <text>
        <r>
          <rPr>
            <sz val="8"/>
            <color indexed="81"/>
            <rFont val="Tahoma"/>
            <family val="2"/>
          </rPr>
          <t>ЗАМЕНИТЕ НА РЕАЛЬНЫЕ ДАННЫЕ.
ДЕМО, ДО, Латук,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9" authorId="0">
      <text>
        <r>
          <rPr>
            <sz val="8"/>
            <color indexed="81"/>
            <rFont val="Tahoma"/>
            <family val="2"/>
          </rPr>
          <t>ЗАМЕНИТЕ НА РЕАЛЬНЫЕ ДАННЫЕ.
ДЕМО, ДО, Латук,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9" authorId="0">
      <text>
        <r>
          <rPr>
            <sz val="8"/>
            <color indexed="81"/>
            <rFont val="Tahoma"/>
            <family val="2"/>
          </rPr>
          <t>ЗАМЕНИТЕ НА РЕАЛЬНЫЕ ДАННЫЕ.
ДЕМО, ДО, Латук,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9" authorId="0">
      <text>
        <r>
          <rPr>
            <sz val="8"/>
            <color indexed="81"/>
            <rFont val="Tahoma"/>
            <family val="2"/>
          </rPr>
          <t>ЗАМЕНИТЕ НА РЕАЛЬНЫЕ ДАННЫЕ.
ДЕМО, ДО, Латук,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9" authorId="0">
      <text>
        <r>
          <rPr>
            <sz val="8"/>
            <color indexed="81"/>
            <rFont val="Tahoma"/>
            <family val="2"/>
          </rPr>
          <t>ЗАМЕНИТЕ НА РЕАЛЬНЫЕ ДАННЫЕ.
ДЕМО, ДО, Латук,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9" authorId="0">
      <text>
        <r>
          <rPr>
            <sz val="8"/>
            <color indexed="81"/>
            <rFont val="Tahoma"/>
            <family val="2"/>
          </rPr>
          <t>ЗАМЕНИТЕ НА РЕАЛЬНЫЕ ДАННЫЕ.
ДЕМО, ДО, Латук,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9" authorId="0">
      <text>
        <r>
          <rPr>
            <sz val="8"/>
            <color indexed="81"/>
            <rFont val="Tahoma"/>
            <family val="2"/>
          </rPr>
          <t>ЗАМЕНИТЕ НА РЕАЛЬНЫЕ ДАННЫЕ.
ДЕМО, ДО, Латук,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0" authorId="0">
      <text>
        <r>
          <rPr>
            <sz val="8"/>
            <color indexed="81"/>
            <rFont val="Tahoma"/>
            <family val="2"/>
          </rPr>
          <t>ЗАМЕНИТЕ НА РЕАЛЬНЫЕ ДАННЫЕ.
ДЕМО, ДО, Латук,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0" authorId="0">
      <text>
        <r>
          <rPr>
            <sz val="8"/>
            <color indexed="81"/>
            <rFont val="Tahoma"/>
            <family val="2"/>
          </rPr>
          <t>ЗАМЕНИТЕ НА РЕАЛЬНЫЕ ДАННЫЕ.
ДЕМО, ДО, Латук,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0" authorId="0">
      <text>
        <r>
          <rPr>
            <sz val="8"/>
            <color indexed="81"/>
            <rFont val="Tahoma"/>
            <family val="2"/>
          </rPr>
          <t>ЗАМЕНИТЕ НА РЕАЛЬНЫЕ ДАННЫЕ.
ДЕМО, ДО, Латук,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0" authorId="0">
      <text>
        <r>
          <rPr>
            <sz val="8"/>
            <color indexed="81"/>
            <rFont val="Tahoma"/>
            <family val="2"/>
          </rPr>
          <t>ЗАМЕНИТЕ НА РЕАЛЬНЫЕ ДАННЫЕ.
ДЕМО, ДО, Латук,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0" authorId="0">
      <text>
        <r>
          <rPr>
            <sz val="8"/>
            <color indexed="81"/>
            <rFont val="Tahoma"/>
            <family val="2"/>
          </rPr>
          <t>ЗАМЕНИТЕ НА РЕАЛЬНЫЕ ДАННЫЕ.
ДЕМО, ДО, Латук,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0" authorId="0">
      <text>
        <r>
          <rPr>
            <sz val="8"/>
            <color indexed="81"/>
            <rFont val="Tahoma"/>
            <family val="2"/>
          </rPr>
          <t>ЗАМЕНИТЕ НА РЕАЛЬНЫЕ ДАННЫЕ.
ДЕМО, ДО, Латук,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0" authorId="0">
      <text>
        <r>
          <rPr>
            <sz val="8"/>
            <color indexed="81"/>
            <rFont val="Tahoma"/>
            <family val="2"/>
          </rPr>
          <t>ЗАМЕНИТЕ НА РЕАЛЬНЫЕ ДАННЫЕ.
ДЕМО, ДО, Латук,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0" authorId="0">
      <text>
        <r>
          <rPr>
            <sz val="8"/>
            <color indexed="81"/>
            <rFont val="Tahoma"/>
            <family val="2"/>
          </rPr>
          <t>ЗАМЕНИТЕ НА РЕАЛЬНЫЕ ДАННЫЕ.
ДЕМО, ДО, Латук,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0" authorId="0">
      <text>
        <r>
          <rPr>
            <sz val="8"/>
            <color indexed="81"/>
            <rFont val="Tahoma"/>
            <family val="2"/>
          </rPr>
          <t>ЗАМЕНИТЕ НА РЕАЛЬНЫЕ ДАННЫЕ.
ДЕМО, ДО, Латук,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0" authorId="0">
      <text>
        <r>
          <rPr>
            <sz val="8"/>
            <color indexed="81"/>
            <rFont val="Tahoma"/>
            <family val="2"/>
          </rPr>
          <t>ЗАМЕНИТЕ НА РЕАЛЬНЫЕ ДАННЫЕ.
ДЕМО, ДО, Латук,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1" authorId="0">
      <text>
        <r>
          <rPr>
            <sz val="8"/>
            <color indexed="81"/>
            <rFont val="Tahoma"/>
            <family val="2"/>
          </rPr>
          <t>ЗАМЕНИТЕ НА РЕАЛЬНЫЕ ДАННЫЕ.
ДЕМО, ДО, Латук,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1" authorId="0">
      <text>
        <r>
          <rPr>
            <sz val="8"/>
            <color indexed="81"/>
            <rFont val="Tahoma"/>
            <family val="2"/>
          </rPr>
          <t>ЗАМЕНИТЕ НА РЕАЛЬНЫЕ ДАННЫЕ.
ДЕМО, ДО, Латук,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1" authorId="0">
      <text>
        <r>
          <rPr>
            <sz val="8"/>
            <color indexed="81"/>
            <rFont val="Tahoma"/>
            <family val="2"/>
          </rPr>
          <t>ЗАМЕНИТЕ НА РЕАЛЬНЫЕ ДАННЫЕ.
ДЕМО, ДО, Латук,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1" authorId="0">
      <text>
        <r>
          <rPr>
            <sz val="8"/>
            <color indexed="81"/>
            <rFont val="Tahoma"/>
            <family val="2"/>
          </rPr>
          <t>ЗАМЕНИТЕ НА РЕАЛЬНЫЕ ДАННЫЕ.
ДЕМО, ДО, Латук,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1" authorId="0">
      <text>
        <r>
          <rPr>
            <sz val="8"/>
            <color indexed="81"/>
            <rFont val="Tahoma"/>
            <family val="2"/>
          </rPr>
          <t>ЗАМЕНИТЕ НА РЕАЛЬНЫЕ ДАННЫЕ.
ДЕМО, ДО, Латук,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1" authorId="0">
      <text>
        <r>
          <rPr>
            <sz val="8"/>
            <color indexed="81"/>
            <rFont val="Tahoma"/>
            <family val="2"/>
          </rPr>
          <t>ЗАМЕНИТЕ НА РЕАЛЬНЫЕ ДАННЫЕ.
ДЕМО, ДО, Латук,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1" authorId="0">
      <text>
        <r>
          <rPr>
            <sz val="8"/>
            <color indexed="81"/>
            <rFont val="Tahoma"/>
            <family val="2"/>
          </rPr>
          <t>ЗАМЕНИТЕ НА РЕАЛЬНЫЕ ДАННЫЕ.
ДЕМО, ДО, Латук,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1" authorId="0">
      <text>
        <r>
          <rPr>
            <sz val="8"/>
            <color indexed="81"/>
            <rFont val="Tahoma"/>
            <family val="2"/>
          </rPr>
          <t>ЗАМЕНИТЕ НА РЕАЛЬНЫЕ ДАННЫЕ.
ДЕМО, ДО, Латук,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1" authorId="0">
      <text>
        <r>
          <rPr>
            <sz val="8"/>
            <color indexed="81"/>
            <rFont val="Tahoma"/>
            <family val="2"/>
          </rPr>
          <t>ЗАМЕНИТЕ НА РЕАЛЬНЫЕ ДАННЫЕ.
ДЕМО, ДО, Латук,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1" authorId="0">
      <text>
        <r>
          <rPr>
            <sz val="8"/>
            <color indexed="81"/>
            <rFont val="Tahoma"/>
            <family val="2"/>
          </rPr>
          <t>ЗАМЕНИТЕ НА РЕАЛЬНЫЕ ДАННЫЕ.
ДЕМО, ДО, Латук,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2" authorId="0">
      <text>
        <r>
          <rPr>
            <sz val="8"/>
            <color indexed="81"/>
            <rFont val="Tahoma"/>
            <family val="2"/>
          </rPr>
          <t>ЗАМЕНИТЕ НА РЕАЛЬНЫЕ ДАННЫЕ.
ДЕМО, ДО, Латук,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2" authorId="0">
      <text>
        <r>
          <rPr>
            <sz val="8"/>
            <color indexed="81"/>
            <rFont val="Tahoma"/>
            <family val="2"/>
          </rPr>
          <t>ЗАМЕНИТЕ НА РЕАЛЬНЫЕ ДАННЫЕ.
ДЕМО, ДО, Латук,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2" authorId="0">
      <text>
        <r>
          <rPr>
            <sz val="8"/>
            <color indexed="81"/>
            <rFont val="Tahoma"/>
            <family val="2"/>
          </rPr>
          <t>ЗАМЕНИТЕ НА РЕАЛЬНЫЕ ДАННЫЕ.
ДЕМО, ДО, Латук,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2" authorId="0">
      <text>
        <r>
          <rPr>
            <sz val="8"/>
            <color indexed="81"/>
            <rFont val="Tahoma"/>
            <family val="2"/>
          </rPr>
          <t>ЗАМЕНИТЕ НА РЕАЛЬНЫЕ ДАННЫЕ.
ДЕМО, ДО, Латук,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2" authorId="0">
      <text>
        <r>
          <rPr>
            <sz val="8"/>
            <color indexed="81"/>
            <rFont val="Tahoma"/>
            <family val="2"/>
          </rPr>
          <t>ЗАМЕНИТЕ НА РЕАЛЬНЫЕ ДАННЫЕ.
ДЕМО, ДО, Латук,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2" authorId="0">
      <text>
        <r>
          <rPr>
            <sz val="8"/>
            <color indexed="81"/>
            <rFont val="Tahoma"/>
            <family val="2"/>
          </rPr>
          <t>ЗАМЕНИТЕ НА РЕАЛЬНЫЕ ДАННЫЕ.
ДЕМО, ДО, Латук,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2" authorId="0">
      <text>
        <r>
          <rPr>
            <sz val="8"/>
            <color indexed="81"/>
            <rFont val="Tahoma"/>
            <family val="2"/>
          </rPr>
          <t>ЗАМЕНИТЕ НА РЕАЛЬНЫЕ ДАННЫЕ.
ДЕМО, ДО, Латук,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2" authorId="0">
      <text>
        <r>
          <rPr>
            <sz val="8"/>
            <color indexed="81"/>
            <rFont val="Tahoma"/>
            <family val="2"/>
          </rPr>
          <t>ЗАМЕНИТЕ НА РЕАЛЬНЫЕ ДАННЫЕ.
ДЕМО, ДО, Латук,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2" authorId="0">
      <text>
        <r>
          <rPr>
            <sz val="8"/>
            <color indexed="81"/>
            <rFont val="Tahoma"/>
            <family val="2"/>
          </rPr>
          <t>ЗАМЕНИТЕ НА РЕАЛЬНЫЕ ДАННЫЕ.
ДЕМО, ДО, Латук,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2" authorId="0">
      <text>
        <r>
          <rPr>
            <sz val="8"/>
            <color indexed="81"/>
            <rFont val="Tahoma"/>
            <family val="2"/>
          </rPr>
          <t>ЗАМЕНИТЕ НА РЕАЛЬНЫЕ ДАННЫЕ.
ДЕМО, ДО, Латук,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1" authorId="0">
      <text>
        <r>
          <rPr>
            <sz val="8"/>
            <color indexed="81"/>
            <rFont val="Tahoma"/>
            <family val="2"/>
          </rPr>
          <t>ЗАМЕНИТЕ НА РЕАЛЬНЫЕ ДАННЫЕ.
Базилик, цикл 1. 0 исключает все элементы данного цикла, а не один выброс.</t>
        </r>
      </text>
    </comment>
    <comment ref="F31" authorId="0">
      <text>
        <r>
          <rPr>
            <sz val="8"/>
            <color indexed="81"/>
            <rFont val="Tahoma"/>
            <family val="2"/>
          </rPr>
          <t>ЗАМЕНИТЕ НА РЕАЛЬНЫЕ ДАННЫЕ.
Базилик, цикл 2. 0 исключает все элементы данного цикла, а не один выброс.</t>
        </r>
      </text>
    </comment>
    <comment ref="G31" authorId="0">
      <text>
        <r>
          <rPr>
            <sz val="8"/>
            <color indexed="81"/>
            <rFont val="Tahoma"/>
            <family val="2"/>
          </rPr>
          <t>ЗАМЕНИТЕ НА РЕАЛЬНЫЕ ДАННЫЕ.
Базилик, цикл 3. 0 исключает все элементы данного цикла, а не один выброс.</t>
        </r>
      </text>
    </comment>
    <comment ref="H31" authorId="0">
      <text>
        <r>
          <rPr>
            <sz val="8"/>
            <color indexed="81"/>
            <rFont val="Tahoma"/>
            <family val="2"/>
          </rPr>
          <t>ЗАМЕНИТЕ НА РЕАЛЬНЫЕ ДАННЫЕ.
Базилик, цикл 4. 0 исключает все элементы данного цикла, а не один выброс.</t>
        </r>
      </text>
    </comment>
    <comment ref="I31" authorId="0">
      <text>
        <r>
          <rPr>
            <sz val="8"/>
            <color indexed="81"/>
            <rFont val="Tahoma"/>
            <family val="2"/>
          </rPr>
          <t>ЗАМЕНИТЕ НА РЕАЛЬНЫЕ ДАННЫЕ.
Базилик, цикл 5. 0 исключает все элементы данного цикла, а не один выброс.</t>
        </r>
      </text>
    </comment>
    <comment ref="J31" authorId="0">
      <text>
        <r>
          <rPr>
            <sz val="8"/>
            <color indexed="81"/>
            <rFont val="Tahoma"/>
            <family val="2"/>
          </rPr>
          <t>ЗАМЕНИТЕ НА РЕАЛЬНЫЕ ДАННЫЕ.
Базилик, цикл 6. 0 исключает все элементы данного цикла, а не один выброс.</t>
        </r>
      </text>
    </comment>
    <comment ref="K31" authorId="0">
      <text>
        <r>
          <rPr>
            <sz val="8"/>
            <color indexed="81"/>
            <rFont val="Tahoma"/>
            <family val="2"/>
          </rPr>
          <t>ЗАМЕНИТЕ НА РЕАЛЬНЫЕ ДАННЫЕ.
Базилик, цикл 7. 0 исключает все элементы данного цикла, а не один выброс.</t>
        </r>
      </text>
    </comment>
    <comment ref="L31" authorId="0">
      <text>
        <r>
          <rPr>
            <sz val="8"/>
            <color indexed="81"/>
            <rFont val="Tahoma"/>
            <family val="2"/>
          </rPr>
          <t>ЗАМЕНИТЕ НА РЕАЛЬНЫЕ ДАННЫЕ.
Базилик, цикл 8. 0 исключает все элементы данного цикла, а не один выброс.</t>
        </r>
      </text>
    </comment>
    <comment ref="M31" authorId="0">
      <text>
        <r>
          <rPr>
            <sz val="8"/>
            <color indexed="81"/>
            <rFont val="Tahoma"/>
            <family val="2"/>
          </rPr>
          <t>ЗАМЕНИТЕ НА РЕАЛЬНЫЕ ДАННЫЕ.
Базилик, цикл 9. 0 исключает все элементы данного цикла, а не один выброс.</t>
        </r>
      </text>
    </comment>
    <comment ref="N31" authorId="0">
      <text>
        <r>
          <rPr>
            <sz val="8"/>
            <color indexed="81"/>
            <rFont val="Tahoma"/>
            <family val="2"/>
          </rPr>
          <t>ЗАМЕНИТЕ НА РЕАЛЬНЫЕ ДАННЫЕ.
Базилик, цикл 10. 0 исключает все элементы данного цикла, а не один выброс.</t>
        </r>
      </text>
    </comment>
    <comment ref="E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3" authorId="0">
      <text>
        <r>
          <rPr>
            <sz val="8"/>
            <color indexed="81"/>
            <rFont val="Tahoma"/>
            <family val="2"/>
          </rPr>
          <t>ЗАМЕНИТЕ НА РЕАЛЬНЫЕ ДАННЫЕ.
ДЕМО, ДО, Базилик,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3" authorId="0">
      <text>
        <r>
          <rPr>
            <sz val="8"/>
            <color indexed="81"/>
            <rFont val="Tahoma"/>
            <family val="2"/>
          </rPr>
          <t>ЗАМЕНИТЕ НА РЕАЛЬНЫЕ ДАННЫЕ.
ДЕМО, ДО, Базилик,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3" authorId="0">
      <text>
        <r>
          <rPr>
            <sz val="8"/>
            <color indexed="81"/>
            <rFont val="Tahoma"/>
            <family val="2"/>
          </rPr>
          <t>ЗАМЕНИТЕ НА РЕАЛЬНЫЕ ДАННЫЕ.
ДЕМО, ДО, Базилик,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3" authorId="0">
      <text>
        <r>
          <rPr>
            <sz val="8"/>
            <color indexed="81"/>
            <rFont val="Tahoma"/>
            <family val="2"/>
          </rPr>
          <t>ЗАМЕНИТЕ НА РЕАЛЬНЫЕ ДАННЫЕ.
ДЕМО, ДО, Базилик,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3" authorId="0">
      <text>
        <r>
          <rPr>
            <sz val="8"/>
            <color indexed="81"/>
            <rFont val="Tahoma"/>
            <family val="2"/>
          </rPr>
          <t>ЗАМЕНИТЕ НА РЕАЛЬНЫЕ ДАННЫЕ.
ДЕМО, ДО, Базилик,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3" authorId="0">
      <text>
        <r>
          <rPr>
            <sz val="8"/>
            <color indexed="81"/>
            <rFont val="Tahoma"/>
            <family val="2"/>
          </rPr>
          <t>ЗАМЕНИТЕ НА РЕАЛЬНЫЕ ДАННЫЕ.
ДЕМО, ДО, Базилик,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3" authorId="0">
      <text>
        <r>
          <rPr>
            <sz val="8"/>
            <color indexed="81"/>
            <rFont val="Tahoma"/>
            <family val="2"/>
          </rPr>
          <t>ЗАМЕНИТЕ НА РЕАЛЬНЫЕ ДАННЫЕ.
ДЕМО, ДО, Базилик,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3" authorId="0">
      <text>
        <r>
          <rPr>
            <sz val="8"/>
            <color indexed="81"/>
            <rFont val="Tahoma"/>
            <family val="2"/>
          </rPr>
          <t>ЗАМЕНИТЕ НА РЕАЛЬНЫЕ ДАННЫЕ.
ДЕМО, ДО, Базилик,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3" authorId="0">
      <text>
        <r>
          <rPr>
            <sz val="8"/>
            <color indexed="81"/>
            <rFont val="Tahoma"/>
            <family val="2"/>
          </rPr>
          <t>ЗАМЕНИТЕ НА РЕАЛЬНЫЕ ДАННЫЕ.
ДЕМО, ДО, Базилик,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3" authorId="0">
      <text>
        <r>
          <rPr>
            <sz val="8"/>
            <color indexed="81"/>
            <rFont val="Tahoma"/>
            <family val="2"/>
          </rPr>
          <t>ЗАМЕНИТЕ НА РЕАЛЬНЫЕ ДАННЫЕ.
ДЕМО, ДО, Базилик,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4" authorId="0">
      <text>
        <r>
          <rPr>
            <sz val="8"/>
            <color indexed="81"/>
            <rFont val="Tahoma"/>
            <family val="2"/>
          </rPr>
          <t>ЗАМЕНИТЕ НА РЕАЛЬНЫЕ ДАННЫЕ.
ДЕМО, ДО, Базилик,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4" authorId="0">
      <text>
        <r>
          <rPr>
            <sz val="8"/>
            <color indexed="81"/>
            <rFont val="Tahoma"/>
            <family val="2"/>
          </rPr>
          <t>ЗАМЕНИТЕ НА РЕАЛЬНЫЕ ДАННЫЕ.
ДЕМО, ДО, Базилик,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4" authorId="0">
      <text>
        <r>
          <rPr>
            <sz val="8"/>
            <color indexed="81"/>
            <rFont val="Tahoma"/>
            <family val="2"/>
          </rPr>
          <t>ЗАМЕНИТЕ НА РЕАЛЬНЫЕ ДАННЫЕ.
ДЕМО, ДО, Базилик,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4" authorId="0">
      <text>
        <r>
          <rPr>
            <sz val="8"/>
            <color indexed="81"/>
            <rFont val="Tahoma"/>
            <family val="2"/>
          </rPr>
          <t>ЗАМЕНИТЕ НА РЕАЛЬНЫЕ ДАННЫЕ.
ДЕМО, ДО, Базилик,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4" authorId="0">
      <text>
        <r>
          <rPr>
            <sz val="8"/>
            <color indexed="81"/>
            <rFont val="Tahoma"/>
            <family val="2"/>
          </rPr>
          <t>ЗАМЕНИТЕ НА РЕАЛЬНЫЕ ДАННЫЕ.
ДЕМО, ДО, Базилик,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4" authorId="0">
      <text>
        <r>
          <rPr>
            <sz val="8"/>
            <color indexed="81"/>
            <rFont val="Tahoma"/>
            <family val="2"/>
          </rPr>
          <t>ЗАМЕНИТЕ НА РЕАЛЬНЫЕ ДАННЫЕ.
ДЕМО, ДО, Базилик,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4" authorId="0">
      <text>
        <r>
          <rPr>
            <sz val="8"/>
            <color indexed="81"/>
            <rFont val="Tahoma"/>
            <family val="2"/>
          </rPr>
          <t>ЗАМЕНИТЕ НА РЕАЛЬНЫЕ ДАННЫЕ.
ДЕМО, ДО, Базилик,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4" authorId="0">
      <text>
        <r>
          <rPr>
            <sz val="8"/>
            <color indexed="81"/>
            <rFont val="Tahoma"/>
            <family val="2"/>
          </rPr>
          <t>ЗАМЕНИТЕ НА РЕАЛЬНЫЕ ДАННЫЕ.
ДЕМО, ДО, Базилик,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4" authorId="0">
      <text>
        <r>
          <rPr>
            <sz val="8"/>
            <color indexed="81"/>
            <rFont val="Tahoma"/>
            <family val="2"/>
          </rPr>
          <t>ЗАМЕНИТЕ НА РЕАЛЬНЫЕ ДАННЫЕ.
ДЕМО, ДО, Базилик,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4" authorId="0">
      <text>
        <r>
          <rPr>
            <sz val="8"/>
            <color indexed="81"/>
            <rFont val="Tahoma"/>
            <family val="2"/>
          </rPr>
          <t>ЗАМЕНИТЕ НА РЕАЛЬНЫЕ ДАННЫЕ.
ДЕМО, ДО, Базилик,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5" authorId="0">
      <text>
        <r>
          <rPr>
            <sz val="8"/>
            <color indexed="81"/>
            <rFont val="Tahoma"/>
            <family val="2"/>
          </rPr>
          <t>ЗАМЕНИТЕ НА РЕАЛЬНЫЕ ДАННЫЕ.
ДЕМО, ДО, Базилик,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5" authorId="0">
      <text>
        <r>
          <rPr>
            <sz val="8"/>
            <color indexed="81"/>
            <rFont val="Tahoma"/>
            <family val="2"/>
          </rPr>
          <t>ЗАМЕНИТЕ НА РЕАЛЬНЫЕ ДАННЫЕ.
ДЕМО, ДО, Базилик,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5" authorId="0">
      <text>
        <r>
          <rPr>
            <sz val="8"/>
            <color indexed="81"/>
            <rFont val="Tahoma"/>
            <family val="2"/>
          </rPr>
          <t>ЗАМЕНИТЕ НА РЕАЛЬНЫЕ ДАННЫЕ.
ДЕМО, ДО, Базилик,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5" authorId="0">
      <text>
        <r>
          <rPr>
            <sz val="8"/>
            <color indexed="81"/>
            <rFont val="Tahoma"/>
            <family val="2"/>
          </rPr>
          <t>ЗАМЕНИТЕ НА РЕАЛЬНЫЕ ДАННЫЕ.
ДЕМО, ДО, Базилик,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5" authorId="0">
      <text>
        <r>
          <rPr>
            <sz val="8"/>
            <color indexed="81"/>
            <rFont val="Tahoma"/>
            <family val="2"/>
          </rPr>
          <t>ЗАМЕНИТЕ НА РЕАЛЬНЫЕ ДАННЫЕ.
ДЕМО, ДО, Базилик,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5" authorId="0">
      <text>
        <r>
          <rPr>
            <sz val="8"/>
            <color indexed="81"/>
            <rFont val="Tahoma"/>
            <family val="2"/>
          </rPr>
          <t>ЗАМЕНИТЕ НА РЕАЛЬНЫЕ ДАННЫЕ.
ДЕМО, ДО, Базилик,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5" authorId="0">
      <text>
        <r>
          <rPr>
            <sz val="8"/>
            <color indexed="81"/>
            <rFont val="Tahoma"/>
            <family val="2"/>
          </rPr>
          <t>ЗАМЕНИТЕ НА РЕАЛЬНЫЕ ДАННЫЕ.
ДЕМО, ДО, Базилик,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5" authorId="0">
      <text>
        <r>
          <rPr>
            <sz val="8"/>
            <color indexed="81"/>
            <rFont val="Tahoma"/>
            <family val="2"/>
          </rPr>
          <t>ЗАМЕНИТЕ НА РЕАЛЬНЫЕ ДАННЫЕ.
ДЕМО, ДО, Базилик,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5" authorId="0">
      <text>
        <r>
          <rPr>
            <sz val="8"/>
            <color indexed="81"/>
            <rFont val="Tahoma"/>
            <family val="2"/>
          </rPr>
          <t>ЗАМЕНИТЕ НА РЕАЛЬНЫЕ ДАННЫЕ.
ДЕМО, ДО, Базилик,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5" authorId="0">
      <text>
        <r>
          <rPr>
            <sz val="8"/>
            <color indexed="81"/>
            <rFont val="Tahoma"/>
            <family val="2"/>
          </rPr>
          <t>ЗАМЕНИТЕ НА РЕАЛЬНЫЕ ДАННЫЕ.
ДЕМО, ДО, Базилик,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6" authorId="0">
      <text>
        <r>
          <rPr>
            <sz val="8"/>
            <color indexed="81"/>
            <rFont val="Tahoma"/>
            <family val="2"/>
          </rPr>
          <t>ЗАМЕНИТЕ НА РЕАЛЬНЫЕ ДАННЫЕ.
ДЕМО, ДО, Базилик,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6" authorId="0">
      <text>
        <r>
          <rPr>
            <sz val="8"/>
            <color indexed="81"/>
            <rFont val="Tahoma"/>
            <family val="2"/>
          </rPr>
          <t>ЗАМЕНИТЕ НА РЕАЛЬНЫЕ ДАННЫЕ.
ДЕМО, ДО, Базилик,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6" authorId="0">
      <text>
        <r>
          <rPr>
            <sz val="8"/>
            <color indexed="81"/>
            <rFont val="Tahoma"/>
            <family val="2"/>
          </rPr>
          <t>ЗАМЕНИТЕ НА РЕАЛЬНЫЕ ДАННЫЕ.
ДЕМО, ДО, Базилик,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6" authorId="0">
      <text>
        <r>
          <rPr>
            <sz val="8"/>
            <color indexed="81"/>
            <rFont val="Tahoma"/>
            <family val="2"/>
          </rPr>
          <t>ЗАМЕНИТЕ НА РЕАЛЬНЫЕ ДАННЫЕ.
ДЕМО, ДО, Базилик,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6" authorId="0">
      <text>
        <r>
          <rPr>
            <sz val="8"/>
            <color indexed="81"/>
            <rFont val="Tahoma"/>
            <family val="2"/>
          </rPr>
          <t>ЗАМЕНИТЕ НА РЕАЛЬНЫЕ ДАННЫЕ.
ДЕМО, ДО, Базилик,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6" authorId="0">
      <text>
        <r>
          <rPr>
            <sz val="8"/>
            <color indexed="81"/>
            <rFont val="Tahoma"/>
            <family val="2"/>
          </rPr>
          <t>ЗАМЕНИТЕ НА РЕАЛЬНЫЕ ДАННЫЕ.
ДЕМО, ДО, Базилик,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6" authorId="0">
      <text>
        <r>
          <rPr>
            <sz val="8"/>
            <color indexed="81"/>
            <rFont val="Tahoma"/>
            <family val="2"/>
          </rPr>
          <t>ЗАМЕНИТЕ НА РЕАЛЬНЫЕ ДАННЫЕ.
ДЕМО, ДО, Базилик,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6" authorId="0">
      <text>
        <r>
          <rPr>
            <sz val="8"/>
            <color indexed="81"/>
            <rFont val="Tahoma"/>
            <family val="2"/>
          </rPr>
          <t>ЗАМЕНИТЕ НА РЕАЛЬНЫЕ ДАННЫЕ.
ДЕМО, ДО, Базилик,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6" authorId="0">
      <text>
        <r>
          <rPr>
            <sz val="8"/>
            <color indexed="81"/>
            <rFont val="Tahoma"/>
            <family val="2"/>
          </rPr>
          <t>ЗАМЕНИТЕ НА РЕАЛЬНЫЕ ДАННЫЕ.
ДЕМО, ДО, Базилик,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6" authorId="0">
      <text>
        <r>
          <rPr>
            <sz val="8"/>
            <color indexed="81"/>
            <rFont val="Tahoma"/>
            <family val="2"/>
          </rPr>
          <t>ЗАМЕНИТЕ НА РЕАЛЬНЫЕ ДАННЫЕ.
ДЕМО, ДО, Базилик,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7" authorId="0">
      <text>
        <r>
          <rPr>
            <sz val="8"/>
            <color indexed="81"/>
            <rFont val="Tahoma"/>
            <family val="2"/>
          </rPr>
          <t>ЗАМЕНИТЕ НА РЕАЛЬНЫЕ ДАННЫЕ.
ДЕМО, ДО, Базилик,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7" authorId="0">
      <text>
        <r>
          <rPr>
            <sz val="8"/>
            <color indexed="81"/>
            <rFont val="Tahoma"/>
            <family val="2"/>
          </rPr>
          <t>ЗАМЕНИТЕ НА РЕАЛЬНЫЕ ДАННЫЕ.
ДЕМО, ДО, Базилик,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7" authorId="0">
      <text>
        <r>
          <rPr>
            <sz val="8"/>
            <color indexed="81"/>
            <rFont val="Tahoma"/>
            <family val="2"/>
          </rPr>
          <t>ЗАМЕНИТЕ НА РЕАЛЬНЫЕ ДАННЫЕ.
ДЕМО, ДО, Базилик,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7" authorId="0">
      <text>
        <r>
          <rPr>
            <sz val="8"/>
            <color indexed="81"/>
            <rFont val="Tahoma"/>
            <family val="2"/>
          </rPr>
          <t>ЗАМЕНИТЕ НА РЕАЛЬНЫЕ ДАННЫЕ.
ДЕМО, ДО, Базилик,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7" authorId="0">
      <text>
        <r>
          <rPr>
            <sz val="8"/>
            <color indexed="81"/>
            <rFont val="Tahoma"/>
            <family val="2"/>
          </rPr>
          <t>ЗАМЕНИТЕ НА РЕАЛЬНЫЕ ДАННЫЕ.
ДЕМО, ДО, Базилик,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7" authorId="0">
      <text>
        <r>
          <rPr>
            <sz val="8"/>
            <color indexed="81"/>
            <rFont val="Tahoma"/>
            <family val="2"/>
          </rPr>
          <t>ЗАМЕНИТЕ НА РЕАЛЬНЫЕ ДАННЫЕ.
ДЕМО, ДО, Базилик,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7" authorId="0">
      <text>
        <r>
          <rPr>
            <sz val="8"/>
            <color indexed="81"/>
            <rFont val="Tahoma"/>
            <family val="2"/>
          </rPr>
          <t>ЗАМЕНИТЕ НА РЕАЛЬНЫЕ ДАННЫЕ.
ДЕМО, ДО, Базилик,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7" authorId="0">
      <text>
        <r>
          <rPr>
            <sz val="8"/>
            <color indexed="81"/>
            <rFont val="Tahoma"/>
            <family val="2"/>
          </rPr>
          <t>ЗАМЕНИТЕ НА РЕАЛЬНЫЕ ДАННЫЕ.
ДЕМО, ДО, Базилик,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7" authorId="0">
      <text>
        <r>
          <rPr>
            <sz val="8"/>
            <color indexed="81"/>
            <rFont val="Tahoma"/>
            <family val="2"/>
          </rPr>
          <t>ЗАМЕНИТЕ НА РЕАЛЬНЫЕ ДАННЫЕ.
ДЕМО, ДО, Базилик,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7" authorId="0">
      <text>
        <r>
          <rPr>
            <sz val="8"/>
            <color indexed="81"/>
            <rFont val="Tahoma"/>
            <family val="2"/>
          </rPr>
          <t>ЗАМЕНИТЕ НА РЕАЛЬНЫЕ ДАННЫЕ.
ДЕМО, ДО, Базилик,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9" authorId="0">
      <text>
        <r>
          <rPr>
            <sz val="8"/>
            <color indexed="81"/>
            <rFont val="Tahoma"/>
            <family val="2"/>
          </rPr>
          <t>ЗАМЕНИТЕ НА РЕАЛЬНЫЕ ДАННЫЕ.
ДЕМО, ДО, Базилик,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9" authorId="0">
      <text>
        <r>
          <rPr>
            <sz val="8"/>
            <color indexed="81"/>
            <rFont val="Tahoma"/>
            <family val="2"/>
          </rPr>
          <t>ЗАМЕНИТЕ НА РЕАЛЬНЫЕ ДАННЫЕ.
ДЕМО, ДО, Базилик,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9" authorId="0">
      <text>
        <r>
          <rPr>
            <sz val="8"/>
            <color indexed="81"/>
            <rFont val="Tahoma"/>
            <family val="2"/>
          </rPr>
          <t>ЗАМЕНИТЕ НА РЕАЛЬНЫЕ ДАННЫЕ.
ДЕМО, ДО, Базилик,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9" authorId="0">
      <text>
        <r>
          <rPr>
            <sz val="8"/>
            <color indexed="81"/>
            <rFont val="Tahoma"/>
            <family val="2"/>
          </rPr>
          <t>ЗАМЕНИТЕ НА РЕАЛЬНЫЕ ДАННЫЕ.
ДЕМО, ДО, Базилик,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9" authorId="0">
      <text>
        <r>
          <rPr>
            <sz val="8"/>
            <color indexed="81"/>
            <rFont val="Tahoma"/>
            <family val="2"/>
          </rPr>
          <t>ЗАМЕНИТЕ НА РЕАЛЬНЫЕ ДАННЫЕ.
ДЕМО, ДО, Базилик,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9" authorId="0">
      <text>
        <r>
          <rPr>
            <sz val="8"/>
            <color indexed="81"/>
            <rFont val="Tahoma"/>
            <family val="2"/>
          </rPr>
          <t>ЗАМЕНИТЕ НА РЕАЛЬНЫЕ ДАННЫЕ.
ДЕМО, ДО, Базилик,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9" authorId="0">
      <text>
        <r>
          <rPr>
            <sz val="8"/>
            <color indexed="81"/>
            <rFont val="Tahoma"/>
            <family val="2"/>
          </rPr>
          <t>ЗАМЕНИТЕ НА РЕАЛЬНЫЕ ДАННЫЕ.
ДЕМО, ДО, Базилик,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9" authorId="0">
      <text>
        <r>
          <rPr>
            <sz val="8"/>
            <color indexed="81"/>
            <rFont val="Tahoma"/>
            <family val="2"/>
          </rPr>
          <t>ЗАМЕНИТЕ НА РЕАЛЬНЫЕ ДАННЫЕ.
ДЕМО, ДО, Базилик,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9" authorId="0">
      <text>
        <r>
          <rPr>
            <sz val="8"/>
            <color indexed="81"/>
            <rFont val="Tahoma"/>
            <family val="2"/>
          </rPr>
          <t>ЗАМЕНИТЕ НА РЕАЛЬНЫЕ ДАННЫЕ.
ДЕМО, ДО, Базилик,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9" authorId="0">
      <text>
        <r>
          <rPr>
            <sz val="8"/>
            <color indexed="81"/>
            <rFont val="Tahoma"/>
            <family val="2"/>
          </rPr>
          <t>ЗАМЕНИТЕ НА РЕАЛЬНЫЕ ДАННЫЕ.
ДЕМО, ДО, Базилик,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40" authorId="0">
      <text>
        <r>
          <rPr>
            <sz val="8"/>
            <color indexed="81"/>
            <rFont val="Tahoma"/>
            <family val="2"/>
          </rPr>
          <t>ЗАМЕНИТЕ НА РЕАЛЬНЫЕ ДАННЫЕ.
ДЕМО, ДО, Базилик,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40" authorId="0">
      <text>
        <r>
          <rPr>
            <sz val="8"/>
            <color indexed="81"/>
            <rFont val="Tahoma"/>
            <family val="2"/>
          </rPr>
          <t>ЗАМЕНИТЕ НА РЕАЛЬНЫЕ ДАННЫЕ.
ДЕМО, ДО, Базилик,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40" authorId="0">
      <text>
        <r>
          <rPr>
            <sz val="8"/>
            <color indexed="81"/>
            <rFont val="Tahoma"/>
            <family val="2"/>
          </rPr>
          <t>ЗАМЕНИТЕ НА РЕАЛЬНЫЕ ДАННЫЕ.
ДЕМО, ДО, Базилик,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40" authorId="0">
      <text>
        <r>
          <rPr>
            <sz val="8"/>
            <color indexed="81"/>
            <rFont val="Tahoma"/>
            <family val="2"/>
          </rPr>
          <t>ЗАМЕНИТЕ НА РЕАЛЬНЫЕ ДАННЫЕ.
ДЕМО, ДО, Базилик,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40" authorId="0">
      <text>
        <r>
          <rPr>
            <sz val="8"/>
            <color indexed="81"/>
            <rFont val="Tahoma"/>
            <family val="2"/>
          </rPr>
          <t>ЗАМЕНИТЕ НА РЕАЛЬНЫЕ ДАННЫЕ.
ДЕМО, ДО, Базилик,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40" authorId="0">
      <text>
        <r>
          <rPr>
            <sz val="8"/>
            <color indexed="81"/>
            <rFont val="Tahoma"/>
            <family val="2"/>
          </rPr>
          <t>ЗАМЕНИТЕ НА РЕАЛЬНЫЕ ДАННЫЕ.
ДЕМО, ДО, Базилик,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40" authorId="0">
      <text>
        <r>
          <rPr>
            <sz val="8"/>
            <color indexed="81"/>
            <rFont val="Tahoma"/>
            <family val="2"/>
          </rPr>
          <t>ЗАМЕНИТЕ НА РЕАЛЬНЫЕ ДАННЫЕ.
ДЕМО, ДО, Базилик,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40" authorId="0">
      <text>
        <r>
          <rPr>
            <sz val="8"/>
            <color indexed="81"/>
            <rFont val="Tahoma"/>
            <family val="2"/>
          </rPr>
          <t>ЗАМЕНИТЕ НА РЕАЛЬНЫЕ ДАННЫЕ.
ДЕМО, ДО, Базилик,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40" authorId="0">
      <text>
        <r>
          <rPr>
            <sz val="8"/>
            <color indexed="81"/>
            <rFont val="Tahoma"/>
            <family val="2"/>
          </rPr>
          <t>ЗАМЕНИТЕ НА РЕАЛЬНЫЕ ДАННЫЕ.
ДЕМО, ДО, Базилик,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40" authorId="0">
      <text>
        <r>
          <rPr>
            <sz val="8"/>
            <color indexed="81"/>
            <rFont val="Tahoma"/>
            <family val="2"/>
          </rPr>
          <t>ЗАМЕНИТЕ НА РЕАЛЬНЫЕ ДАННЫЕ.
ДЕМО, ДО, Базилик,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41" authorId="0">
      <text>
        <r>
          <rPr>
            <sz val="8"/>
            <color indexed="81"/>
            <rFont val="Tahoma"/>
            <family val="2"/>
          </rPr>
          <t>ЗАМЕНИТЕ НА РЕАЛЬНЫЕ ДАННЫЕ.
ДЕМО, ДО, Базилик,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41" authorId="0">
      <text>
        <r>
          <rPr>
            <sz val="8"/>
            <color indexed="81"/>
            <rFont val="Tahoma"/>
            <family val="2"/>
          </rPr>
          <t>ЗАМЕНИТЕ НА РЕАЛЬНЫЕ ДАННЫЕ.
ДЕМО, ДО, Базилик,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41" authorId="0">
      <text>
        <r>
          <rPr>
            <sz val="8"/>
            <color indexed="81"/>
            <rFont val="Tahoma"/>
            <family val="2"/>
          </rPr>
          <t>ЗАМЕНИТЕ НА РЕАЛЬНЫЕ ДАННЫЕ.
ДЕМО, ДО, Базилик,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41" authorId="0">
      <text>
        <r>
          <rPr>
            <sz val="8"/>
            <color indexed="81"/>
            <rFont val="Tahoma"/>
            <family val="2"/>
          </rPr>
          <t>ЗАМЕНИТЕ НА РЕАЛЬНЫЕ ДАННЫЕ.
ДЕМО, ДО, Базилик,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41" authorId="0">
      <text>
        <r>
          <rPr>
            <sz val="8"/>
            <color indexed="81"/>
            <rFont val="Tahoma"/>
            <family val="2"/>
          </rPr>
          <t>ЗАМЕНИТЕ НА РЕАЛЬНЫЕ ДАННЫЕ.
ДЕМО, ДО, Базилик,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41" authorId="0">
      <text>
        <r>
          <rPr>
            <sz val="8"/>
            <color indexed="81"/>
            <rFont val="Tahoma"/>
            <family val="2"/>
          </rPr>
          <t>ЗАМЕНИТЕ НА РЕАЛЬНЫЕ ДАННЫЕ.
ДЕМО, ДО, Базилик,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41" authorId="0">
      <text>
        <r>
          <rPr>
            <sz val="8"/>
            <color indexed="81"/>
            <rFont val="Tahoma"/>
            <family val="2"/>
          </rPr>
          <t>ЗАМЕНИТЕ НА РЕАЛЬНЫЕ ДАННЫЕ.
ДЕМО, ДО, Базилик,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41" authorId="0">
      <text>
        <r>
          <rPr>
            <sz val="8"/>
            <color indexed="81"/>
            <rFont val="Tahoma"/>
            <family val="2"/>
          </rPr>
          <t>ЗАМЕНИТЕ НА РЕАЛЬНЫЕ ДАННЫЕ.
ДЕМО, ДО, Базилик,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41" authorId="0">
      <text>
        <r>
          <rPr>
            <sz val="8"/>
            <color indexed="81"/>
            <rFont val="Tahoma"/>
            <family val="2"/>
          </rPr>
          <t>ЗАМЕНИТЕ НА РЕАЛЬНЫЕ ДАННЫЕ.
ДЕМО, ДО, Базилик,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41" authorId="0">
      <text>
        <r>
          <rPr>
            <sz val="8"/>
            <color indexed="81"/>
            <rFont val="Tahoma"/>
            <family val="2"/>
          </rPr>
          <t>ЗАМЕНИТЕ НА РЕАЛЬНЫЕ ДАННЫЕ.
ДЕМО, ДО, Базилик,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42" authorId="0">
      <text>
        <r>
          <rPr>
            <sz val="8"/>
            <color indexed="81"/>
            <rFont val="Tahoma"/>
            <family val="2"/>
          </rPr>
          <t>ЗАМЕНИТЕ НА РЕАЛЬНЫЕ ДАННЫЕ.
ДЕМО, ДО, Базилик,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42" authorId="0">
      <text>
        <r>
          <rPr>
            <sz val="8"/>
            <color indexed="81"/>
            <rFont val="Tahoma"/>
            <family val="2"/>
          </rPr>
          <t>ЗАМЕНИТЕ НА РЕАЛЬНЫЕ ДАННЫЕ.
ДЕМО, ДО, Базилик,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42" authorId="0">
      <text>
        <r>
          <rPr>
            <sz val="8"/>
            <color indexed="81"/>
            <rFont val="Tahoma"/>
            <family val="2"/>
          </rPr>
          <t>ЗАМЕНИТЕ НА РЕАЛЬНЫЕ ДАННЫЕ.
ДЕМО, ДО, Базилик,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42" authorId="0">
      <text>
        <r>
          <rPr>
            <sz val="8"/>
            <color indexed="81"/>
            <rFont val="Tahoma"/>
            <family val="2"/>
          </rPr>
          <t>ЗАМЕНИТЕ НА РЕАЛЬНЫЕ ДАННЫЕ.
ДЕМО, ДО, Базилик,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42" authorId="0">
      <text>
        <r>
          <rPr>
            <sz val="8"/>
            <color indexed="81"/>
            <rFont val="Tahoma"/>
            <family val="2"/>
          </rPr>
          <t>ЗАМЕНИТЕ НА РЕАЛЬНЫЕ ДАННЫЕ.
ДЕМО, ДО, Базилик,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42" authorId="0">
      <text>
        <r>
          <rPr>
            <sz val="8"/>
            <color indexed="81"/>
            <rFont val="Tahoma"/>
            <family val="2"/>
          </rPr>
          <t>ЗАМЕНИТЕ НА РЕАЛЬНЫЕ ДАННЫЕ.
ДЕМО, ДО, Базилик,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42" authorId="0">
      <text>
        <r>
          <rPr>
            <sz val="8"/>
            <color indexed="81"/>
            <rFont val="Tahoma"/>
            <family val="2"/>
          </rPr>
          <t>ЗАМЕНИТЕ НА РЕАЛЬНЫЕ ДАННЫЕ.
ДЕМО, ДО, Базилик,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42" authorId="0">
      <text>
        <r>
          <rPr>
            <sz val="8"/>
            <color indexed="81"/>
            <rFont val="Tahoma"/>
            <family val="2"/>
          </rPr>
          <t>ЗАМЕНИТЕ НА РЕАЛЬНЫЕ ДАННЫЕ.
ДЕМО, ДО, Базилик,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42" authorId="0">
      <text>
        <r>
          <rPr>
            <sz val="8"/>
            <color indexed="81"/>
            <rFont val="Tahoma"/>
            <family val="2"/>
          </rPr>
          <t>ЗАМЕНИТЕ НА РЕАЛЬНЫЕ ДАННЫЕ.
ДЕМО, ДО, Базилик,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42" authorId="0">
      <text>
        <r>
          <rPr>
            <sz val="8"/>
            <color indexed="81"/>
            <rFont val="Tahoma"/>
            <family val="2"/>
          </rPr>
          <t>ЗАМЕНИТЕ НА РЕАЛЬНЫЕ ДАННЫЕ.
ДЕМО, ДО, Базилик,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43" authorId="0">
      <text>
        <r>
          <rPr>
            <sz val="8"/>
            <color indexed="81"/>
            <rFont val="Tahoma"/>
            <family val="2"/>
          </rPr>
          <t>ЗАМЕНИТЕ НА РЕАЛЬНЫЕ ДАННЫЕ.
ДЕМО, ДО, Базилик,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43" authorId="0">
      <text>
        <r>
          <rPr>
            <sz val="8"/>
            <color indexed="81"/>
            <rFont val="Tahoma"/>
            <family val="2"/>
          </rPr>
          <t>ЗАМЕНИТЕ НА РЕАЛЬНЫЕ ДАННЫЕ.
ДЕМО, ДО, Базилик,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43" authorId="0">
      <text>
        <r>
          <rPr>
            <sz val="8"/>
            <color indexed="81"/>
            <rFont val="Tahoma"/>
            <family val="2"/>
          </rPr>
          <t>ЗАМЕНИТЕ НА РЕАЛЬНЫЕ ДАННЫЕ.
ДЕМО, ДО, Базилик,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43" authorId="0">
      <text>
        <r>
          <rPr>
            <sz val="8"/>
            <color indexed="81"/>
            <rFont val="Tahoma"/>
            <family val="2"/>
          </rPr>
          <t>ЗАМЕНИТЕ НА РЕАЛЬНЫЕ ДАННЫЕ.
ДЕМО, ДО, Базилик,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43" authorId="0">
      <text>
        <r>
          <rPr>
            <sz val="8"/>
            <color indexed="81"/>
            <rFont val="Tahoma"/>
            <family val="2"/>
          </rPr>
          <t>ЗАМЕНИТЕ НА РЕАЛЬНЫЕ ДАННЫЕ.
ДЕМО, ДО, Базилик,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43" authorId="0">
      <text>
        <r>
          <rPr>
            <sz val="8"/>
            <color indexed="81"/>
            <rFont val="Tahoma"/>
            <family val="2"/>
          </rPr>
          <t>ЗАМЕНИТЕ НА РЕАЛЬНЫЕ ДАННЫЕ.
ДЕМО, ДО, Базилик,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43" authorId="0">
      <text>
        <r>
          <rPr>
            <sz val="8"/>
            <color indexed="81"/>
            <rFont val="Tahoma"/>
            <family val="2"/>
          </rPr>
          <t>ЗАМЕНИТЕ НА РЕАЛЬНЫЕ ДАННЫЕ.
ДЕМО, ДО, Базилик,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43" authorId="0">
      <text>
        <r>
          <rPr>
            <sz val="8"/>
            <color indexed="81"/>
            <rFont val="Tahoma"/>
            <family val="2"/>
          </rPr>
          <t>ЗАМЕНИТЕ НА РЕАЛЬНЫЕ ДАННЫЕ.
ДЕМО, ДО, Базилик,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43" authorId="0">
      <text>
        <r>
          <rPr>
            <sz val="8"/>
            <color indexed="81"/>
            <rFont val="Tahoma"/>
            <family val="2"/>
          </rPr>
          <t>ЗАМЕНИТЕ НА РЕАЛЬНЫЕ ДАННЫЕ.
ДЕМО, ДО, Базилик,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43" authorId="0">
      <text>
        <r>
          <rPr>
            <sz val="8"/>
            <color indexed="81"/>
            <rFont val="Tahoma"/>
            <family val="2"/>
          </rPr>
          <t>ЗАМЕНИТЕ НА РЕАЛЬНЫЕ ДАННЫЕ.
ДЕМО, ДО, Базилик,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52" authorId="0">
      <text>
        <r>
          <rPr>
            <sz val="8"/>
            <color indexed="81"/>
            <rFont val="Tahoma"/>
            <family val="2"/>
          </rPr>
          <t>ЗАМЕНИТЕ НА РЕАЛЬНЫЕ ДАННЫЕ.
Петрушка, цикл 1. 0 исключает все элементы данного цикла, а не один выброс.</t>
        </r>
      </text>
    </comment>
    <comment ref="F52" authorId="0">
      <text>
        <r>
          <rPr>
            <sz val="8"/>
            <color indexed="81"/>
            <rFont val="Tahoma"/>
            <family val="2"/>
          </rPr>
          <t>ЗАМЕНИТЕ НА РЕАЛЬНЫЕ ДАННЫЕ.
Петрушка, цикл 2. 0 исключает все элементы данного цикла, а не один выброс.</t>
        </r>
      </text>
    </comment>
    <comment ref="G52" authorId="0">
      <text>
        <r>
          <rPr>
            <sz val="8"/>
            <color indexed="81"/>
            <rFont val="Tahoma"/>
            <family val="2"/>
          </rPr>
          <t>ЗАМЕНИТЕ НА РЕАЛЬНЫЕ ДАННЫЕ.
Петрушка, цикл 3. 0 исключает все элементы данного цикла, а не один выброс.</t>
        </r>
      </text>
    </comment>
    <comment ref="H52" authorId="0">
      <text>
        <r>
          <rPr>
            <sz val="8"/>
            <color indexed="81"/>
            <rFont val="Tahoma"/>
            <family val="2"/>
          </rPr>
          <t>ЗАМЕНИТЕ НА РЕАЛЬНЫЕ ДАННЫЕ.
Петрушка, цикл 4. 0 исключает все элементы данного цикла, а не один выброс.</t>
        </r>
      </text>
    </comment>
    <comment ref="I52" authorId="0">
      <text>
        <r>
          <rPr>
            <sz val="8"/>
            <color indexed="81"/>
            <rFont val="Tahoma"/>
            <family val="2"/>
          </rPr>
          <t>ЗАМЕНИТЕ НА РЕАЛЬНЫЕ ДАННЫЕ.
Петрушка, цикл 5. 0 исключает все элементы данного цикла, а не один выброс.</t>
        </r>
      </text>
    </comment>
    <comment ref="J52" authorId="0">
      <text>
        <r>
          <rPr>
            <sz val="8"/>
            <color indexed="81"/>
            <rFont val="Tahoma"/>
            <family val="2"/>
          </rPr>
          <t>ЗАМЕНИТЕ НА РЕАЛЬНЫЕ ДАННЫЕ.
Петрушка, цикл 6. 0 исключает все элементы данного цикла, а не один выброс.</t>
        </r>
      </text>
    </comment>
    <comment ref="K52" authorId="0">
      <text>
        <r>
          <rPr>
            <sz val="8"/>
            <color indexed="81"/>
            <rFont val="Tahoma"/>
            <family val="2"/>
          </rPr>
          <t>ЗАМЕНИТЕ НА РЕАЛЬНЫЕ ДАННЫЕ.
Петрушка, цикл 7. 0 исключает все элементы данного цикла, а не один выброс.</t>
        </r>
      </text>
    </comment>
    <comment ref="L52" authorId="0">
      <text>
        <r>
          <rPr>
            <sz val="8"/>
            <color indexed="81"/>
            <rFont val="Tahoma"/>
            <family val="2"/>
          </rPr>
          <t>ЗАМЕНИТЕ НА РЕАЛЬНЫЕ ДАННЫЕ.
Петрушка, цикл 8. 0 исключает все элементы данного цикла, а не один выброс.</t>
        </r>
      </text>
    </comment>
    <comment ref="M52" authorId="0">
      <text>
        <r>
          <rPr>
            <sz val="8"/>
            <color indexed="81"/>
            <rFont val="Tahoma"/>
            <family val="2"/>
          </rPr>
          <t>ЗАМЕНИТЕ НА РЕАЛЬНЫЕ ДАННЫЕ.
Петрушка, цикл 9. 0 исключает все элементы данного цикла, а не один выброс.</t>
        </r>
      </text>
    </comment>
    <comment ref="N52" authorId="0">
      <text>
        <r>
          <rPr>
            <sz val="8"/>
            <color indexed="81"/>
            <rFont val="Tahoma"/>
            <family val="2"/>
          </rPr>
          <t>ЗАМЕНИТЕ НА РЕАЛЬНЫЕ ДАННЫЕ.
Петрушка, цикл 10. 0 исключает все элементы данного цикла, а не один выброс.</t>
        </r>
      </text>
    </comment>
    <comment ref="E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54" authorId="0">
      <text>
        <r>
          <rPr>
            <sz val="8"/>
            <color indexed="81"/>
            <rFont val="Tahoma"/>
            <family val="2"/>
          </rPr>
          <t>ЗАМЕНИТЕ НА РЕАЛЬНЫЕ ДАННЫЕ.
ДЕМО, ДО, Петрушка,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54" authorId="0">
      <text>
        <r>
          <rPr>
            <sz val="8"/>
            <color indexed="81"/>
            <rFont val="Tahoma"/>
            <family val="2"/>
          </rPr>
          <t>ЗАМЕНИТЕ НА РЕАЛЬНЫЕ ДАННЫЕ.
ДЕМО, ДО, Петрушка,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54" authorId="0">
      <text>
        <r>
          <rPr>
            <sz val="8"/>
            <color indexed="81"/>
            <rFont val="Tahoma"/>
            <family val="2"/>
          </rPr>
          <t>ЗАМЕНИТЕ НА РЕАЛЬНЫЕ ДАННЫЕ.
ДЕМО, ДО, Петрушка,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54" authorId="0">
      <text>
        <r>
          <rPr>
            <sz val="8"/>
            <color indexed="81"/>
            <rFont val="Tahoma"/>
            <family val="2"/>
          </rPr>
          <t>ЗАМЕНИТЕ НА РЕАЛЬНЫЕ ДАННЫЕ.
ДЕМО, ДО, Петрушка,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54" authorId="0">
      <text>
        <r>
          <rPr>
            <sz val="8"/>
            <color indexed="81"/>
            <rFont val="Tahoma"/>
            <family val="2"/>
          </rPr>
          <t>ЗАМЕНИТЕ НА РЕАЛЬНЫЕ ДАННЫЕ.
ДЕМО, ДО, Петрушка,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54" authorId="0">
      <text>
        <r>
          <rPr>
            <sz val="8"/>
            <color indexed="81"/>
            <rFont val="Tahoma"/>
            <family val="2"/>
          </rPr>
          <t>ЗАМЕНИТЕ НА РЕАЛЬНЫЕ ДАННЫЕ.
ДЕМО, ДО, Петрушка,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54" authorId="0">
      <text>
        <r>
          <rPr>
            <sz val="8"/>
            <color indexed="81"/>
            <rFont val="Tahoma"/>
            <family val="2"/>
          </rPr>
          <t>ЗАМЕНИТЕ НА РЕАЛЬНЫЕ ДАННЫЕ.
ДЕМО, ДО, Петрушка,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54" authorId="0">
      <text>
        <r>
          <rPr>
            <sz val="8"/>
            <color indexed="81"/>
            <rFont val="Tahoma"/>
            <family val="2"/>
          </rPr>
          <t>ЗАМЕНИТЕ НА РЕАЛЬНЫЕ ДАННЫЕ.
ДЕМО, ДО, Петрушка,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54" authorId="0">
      <text>
        <r>
          <rPr>
            <sz val="8"/>
            <color indexed="81"/>
            <rFont val="Tahoma"/>
            <family val="2"/>
          </rPr>
          <t>ЗАМЕНИТЕ НА РЕАЛЬНЫЕ ДАННЫЕ.
ДЕМО, ДО, Петрушка,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54" authorId="0">
      <text>
        <r>
          <rPr>
            <sz val="8"/>
            <color indexed="81"/>
            <rFont val="Tahoma"/>
            <family val="2"/>
          </rPr>
          <t>ЗАМЕНИТЕ НА РЕАЛЬНЫЕ ДАННЫЕ.
ДЕМО, ДО, Петрушка,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55" authorId="0">
      <text>
        <r>
          <rPr>
            <sz val="8"/>
            <color indexed="81"/>
            <rFont val="Tahoma"/>
            <family val="2"/>
          </rPr>
          <t>ЗАМЕНИТЕ НА РЕАЛЬНЫЕ ДАННЫЕ.
ДЕМО, ДО, Петрушка,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55" authorId="0">
      <text>
        <r>
          <rPr>
            <sz val="8"/>
            <color indexed="81"/>
            <rFont val="Tahoma"/>
            <family val="2"/>
          </rPr>
          <t>ЗАМЕНИТЕ НА РЕАЛЬНЫЕ ДАННЫЕ.
ДЕМО, ДО, Петрушка,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55" authorId="0">
      <text>
        <r>
          <rPr>
            <sz val="8"/>
            <color indexed="81"/>
            <rFont val="Tahoma"/>
            <family val="2"/>
          </rPr>
          <t>ЗАМЕНИТЕ НА РЕАЛЬНЫЕ ДАННЫЕ.
ДЕМО, ДО, Петрушка,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55" authorId="0">
      <text>
        <r>
          <rPr>
            <sz val="8"/>
            <color indexed="81"/>
            <rFont val="Tahoma"/>
            <family val="2"/>
          </rPr>
          <t>ЗАМЕНИТЕ НА РЕАЛЬНЫЕ ДАННЫЕ.
ДЕМО, ДО, Петрушка,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55" authorId="0">
      <text>
        <r>
          <rPr>
            <sz val="8"/>
            <color indexed="81"/>
            <rFont val="Tahoma"/>
            <family val="2"/>
          </rPr>
          <t>ЗАМЕНИТЕ НА РЕАЛЬНЫЕ ДАННЫЕ.
ДЕМО, ДО, Петрушка,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55" authorId="0">
      <text>
        <r>
          <rPr>
            <sz val="8"/>
            <color indexed="81"/>
            <rFont val="Tahoma"/>
            <family val="2"/>
          </rPr>
          <t>ЗАМЕНИТЕ НА РЕАЛЬНЫЕ ДАННЫЕ.
ДЕМО, ДО, Петрушка,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55" authorId="0">
      <text>
        <r>
          <rPr>
            <sz val="8"/>
            <color indexed="81"/>
            <rFont val="Tahoma"/>
            <family val="2"/>
          </rPr>
          <t>ЗАМЕНИТЕ НА РЕАЛЬНЫЕ ДАННЫЕ.
ДЕМО, ДО, Петрушка,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55" authorId="0">
      <text>
        <r>
          <rPr>
            <sz val="8"/>
            <color indexed="81"/>
            <rFont val="Tahoma"/>
            <family val="2"/>
          </rPr>
          <t>ЗАМЕНИТЕ НА РЕАЛЬНЫЕ ДАННЫЕ.
ДЕМО, ДО, Петрушка,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55" authorId="0">
      <text>
        <r>
          <rPr>
            <sz val="8"/>
            <color indexed="81"/>
            <rFont val="Tahoma"/>
            <family val="2"/>
          </rPr>
          <t>ЗАМЕНИТЕ НА РЕАЛЬНЫЕ ДАННЫЕ.
ДЕМО, ДО, Петрушка,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55" authorId="0">
      <text>
        <r>
          <rPr>
            <sz val="8"/>
            <color indexed="81"/>
            <rFont val="Tahoma"/>
            <family val="2"/>
          </rPr>
          <t>ЗАМЕНИТЕ НА РЕАЛЬНЫЕ ДАННЫЕ.
ДЕМО, ДО, Петрушка,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56" authorId="0">
      <text>
        <r>
          <rPr>
            <sz val="8"/>
            <color indexed="81"/>
            <rFont val="Tahoma"/>
            <family val="2"/>
          </rPr>
          <t>ЗАМЕНИТЕ НА РЕАЛЬНЫЕ ДАННЫЕ.
ДЕМО, ДО, Петрушка,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56" authorId="0">
      <text>
        <r>
          <rPr>
            <sz val="8"/>
            <color indexed="81"/>
            <rFont val="Tahoma"/>
            <family val="2"/>
          </rPr>
          <t>ЗАМЕНИТЕ НА РЕАЛЬНЫЕ ДАННЫЕ.
ДЕМО, ДО, Петрушка,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56" authorId="0">
      <text>
        <r>
          <rPr>
            <sz val="8"/>
            <color indexed="81"/>
            <rFont val="Tahoma"/>
            <family val="2"/>
          </rPr>
          <t>ЗАМЕНИТЕ НА РЕАЛЬНЫЕ ДАННЫЕ.
ДЕМО, ДО, Петрушка,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56" authorId="0">
      <text>
        <r>
          <rPr>
            <sz val="8"/>
            <color indexed="81"/>
            <rFont val="Tahoma"/>
            <family val="2"/>
          </rPr>
          <t>ЗАМЕНИТЕ НА РЕАЛЬНЫЕ ДАННЫЕ.
ДЕМО, ДО, Петрушка,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56" authorId="0">
      <text>
        <r>
          <rPr>
            <sz val="8"/>
            <color indexed="81"/>
            <rFont val="Tahoma"/>
            <family val="2"/>
          </rPr>
          <t>ЗАМЕНИТЕ НА РЕАЛЬНЫЕ ДАННЫЕ.
ДЕМО, ДО, Петрушка,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56" authorId="0">
      <text>
        <r>
          <rPr>
            <sz val="8"/>
            <color indexed="81"/>
            <rFont val="Tahoma"/>
            <family val="2"/>
          </rPr>
          <t>ЗАМЕНИТЕ НА РЕАЛЬНЫЕ ДАННЫЕ.
ДЕМО, ДО, Петрушка,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56" authorId="0">
      <text>
        <r>
          <rPr>
            <sz val="8"/>
            <color indexed="81"/>
            <rFont val="Tahoma"/>
            <family val="2"/>
          </rPr>
          <t>ЗАМЕНИТЕ НА РЕАЛЬНЫЕ ДАННЫЕ.
ДЕМО, ДО, Петрушка,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56" authorId="0">
      <text>
        <r>
          <rPr>
            <sz val="8"/>
            <color indexed="81"/>
            <rFont val="Tahoma"/>
            <family val="2"/>
          </rPr>
          <t>ЗАМЕНИТЕ НА РЕАЛЬНЫЕ ДАННЫЕ.
ДЕМО, ДО, Петрушка,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56" authorId="0">
      <text>
        <r>
          <rPr>
            <sz val="8"/>
            <color indexed="81"/>
            <rFont val="Tahoma"/>
            <family val="2"/>
          </rPr>
          <t>ЗАМЕНИТЕ НА РЕАЛЬНЫЕ ДАННЫЕ.
ДЕМО, ДО, Петрушка,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56" authorId="0">
      <text>
        <r>
          <rPr>
            <sz val="8"/>
            <color indexed="81"/>
            <rFont val="Tahoma"/>
            <family val="2"/>
          </rPr>
          <t>ЗАМЕНИТЕ НА РЕАЛЬНЫЕ ДАННЫЕ.
ДЕМО, ДО, Петрушка,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57" authorId="0">
      <text>
        <r>
          <rPr>
            <sz val="8"/>
            <color indexed="81"/>
            <rFont val="Tahoma"/>
            <family val="2"/>
          </rPr>
          <t>ЗАМЕНИТЕ НА РЕАЛЬНЫЕ ДАННЫЕ.
ДЕМО, ДО, Петрушка,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57" authorId="0">
      <text>
        <r>
          <rPr>
            <sz val="8"/>
            <color indexed="81"/>
            <rFont val="Tahoma"/>
            <family val="2"/>
          </rPr>
          <t>ЗАМЕНИТЕ НА РЕАЛЬНЫЕ ДАННЫЕ.
ДЕМО, ДО, Петрушка,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57" authorId="0">
      <text>
        <r>
          <rPr>
            <sz val="8"/>
            <color indexed="81"/>
            <rFont val="Tahoma"/>
            <family val="2"/>
          </rPr>
          <t>ЗАМЕНИТЕ НА РЕАЛЬНЫЕ ДАННЫЕ.
ДЕМО, ДО, Петрушка,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57" authorId="0">
      <text>
        <r>
          <rPr>
            <sz val="8"/>
            <color indexed="81"/>
            <rFont val="Tahoma"/>
            <family val="2"/>
          </rPr>
          <t>ЗАМЕНИТЕ НА РЕАЛЬНЫЕ ДАННЫЕ.
ДЕМО, ДО, Петрушка,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57" authorId="0">
      <text>
        <r>
          <rPr>
            <sz val="8"/>
            <color indexed="81"/>
            <rFont val="Tahoma"/>
            <family val="2"/>
          </rPr>
          <t>ЗАМЕНИТЕ НА РЕАЛЬНЫЕ ДАННЫЕ.
ДЕМО, ДО, Петрушка,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57" authorId="0">
      <text>
        <r>
          <rPr>
            <sz val="8"/>
            <color indexed="81"/>
            <rFont val="Tahoma"/>
            <family val="2"/>
          </rPr>
          <t>ЗАМЕНИТЕ НА РЕАЛЬНЫЕ ДАННЫЕ.
ДЕМО, ДО, Петрушка,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57" authorId="0">
      <text>
        <r>
          <rPr>
            <sz val="8"/>
            <color indexed="81"/>
            <rFont val="Tahoma"/>
            <family val="2"/>
          </rPr>
          <t>ЗАМЕНИТЕ НА РЕАЛЬНЫЕ ДАННЫЕ.
ДЕМО, ДО, Петрушка,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57" authorId="0">
      <text>
        <r>
          <rPr>
            <sz val="8"/>
            <color indexed="81"/>
            <rFont val="Tahoma"/>
            <family val="2"/>
          </rPr>
          <t>ЗАМЕНИТЕ НА РЕАЛЬНЫЕ ДАННЫЕ.
ДЕМО, ДО, Петрушка,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57" authorId="0">
      <text>
        <r>
          <rPr>
            <sz val="8"/>
            <color indexed="81"/>
            <rFont val="Tahoma"/>
            <family val="2"/>
          </rPr>
          <t>ЗАМЕНИТЕ НА РЕАЛЬНЫЕ ДАННЫЕ.
ДЕМО, ДО, Петрушка,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57" authorId="0">
      <text>
        <r>
          <rPr>
            <sz val="8"/>
            <color indexed="81"/>
            <rFont val="Tahoma"/>
            <family val="2"/>
          </rPr>
          <t>ЗАМЕНИТЕ НА РЕАЛЬНЫЕ ДАННЫЕ.
ДЕМО, ДО, Петрушка,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58" authorId="0">
      <text>
        <r>
          <rPr>
            <sz val="8"/>
            <color indexed="81"/>
            <rFont val="Tahoma"/>
            <family val="2"/>
          </rPr>
          <t>ЗАМЕНИТЕ НА РЕАЛЬНЫЕ ДАННЫЕ.
ДЕМО, ДО, Петрушка,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58" authorId="0">
      <text>
        <r>
          <rPr>
            <sz val="8"/>
            <color indexed="81"/>
            <rFont val="Tahoma"/>
            <family val="2"/>
          </rPr>
          <t>ЗАМЕНИТЕ НА РЕАЛЬНЫЕ ДАННЫЕ.
ДЕМО, ДО, Петрушка,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58" authorId="0">
      <text>
        <r>
          <rPr>
            <sz val="8"/>
            <color indexed="81"/>
            <rFont val="Tahoma"/>
            <family val="2"/>
          </rPr>
          <t>ЗАМЕНИТЕ НА РЕАЛЬНЫЕ ДАННЫЕ.
ДЕМО, ДО, Петрушка,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58" authorId="0">
      <text>
        <r>
          <rPr>
            <sz val="8"/>
            <color indexed="81"/>
            <rFont val="Tahoma"/>
            <family val="2"/>
          </rPr>
          <t>ЗАМЕНИТЕ НА РЕАЛЬНЫЕ ДАННЫЕ.
ДЕМО, ДО, Петрушка,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58" authorId="0">
      <text>
        <r>
          <rPr>
            <sz val="8"/>
            <color indexed="81"/>
            <rFont val="Tahoma"/>
            <family val="2"/>
          </rPr>
          <t>ЗАМЕНИТЕ НА РЕАЛЬНЫЕ ДАННЫЕ.
ДЕМО, ДО, Петрушка,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58" authorId="0">
      <text>
        <r>
          <rPr>
            <sz val="8"/>
            <color indexed="81"/>
            <rFont val="Tahoma"/>
            <family val="2"/>
          </rPr>
          <t>ЗАМЕНИТЕ НА РЕАЛЬНЫЕ ДАННЫЕ.
ДЕМО, ДО, Петрушка,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58" authorId="0">
      <text>
        <r>
          <rPr>
            <sz val="8"/>
            <color indexed="81"/>
            <rFont val="Tahoma"/>
            <family val="2"/>
          </rPr>
          <t>ЗАМЕНИТЕ НА РЕАЛЬНЫЕ ДАННЫЕ.
ДЕМО, ДО, Петрушка,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58" authorId="0">
      <text>
        <r>
          <rPr>
            <sz val="8"/>
            <color indexed="81"/>
            <rFont val="Tahoma"/>
            <family val="2"/>
          </rPr>
          <t>ЗАМЕНИТЕ НА РЕАЛЬНЫЕ ДАННЫЕ.
ДЕМО, ДО, Петрушка,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58" authorId="0">
      <text>
        <r>
          <rPr>
            <sz val="8"/>
            <color indexed="81"/>
            <rFont val="Tahoma"/>
            <family val="2"/>
          </rPr>
          <t>ЗАМЕНИТЕ НА РЕАЛЬНЫЕ ДАННЫЕ.
ДЕМО, ДО, Петрушка,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58" authorId="0">
      <text>
        <r>
          <rPr>
            <sz val="8"/>
            <color indexed="81"/>
            <rFont val="Tahoma"/>
            <family val="2"/>
          </rPr>
          <t>ЗАМЕНИТЕ НА РЕАЛЬНЫЕ ДАННЫЕ.
ДЕМО, ДО, Петрушка,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60" authorId="0">
      <text>
        <r>
          <rPr>
            <sz val="8"/>
            <color indexed="81"/>
            <rFont val="Tahoma"/>
            <family val="2"/>
          </rPr>
          <t>ЗАМЕНИТЕ НА РЕАЛЬНЫЕ ДАННЫЕ.
ДЕМО, ДО, Петрушка,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60" authorId="0">
      <text>
        <r>
          <rPr>
            <sz val="8"/>
            <color indexed="81"/>
            <rFont val="Tahoma"/>
            <family val="2"/>
          </rPr>
          <t>ЗАМЕНИТЕ НА РЕАЛЬНЫЕ ДАННЫЕ.
ДЕМО, ДО, Петрушка,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60" authorId="0">
      <text>
        <r>
          <rPr>
            <sz val="8"/>
            <color indexed="81"/>
            <rFont val="Tahoma"/>
            <family val="2"/>
          </rPr>
          <t>ЗАМЕНИТЕ НА РЕАЛЬНЫЕ ДАННЫЕ.
ДЕМО, ДО, Петрушка,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60" authorId="0">
      <text>
        <r>
          <rPr>
            <sz val="8"/>
            <color indexed="81"/>
            <rFont val="Tahoma"/>
            <family val="2"/>
          </rPr>
          <t>ЗАМЕНИТЕ НА РЕАЛЬНЫЕ ДАННЫЕ.
ДЕМО, ДО, Петрушка,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60" authorId="0">
      <text>
        <r>
          <rPr>
            <sz val="8"/>
            <color indexed="81"/>
            <rFont val="Tahoma"/>
            <family val="2"/>
          </rPr>
          <t>ЗАМЕНИТЕ НА РЕАЛЬНЫЕ ДАННЫЕ.
ДЕМО, ДО, Петрушка,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60" authorId="0">
      <text>
        <r>
          <rPr>
            <sz val="8"/>
            <color indexed="81"/>
            <rFont val="Tahoma"/>
            <family val="2"/>
          </rPr>
          <t>ЗАМЕНИТЕ НА РЕАЛЬНЫЕ ДАННЫЕ.
ДЕМО, ДО, Петрушка,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60" authorId="0">
      <text>
        <r>
          <rPr>
            <sz val="8"/>
            <color indexed="81"/>
            <rFont val="Tahoma"/>
            <family val="2"/>
          </rPr>
          <t>ЗАМЕНИТЕ НА РЕАЛЬНЫЕ ДАННЫЕ.
ДЕМО, ДО, Петрушка,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60" authorId="0">
      <text>
        <r>
          <rPr>
            <sz val="8"/>
            <color indexed="81"/>
            <rFont val="Tahoma"/>
            <family val="2"/>
          </rPr>
          <t>ЗАМЕНИТЕ НА РЕАЛЬНЫЕ ДАННЫЕ.
ДЕМО, ДО, Петрушка,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60" authorId="0">
      <text>
        <r>
          <rPr>
            <sz val="8"/>
            <color indexed="81"/>
            <rFont val="Tahoma"/>
            <family val="2"/>
          </rPr>
          <t>ЗАМЕНИТЕ НА РЕАЛЬНЫЕ ДАННЫЕ.
ДЕМО, ДО, Петрушка,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60" authorId="0">
      <text>
        <r>
          <rPr>
            <sz val="8"/>
            <color indexed="81"/>
            <rFont val="Tahoma"/>
            <family val="2"/>
          </rPr>
          <t>ЗАМЕНИТЕ НА РЕАЛЬНЫЕ ДАННЫЕ.
ДЕМО, ДО, Петрушка,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61" authorId="0">
      <text>
        <r>
          <rPr>
            <sz val="8"/>
            <color indexed="81"/>
            <rFont val="Tahoma"/>
            <family val="2"/>
          </rPr>
          <t>ЗАМЕНИТЕ НА РЕАЛЬНЫЕ ДАННЫЕ.
ДЕМО, ДО, Петрушка,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61" authorId="0">
      <text>
        <r>
          <rPr>
            <sz val="8"/>
            <color indexed="81"/>
            <rFont val="Tahoma"/>
            <family val="2"/>
          </rPr>
          <t>ЗАМЕНИТЕ НА РЕАЛЬНЫЕ ДАННЫЕ.
ДЕМО, ДО, Петрушка,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61" authorId="0">
      <text>
        <r>
          <rPr>
            <sz val="8"/>
            <color indexed="81"/>
            <rFont val="Tahoma"/>
            <family val="2"/>
          </rPr>
          <t>ЗАМЕНИТЕ НА РЕАЛЬНЫЕ ДАННЫЕ.
ДЕМО, ДО, Петрушка,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61" authorId="0">
      <text>
        <r>
          <rPr>
            <sz val="8"/>
            <color indexed="81"/>
            <rFont val="Tahoma"/>
            <family val="2"/>
          </rPr>
          <t>ЗАМЕНИТЕ НА РЕАЛЬНЫЕ ДАННЫЕ.
ДЕМО, ДО, Петрушка,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61" authorId="0">
      <text>
        <r>
          <rPr>
            <sz val="8"/>
            <color indexed="81"/>
            <rFont val="Tahoma"/>
            <family val="2"/>
          </rPr>
          <t>ЗАМЕНИТЕ НА РЕАЛЬНЫЕ ДАННЫЕ.
ДЕМО, ДО, Петрушка,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61" authorId="0">
      <text>
        <r>
          <rPr>
            <sz val="8"/>
            <color indexed="81"/>
            <rFont val="Tahoma"/>
            <family val="2"/>
          </rPr>
          <t>ЗАМЕНИТЕ НА РЕАЛЬНЫЕ ДАННЫЕ.
ДЕМО, ДО, Петрушка,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61" authorId="0">
      <text>
        <r>
          <rPr>
            <sz val="8"/>
            <color indexed="81"/>
            <rFont val="Tahoma"/>
            <family val="2"/>
          </rPr>
          <t>ЗАМЕНИТЕ НА РЕАЛЬНЫЕ ДАННЫЕ.
ДЕМО, ДО, Петрушка,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61" authorId="0">
      <text>
        <r>
          <rPr>
            <sz val="8"/>
            <color indexed="81"/>
            <rFont val="Tahoma"/>
            <family val="2"/>
          </rPr>
          <t>ЗАМЕНИТЕ НА РЕАЛЬНЫЕ ДАННЫЕ.
ДЕМО, ДО, Петрушка,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61" authorId="0">
      <text>
        <r>
          <rPr>
            <sz val="8"/>
            <color indexed="81"/>
            <rFont val="Tahoma"/>
            <family val="2"/>
          </rPr>
          <t>ЗАМЕНИТЕ НА РЕАЛЬНЫЕ ДАННЫЕ.
ДЕМО, ДО, Петрушка,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61" authorId="0">
      <text>
        <r>
          <rPr>
            <sz val="8"/>
            <color indexed="81"/>
            <rFont val="Tahoma"/>
            <family val="2"/>
          </rPr>
          <t>ЗАМЕНИТЕ НА РЕАЛЬНЫЕ ДАННЫЕ.
ДЕМО, ДО, Петрушка,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62" authorId="0">
      <text>
        <r>
          <rPr>
            <sz val="8"/>
            <color indexed="81"/>
            <rFont val="Tahoma"/>
            <family val="2"/>
          </rPr>
          <t>ЗАМЕНИТЕ НА РЕАЛЬНЫЕ ДАННЫЕ.
ДЕМО, ДО, Петрушка,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62" authorId="0">
      <text>
        <r>
          <rPr>
            <sz val="8"/>
            <color indexed="81"/>
            <rFont val="Tahoma"/>
            <family val="2"/>
          </rPr>
          <t>ЗАМЕНИТЕ НА РЕАЛЬНЫЕ ДАННЫЕ.
ДЕМО, ДО, Петрушка,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62" authorId="0">
      <text>
        <r>
          <rPr>
            <sz val="8"/>
            <color indexed="81"/>
            <rFont val="Tahoma"/>
            <family val="2"/>
          </rPr>
          <t>ЗАМЕНИТЕ НА РЕАЛЬНЫЕ ДАННЫЕ.
ДЕМО, ДО, Петрушка,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62" authorId="0">
      <text>
        <r>
          <rPr>
            <sz val="8"/>
            <color indexed="81"/>
            <rFont val="Tahoma"/>
            <family val="2"/>
          </rPr>
          <t>ЗАМЕНИТЕ НА РЕАЛЬНЫЕ ДАННЫЕ.
ДЕМО, ДО, Петрушка,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62" authorId="0">
      <text>
        <r>
          <rPr>
            <sz val="8"/>
            <color indexed="81"/>
            <rFont val="Tahoma"/>
            <family val="2"/>
          </rPr>
          <t>ЗАМЕНИТЕ НА РЕАЛЬНЫЕ ДАННЫЕ.
ДЕМО, ДО, Петрушка,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62" authorId="0">
      <text>
        <r>
          <rPr>
            <sz val="8"/>
            <color indexed="81"/>
            <rFont val="Tahoma"/>
            <family val="2"/>
          </rPr>
          <t>ЗАМЕНИТЕ НА РЕАЛЬНЫЕ ДАННЫЕ.
ДЕМО, ДО, Петрушка,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62" authorId="0">
      <text>
        <r>
          <rPr>
            <sz val="8"/>
            <color indexed="81"/>
            <rFont val="Tahoma"/>
            <family val="2"/>
          </rPr>
          <t>ЗАМЕНИТЕ НА РЕАЛЬНЫЕ ДАННЫЕ.
ДЕМО, ДО, Петрушка,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62" authorId="0">
      <text>
        <r>
          <rPr>
            <sz val="8"/>
            <color indexed="81"/>
            <rFont val="Tahoma"/>
            <family val="2"/>
          </rPr>
          <t>ЗАМЕНИТЕ НА РЕАЛЬНЫЕ ДАННЫЕ.
ДЕМО, ДО, Петрушка,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62" authorId="0">
      <text>
        <r>
          <rPr>
            <sz val="8"/>
            <color indexed="81"/>
            <rFont val="Tahoma"/>
            <family val="2"/>
          </rPr>
          <t>ЗАМЕНИТЕ НА РЕАЛЬНЫЕ ДАННЫЕ.
ДЕМО, ДО, Петрушка,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62" authorId="0">
      <text>
        <r>
          <rPr>
            <sz val="8"/>
            <color indexed="81"/>
            <rFont val="Tahoma"/>
            <family val="2"/>
          </rPr>
          <t>ЗАМЕНИТЕ НА РЕАЛЬНЫЕ ДАННЫЕ.
ДЕМО, ДО, Петрушка,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63" authorId="0">
      <text>
        <r>
          <rPr>
            <sz val="8"/>
            <color indexed="81"/>
            <rFont val="Tahoma"/>
            <family val="2"/>
          </rPr>
          <t>ЗАМЕНИТЕ НА РЕАЛЬНЫЕ ДАННЫЕ.
ДЕМО, ДО, Петрушка,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63" authorId="0">
      <text>
        <r>
          <rPr>
            <sz val="8"/>
            <color indexed="81"/>
            <rFont val="Tahoma"/>
            <family val="2"/>
          </rPr>
          <t>ЗАМЕНИТЕ НА РЕАЛЬНЫЕ ДАННЫЕ.
ДЕМО, ДО, Петрушка,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63" authorId="0">
      <text>
        <r>
          <rPr>
            <sz val="8"/>
            <color indexed="81"/>
            <rFont val="Tahoma"/>
            <family val="2"/>
          </rPr>
          <t>ЗАМЕНИТЕ НА РЕАЛЬНЫЕ ДАННЫЕ.
ДЕМО, ДО, Петрушка,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63" authorId="0">
      <text>
        <r>
          <rPr>
            <sz val="8"/>
            <color indexed="81"/>
            <rFont val="Tahoma"/>
            <family val="2"/>
          </rPr>
          <t>ЗАМЕНИТЕ НА РЕАЛЬНЫЕ ДАННЫЕ.
ДЕМО, ДО, Петрушка,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63" authorId="0">
      <text>
        <r>
          <rPr>
            <sz val="8"/>
            <color indexed="81"/>
            <rFont val="Tahoma"/>
            <family val="2"/>
          </rPr>
          <t>ЗАМЕНИТЕ НА РЕАЛЬНЫЕ ДАННЫЕ.
ДЕМО, ДО, Петрушка,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63" authorId="0">
      <text>
        <r>
          <rPr>
            <sz val="8"/>
            <color indexed="81"/>
            <rFont val="Tahoma"/>
            <family val="2"/>
          </rPr>
          <t>ЗАМЕНИТЕ НА РЕАЛЬНЫЕ ДАННЫЕ.
ДЕМО, ДО, Петрушка,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63" authorId="0">
      <text>
        <r>
          <rPr>
            <sz val="8"/>
            <color indexed="81"/>
            <rFont val="Tahoma"/>
            <family val="2"/>
          </rPr>
          <t>ЗАМЕНИТЕ НА РЕАЛЬНЫЕ ДАННЫЕ.
ДЕМО, ДО, Петрушка,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63" authorId="0">
      <text>
        <r>
          <rPr>
            <sz val="8"/>
            <color indexed="81"/>
            <rFont val="Tahoma"/>
            <family val="2"/>
          </rPr>
          <t>ЗАМЕНИТЕ НА РЕАЛЬНЫЕ ДАННЫЕ.
ДЕМО, ДО, Петрушка,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63" authorId="0">
      <text>
        <r>
          <rPr>
            <sz val="8"/>
            <color indexed="81"/>
            <rFont val="Tahoma"/>
            <family val="2"/>
          </rPr>
          <t>ЗАМЕНИТЕ НА РЕАЛЬНЫЕ ДАННЫЕ.
ДЕМО, ДО, Петрушка,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63" authorId="0">
      <text>
        <r>
          <rPr>
            <sz val="8"/>
            <color indexed="81"/>
            <rFont val="Tahoma"/>
            <family val="2"/>
          </rPr>
          <t>ЗАМЕНИТЕ НА РЕАЛЬНЫЕ ДАННЫЕ.
ДЕМО, ДО, Петрушка,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64" authorId="0">
      <text>
        <r>
          <rPr>
            <sz val="8"/>
            <color indexed="81"/>
            <rFont val="Tahoma"/>
            <family val="2"/>
          </rPr>
          <t>ЗАМЕНИТЕ НА РЕАЛЬНЫЕ ДАННЫЕ.
ДЕМО, ДО, Петрушка,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64" authorId="0">
      <text>
        <r>
          <rPr>
            <sz val="8"/>
            <color indexed="81"/>
            <rFont val="Tahoma"/>
            <family val="2"/>
          </rPr>
          <t>ЗАМЕНИТЕ НА РЕАЛЬНЫЕ ДАННЫЕ.
ДЕМО, ДО, Петрушка,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64" authorId="0">
      <text>
        <r>
          <rPr>
            <sz val="8"/>
            <color indexed="81"/>
            <rFont val="Tahoma"/>
            <family val="2"/>
          </rPr>
          <t>ЗАМЕНИТЕ НА РЕАЛЬНЫЕ ДАННЫЕ.
ДЕМО, ДО, Петрушка,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64" authorId="0">
      <text>
        <r>
          <rPr>
            <sz val="8"/>
            <color indexed="81"/>
            <rFont val="Tahoma"/>
            <family val="2"/>
          </rPr>
          <t>ЗАМЕНИТЕ НА РЕАЛЬНЫЕ ДАННЫЕ.
ДЕМО, ДО, Петрушка,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64" authorId="0">
      <text>
        <r>
          <rPr>
            <sz val="8"/>
            <color indexed="81"/>
            <rFont val="Tahoma"/>
            <family val="2"/>
          </rPr>
          <t>ЗАМЕНИТЕ НА РЕАЛЬНЫЕ ДАННЫЕ.
ДЕМО, ДО, Петрушка,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64" authorId="0">
      <text>
        <r>
          <rPr>
            <sz val="8"/>
            <color indexed="81"/>
            <rFont val="Tahoma"/>
            <family val="2"/>
          </rPr>
          <t>ЗАМЕНИТЕ НА РЕАЛЬНЫЕ ДАННЫЕ.
ДЕМО, ДО, Петрушка,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64" authorId="0">
      <text>
        <r>
          <rPr>
            <sz val="8"/>
            <color indexed="81"/>
            <rFont val="Tahoma"/>
            <family val="2"/>
          </rPr>
          <t>ЗАМЕНИТЕ НА РЕАЛЬНЫЕ ДАННЫЕ.
ДЕМО, ДО, Петрушка,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64" authorId="0">
      <text>
        <r>
          <rPr>
            <sz val="8"/>
            <color indexed="81"/>
            <rFont val="Tahoma"/>
            <family val="2"/>
          </rPr>
          <t>ЗАМЕНИТЕ НА РЕАЛЬНЫЕ ДАННЫЕ.
ДЕМО, ДО, Петрушка,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64" authorId="0">
      <text>
        <r>
          <rPr>
            <sz val="8"/>
            <color indexed="81"/>
            <rFont val="Tahoma"/>
            <family val="2"/>
          </rPr>
          <t>ЗАМЕНИТЕ НА РЕАЛЬНЫЕ ДАННЫЕ.
ДЕМО, ДО, Петрушка,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64" authorId="0">
      <text>
        <r>
          <rPr>
            <sz val="8"/>
            <color indexed="81"/>
            <rFont val="Tahoma"/>
            <family val="2"/>
          </rPr>
          <t>ЗАМЕНИТЕ НА РЕАЛЬНЫЕ ДАННЫЕ.
ДЕМО, ДО, Петрушка,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73" authorId="0">
      <text>
        <r>
          <rPr>
            <sz val="8"/>
            <color indexed="81"/>
            <rFont val="Tahoma"/>
            <family val="2"/>
          </rPr>
          <t>ЗАМЕНИТЕ НА РЕАЛЬНЫЕ ДАННЫЕ.
Томат, цикл 1. 0 исключает все элементы данного цикла, а не один выброс.</t>
        </r>
      </text>
    </comment>
    <comment ref="F73" authorId="0">
      <text>
        <r>
          <rPr>
            <sz val="8"/>
            <color indexed="81"/>
            <rFont val="Tahoma"/>
            <family val="2"/>
          </rPr>
          <t>ЗАМЕНИТЕ НА РЕАЛЬНЫЕ ДАННЫЕ.
Томат, цикл 2. 0 исключает все элементы данного цикла, а не один выброс.</t>
        </r>
      </text>
    </comment>
    <comment ref="G73" authorId="0">
      <text>
        <r>
          <rPr>
            <sz val="8"/>
            <color indexed="81"/>
            <rFont val="Tahoma"/>
            <family val="2"/>
          </rPr>
          <t>ЗАМЕНИТЕ НА РЕАЛЬНЫЕ ДАННЫЕ.
Томат, цикл 3. 0 исключает все элементы данного цикла, а не один выброс.</t>
        </r>
      </text>
    </comment>
    <comment ref="H73" authorId="0">
      <text>
        <r>
          <rPr>
            <sz val="8"/>
            <color indexed="81"/>
            <rFont val="Tahoma"/>
            <family val="2"/>
          </rPr>
          <t>ЗАМЕНИТЕ НА РЕАЛЬНЫЕ ДАННЫЕ.
Томат, цикл 4. 0 исключает все элементы данного цикла, а не один выброс.</t>
        </r>
      </text>
    </comment>
    <comment ref="I73" authorId="0">
      <text>
        <r>
          <rPr>
            <sz val="8"/>
            <color indexed="81"/>
            <rFont val="Tahoma"/>
            <family val="2"/>
          </rPr>
          <t>ЗАМЕНИТЕ НА РЕАЛЬНЫЕ ДАННЫЕ.
Томат, цикл 5. 0 исключает все элементы данного цикла, а не один выброс.</t>
        </r>
      </text>
    </comment>
    <comment ref="J73" authorId="0">
      <text>
        <r>
          <rPr>
            <sz val="8"/>
            <color indexed="81"/>
            <rFont val="Tahoma"/>
            <family val="2"/>
          </rPr>
          <t>ЗАМЕНИТЕ НА РЕАЛЬНЫЕ ДАННЫЕ.
Томат, цикл 6. 0 исключает все элементы данного цикла, а не один выброс.</t>
        </r>
      </text>
    </comment>
    <comment ref="K73" authorId="0">
      <text>
        <r>
          <rPr>
            <sz val="8"/>
            <color indexed="81"/>
            <rFont val="Tahoma"/>
            <family val="2"/>
          </rPr>
          <t>ЗАМЕНИТЕ НА РЕАЛЬНЫЕ ДАННЫЕ.
Томат, цикл 7. 0 исключает все элементы данного цикла, а не один выброс.</t>
        </r>
      </text>
    </comment>
    <comment ref="L73" authorId="0">
      <text>
        <r>
          <rPr>
            <sz val="8"/>
            <color indexed="81"/>
            <rFont val="Tahoma"/>
            <family val="2"/>
          </rPr>
          <t>ЗАМЕНИТЕ НА РЕАЛЬНЫЕ ДАННЫЕ.
Томат, цикл 8. 0 исключает все элементы данного цикла, а не один выброс.</t>
        </r>
      </text>
    </comment>
    <comment ref="M73" authorId="0">
      <text>
        <r>
          <rPr>
            <sz val="8"/>
            <color indexed="81"/>
            <rFont val="Tahoma"/>
            <family val="2"/>
          </rPr>
          <t>ЗАМЕНИТЕ НА РЕАЛЬНЫЕ ДАННЫЕ.
Томат, цикл 9. 0 исключает все элементы данного цикла, а не один выброс.</t>
        </r>
      </text>
    </comment>
    <comment ref="N73" authorId="0">
      <text>
        <r>
          <rPr>
            <sz val="8"/>
            <color indexed="81"/>
            <rFont val="Tahoma"/>
            <family val="2"/>
          </rPr>
          <t>ЗАМЕНИТЕ НА РЕАЛЬНЫЕ ДАННЫЕ.
Томат, цикл 10. 0 исключает все элементы данного цикла, а не один выброс.</t>
        </r>
      </text>
    </comment>
    <comment ref="E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75" authorId="0">
      <text>
        <r>
          <rPr>
            <sz val="8"/>
            <color indexed="81"/>
            <rFont val="Tahoma"/>
            <family val="2"/>
          </rPr>
          <t>ЗАМЕНИТЕ НА РЕАЛЬНЫЕ ДАННЫЕ.
ДЕМО, ДО, Томат,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75" authorId="0">
      <text>
        <r>
          <rPr>
            <sz val="8"/>
            <color indexed="81"/>
            <rFont val="Tahoma"/>
            <family val="2"/>
          </rPr>
          <t>ЗАМЕНИТЕ НА РЕАЛЬНЫЕ ДАННЫЕ.
ДЕМО, ДО, Томат,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75" authorId="0">
      <text>
        <r>
          <rPr>
            <sz val="8"/>
            <color indexed="81"/>
            <rFont val="Tahoma"/>
            <family val="2"/>
          </rPr>
          <t>ЗАМЕНИТЕ НА РЕАЛЬНЫЕ ДАННЫЕ.
ДЕМО, ДО, Томат,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75" authorId="0">
      <text>
        <r>
          <rPr>
            <sz val="8"/>
            <color indexed="81"/>
            <rFont val="Tahoma"/>
            <family val="2"/>
          </rPr>
          <t>ЗАМЕНИТЕ НА РЕАЛЬНЫЕ ДАННЫЕ.
ДЕМО, ДО, Томат,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75" authorId="0">
      <text>
        <r>
          <rPr>
            <sz val="8"/>
            <color indexed="81"/>
            <rFont val="Tahoma"/>
            <family val="2"/>
          </rPr>
          <t>ЗАМЕНИТЕ НА РЕАЛЬНЫЕ ДАННЫЕ.
ДЕМО, ДО, Томат,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75" authorId="0">
      <text>
        <r>
          <rPr>
            <sz val="8"/>
            <color indexed="81"/>
            <rFont val="Tahoma"/>
            <family val="2"/>
          </rPr>
          <t>ЗАМЕНИТЕ НА РЕАЛЬНЫЕ ДАННЫЕ.
ДЕМО, ДО, Томат,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75" authorId="0">
      <text>
        <r>
          <rPr>
            <sz val="8"/>
            <color indexed="81"/>
            <rFont val="Tahoma"/>
            <family val="2"/>
          </rPr>
          <t>ЗАМЕНИТЕ НА РЕАЛЬНЫЕ ДАННЫЕ.
ДЕМО, ДО, Томат,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75" authorId="0">
      <text>
        <r>
          <rPr>
            <sz val="8"/>
            <color indexed="81"/>
            <rFont val="Tahoma"/>
            <family val="2"/>
          </rPr>
          <t>ЗАМЕНИТЕ НА РЕАЛЬНЫЕ ДАННЫЕ.
ДЕМО, ДО, Томат,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75" authorId="0">
      <text>
        <r>
          <rPr>
            <sz val="8"/>
            <color indexed="81"/>
            <rFont val="Tahoma"/>
            <family val="2"/>
          </rPr>
          <t>ЗАМЕНИТЕ НА РЕАЛЬНЫЕ ДАННЫЕ.
ДЕМО, ДО, Томат,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75" authorId="0">
      <text>
        <r>
          <rPr>
            <sz val="8"/>
            <color indexed="81"/>
            <rFont val="Tahoma"/>
            <family val="2"/>
          </rPr>
          <t>ЗАМЕНИТЕ НА РЕАЛЬНЫЕ ДАННЫЕ.
ДЕМО, ДО, Томат,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76" authorId="0">
      <text>
        <r>
          <rPr>
            <sz val="8"/>
            <color indexed="81"/>
            <rFont val="Tahoma"/>
            <family val="2"/>
          </rPr>
          <t>ЗАМЕНИТЕ НА РЕАЛЬНЫЕ ДАННЫЕ.
ДЕМО, ДО, Томат,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76" authorId="0">
      <text>
        <r>
          <rPr>
            <sz val="8"/>
            <color indexed="81"/>
            <rFont val="Tahoma"/>
            <family val="2"/>
          </rPr>
          <t>ЗАМЕНИТЕ НА РЕАЛЬНЫЕ ДАННЫЕ.
ДЕМО, ДО, Томат,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76" authorId="0">
      <text>
        <r>
          <rPr>
            <sz val="8"/>
            <color indexed="81"/>
            <rFont val="Tahoma"/>
            <family val="2"/>
          </rPr>
          <t>ЗАМЕНИТЕ НА РЕАЛЬНЫЕ ДАННЫЕ.
ДЕМО, ДО, Томат,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76" authorId="0">
      <text>
        <r>
          <rPr>
            <sz val="8"/>
            <color indexed="81"/>
            <rFont val="Tahoma"/>
            <family val="2"/>
          </rPr>
          <t>ЗАМЕНИТЕ НА РЕАЛЬНЫЕ ДАННЫЕ.
ДЕМО, ДО, Томат,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76" authorId="0">
      <text>
        <r>
          <rPr>
            <sz val="8"/>
            <color indexed="81"/>
            <rFont val="Tahoma"/>
            <family val="2"/>
          </rPr>
          <t>ЗАМЕНИТЕ НА РЕАЛЬНЫЕ ДАННЫЕ.
ДЕМО, ДО, Томат,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76" authorId="0">
      <text>
        <r>
          <rPr>
            <sz val="8"/>
            <color indexed="81"/>
            <rFont val="Tahoma"/>
            <family val="2"/>
          </rPr>
          <t>ЗАМЕНИТЕ НА РЕАЛЬНЫЕ ДАННЫЕ.
ДЕМО, ДО, Томат,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76" authorId="0">
      <text>
        <r>
          <rPr>
            <sz val="8"/>
            <color indexed="81"/>
            <rFont val="Tahoma"/>
            <family val="2"/>
          </rPr>
          <t>ЗАМЕНИТЕ НА РЕАЛЬНЫЕ ДАННЫЕ.
ДЕМО, ДО, Томат,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76" authorId="0">
      <text>
        <r>
          <rPr>
            <sz val="8"/>
            <color indexed="81"/>
            <rFont val="Tahoma"/>
            <family val="2"/>
          </rPr>
          <t>ЗАМЕНИТЕ НА РЕАЛЬНЫЕ ДАННЫЕ.
ДЕМО, ДО, Томат,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76" authorId="0">
      <text>
        <r>
          <rPr>
            <sz val="8"/>
            <color indexed="81"/>
            <rFont val="Tahoma"/>
            <family val="2"/>
          </rPr>
          <t>ЗАМЕНИТЕ НА РЕАЛЬНЫЕ ДАННЫЕ.
ДЕМО, ДО, Томат,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76" authorId="0">
      <text>
        <r>
          <rPr>
            <sz val="8"/>
            <color indexed="81"/>
            <rFont val="Tahoma"/>
            <family val="2"/>
          </rPr>
          <t>ЗАМЕНИТЕ НА РЕАЛЬНЫЕ ДАННЫЕ.
ДЕМО, ДО, Томат,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77" authorId="0">
      <text>
        <r>
          <rPr>
            <sz val="8"/>
            <color indexed="81"/>
            <rFont val="Tahoma"/>
            <family val="2"/>
          </rPr>
          <t>ЗАМЕНИТЕ НА РЕАЛЬНЫЕ ДАННЫЕ.
ДЕМО, ДО, Томат,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77" authorId="0">
      <text>
        <r>
          <rPr>
            <sz val="8"/>
            <color indexed="81"/>
            <rFont val="Tahoma"/>
            <family val="2"/>
          </rPr>
          <t>ЗАМЕНИТЕ НА РЕАЛЬНЫЕ ДАННЫЕ.
ДЕМО, ДО, Томат,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77" authorId="0">
      <text>
        <r>
          <rPr>
            <sz val="8"/>
            <color indexed="81"/>
            <rFont val="Tahoma"/>
            <family val="2"/>
          </rPr>
          <t>ЗАМЕНИТЕ НА РЕАЛЬНЫЕ ДАННЫЕ.
ДЕМО, ДО, Томат,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77" authorId="0">
      <text>
        <r>
          <rPr>
            <sz val="8"/>
            <color indexed="81"/>
            <rFont val="Tahoma"/>
            <family val="2"/>
          </rPr>
          <t>ЗАМЕНИТЕ НА РЕАЛЬНЫЕ ДАННЫЕ.
ДЕМО, ДО, Томат,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77" authorId="0">
      <text>
        <r>
          <rPr>
            <sz val="8"/>
            <color indexed="81"/>
            <rFont val="Tahoma"/>
            <family val="2"/>
          </rPr>
          <t>ЗАМЕНИТЕ НА РЕАЛЬНЫЕ ДАННЫЕ.
ДЕМО, ДО, Томат,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77" authorId="0">
      <text>
        <r>
          <rPr>
            <sz val="8"/>
            <color indexed="81"/>
            <rFont val="Tahoma"/>
            <family val="2"/>
          </rPr>
          <t>ЗАМЕНИТЕ НА РЕАЛЬНЫЕ ДАННЫЕ.
ДЕМО, ДО, Томат,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77" authorId="0">
      <text>
        <r>
          <rPr>
            <sz val="8"/>
            <color indexed="81"/>
            <rFont val="Tahoma"/>
            <family val="2"/>
          </rPr>
          <t>ЗАМЕНИТЕ НА РЕАЛЬНЫЕ ДАННЫЕ.
ДЕМО, ДО, Томат,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77" authorId="0">
      <text>
        <r>
          <rPr>
            <sz val="8"/>
            <color indexed="81"/>
            <rFont val="Tahoma"/>
            <family val="2"/>
          </rPr>
          <t>ЗАМЕНИТЕ НА РЕАЛЬНЫЕ ДАННЫЕ.
ДЕМО, ДО, Томат,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77" authorId="0">
      <text>
        <r>
          <rPr>
            <sz val="8"/>
            <color indexed="81"/>
            <rFont val="Tahoma"/>
            <family val="2"/>
          </rPr>
          <t>ЗАМЕНИТЕ НА РЕАЛЬНЫЕ ДАННЫЕ.
ДЕМО, ДО, Томат,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77" authorId="0">
      <text>
        <r>
          <rPr>
            <sz val="8"/>
            <color indexed="81"/>
            <rFont val="Tahoma"/>
            <family val="2"/>
          </rPr>
          <t>ЗАМЕНИТЕ НА РЕАЛЬНЫЕ ДАННЫЕ.
ДЕМО, ДО, Томат,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78" authorId="0">
      <text>
        <r>
          <rPr>
            <sz val="8"/>
            <color indexed="81"/>
            <rFont val="Tahoma"/>
            <family val="2"/>
          </rPr>
          <t>ЗАМЕНИТЕ НА РЕАЛЬНЫЕ ДАННЫЕ.
ДЕМО, ДО, Томат,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78" authorId="0">
      <text>
        <r>
          <rPr>
            <sz val="8"/>
            <color indexed="81"/>
            <rFont val="Tahoma"/>
            <family val="2"/>
          </rPr>
          <t>ЗАМЕНИТЕ НА РЕАЛЬНЫЕ ДАННЫЕ.
ДЕМО, ДО, Томат,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78" authorId="0">
      <text>
        <r>
          <rPr>
            <sz val="8"/>
            <color indexed="81"/>
            <rFont val="Tahoma"/>
            <family val="2"/>
          </rPr>
          <t>ЗАМЕНИТЕ НА РЕАЛЬНЫЕ ДАННЫЕ.
ДЕМО, ДО, Томат,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78" authorId="0">
      <text>
        <r>
          <rPr>
            <sz val="8"/>
            <color indexed="81"/>
            <rFont val="Tahoma"/>
            <family val="2"/>
          </rPr>
          <t>ЗАМЕНИТЕ НА РЕАЛЬНЫЕ ДАННЫЕ.
ДЕМО, ДО, Томат,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78" authorId="0">
      <text>
        <r>
          <rPr>
            <sz val="8"/>
            <color indexed="81"/>
            <rFont val="Tahoma"/>
            <family val="2"/>
          </rPr>
          <t>ЗАМЕНИТЕ НА РЕАЛЬНЫЕ ДАННЫЕ.
ДЕМО, ДО, Томат,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78" authorId="0">
      <text>
        <r>
          <rPr>
            <sz val="8"/>
            <color indexed="81"/>
            <rFont val="Tahoma"/>
            <family val="2"/>
          </rPr>
          <t>ЗАМЕНИТЕ НА РЕАЛЬНЫЕ ДАННЫЕ.
ДЕМО, ДО, Томат,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78" authorId="0">
      <text>
        <r>
          <rPr>
            <sz val="8"/>
            <color indexed="81"/>
            <rFont val="Tahoma"/>
            <family val="2"/>
          </rPr>
          <t>ЗАМЕНИТЕ НА РЕАЛЬНЫЕ ДАННЫЕ.
ДЕМО, ДО, Томат,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78" authorId="0">
      <text>
        <r>
          <rPr>
            <sz val="8"/>
            <color indexed="81"/>
            <rFont val="Tahoma"/>
            <family val="2"/>
          </rPr>
          <t>ЗАМЕНИТЕ НА РЕАЛЬНЫЕ ДАННЫЕ.
ДЕМО, ДО, Томат,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78" authorId="0">
      <text>
        <r>
          <rPr>
            <sz val="8"/>
            <color indexed="81"/>
            <rFont val="Tahoma"/>
            <family val="2"/>
          </rPr>
          <t>ЗАМЕНИТЕ НА РЕАЛЬНЫЕ ДАННЫЕ.
ДЕМО, ДО, Томат,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78" authorId="0">
      <text>
        <r>
          <rPr>
            <sz val="8"/>
            <color indexed="81"/>
            <rFont val="Tahoma"/>
            <family val="2"/>
          </rPr>
          <t>ЗАМЕНИТЕ НА РЕАЛЬНЫЕ ДАННЫЕ.
ДЕМО, ДО, Томат,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79" authorId="0">
      <text>
        <r>
          <rPr>
            <sz val="8"/>
            <color indexed="81"/>
            <rFont val="Tahoma"/>
            <family val="2"/>
          </rPr>
          <t>ЗАМЕНИТЕ НА РЕАЛЬНЫЕ ДАННЫЕ.
ДЕМО, ДО, Томат,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79" authorId="0">
      <text>
        <r>
          <rPr>
            <sz val="8"/>
            <color indexed="81"/>
            <rFont val="Tahoma"/>
            <family val="2"/>
          </rPr>
          <t>ЗАМЕНИТЕ НА РЕАЛЬНЫЕ ДАННЫЕ.
ДЕМО, ДО, Томат,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79" authorId="0">
      <text>
        <r>
          <rPr>
            <sz val="8"/>
            <color indexed="81"/>
            <rFont val="Tahoma"/>
            <family val="2"/>
          </rPr>
          <t>ЗАМЕНИТЕ НА РЕАЛЬНЫЕ ДАННЫЕ.
ДЕМО, ДО, Томат,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79" authorId="0">
      <text>
        <r>
          <rPr>
            <sz val="8"/>
            <color indexed="81"/>
            <rFont val="Tahoma"/>
            <family val="2"/>
          </rPr>
          <t>ЗАМЕНИТЕ НА РЕАЛЬНЫЕ ДАННЫЕ.
ДЕМО, ДО, Томат,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79" authorId="0">
      <text>
        <r>
          <rPr>
            <sz val="8"/>
            <color indexed="81"/>
            <rFont val="Tahoma"/>
            <family val="2"/>
          </rPr>
          <t>ЗАМЕНИТЕ НА РЕАЛЬНЫЕ ДАННЫЕ.
ДЕМО, ДО, Томат,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79" authorId="0">
      <text>
        <r>
          <rPr>
            <sz val="8"/>
            <color indexed="81"/>
            <rFont val="Tahoma"/>
            <family val="2"/>
          </rPr>
          <t>ЗАМЕНИТЕ НА РЕАЛЬНЫЕ ДАННЫЕ.
ДЕМО, ДО, Томат,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79" authorId="0">
      <text>
        <r>
          <rPr>
            <sz val="8"/>
            <color indexed="81"/>
            <rFont val="Tahoma"/>
            <family val="2"/>
          </rPr>
          <t>ЗАМЕНИТЕ НА РЕАЛЬНЫЕ ДАННЫЕ.
ДЕМО, ДО, Томат,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79" authorId="0">
      <text>
        <r>
          <rPr>
            <sz val="8"/>
            <color indexed="81"/>
            <rFont val="Tahoma"/>
            <family val="2"/>
          </rPr>
          <t>ЗАМЕНИТЕ НА РЕАЛЬНЫЕ ДАННЫЕ.
ДЕМО, ДО, Томат,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79" authorId="0">
      <text>
        <r>
          <rPr>
            <sz val="8"/>
            <color indexed="81"/>
            <rFont val="Tahoma"/>
            <family val="2"/>
          </rPr>
          <t>ЗАМЕНИТЕ НА РЕАЛЬНЫЕ ДАННЫЕ.
ДЕМО, ДО, Томат,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79" authorId="0">
      <text>
        <r>
          <rPr>
            <sz val="8"/>
            <color indexed="81"/>
            <rFont val="Tahoma"/>
            <family val="2"/>
          </rPr>
          <t>ЗАМЕНИТЕ НА РЕАЛЬНЫЕ ДАННЫЕ.
ДЕМО, ДО, Томат,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81" authorId="0">
      <text>
        <r>
          <rPr>
            <sz val="8"/>
            <color indexed="81"/>
            <rFont val="Tahoma"/>
            <family val="2"/>
          </rPr>
          <t>ЗАМЕНИТЕ НА РЕАЛЬНЫЕ ДАННЫЕ.
ДЕМО, ДО, Томат,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81" authorId="0">
      <text>
        <r>
          <rPr>
            <sz val="8"/>
            <color indexed="81"/>
            <rFont val="Tahoma"/>
            <family val="2"/>
          </rPr>
          <t>ЗАМЕНИТЕ НА РЕАЛЬНЫЕ ДАННЫЕ.
ДЕМО, ДО, Томат,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81" authorId="0">
      <text>
        <r>
          <rPr>
            <sz val="8"/>
            <color indexed="81"/>
            <rFont val="Tahoma"/>
            <family val="2"/>
          </rPr>
          <t>ЗАМЕНИТЕ НА РЕАЛЬНЫЕ ДАННЫЕ.
ДЕМО, ДО, Томат,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81" authorId="0">
      <text>
        <r>
          <rPr>
            <sz val="8"/>
            <color indexed="81"/>
            <rFont val="Tahoma"/>
            <family val="2"/>
          </rPr>
          <t>ЗАМЕНИТЕ НА РЕАЛЬНЫЕ ДАННЫЕ.
ДЕМО, ДО, Томат,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81" authorId="0">
      <text>
        <r>
          <rPr>
            <sz val="8"/>
            <color indexed="81"/>
            <rFont val="Tahoma"/>
            <family val="2"/>
          </rPr>
          <t>ЗАМЕНИТЕ НА РЕАЛЬНЫЕ ДАННЫЕ.
ДЕМО, ДО, Томат,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81" authorId="0">
      <text>
        <r>
          <rPr>
            <sz val="8"/>
            <color indexed="81"/>
            <rFont val="Tahoma"/>
            <family val="2"/>
          </rPr>
          <t>ЗАМЕНИТЕ НА РЕАЛЬНЫЕ ДАННЫЕ.
ДЕМО, ДО, Томат,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81" authorId="0">
      <text>
        <r>
          <rPr>
            <sz val="8"/>
            <color indexed="81"/>
            <rFont val="Tahoma"/>
            <family val="2"/>
          </rPr>
          <t>ЗАМЕНИТЕ НА РЕАЛЬНЫЕ ДАННЫЕ.
ДЕМО, ДО, Томат,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81" authorId="0">
      <text>
        <r>
          <rPr>
            <sz val="8"/>
            <color indexed="81"/>
            <rFont val="Tahoma"/>
            <family val="2"/>
          </rPr>
          <t>ЗАМЕНИТЕ НА РЕАЛЬНЫЕ ДАННЫЕ.
ДЕМО, ДО, Томат,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81" authorId="0">
      <text>
        <r>
          <rPr>
            <sz val="8"/>
            <color indexed="81"/>
            <rFont val="Tahoma"/>
            <family val="2"/>
          </rPr>
          <t>ЗАМЕНИТЕ НА РЕАЛЬНЫЕ ДАННЫЕ.
ДЕМО, ДО, Томат,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81" authorId="0">
      <text>
        <r>
          <rPr>
            <sz val="8"/>
            <color indexed="81"/>
            <rFont val="Tahoma"/>
            <family val="2"/>
          </rPr>
          <t>ЗАМЕНИТЕ НА РЕАЛЬНЫЕ ДАННЫЕ.
ДЕМО, ДО, Томат,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82" authorId="0">
      <text>
        <r>
          <rPr>
            <sz val="8"/>
            <color indexed="81"/>
            <rFont val="Tahoma"/>
            <family val="2"/>
          </rPr>
          <t>ЗАМЕНИТЕ НА РЕАЛЬНЫЕ ДАННЫЕ.
ДЕМО, ДО, Томат,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82" authorId="0">
      <text>
        <r>
          <rPr>
            <sz val="8"/>
            <color indexed="81"/>
            <rFont val="Tahoma"/>
            <family val="2"/>
          </rPr>
          <t>ЗАМЕНИТЕ НА РЕАЛЬНЫЕ ДАННЫЕ.
ДЕМО, ДО, Томат,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82" authorId="0">
      <text>
        <r>
          <rPr>
            <sz val="8"/>
            <color indexed="81"/>
            <rFont val="Tahoma"/>
            <family val="2"/>
          </rPr>
          <t>ЗАМЕНИТЕ НА РЕАЛЬНЫЕ ДАННЫЕ.
ДЕМО, ДО, Томат,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82" authorId="0">
      <text>
        <r>
          <rPr>
            <sz val="8"/>
            <color indexed="81"/>
            <rFont val="Tahoma"/>
            <family val="2"/>
          </rPr>
          <t>ЗАМЕНИТЕ НА РЕАЛЬНЫЕ ДАННЫЕ.
ДЕМО, ДО, Томат,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82" authorId="0">
      <text>
        <r>
          <rPr>
            <sz val="8"/>
            <color indexed="81"/>
            <rFont val="Tahoma"/>
            <family val="2"/>
          </rPr>
          <t>ЗАМЕНИТЕ НА РЕАЛЬНЫЕ ДАННЫЕ.
ДЕМО, ДО, Томат,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82" authorId="0">
      <text>
        <r>
          <rPr>
            <sz val="8"/>
            <color indexed="81"/>
            <rFont val="Tahoma"/>
            <family val="2"/>
          </rPr>
          <t>ЗАМЕНИТЕ НА РЕАЛЬНЫЕ ДАННЫЕ.
ДЕМО, ДО, Томат,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82" authorId="0">
      <text>
        <r>
          <rPr>
            <sz val="8"/>
            <color indexed="81"/>
            <rFont val="Tahoma"/>
            <family val="2"/>
          </rPr>
          <t>ЗАМЕНИТЕ НА РЕАЛЬНЫЕ ДАННЫЕ.
ДЕМО, ДО, Томат,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82" authorId="0">
      <text>
        <r>
          <rPr>
            <sz val="8"/>
            <color indexed="81"/>
            <rFont val="Tahoma"/>
            <family val="2"/>
          </rPr>
          <t>ЗАМЕНИТЕ НА РЕАЛЬНЫЕ ДАННЫЕ.
ДЕМО, ДО, Томат,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82" authorId="0">
      <text>
        <r>
          <rPr>
            <sz val="8"/>
            <color indexed="81"/>
            <rFont val="Tahoma"/>
            <family val="2"/>
          </rPr>
          <t>ЗАМЕНИТЕ НА РЕАЛЬНЫЕ ДАННЫЕ.
ДЕМО, ДО, Томат,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82" authorId="0">
      <text>
        <r>
          <rPr>
            <sz val="8"/>
            <color indexed="81"/>
            <rFont val="Tahoma"/>
            <family val="2"/>
          </rPr>
          <t>ЗАМЕНИТЕ НА РЕАЛЬНЫЕ ДАННЫЕ.
ДЕМО, ДО, Томат,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83" authorId="0">
      <text>
        <r>
          <rPr>
            <sz val="8"/>
            <color indexed="81"/>
            <rFont val="Tahoma"/>
            <family val="2"/>
          </rPr>
          <t>ЗАМЕНИТЕ НА РЕАЛЬНЫЕ ДАННЫЕ.
ДЕМО, ДО, Томат,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83" authorId="0">
      <text>
        <r>
          <rPr>
            <sz val="8"/>
            <color indexed="81"/>
            <rFont val="Tahoma"/>
            <family val="2"/>
          </rPr>
          <t>ЗАМЕНИТЕ НА РЕАЛЬНЫЕ ДАННЫЕ.
ДЕМО, ДО, Томат,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83" authorId="0">
      <text>
        <r>
          <rPr>
            <sz val="8"/>
            <color indexed="81"/>
            <rFont val="Tahoma"/>
            <family val="2"/>
          </rPr>
          <t>ЗАМЕНИТЕ НА РЕАЛЬНЫЕ ДАННЫЕ.
ДЕМО, ДО, Томат,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83" authorId="0">
      <text>
        <r>
          <rPr>
            <sz val="8"/>
            <color indexed="81"/>
            <rFont val="Tahoma"/>
            <family val="2"/>
          </rPr>
          <t>ЗАМЕНИТЕ НА РЕАЛЬНЫЕ ДАННЫЕ.
ДЕМО, ДО, Томат,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83" authorId="0">
      <text>
        <r>
          <rPr>
            <sz val="8"/>
            <color indexed="81"/>
            <rFont val="Tahoma"/>
            <family val="2"/>
          </rPr>
          <t>ЗАМЕНИТЕ НА РЕАЛЬНЫЕ ДАННЫЕ.
ДЕМО, ДО, Томат,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83" authorId="0">
      <text>
        <r>
          <rPr>
            <sz val="8"/>
            <color indexed="81"/>
            <rFont val="Tahoma"/>
            <family val="2"/>
          </rPr>
          <t>ЗАМЕНИТЕ НА РЕАЛЬНЫЕ ДАННЫЕ.
ДЕМО, ДО, Томат,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83" authorId="0">
      <text>
        <r>
          <rPr>
            <sz val="8"/>
            <color indexed="81"/>
            <rFont val="Tahoma"/>
            <family val="2"/>
          </rPr>
          <t>ЗАМЕНИТЕ НА РЕАЛЬНЫЕ ДАННЫЕ.
ДЕМО, ДО, Томат,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83" authorId="0">
      <text>
        <r>
          <rPr>
            <sz val="8"/>
            <color indexed="81"/>
            <rFont val="Tahoma"/>
            <family val="2"/>
          </rPr>
          <t>ЗАМЕНИТЕ НА РЕАЛЬНЫЕ ДАННЫЕ.
ДЕМО, ДО, Томат,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83" authorId="0">
      <text>
        <r>
          <rPr>
            <sz val="8"/>
            <color indexed="81"/>
            <rFont val="Tahoma"/>
            <family val="2"/>
          </rPr>
          <t>ЗАМЕНИТЕ НА РЕАЛЬНЫЕ ДАННЫЕ.
ДЕМО, ДО, Томат,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83" authorId="0">
      <text>
        <r>
          <rPr>
            <sz val="8"/>
            <color indexed="81"/>
            <rFont val="Tahoma"/>
            <family val="2"/>
          </rPr>
          <t>ЗАМЕНИТЕ НА РЕАЛЬНЫЕ ДАННЫЕ.
ДЕМО, ДО, Томат,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84" authorId="0">
      <text>
        <r>
          <rPr>
            <sz val="8"/>
            <color indexed="81"/>
            <rFont val="Tahoma"/>
            <family val="2"/>
          </rPr>
          <t>ЗАМЕНИТЕ НА РЕАЛЬНЫЕ ДАННЫЕ.
ДЕМО, ДО, Томат,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84" authorId="0">
      <text>
        <r>
          <rPr>
            <sz val="8"/>
            <color indexed="81"/>
            <rFont val="Tahoma"/>
            <family val="2"/>
          </rPr>
          <t>ЗАМЕНИТЕ НА РЕАЛЬНЫЕ ДАННЫЕ.
ДЕМО, ДО, Томат,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84" authorId="0">
      <text>
        <r>
          <rPr>
            <sz val="8"/>
            <color indexed="81"/>
            <rFont val="Tahoma"/>
            <family val="2"/>
          </rPr>
          <t>ЗАМЕНИТЕ НА РЕАЛЬНЫЕ ДАННЫЕ.
ДЕМО, ДО, Томат,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84" authorId="0">
      <text>
        <r>
          <rPr>
            <sz val="8"/>
            <color indexed="81"/>
            <rFont val="Tahoma"/>
            <family val="2"/>
          </rPr>
          <t>ЗАМЕНИТЕ НА РЕАЛЬНЫЕ ДАННЫЕ.
ДЕМО, ДО, Томат,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84" authorId="0">
      <text>
        <r>
          <rPr>
            <sz val="8"/>
            <color indexed="81"/>
            <rFont val="Tahoma"/>
            <family val="2"/>
          </rPr>
          <t>ЗАМЕНИТЕ НА РЕАЛЬНЫЕ ДАННЫЕ.
ДЕМО, ДО, Томат,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84" authorId="0">
      <text>
        <r>
          <rPr>
            <sz val="8"/>
            <color indexed="81"/>
            <rFont val="Tahoma"/>
            <family val="2"/>
          </rPr>
          <t>ЗАМЕНИТЕ НА РЕАЛЬНЫЕ ДАННЫЕ.
ДЕМО, ДО, Томат,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84" authorId="0">
      <text>
        <r>
          <rPr>
            <sz val="8"/>
            <color indexed="81"/>
            <rFont val="Tahoma"/>
            <family val="2"/>
          </rPr>
          <t>ЗАМЕНИТЕ НА РЕАЛЬНЫЕ ДАННЫЕ.
ДЕМО, ДО, Томат,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84" authorId="0">
      <text>
        <r>
          <rPr>
            <sz val="8"/>
            <color indexed="81"/>
            <rFont val="Tahoma"/>
            <family val="2"/>
          </rPr>
          <t>ЗАМЕНИТЕ НА РЕАЛЬНЫЕ ДАННЫЕ.
ДЕМО, ДО, Томат,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84" authorId="0">
      <text>
        <r>
          <rPr>
            <sz val="8"/>
            <color indexed="81"/>
            <rFont val="Tahoma"/>
            <family val="2"/>
          </rPr>
          <t>ЗАМЕНИТЕ НА РЕАЛЬНЫЕ ДАННЫЕ.
ДЕМО, ДО, Томат,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84" authorId="0">
      <text>
        <r>
          <rPr>
            <sz val="8"/>
            <color indexed="81"/>
            <rFont val="Tahoma"/>
            <family val="2"/>
          </rPr>
          <t>ЗАМЕНИТЕ НА РЕАЛЬНЫЕ ДАННЫЕ.
ДЕМО, ДО, Томат,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85" authorId="0">
      <text>
        <r>
          <rPr>
            <sz val="8"/>
            <color indexed="81"/>
            <rFont val="Tahoma"/>
            <family val="2"/>
          </rPr>
          <t>ЗАМЕНИТЕ НА РЕАЛЬНЫЕ ДАННЫЕ.
ДЕМО, ДО, Томат,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85" authorId="0">
      <text>
        <r>
          <rPr>
            <sz val="8"/>
            <color indexed="81"/>
            <rFont val="Tahoma"/>
            <family val="2"/>
          </rPr>
          <t>ЗАМЕНИТЕ НА РЕАЛЬНЫЕ ДАННЫЕ.
ДЕМО, ДО, Томат,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85" authorId="0">
      <text>
        <r>
          <rPr>
            <sz val="8"/>
            <color indexed="81"/>
            <rFont val="Tahoma"/>
            <family val="2"/>
          </rPr>
          <t>ЗАМЕНИТЕ НА РЕАЛЬНЫЕ ДАННЫЕ.
ДЕМО, ДО, Томат,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85" authorId="0">
      <text>
        <r>
          <rPr>
            <sz val="8"/>
            <color indexed="81"/>
            <rFont val="Tahoma"/>
            <family val="2"/>
          </rPr>
          <t>ЗАМЕНИТЕ НА РЕАЛЬНЫЕ ДАННЫЕ.
ДЕМО, ДО, Томат,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85" authorId="0">
      <text>
        <r>
          <rPr>
            <sz val="8"/>
            <color indexed="81"/>
            <rFont val="Tahoma"/>
            <family val="2"/>
          </rPr>
          <t>ЗАМЕНИТЕ НА РЕАЛЬНЫЕ ДАННЫЕ.
ДЕМО, ДО, Томат,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85" authorId="0">
      <text>
        <r>
          <rPr>
            <sz val="8"/>
            <color indexed="81"/>
            <rFont val="Tahoma"/>
            <family val="2"/>
          </rPr>
          <t>ЗАМЕНИТЕ НА РЕАЛЬНЫЕ ДАННЫЕ.
ДЕМО, ДО, Томат,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85" authorId="0">
      <text>
        <r>
          <rPr>
            <sz val="8"/>
            <color indexed="81"/>
            <rFont val="Tahoma"/>
            <family val="2"/>
          </rPr>
          <t>ЗАМЕНИТЕ НА РЕАЛЬНЫЕ ДАННЫЕ.
ДЕМО, ДО, Томат,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85" authorId="0">
      <text>
        <r>
          <rPr>
            <sz val="8"/>
            <color indexed="81"/>
            <rFont val="Tahoma"/>
            <family val="2"/>
          </rPr>
          <t>ЗАМЕНИТЕ НА РЕАЛЬНЫЕ ДАННЫЕ.
ДЕМО, ДО, Томат,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85" authorId="0">
      <text>
        <r>
          <rPr>
            <sz val="8"/>
            <color indexed="81"/>
            <rFont val="Tahoma"/>
            <family val="2"/>
          </rPr>
          <t>ЗАМЕНИТЕ НА РЕАЛЬНЫЕ ДАННЫЕ.
ДЕМО, ДО, Томат,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85" authorId="0">
      <text>
        <r>
          <rPr>
            <sz val="8"/>
            <color indexed="81"/>
            <rFont val="Tahoma"/>
            <family val="2"/>
          </rPr>
          <t>ЗАМЕНИТЕ НА РЕАЛЬНЫЕ ДАННЫЕ.
ДЕМО, ДО, Томат,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94" authorId="0">
      <text>
        <r>
          <rPr>
            <sz val="8"/>
            <color indexed="81"/>
            <rFont val="Tahoma"/>
            <family val="2"/>
          </rPr>
          <t>ЗАМЕНИТЕ НА РЕАЛЬНЫЕ ДАННЫЕ.
Белокочанная капуста, цикл 1. 0 исключает все элементы данного цикла, а не один выброс.</t>
        </r>
      </text>
    </comment>
    <comment ref="F94" authorId="0">
      <text>
        <r>
          <rPr>
            <sz val="8"/>
            <color indexed="81"/>
            <rFont val="Tahoma"/>
            <family val="2"/>
          </rPr>
          <t>ЗАМЕНИТЕ НА РЕАЛЬНЫЕ ДАННЫЕ.
Белокочанная капуста, цикл 2. 0 исключает все элементы данного цикла, а не один выброс.</t>
        </r>
      </text>
    </comment>
    <comment ref="G94" authorId="0">
      <text>
        <r>
          <rPr>
            <sz val="8"/>
            <color indexed="81"/>
            <rFont val="Tahoma"/>
            <family val="2"/>
          </rPr>
          <t>ЗАМЕНИТЕ НА РЕАЛЬНЫЕ ДАННЫЕ.
Белокочанная капуста, цикл 3. 0 исключает все элементы данного цикла, а не один выброс.</t>
        </r>
      </text>
    </comment>
    <comment ref="H94" authorId="0">
      <text>
        <r>
          <rPr>
            <sz val="8"/>
            <color indexed="81"/>
            <rFont val="Tahoma"/>
            <family val="2"/>
          </rPr>
          <t>ЗАМЕНИТЕ НА РЕАЛЬНЫЕ ДАННЫЕ.
Белокочанная капуста, цикл 4. 0 исключает все элементы данного цикла, а не один выброс.</t>
        </r>
      </text>
    </comment>
    <comment ref="I94" authorId="0">
      <text>
        <r>
          <rPr>
            <sz val="8"/>
            <color indexed="81"/>
            <rFont val="Tahoma"/>
            <family val="2"/>
          </rPr>
          <t>ЗАМЕНИТЕ НА РЕАЛЬНЫЕ ДАННЫЕ.
Белокочанная капуста, цикл 5. 0 исключает все элементы данного цикла, а не один выброс.</t>
        </r>
      </text>
    </comment>
    <comment ref="J94" authorId="0">
      <text>
        <r>
          <rPr>
            <sz val="8"/>
            <color indexed="81"/>
            <rFont val="Tahoma"/>
            <family val="2"/>
          </rPr>
          <t>ЗАМЕНИТЕ НА РЕАЛЬНЫЕ ДАННЫЕ.
Белокочанная капуста, цикл 6. 0 исключает все элементы данного цикла, а не один выброс.</t>
        </r>
      </text>
    </comment>
    <comment ref="K94" authorId="0">
      <text>
        <r>
          <rPr>
            <sz val="8"/>
            <color indexed="81"/>
            <rFont val="Tahoma"/>
            <family val="2"/>
          </rPr>
          <t>ЗАМЕНИТЕ НА РЕАЛЬНЫЕ ДАННЫЕ.
Белокочанная капуста, цикл 7. 0 исключает все элементы данного цикла, а не один выброс.</t>
        </r>
      </text>
    </comment>
    <comment ref="L94" authorId="0">
      <text>
        <r>
          <rPr>
            <sz val="8"/>
            <color indexed="81"/>
            <rFont val="Tahoma"/>
            <family val="2"/>
          </rPr>
          <t>ЗАМЕНИТЕ НА РЕАЛЬНЫЕ ДАННЫЕ.
Белокочанная капуста, цикл 8. 0 исключает все элементы данного цикла, а не один выброс.</t>
        </r>
      </text>
    </comment>
    <comment ref="M94" authorId="0">
      <text>
        <r>
          <rPr>
            <sz val="8"/>
            <color indexed="81"/>
            <rFont val="Tahoma"/>
            <family val="2"/>
          </rPr>
          <t>ЗАМЕНИТЕ НА РЕАЛЬНЫЕ ДАННЫЕ.
Белокочанная капуста, цикл 9. 0 исключает все элементы данного цикла, а не один выброс.</t>
        </r>
      </text>
    </comment>
    <comment ref="N94" authorId="0">
      <text>
        <r>
          <rPr>
            <sz val="8"/>
            <color indexed="81"/>
            <rFont val="Tahoma"/>
            <family val="2"/>
          </rPr>
          <t>ЗАМЕНИТЕ НА РЕАЛЬНЫЕ ДАННЫЕ.
Белокочанная капуста, цикл 10. 0 исключает все элементы данного цикла, а не один выброс.</t>
        </r>
      </text>
    </comment>
    <comment ref="E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96" authorId="0">
      <text>
        <r>
          <rPr>
            <sz val="8"/>
            <color indexed="81"/>
            <rFont val="Tahoma"/>
            <family val="2"/>
          </rPr>
          <t>ЗАМЕНИТЕ НА РЕАЛЬНЫЕ ДАННЫЕ.
ДЕМО, ДО, Белокочанная капуста,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96" authorId="0">
      <text>
        <r>
          <rPr>
            <sz val="8"/>
            <color indexed="81"/>
            <rFont val="Tahoma"/>
            <family val="2"/>
          </rPr>
          <t>ЗАМЕНИТЕ НА РЕАЛЬНЫЕ ДАННЫЕ.
ДЕМО, ДО, Белокочанная капуста,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96" authorId="0">
      <text>
        <r>
          <rPr>
            <sz val="8"/>
            <color indexed="81"/>
            <rFont val="Tahoma"/>
            <family val="2"/>
          </rPr>
          <t>ЗАМЕНИТЕ НА РЕАЛЬНЫЕ ДАННЫЕ.
ДЕМО, ДО, Белокочанная капуста,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96" authorId="0">
      <text>
        <r>
          <rPr>
            <sz val="8"/>
            <color indexed="81"/>
            <rFont val="Tahoma"/>
            <family val="2"/>
          </rPr>
          <t>ЗАМЕНИТЕ НА РЕАЛЬНЫЕ ДАННЫЕ.
ДЕМО, ДО, Белокочанная капуста,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96" authorId="0">
      <text>
        <r>
          <rPr>
            <sz val="8"/>
            <color indexed="81"/>
            <rFont val="Tahoma"/>
            <family val="2"/>
          </rPr>
          <t>ЗАМЕНИТЕ НА РЕАЛЬНЫЕ ДАННЫЕ.
ДЕМО, ДО, Белокочанная капуста,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96" authorId="0">
      <text>
        <r>
          <rPr>
            <sz val="8"/>
            <color indexed="81"/>
            <rFont val="Tahoma"/>
            <family val="2"/>
          </rPr>
          <t>ЗАМЕНИТЕ НА РЕАЛЬНЫЕ ДАННЫЕ.
ДЕМО, ДО, Белокочанная капуста,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96" authorId="0">
      <text>
        <r>
          <rPr>
            <sz val="8"/>
            <color indexed="81"/>
            <rFont val="Tahoma"/>
            <family val="2"/>
          </rPr>
          <t>ЗАМЕНИТЕ НА РЕАЛЬНЫЕ ДАННЫЕ.
ДЕМО, ДО, Белокочанная капуста,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96" authorId="0">
      <text>
        <r>
          <rPr>
            <sz val="8"/>
            <color indexed="81"/>
            <rFont val="Tahoma"/>
            <family val="2"/>
          </rPr>
          <t>ЗАМЕНИТЕ НА РЕАЛЬНЫЕ ДАННЫЕ.
ДЕМО, ДО, Белокочанная капуста,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96" authorId="0">
      <text>
        <r>
          <rPr>
            <sz val="8"/>
            <color indexed="81"/>
            <rFont val="Tahoma"/>
            <family val="2"/>
          </rPr>
          <t>ЗАМЕНИТЕ НА РЕАЛЬНЫЕ ДАННЫЕ.
ДЕМО, ДО, Белокочанная капуста,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96" authorId="0">
      <text>
        <r>
          <rPr>
            <sz val="8"/>
            <color indexed="81"/>
            <rFont val="Tahoma"/>
            <family val="2"/>
          </rPr>
          <t>ЗАМЕНИТЕ НА РЕАЛЬНЫЕ ДАННЫЕ.
ДЕМО, ДО, Белокочанная капуста,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97" authorId="0">
      <text>
        <r>
          <rPr>
            <sz val="8"/>
            <color indexed="81"/>
            <rFont val="Tahoma"/>
            <family val="2"/>
          </rPr>
          <t>ЗАМЕНИТЕ НА РЕАЛЬНЫЕ ДАННЫЕ.
ДЕМО, ДО, Белокочанная капуста,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97" authorId="0">
      <text>
        <r>
          <rPr>
            <sz val="8"/>
            <color indexed="81"/>
            <rFont val="Tahoma"/>
            <family val="2"/>
          </rPr>
          <t>ЗАМЕНИТЕ НА РЕАЛЬНЫЕ ДАННЫЕ.
ДЕМО, ДО, Белокочанная капуста,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97" authorId="0">
      <text>
        <r>
          <rPr>
            <sz val="8"/>
            <color indexed="81"/>
            <rFont val="Tahoma"/>
            <family val="2"/>
          </rPr>
          <t>ЗАМЕНИТЕ НА РЕАЛЬНЫЕ ДАННЫЕ.
ДЕМО, ДО, Белокочанная капуста,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97" authorId="0">
      <text>
        <r>
          <rPr>
            <sz val="8"/>
            <color indexed="81"/>
            <rFont val="Tahoma"/>
            <family val="2"/>
          </rPr>
          <t>ЗАМЕНИТЕ НА РЕАЛЬНЫЕ ДАННЫЕ.
ДЕМО, ДО, Белокочанная капуста,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97" authorId="0">
      <text>
        <r>
          <rPr>
            <sz val="8"/>
            <color indexed="81"/>
            <rFont val="Tahoma"/>
            <family val="2"/>
          </rPr>
          <t>ЗАМЕНИТЕ НА РЕАЛЬНЫЕ ДАННЫЕ.
ДЕМО, ДО, Белокочанная капуста,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97" authorId="0">
      <text>
        <r>
          <rPr>
            <sz val="8"/>
            <color indexed="81"/>
            <rFont val="Tahoma"/>
            <family val="2"/>
          </rPr>
          <t>ЗАМЕНИТЕ НА РЕАЛЬНЫЕ ДАННЫЕ.
ДЕМО, ДО, Белокочанная капуста,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97" authorId="0">
      <text>
        <r>
          <rPr>
            <sz val="8"/>
            <color indexed="81"/>
            <rFont val="Tahoma"/>
            <family val="2"/>
          </rPr>
          <t>ЗАМЕНИТЕ НА РЕАЛЬНЫЕ ДАННЫЕ.
ДЕМО, ДО, Белокочанная капуста,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97" authorId="0">
      <text>
        <r>
          <rPr>
            <sz val="8"/>
            <color indexed="81"/>
            <rFont val="Tahoma"/>
            <family val="2"/>
          </rPr>
          <t>ЗАМЕНИТЕ НА РЕАЛЬНЫЕ ДАННЫЕ.
ДЕМО, ДО, Белокочанная капуста,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97" authorId="0">
      <text>
        <r>
          <rPr>
            <sz val="8"/>
            <color indexed="81"/>
            <rFont val="Tahoma"/>
            <family val="2"/>
          </rPr>
          <t>ЗАМЕНИТЕ НА РЕАЛЬНЫЕ ДАННЫЕ.
ДЕМО, ДО, Белокочанная капуста,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97" authorId="0">
      <text>
        <r>
          <rPr>
            <sz val="8"/>
            <color indexed="81"/>
            <rFont val="Tahoma"/>
            <family val="2"/>
          </rPr>
          <t>ЗАМЕНИТЕ НА РЕАЛЬНЫЕ ДАННЫЕ.
ДЕМО, ДО, Белокочанная капуста,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98" authorId="0">
      <text>
        <r>
          <rPr>
            <sz val="8"/>
            <color indexed="81"/>
            <rFont val="Tahoma"/>
            <family val="2"/>
          </rPr>
          <t>ЗАМЕНИТЕ НА РЕАЛЬНЫЕ ДАННЫЕ.
ДЕМО, ДО, Белокочанная капуста,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98" authorId="0">
      <text>
        <r>
          <rPr>
            <sz val="8"/>
            <color indexed="81"/>
            <rFont val="Tahoma"/>
            <family val="2"/>
          </rPr>
          <t>ЗАМЕНИТЕ НА РЕАЛЬНЫЕ ДАННЫЕ.
ДЕМО, ДО, Белокочанная капуста,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98" authorId="0">
      <text>
        <r>
          <rPr>
            <sz val="8"/>
            <color indexed="81"/>
            <rFont val="Tahoma"/>
            <family val="2"/>
          </rPr>
          <t>ЗАМЕНИТЕ НА РЕАЛЬНЫЕ ДАННЫЕ.
ДЕМО, ДО, Белокочанная капуста,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98" authorId="0">
      <text>
        <r>
          <rPr>
            <sz val="8"/>
            <color indexed="81"/>
            <rFont val="Tahoma"/>
            <family val="2"/>
          </rPr>
          <t>ЗАМЕНИТЕ НА РЕАЛЬНЫЕ ДАННЫЕ.
ДЕМО, ДО, Белокочанная капуста,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98" authorId="0">
      <text>
        <r>
          <rPr>
            <sz val="8"/>
            <color indexed="81"/>
            <rFont val="Tahoma"/>
            <family val="2"/>
          </rPr>
          <t>ЗАМЕНИТЕ НА РЕАЛЬНЫЕ ДАННЫЕ.
ДЕМО, ДО, Белокочанная капуста,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98" authorId="0">
      <text>
        <r>
          <rPr>
            <sz val="8"/>
            <color indexed="81"/>
            <rFont val="Tahoma"/>
            <family val="2"/>
          </rPr>
          <t>ЗАМЕНИТЕ НА РЕАЛЬНЫЕ ДАННЫЕ.
ДЕМО, ДО, Белокочанная капуста,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98" authorId="0">
      <text>
        <r>
          <rPr>
            <sz val="8"/>
            <color indexed="81"/>
            <rFont val="Tahoma"/>
            <family val="2"/>
          </rPr>
          <t>ЗАМЕНИТЕ НА РЕАЛЬНЫЕ ДАННЫЕ.
ДЕМО, ДО, Белокочанная капуста,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98" authorId="0">
      <text>
        <r>
          <rPr>
            <sz val="8"/>
            <color indexed="81"/>
            <rFont val="Tahoma"/>
            <family val="2"/>
          </rPr>
          <t>ЗАМЕНИТЕ НА РЕАЛЬНЫЕ ДАННЫЕ.
ДЕМО, ДО, Белокочанная капуста,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98" authorId="0">
      <text>
        <r>
          <rPr>
            <sz val="8"/>
            <color indexed="81"/>
            <rFont val="Tahoma"/>
            <family val="2"/>
          </rPr>
          <t>ЗАМЕНИТЕ НА РЕАЛЬНЫЕ ДАННЫЕ.
ДЕМО, ДО, Белокочанная капуста,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98" authorId="0">
      <text>
        <r>
          <rPr>
            <sz val="8"/>
            <color indexed="81"/>
            <rFont val="Tahoma"/>
            <family val="2"/>
          </rPr>
          <t>ЗАМЕНИТЕ НА РЕАЛЬНЫЕ ДАННЫЕ.
ДЕМО, ДО, Белокочанная капуста,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99" authorId="0">
      <text>
        <r>
          <rPr>
            <sz val="8"/>
            <color indexed="81"/>
            <rFont val="Tahoma"/>
            <family val="2"/>
          </rPr>
          <t>ЗАМЕНИТЕ НА РЕАЛЬНЫЕ ДАННЫЕ.
ДЕМО, ДО, Белокочанная капуста,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99" authorId="0">
      <text>
        <r>
          <rPr>
            <sz val="8"/>
            <color indexed="81"/>
            <rFont val="Tahoma"/>
            <family val="2"/>
          </rPr>
          <t>ЗАМЕНИТЕ НА РЕАЛЬНЫЕ ДАННЫЕ.
ДЕМО, ДО, Белокочанная капуста,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99" authorId="0">
      <text>
        <r>
          <rPr>
            <sz val="8"/>
            <color indexed="81"/>
            <rFont val="Tahoma"/>
            <family val="2"/>
          </rPr>
          <t>ЗАМЕНИТЕ НА РЕАЛЬНЫЕ ДАННЫЕ.
ДЕМО, ДО, Белокочанная капуста,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99" authorId="0">
      <text>
        <r>
          <rPr>
            <sz val="8"/>
            <color indexed="81"/>
            <rFont val="Tahoma"/>
            <family val="2"/>
          </rPr>
          <t>ЗАМЕНИТЕ НА РЕАЛЬНЫЕ ДАННЫЕ.
ДЕМО, ДО, Белокочанная капуста,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99" authorId="0">
      <text>
        <r>
          <rPr>
            <sz val="8"/>
            <color indexed="81"/>
            <rFont val="Tahoma"/>
            <family val="2"/>
          </rPr>
          <t>ЗАМЕНИТЕ НА РЕАЛЬНЫЕ ДАННЫЕ.
ДЕМО, ДО, Белокочанная капуста,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99" authorId="0">
      <text>
        <r>
          <rPr>
            <sz val="8"/>
            <color indexed="81"/>
            <rFont val="Tahoma"/>
            <family val="2"/>
          </rPr>
          <t>ЗАМЕНИТЕ НА РЕАЛЬНЫЕ ДАННЫЕ.
ДЕМО, ДО, Белокочанная капуста,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99" authorId="0">
      <text>
        <r>
          <rPr>
            <sz val="8"/>
            <color indexed="81"/>
            <rFont val="Tahoma"/>
            <family val="2"/>
          </rPr>
          <t>ЗАМЕНИТЕ НА РЕАЛЬНЫЕ ДАННЫЕ.
ДЕМО, ДО, Белокочанная капуста,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99" authorId="0">
      <text>
        <r>
          <rPr>
            <sz val="8"/>
            <color indexed="81"/>
            <rFont val="Tahoma"/>
            <family val="2"/>
          </rPr>
          <t>ЗАМЕНИТЕ НА РЕАЛЬНЫЕ ДАННЫЕ.
ДЕМО, ДО, Белокочанная капуста,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99" authorId="0">
      <text>
        <r>
          <rPr>
            <sz val="8"/>
            <color indexed="81"/>
            <rFont val="Tahoma"/>
            <family val="2"/>
          </rPr>
          <t>ЗАМЕНИТЕ НА РЕАЛЬНЫЕ ДАННЫЕ.
ДЕМО, ДО, Белокочанная капуста,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99" authorId="0">
      <text>
        <r>
          <rPr>
            <sz val="8"/>
            <color indexed="81"/>
            <rFont val="Tahoma"/>
            <family val="2"/>
          </rPr>
          <t>ЗАМЕНИТЕ НА РЕАЛЬНЫЕ ДАННЫЕ.
ДЕМО, ДО, Белокочанная капуста,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00" authorId="0">
      <text>
        <r>
          <rPr>
            <sz val="8"/>
            <color indexed="81"/>
            <rFont val="Tahoma"/>
            <family val="2"/>
          </rPr>
          <t>ЗАМЕНИТЕ НА РЕАЛЬНЫЕ ДАННЫЕ.
ДЕМО, ДО, Белокочанная капуста,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00" authorId="0">
      <text>
        <r>
          <rPr>
            <sz val="8"/>
            <color indexed="81"/>
            <rFont val="Tahoma"/>
            <family val="2"/>
          </rPr>
          <t>ЗАМЕНИТЕ НА РЕАЛЬНЫЕ ДАННЫЕ.
ДЕМО, ДО, Белокочанная капуста,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00" authorId="0">
      <text>
        <r>
          <rPr>
            <sz val="8"/>
            <color indexed="81"/>
            <rFont val="Tahoma"/>
            <family val="2"/>
          </rPr>
          <t>ЗАМЕНИТЕ НА РЕАЛЬНЫЕ ДАННЫЕ.
ДЕМО, ДО, Белокочанная капуста,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00" authorId="0">
      <text>
        <r>
          <rPr>
            <sz val="8"/>
            <color indexed="81"/>
            <rFont val="Tahoma"/>
            <family val="2"/>
          </rPr>
          <t>ЗАМЕНИТЕ НА РЕАЛЬНЫЕ ДАННЫЕ.
ДЕМО, ДО, Белокочанная капуста,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00" authorId="0">
      <text>
        <r>
          <rPr>
            <sz val="8"/>
            <color indexed="81"/>
            <rFont val="Tahoma"/>
            <family val="2"/>
          </rPr>
          <t>ЗАМЕНИТЕ НА РЕАЛЬНЫЕ ДАННЫЕ.
ДЕМО, ДО, Белокочанная капуста,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00" authorId="0">
      <text>
        <r>
          <rPr>
            <sz val="8"/>
            <color indexed="81"/>
            <rFont val="Tahoma"/>
            <family val="2"/>
          </rPr>
          <t>ЗАМЕНИТЕ НА РЕАЛЬНЫЕ ДАННЫЕ.
ДЕМО, ДО, Белокочанная капуста,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00" authorId="0">
      <text>
        <r>
          <rPr>
            <sz val="8"/>
            <color indexed="81"/>
            <rFont val="Tahoma"/>
            <family val="2"/>
          </rPr>
          <t>ЗАМЕНИТЕ НА РЕАЛЬНЫЕ ДАННЫЕ.
ДЕМО, ДО, Белокочанная капуста,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00" authorId="0">
      <text>
        <r>
          <rPr>
            <sz val="8"/>
            <color indexed="81"/>
            <rFont val="Tahoma"/>
            <family val="2"/>
          </rPr>
          <t>ЗАМЕНИТЕ НА РЕАЛЬНЫЕ ДАННЫЕ.
ДЕМО, ДО, Белокочанная капуста,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00" authorId="0">
      <text>
        <r>
          <rPr>
            <sz val="8"/>
            <color indexed="81"/>
            <rFont val="Tahoma"/>
            <family val="2"/>
          </rPr>
          <t>ЗАМЕНИТЕ НА РЕАЛЬНЫЕ ДАННЫЕ.
ДЕМО, ДО, Белокочанная капуста,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00" authorId="0">
      <text>
        <r>
          <rPr>
            <sz val="8"/>
            <color indexed="81"/>
            <rFont val="Tahoma"/>
            <family val="2"/>
          </rPr>
          <t>ЗАМЕНИТЕ НА РЕАЛЬНЫЕ ДАННЫЕ.
ДЕМО, ДО, Белокочанная капуста,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02" authorId="0">
      <text>
        <r>
          <rPr>
            <sz val="8"/>
            <color indexed="81"/>
            <rFont val="Tahoma"/>
            <family val="2"/>
          </rPr>
          <t>ЗАМЕНИТЕ НА РЕАЛЬНЫЕ ДАННЫЕ.
ДЕМО, ДО, Белокочанная капуста,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02" authorId="0">
      <text>
        <r>
          <rPr>
            <sz val="8"/>
            <color indexed="81"/>
            <rFont val="Tahoma"/>
            <family val="2"/>
          </rPr>
          <t>ЗАМЕНИТЕ НА РЕАЛЬНЫЕ ДАННЫЕ.
ДЕМО, ДО, Белокочанная капуста,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02" authorId="0">
      <text>
        <r>
          <rPr>
            <sz val="8"/>
            <color indexed="81"/>
            <rFont val="Tahoma"/>
            <family val="2"/>
          </rPr>
          <t>ЗАМЕНИТЕ НА РЕАЛЬНЫЕ ДАННЫЕ.
ДЕМО, ДО, Белокочанная капуста,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02" authorId="0">
      <text>
        <r>
          <rPr>
            <sz val="8"/>
            <color indexed="81"/>
            <rFont val="Tahoma"/>
            <family val="2"/>
          </rPr>
          <t>ЗАМЕНИТЕ НА РЕАЛЬНЫЕ ДАННЫЕ.
ДЕМО, ДО, Белокочанная капуста,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02" authorId="0">
      <text>
        <r>
          <rPr>
            <sz val="8"/>
            <color indexed="81"/>
            <rFont val="Tahoma"/>
            <family val="2"/>
          </rPr>
          <t>ЗАМЕНИТЕ НА РЕАЛЬНЫЕ ДАННЫЕ.
ДЕМО, ДО, Белокочанная капуста,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02" authorId="0">
      <text>
        <r>
          <rPr>
            <sz val="8"/>
            <color indexed="81"/>
            <rFont val="Tahoma"/>
            <family val="2"/>
          </rPr>
          <t>ЗАМЕНИТЕ НА РЕАЛЬНЫЕ ДАННЫЕ.
ДЕМО, ДО, Белокочанная капуста,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02" authorId="0">
      <text>
        <r>
          <rPr>
            <sz val="8"/>
            <color indexed="81"/>
            <rFont val="Tahoma"/>
            <family val="2"/>
          </rPr>
          <t>ЗАМЕНИТЕ НА РЕАЛЬНЫЕ ДАННЫЕ.
ДЕМО, ДО, Белокочанная капуста,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02" authorId="0">
      <text>
        <r>
          <rPr>
            <sz val="8"/>
            <color indexed="81"/>
            <rFont val="Tahoma"/>
            <family val="2"/>
          </rPr>
          <t>ЗАМЕНИТЕ НА РЕАЛЬНЫЕ ДАННЫЕ.
ДЕМО, ДО, Белокочанная капуста,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02" authorId="0">
      <text>
        <r>
          <rPr>
            <sz val="8"/>
            <color indexed="81"/>
            <rFont val="Tahoma"/>
            <family val="2"/>
          </rPr>
          <t>ЗАМЕНИТЕ НА РЕАЛЬНЫЕ ДАННЫЕ.
ДЕМО, ДО, Белокочанная капуста,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02" authorId="0">
      <text>
        <r>
          <rPr>
            <sz val="8"/>
            <color indexed="81"/>
            <rFont val="Tahoma"/>
            <family val="2"/>
          </rPr>
          <t>ЗАМЕНИТЕ НА РЕАЛЬНЫЕ ДАННЫЕ.
ДЕМО, ДО, Белокочанная капуста,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03" authorId="0">
      <text>
        <r>
          <rPr>
            <sz val="8"/>
            <color indexed="81"/>
            <rFont val="Tahoma"/>
            <family val="2"/>
          </rPr>
          <t>ЗАМЕНИТЕ НА РЕАЛЬНЫЕ ДАННЫЕ.
ДЕМО, ДО, Белокочанная капуста,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03" authorId="0">
      <text>
        <r>
          <rPr>
            <sz val="8"/>
            <color indexed="81"/>
            <rFont val="Tahoma"/>
            <family val="2"/>
          </rPr>
          <t>ЗАМЕНИТЕ НА РЕАЛЬНЫЕ ДАННЫЕ.
ДЕМО, ДО, Белокочанная капуста,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03" authorId="0">
      <text>
        <r>
          <rPr>
            <sz val="8"/>
            <color indexed="81"/>
            <rFont val="Tahoma"/>
            <family val="2"/>
          </rPr>
          <t>ЗАМЕНИТЕ НА РЕАЛЬНЫЕ ДАННЫЕ.
ДЕМО, ДО, Белокочанная капуста,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03" authorId="0">
      <text>
        <r>
          <rPr>
            <sz val="8"/>
            <color indexed="81"/>
            <rFont val="Tahoma"/>
            <family val="2"/>
          </rPr>
          <t>ЗАМЕНИТЕ НА РЕАЛЬНЫЕ ДАННЫЕ.
ДЕМО, ДО, Белокочанная капуста,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03" authorId="0">
      <text>
        <r>
          <rPr>
            <sz val="8"/>
            <color indexed="81"/>
            <rFont val="Tahoma"/>
            <family val="2"/>
          </rPr>
          <t>ЗАМЕНИТЕ НА РЕАЛЬНЫЕ ДАННЫЕ.
ДЕМО, ДО, Белокочанная капуста,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03" authorId="0">
      <text>
        <r>
          <rPr>
            <sz val="8"/>
            <color indexed="81"/>
            <rFont val="Tahoma"/>
            <family val="2"/>
          </rPr>
          <t>ЗАМЕНИТЕ НА РЕАЛЬНЫЕ ДАННЫЕ.
ДЕМО, ДО, Белокочанная капуста,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03" authorId="0">
      <text>
        <r>
          <rPr>
            <sz val="8"/>
            <color indexed="81"/>
            <rFont val="Tahoma"/>
            <family val="2"/>
          </rPr>
          <t>ЗАМЕНИТЕ НА РЕАЛЬНЫЕ ДАННЫЕ.
ДЕМО, ДО, Белокочанная капуста,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03" authorId="0">
      <text>
        <r>
          <rPr>
            <sz val="8"/>
            <color indexed="81"/>
            <rFont val="Tahoma"/>
            <family val="2"/>
          </rPr>
          <t>ЗАМЕНИТЕ НА РЕАЛЬНЫЕ ДАННЫЕ.
ДЕМО, ДО, Белокочанная капуста,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03" authorId="0">
      <text>
        <r>
          <rPr>
            <sz val="8"/>
            <color indexed="81"/>
            <rFont val="Tahoma"/>
            <family val="2"/>
          </rPr>
          <t>ЗАМЕНИТЕ НА РЕАЛЬНЫЕ ДАННЫЕ.
ДЕМО, ДО, Белокочанная капуста,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03" authorId="0">
      <text>
        <r>
          <rPr>
            <sz val="8"/>
            <color indexed="81"/>
            <rFont val="Tahoma"/>
            <family val="2"/>
          </rPr>
          <t>ЗАМЕНИТЕ НА РЕАЛЬНЫЕ ДАННЫЕ.
ДЕМО, ДО, Белокочанная капуста,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04" authorId="0">
      <text>
        <r>
          <rPr>
            <sz val="8"/>
            <color indexed="81"/>
            <rFont val="Tahoma"/>
            <family val="2"/>
          </rPr>
          <t>ЗАМЕНИТЕ НА РЕАЛЬНЫЕ ДАННЫЕ.
ДЕМО, ДО, Белокочанная капуста,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04" authorId="0">
      <text>
        <r>
          <rPr>
            <sz val="8"/>
            <color indexed="81"/>
            <rFont val="Tahoma"/>
            <family val="2"/>
          </rPr>
          <t>ЗАМЕНИТЕ НА РЕАЛЬНЫЕ ДАННЫЕ.
ДЕМО, ДО, Белокочанная капуста,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04" authorId="0">
      <text>
        <r>
          <rPr>
            <sz val="8"/>
            <color indexed="81"/>
            <rFont val="Tahoma"/>
            <family val="2"/>
          </rPr>
          <t>ЗАМЕНИТЕ НА РЕАЛЬНЫЕ ДАННЫЕ.
ДЕМО, ДО, Белокочанная капуста,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04" authorId="0">
      <text>
        <r>
          <rPr>
            <sz val="8"/>
            <color indexed="81"/>
            <rFont val="Tahoma"/>
            <family val="2"/>
          </rPr>
          <t>ЗАМЕНИТЕ НА РЕАЛЬНЫЕ ДАННЫЕ.
ДЕМО, ДО, Белокочанная капуста,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04" authorId="0">
      <text>
        <r>
          <rPr>
            <sz val="8"/>
            <color indexed="81"/>
            <rFont val="Tahoma"/>
            <family val="2"/>
          </rPr>
          <t>ЗАМЕНИТЕ НА РЕАЛЬНЫЕ ДАННЫЕ.
ДЕМО, ДО, Белокочанная капуста,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04" authorId="0">
      <text>
        <r>
          <rPr>
            <sz val="8"/>
            <color indexed="81"/>
            <rFont val="Tahoma"/>
            <family val="2"/>
          </rPr>
          <t>ЗАМЕНИТЕ НА РЕАЛЬНЫЕ ДАННЫЕ.
ДЕМО, ДО, Белокочанная капуста,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04" authorId="0">
      <text>
        <r>
          <rPr>
            <sz val="8"/>
            <color indexed="81"/>
            <rFont val="Tahoma"/>
            <family val="2"/>
          </rPr>
          <t>ЗАМЕНИТЕ НА РЕАЛЬНЫЕ ДАННЫЕ.
ДЕМО, ДО, Белокочанная капуста,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04" authorId="0">
      <text>
        <r>
          <rPr>
            <sz val="8"/>
            <color indexed="81"/>
            <rFont val="Tahoma"/>
            <family val="2"/>
          </rPr>
          <t>ЗАМЕНИТЕ НА РЕАЛЬНЫЕ ДАННЫЕ.
ДЕМО, ДО, Белокочанная капуста,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04" authorId="0">
      <text>
        <r>
          <rPr>
            <sz val="8"/>
            <color indexed="81"/>
            <rFont val="Tahoma"/>
            <family val="2"/>
          </rPr>
          <t>ЗАМЕНИТЕ НА РЕАЛЬНЫЕ ДАННЫЕ.
ДЕМО, ДО, Белокочанная капуста,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04" authorId="0">
      <text>
        <r>
          <rPr>
            <sz val="8"/>
            <color indexed="81"/>
            <rFont val="Tahoma"/>
            <family val="2"/>
          </rPr>
          <t>ЗАМЕНИТЕ НА РЕАЛЬНЫЕ ДАННЫЕ.
ДЕМО, ДО, Белокочанная капуста,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05" authorId="0">
      <text>
        <r>
          <rPr>
            <sz val="8"/>
            <color indexed="81"/>
            <rFont val="Tahoma"/>
            <family val="2"/>
          </rPr>
          <t>ЗАМЕНИТЕ НА РЕАЛЬНЫЕ ДАННЫЕ.
ДЕМО, ДО, Белокочанная капуста,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05" authorId="0">
      <text>
        <r>
          <rPr>
            <sz val="8"/>
            <color indexed="81"/>
            <rFont val="Tahoma"/>
            <family val="2"/>
          </rPr>
          <t>ЗАМЕНИТЕ НА РЕАЛЬНЫЕ ДАННЫЕ.
ДЕМО, ДО, Белокочанная капуста,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05" authorId="0">
      <text>
        <r>
          <rPr>
            <sz val="8"/>
            <color indexed="81"/>
            <rFont val="Tahoma"/>
            <family val="2"/>
          </rPr>
          <t>ЗАМЕНИТЕ НА РЕАЛЬНЫЕ ДАННЫЕ.
ДЕМО, ДО, Белокочанная капуста,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05" authorId="0">
      <text>
        <r>
          <rPr>
            <sz val="8"/>
            <color indexed="81"/>
            <rFont val="Tahoma"/>
            <family val="2"/>
          </rPr>
          <t>ЗАМЕНИТЕ НА РЕАЛЬНЫЕ ДАННЫЕ.
ДЕМО, ДО, Белокочанная капуста,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05" authorId="0">
      <text>
        <r>
          <rPr>
            <sz val="8"/>
            <color indexed="81"/>
            <rFont val="Tahoma"/>
            <family val="2"/>
          </rPr>
          <t>ЗАМЕНИТЕ НА РЕАЛЬНЫЕ ДАННЫЕ.
ДЕМО, ДО, Белокочанная капуста,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05" authorId="0">
      <text>
        <r>
          <rPr>
            <sz val="8"/>
            <color indexed="81"/>
            <rFont val="Tahoma"/>
            <family val="2"/>
          </rPr>
          <t>ЗАМЕНИТЕ НА РЕАЛЬНЫЕ ДАННЫЕ.
ДЕМО, ДО, Белокочанная капуста,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05" authorId="0">
      <text>
        <r>
          <rPr>
            <sz val="8"/>
            <color indexed="81"/>
            <rFont val="Tahoma"/>
            <family val="2"/>
          </rPr>
          <t>ЗАМЕНИТЕ НА РЕАЛЬНЫЕ ДАННЫЕ.
ДЕМО, ДО, Белокочанная капуста,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05" authorId="0">
      <text>
        <r>
          <rPr>
            <sz val="8"/>
            <color indexed="81"/>
            <rFont val="Tahoma"/>
            <family val="2"/>
          </rPr>
          <t>ЗАМЕНИТЕ НА РЕАЛЬНЫЕ ДАННЫЕ.
ДЕМО, ДО, Белокочанная капуста,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05" authorId="0">
      <text>
        <r>
          <rPr>
            <sz val="8"/>
            <color indexed="81"/>
            <rFont val="Tahoma"/>
            <family val="2"/>
          </rPr>
          <t>ЗАМЕНИТЕ НА РЕАЛЬНЫЕ ДАННЫЕ.
ДЕМО, ДО, Белокочанная капуста,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05" authorId="0">
      <text>
        <r>
          <rPr>
            <sz val="8"/>
            <color indexed="81"/>
            <rFont val="Tahoma"/>
            <family val="2"/>
          </rPr>
          <t>ЗАМЕНИТЕ НА РЕАЛЬНЫЕ ДАННЫЕ.
ДЕМО, ДО, Белокочанная капуста,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06" authorId="0">
      <text>
        <r>
          <rPr>
            <sz val="8"/>
            <color indexed="81"/>
            <rFont val="Tahoma"/>
            <family val="2"/>
          </rPr>
          <t>ЗАМЕНИТЕ НА РЕАЛЬНЫЕ ДАННЫЕ.
ДЕМО, ДО, Белокочанная капуста,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06" authorId="0">
      <text>
        <r>
          <rPr>
            <sz val="8"/>
            <color indexed="81"/>
            <rFont val="Tahoma"/>
            <family val="2"/>
          </rPr>
          <t>ЗАМЕНИТЕ НА РЕАЛЬНЫЕ ДАННЫЕ.
ДЕМО, ДО, Белокочанная капуста,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06" authorId="0">
      <text>
        <r>
          <rPr>
            <sz val="8"/>
            <color indexed="81"/>
            <rFont val="Tahoma"/>
            <family val="2"/>
          </rPr>
          <t>ЗАМЕНИТЕ НА РЕАЛЬНЫЕ ДАННЫЕ.
ДЕМО, ДО, Белокочанная капуста,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06" authorId="0">
      <text>
        <r>
          <rPr>
            <sz val="8"/>
            <color indexed="81"/>
            <rFont val="Tahoma"/>
            <family val="2"/>
          </rPr>
          <t>ЗАМЕНИТЕ НА РЕАЛЬНЫЕ ДАННЫЕ.
ДЕМО, ДО, Белокочанная капуста,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06" authorId="0">
      <text>
        <r>
          <rPr>
            <sz val="8"/>
            <color indexed="81"/>
            <rFont val="Tahoma"/>
            <family val="2"/>
          </rPr>
          <t>ЗАМЕНИТЕ НА РЕАЛЬНЫЕ ДАННЫЕ.
ДЕМО, ДО, Белокочанная капуста,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06" authorId="0">
      <text>
        <r>
          <rPr>
            <sz val="8"/>
            <color indexed="81"/>
            <rFont val="Tahoma"/>
            <family val="2"/>
          </rPr>
          <t>ЗАМЕНИТЕ НА РЕАЛЬНЫЕ ДАННЫЕ.
ДЕМО, ДО, Белокочанная капуста,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06" authorId="0">
      <text>
        <r>
          <rPr>
            <sz val="8"/>
            <color indexed="81"/>
            <rFont val="Tahoma"/>
            <family val="2"/>
          </rPr>
          <t>ЗАМЕНИТЕ НА РЕАЛЬНЫЕ ДАННЫЕ.
ДЕМО, ДО, Белокочанная капуста,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06" authorId="0">
      <text>
        <r>
          <rPr>
            <sz val="8"/>
            <color indexed="81"/>
            <rFont val="Tahoma"/>
            <family val="2"/>
          </rPr>
          <t>ЗАМЕНИТЕ НА РЕАЛЬНЫЕ ДАННЫЕ.
ДЕМО, ДО, Белокочанная капуста,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06" authorId="0">
      <text>
        <r>
          <rPr>
            <sz val="8"/>
            <color indexed="81"/>
            <rFont val="Tahoma"/>
            <family val="2"/>
          </rPr>
          <t>ЗАМЕНИТЕ НА РЕАЛЬНЫЕ ДАННЫЕ.
ДЕМО, ДО, Белокочанная капуста,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06" authorId="0">
      <text>
        <r>
          <rPr>
            <sz val="8"/>
            <color indexed="81"/>
            <rFont val="Tahoma"/>
            <family val="2"/>
          </rPr>
          <t>ЗАМЕНИТЕ НА РЕАЛЬНЫЕ ДАННЫЕ.
ДЕМО, ДО, Белокочанная капуста,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15" authorId="0">
      <text>
        <r>
          <rPr>
            <sz val="8"/>
            <color indexed="81"/>
            <rFont val="Tahoma"/>
            <family val="2"/>
          </rPr>
          <t>ЗАМЕНИТЕ НА РЕАЛЬНЫЕ ДАННЫЕ.
Укроп, цикл 1. 0 исключает все элементы данного цикла, а не один выброс.</t>
        </r>
      </text>
    </comment>
    <comment ref="F115" authorId="0">
      <text>
        <r>
          <rPr>
            <sz val="8"/>
            <color indexed="81"/>
            <rFont val="Tahoma"/>
            <family val="2"/>
          </rPr>
          <t>ЗАМЕНИТЕ НА РЕАЛЬНЫЕ ДАННЫЕ.
Укроп, цикл 2. 0 исключает все элементы данного цикла, а не один выброс.</t>
        </r>
      </text>
    </comment>
    <comment ref="G115" authorId="0">
      <text>
        <r>
          <rPr>
            <sz val="8"/>
            <color indexed="81"/>
            <rFont val="Tahoma"/>
            <family val="2"/>
          </rPr>
          <t>ЗАМЕНИТЕ НА РЕАЛЬНЫЕ ДАННЫЕ.
Укроп, цикл 3. 0 исключает все элементы данного цикла, а не один выброс.</t>
        </r>
      </text>
    </comment>
    <comment ref="H115" authorId="0">
      <text>
        <r>
          <rPr>
            <sz val="8"/>
            <color indexed="81"/>
            <rFont val="Tahoma"/>
            <family val="2"/>
          </rPr>
          <t>ЗАМЕНИТЕ НА РЕАЛЬНЫЕ ДАННЫЕ.
Укроп, цикл 4. 0 исключает все элементы данного цикла, а не один выброс.</t>
        </r>
      </text>
    </comment>
    <comment ref="I115" authorId="0">
      <text>
        <r>
          <rPr>
            <sz val="8"/>
            <color indexed="81"/>
            <rFont val="Tahoma"/>
            <family val="2"/>
          </rPr>
          <t>ЗАМЕНИТЕ НА РЕАЛЬНЫЕ ДАННЫЕ.
Укроп, цикл 5. 0 исключает все элементы данного цикла, а не один выброс.</t>
        </r>
      </text>
    </comment>
    <comment ref="J115" authorId="0">
      <text>
        <r>
          <rPr>
            <sz val="8"/>
            <color indexed="81"/>
            <rFont val="Tahoma"/>
            <family val="2"/>
          </rPr>
          <t>ЗАМЕНИТЕ НА РЕАЛЬНЫЕ ДАННЫЕ.
Укроп, цикл 6. 0 исключает все элементы данного цикла, а не один выброс.</t>
        </r>
      </text>
    </comment>
    <comment ref="K115" authorId="0">
      <text>
        <r>
          <rPr>
            <sz val="8"/>
            <color indexed="81"/>
            <rFont val="Tahoma"/>
            <family val="2"/>
          </rPr>
          <t>ЗАМЕНИТЕ НА РЕАЛЬНЫЕ ДАННЫЕ.
Укроп, цикл 7. 0 исключает все элементы данного цикла, а не один выброс.</t>
        </r>
      </text>
    </comment>
    <comment ref="L115" authorId="0">
      <text>
        <r>
          <rPr>
            <sz val="8"/>
            <color indexed="81"/>
            <rFont val="Tahoma"/>
            <family val="2"/>
          </rPr>
          <t>ЗАМЕНИТЕ НА РЕАЛЬНЫЕ ДАННЫЕ.
Укроп, цикл 8. 0 исключает все элементы данного цикла, а не один выброс.</t>
        </r>
      </text>
    </comment>
    <comment ref="M115" authorId="0">
      <text>
        <r>
          <rPr>
            <sz val="8"/>
            <color indexed="81"/>
            <rFont val="Tahoma"/>
            <family val="2"/>
          </rPr>
          <t>ЗАМЕНИТЕ НА РЕАЛЬНЫЕ ДАННЫЕ.
Укроп, цикл 9. 0 исключает все элементы данного цикла, а не один выброс.</t>
        </r>
      </text>
    </comment>
    <comment ref="N115" authorId="0">
      <text>
        <r>
          <rPr>
            <sz val="8"/>
            <color indexed="81"/>
            <rFont val="Tahoma"/>
            <family val="2"/>
          </rPr>
          <t>ЗАМЕНИТЕ НА РЕАЛЬНЫЕ ДАННЫЕ.
Укроп, цикл 10. 0 исключает все элементы данного цикла, а не один выброс.</t>
        </r>
      </text>
    </comment>
    <comment ref="E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17" authorId="0">
      <text>
        <r>
          <rPr>
            <sz val="8"/>
            <color indexed="81"/>
            <rFont val="Tahoma"/>
            <family val="2"/>
          </rPr>
          <t>ЗАМЕНИТЕ НА РЕАЛЬНЫЕ ДАННЫЕ.
ДЕМО, ДО, Укроп,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17" authorId="0">
      <text>
        <r>
          <rPr>
            <sz val="8"/>
            <color indexed="81"/>
            <rFont val="Tahoma"/>
            <family val="2"/>
          </rPr>
          <t>ЗАМЕНИТЕ НА РЕАЛЬНЫЕ ДАННЫЕ.
ДЕМО, ДО, Укроп,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17" authorId="0">
      <text>
        <r>
          <rPr>
            <sz val="8"/>
            <color indexed="81"/>
            <rFont val="Tahoma"/>
            <family val="2"/>
          </rPr>
          <t>ЗАМЕНИТЕ НА РЕАЛЬНЫЕ ДАННЫЕ.
ДЕМО, ДО, Укроп,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17" authorId="0">
      <text>
        <r>
          <rPr>
            <sz val="8"/>
            <color indexed="81"/>
            <rFont val="Tahoma"/>
            <family val="2"/>
          </rPr>
          <t>ЗАМЕНИТЕ НА РЕАЛЬНЫЕ ДАННЫЕ.
ДЕМО, ДО, Укроп,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17" authorId="0">
      <text>
        <r>
          <rPr>
            <sz val="8"/>
            <color indexed="81"/>
            <rFont val="Tahoma"/>
            <family val="2"/>
          </rPr>
          <t>ЗАМЕНИТЕ НА РЕАЛЬНЫЕ ДАННЫЕ.
ДЕМО, ДО, Укроп,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17" authorId="0">
      <text>
        <r>
          <rPr>
            <sz val="8"/>
            <color indexed="81"/>
            <rFont val="Tahoma"/>
            <family val="2"/>
          </rPr>
          <t>ЗАМЕНИТЕ НА РЕАЛЬНЫЕ ДАННЫЕ.
ДЕМО, ДО, Укроп,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17" authorId="0">
      <text>
        <r>
          <rPr>
            <sz val="8"/>
            <color indexed="81"/>
            <rFont val="Tahoma"/>
            <family val="2"/>
          </rPr>
          <t>ЗАМЕНИТЕ НА РЕАЛЬНЫЕ ДАННЫЕ.
ДЕМО, ДО, Укроп,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17" authorId="0">
      <text>
        <r>
          <rPr>
            <sz val="8"/>
            <color indexed="81"/>
            <rFont val="Tahoma"/>
            <family val="2"/>
          </rPr>
          <t>ЗАМЕНИТЕ НА РЕАЛЬНЫЕ ДАННЫЕ.
ДЕМО, ДО, Укроп,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17" authorId="0">
      <text>
        <r>
          <rPr>
            <sz val="8"/>
            <color indexed="81"/>
            <rFont val="Tahoma"/>
            <family val="2"/>
          </rPr>
          <t>ЗАМЕНИТЕ НА РЕАЛЬНЫЕ ДАННЫЕ.
ДЕМО, ДО, Укроп,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17" authorId="0">
      <text>
        <r>
          <rPr>
            <sz val="8"/>
            <color indexed="81"/>
            <rFont val="Tahoma"/>
            <family val="2"/>
          </rPr>
          <t>ЗАМЕНИТЕ НА РЕАЛЬНЫЕ ДАННЫЕ.
ДЕМО, ДО, Укроп,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18" authorId="0">
      <text>
        <r>
          <rPr>
            <sz val="8"/>
            <color indexed="81"/>
            <rFont val="Tahoma"/>
            <family val="2"/>
          </rPr>
          <t>ЗАМЕНИТЕ НА РЕАЛЬНЫЕ ДАННЫЕ.
ДЕМО, ДО, Укроп,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18" authorId="0">
      <text>
        <r>
          <rPr>
            <sz val="8"/>
            <color indexed="81"/>
            <rFont val="Tahoma"/>
            <family val="2"/>
          </rPr>
          <t>ЗАМЕНИТЕ НА РЕАЛЬНЫЕ ДАННЫЕ.
ДЕМО, ДО, Укроп,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18" authorId="0">
      <text>
        <r>
          <rPr>
            <sz val="8"/>
            <color indexed="81"/>
            <rFont val="Tahoma"/>
            <family val="2"/>
          </rPr>
          <t>ЗАМЕНИТЕ НА РЕАЛЬНЫЕ ДАННЫЕ.
ДЕМО, ДО, Укроп,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18" authorId="0">
      <text>
        <r>
          <rPr>
            <sz val="8"/>
            <color indexed="81"/>
            <rFont val="Tahoma"/>
            <family val="2"/>
          </rPr>
          <t>ЗАМЕНИТЕ НА РЕАЛЬНЫЕ ДАННЫЕ.
ДЕМО, ДО, Укроп,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18" authorId="0">
      <text>
        <r>
          <rPr>
            <sz val="8"/>
            <color indexed="81"/>
            <rFont val="Tahoma"/>
            <family val="2"/>
          </rPr>
          <t>ЗАМЕНИТЕ НА РЕАЛЬНЫЕ ДАННЫЕ.
ДЕМО, ДО, Укроп,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18" authorId="0">
      <text>
        <r>
          <rPr>
            <sz val="8"/>
            <color indexed="81"/>
            <rFont val="Tahoma"/>
            <family val="2"/>
          </rPr>
          <t>ЗАМЕНИТЕ НА РЕАЛЬНЫЕ ДАННЫЕ.
ДЕМО, ДО, Укроп,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18" authorId="0">
      <text>
        <r>
          <rPr>
            <sz val="8"/>
            <color indexed="81"/>
            <rFont val="Tahoma"/>
            <family val="2"/>
          </rPr>
          <t>ЗАМЕНИТЕ НА РЕАЛЬНЫЕ ДАННЫЕ.
ДЕМО, ДО, Укроп,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18" authorId="0">
      <text>
        <r>
          <rPr>
            <sz val="8"/>
            <color indexed="81"/>
            <rFont val="Tahoma"/>
            <family val="2"/>
          </rPr>
          <t>ЗАМЕНИТЕ НА РЕАЛЬНЫЕ ДАННЫЕ.
ДЕМО, ДО, Укроп,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18" authorId="0">
      <text>
        <r>
          <rPr>
            <sz val="8"/>
            <color indexed="81"/>
            <rFont val="Tahoma"/>
            <family val="2"/>
          </rPr>
          <t>ЗАМЕНИТЕ НА РЕАЛЬНЫЕ ДАННЫЕ.
ДЕМО, ДО, Укроп,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18" authorId="0">
      <text>
        <r>
          <rPr>
            <sz val="8"/>
            <color indexed="81"/>
            <rFont val="Tahoma"/>
            <family val="2"/>
          </rPr>
          <t>ЗАМЕНИТЕ НА РЕАЛЬНЫЕ ДАННЫЕ.
ДЕМО, ДО, Укроп,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19" authorId="0">
      <text>
        <r>
          <rPr>
            <sz val="8"/>
            <color indexed="81"/>
            <rFont val="Tahoma"/>
            <family val="2"/>
          </rPr>
          <t>ЗАМЕНИТЕ НА РЕАЛЬНЫЕ ДАННЫЕ.
ДЕМО, ДО, Укроп,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19" authorId="0">
      <text>
        <r>
          <rPr>
            <sz val="8"/>
            <color indexed="81"/>
            <rFont val="Tahoma"/>
            <family val="2"/>
          </rPr>
          <t>ЗАМЕНИТЕ НА РЕАЛЬНЫЕ ДАННЫЕ.
ДЕМО, ДО, Укроп,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19" authorId="0">
      <text>
        <r>
          <rPr>
            <sz val="8"/>
            <color indexed="81"/>
            <rFont val="Tahoma"/>
            <family val="2"/>
          </rPr>
          <t>ЗАМЕНИТЕ НА РЕАЛЬНЫЕ ДАННЫЕ.
ДЕМО, ДО, Укроп,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19" authorId="0">
      <text>
        <r>
          <rPr>
            <sz val="8"/>
            <color indexed="81"/>
            <rFont val="Tahoma"/>
            <family val="2"/>
          </rPr>
          <t>ЗАМЕНИТЕ НА РЕАЛЬНЫЕ ДАННЫЕ.
ДЕМО, ДО, Укроп,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19" authorId="0">
      <text>
        <r>
          <rPr>
            <sz val="8"/>
            <color indexed="81"/>
            <rFont val="Tahoma"/>
            <family val="2"/>
          </rPr>
          <t>ЗАМЕНИТЕ НА РЕАЛЬНЫЕ ДАННЫЕ.
ДЕМО, ДО, Укроп,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19" authorId="0">
      <text>
        <r>
          <rPr>
            <sz val="8"/>
            <color indexed="81"/>
            <rFont val="Tahoma"/>
            <family val="2"/>
          </rPr>
          <t>ЗАМЕНИТЕ НА РЕАЛЬНЫЕ ДАННЫЕ.
ДЕМО, ДО, Укроп,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19" authorId="0">
      <text>
        <r>
          <rPr>
            <sz val="8"/>
            <color indexed="81"/>
            <rFont val="Tahoma"/>
            <family val="2"/>
          </rPr>
          <t>ЗАМЕНИТЕ НА РЕАЛЬНЫЕ ДАННЫЕ.
ДЕМО, ДО, Укроп,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19" authorId="0">
      <text>
        <r>
          <rPr>
            <sz val="8"/>
            <color indexed="81"/>
            <rFont val="Tahoma"/>
            <family val="2"/>
          </rPr>
          <t>ЗАМЕНИТЕ НА РЕАЛЬНЫЕ ДАННЫЕ.
ДЕМО, ДО, Укроп,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19" authorId="0">
      <text>
        <r>
          <rPr>
            <sz val="8"/>
            <color indexed="81"/>
            <rFont val="Tahoma"/>
            <family val="2"/>
          </rPr>
          <t>ЗАМЕНИТЕ НА РЕАЛЬНЫЕ ДАННЫЕ.
ДЕМО, ДО, Укроп,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19" authorId="0">
      <text>
        <r>
          <rPr>
            <sz val="8"/>
            <color indexed="81"/>
            <rFont val="Tahoma"/>
            <family val="2"/>
          </rPr>
          <t>ЗАМЕНИТЕ НА РЕАЛЬНЫЕ ДАННЫЕ.
ДЕМО, ДО, Укроп,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20" authorId="0">
      <text>
        <r>
          <rPr>
            <sz val="8"/>
            <color indexed="81"/>
            <rFont val="Tahoma"/>
            <family val="2"/>
          </rPr>
          <t>ЗАМЕНИТЕ НА РЕАЛЬНЫЕ ДАННЫЕ.
ДЕМО, ДО, Укроп,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20" authorId="0">
      <text>
        <r>
          <rPr>
            <sz val="8"/>
            <color indexed="81"/>
            <rFont val="Tahoma"/>
            <family val="2"/>
          </rPr>
          <t>ЗАМЕНИТЕ НА РЕАЛЬНЫЕ ДАННЫЕ.
ДЕМО, ДО, Укроп,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20" authorId="0">
      <text>
        <r>
          <rPr>
            <sz val="8"/>
            <color indexed="81"/>
            <rFont val="Tahoma"/>
            <family val="2"/>
          </rPr>
          <t>ЗАМЕНИТЕ НА РЕАЛЬНЫЕ ДАННЫЕ.
ДЕМО, ДО, Укроп,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20" authorId="0">
      <text>
        <r>
          <rPr>
            <sz val="8"/>
            <color indexed="81"/>
            <rFont val="Tahoma"/>
            <family val="2"/>
          </rPr>
          <t>ЗАМЕНИТЕ НА РЕАЛЬНЫЕ ДАННЫЕ.
ДЕМО, ДО, Укроп,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20" authorId="0">
      <text>
        <r>
          <rPr>
            <sz val="8"/>
            <color indexed="81"/>
            <rFont val="Tahoma"/>
            <family val="2"/>
          </rPr>
          <t>ЗАМЕНИТЕ НА РЕАЛЬНЫЕ ДАННЫЕ.
ДЕМО, ДО, Укроп,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20" authorId="0">
      <text>
        <r>
          <rPr>
            <sz val="8"/>
            <color indexed="81"/>
            <rFont val="Tahoma"/>
            <family val="2"/>
          </rPr>
          <t>ЗАМЕНИТЕ НА РЕАЛЬНЫЕ ДАННЫЕ.
ДЕМО, ДО, Укроп,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20" authorId="0">
      <text>
        <r>
          <rPr>
            <sz val="8"/>
            <color indexed="81"/>
            <rFont val="Tahoma"/>
            <family val="2"/>
          </rPr>
          <t>ЗАМЕНИТЕ НА РЕАЛЬНЫЕ ДАННЫЕ.
ДЕМО, ДО, Укроп,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20" authorId="0">
      <text>
        <r>
          <rPr>
            <sz val="8"/>
            <color indexed="81"/>
            <rFont val="Tahoma"/>
            <family val="2"/>
          </rPr>
          <t>ЗАМЕНИТЕ НА РЕАЛЬНЫЕ ДАННЫЕ.
ДЕМО, ДО, Укроп,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20" authorId="0">
      <text>
        <r>
          <rPr>
            <sz val="8"/>
            <color indexed="81"/>
            <rFont val="Tahoma"/>
            <family val="2"/>
          </rPr>
          <t>ЗАМЕНИТЕ НА РЕАЛЬНЫЕ ДАННЫЕ.
ДЕМО, ДО, Укроп,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20" authorId="0">
      <text>
        <r>
          <rPr>
            <sz val="8"/>
            <color indexed="81"/>
            <rFont val="Tahoma"/>
            <family val="2"/>
          </rPr>
          <t>ЗАМЕНИТЕ НА РЕАЛЬНЫЕ ДАННЫЕ.
ДЕМО, ДО, Укроп,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21" authorId="0">
      <text>
        <r>
          <rPr>
            <sz val="8"/>
            <color indexed="81"/>
            <rFont val="Tahoma"/>
            <family val="2"/>
          </rPr>
          <t>ЗАМЕНИТЕ НА РЕАЛЬНЫЕ ДАННЫЕ.
ДЕМО, ДО, Укроп,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21" authorId="0">
      <text>
        <r>
          <rPr>
            <sz val="8"/>
            <color indexed="81"/>
            <rFont val="Tahoma"/>
            <family val="2"/>
          </rPr>
          <t>ЗАМЕНИТЕ НА РЕАЛЬНЫЕ ДАННЫЕ.
ДЕМО, ДО, Укроп,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21" authorId="0">
      <text>
        <r>
          <rPr>
            <sz val="8"/>
            <color indexed="81"/>
            <rFont val="Tahoma"/>
            <family val="2"/>
          </rPr>
          <t>ЗАМЕНИТЕ НА РЕАЛЬНЫЕ ДАННЫЕ.
ДЕМО, ДО, Укроп,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21" authorId="0">
      <text>
        <r>
          <rPr>
            <sz val="8"/>
            <color indexed="81"/>
            <rFont val="Tahoma"/>
            <family val="2"/>
          </rPr>
          <t>ЗАМЕНИТЕ НА РЕАЛЬНЫЕ ДАННЫЕ.
ДЕМО, ДО, Укроп,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21" authorId="0">
      <text>
        <r>
          <rPr>
            <sz val="8"/>
            <color indexed="81"/>
            <rFont val="Tahoma"/>
            <family val="2"/>
          </rPr>
          <t>ЗАМЕНИТЕ НА РЕАЛЬНЫЕ ДАННЫЕ.
ДЕМО, ДО, Укроп,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21" authorId="0">
      <text>
        <r>
          <rPr>
            <sz val="8"/>
            <color indexed="81"/>
            <rFont val="Tahoma"/>
            <family val="2"/>
          </rPr>
          <t>ЗАМЕНИТЕ НА РЕАЛЬНЫЕ ДАННЫЕ.
ДЕМО, ДО, Укроп,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21" authorId="0">
      <text>
        <r>
          <rPr>
            <sz val="8"/>
            <color indexed="81"/>
            <rFont val="Tahoma"/>
            <family val="2"/>
          </rPr>
          <t>ЗАМЕНИТЕ НА РЕАЛЬНЫЕ ДАННЫЕ.
ДЕМО, ДО, Укроп,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21" authorId="0">
      <text>
        <r>
          <rPr>
            <sz val="8"/>
            <color indexed="81"/>
            <rFont val="Tahoma"/>
            <family val="2"/>
          </rPr>
          <t>ЗАМЕНИТЕ НА РЕАЛЬНЫЕ ДАННЫЕ.
ДЕМО, ДО, Укроп,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21" authorId="0">
      <text>
        <r>
          <rPr>
            <sz val="8"/>
            <color indexed="81"/>
            <rFont val="Tahoma"/>
            <family val="2"/>
          </rPr>
          <t>ЗАМЕНИТЕ НА РЕАЛЬНЫЕ ДАННЫЕ.
ДЕМО, ДО, Укроп,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21" authorId="0">
      <text>
        <r>
          <rPr>
            <sz val="8"/>
            <color indexed="81"/>
            <rFont val="Tahoma"/>
            <family val="2"/>
          </rPr>
          <t>ЗАМЕНИТЕ НА РЕАЛЬНЫЕ ДАННЫЕ.
ДЕМО, ДО, Укроп,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23" authorId="0">
      <text>
        <r>
          <rPr>
            <sz val="8"/>
            <color indexed="81"/>
            <rFont val="Tahoma"/>
            <family val="2"/>
          </rPr>
          <t>ЗАМЕНИТЕ НА РЕАЛЬНЫЕ ДАННЫЕ.
ДЕМО, ДО, Укроп,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23" authorId="0">
      <text>
        <r>
          <rPr>
            <sz val="8"/>
            <color indexed="81"/>
            <rFont val="Tahoma"/>
            <family val="2"/>
          </rPr>
          <t>ЗАМЕНИТЕ НА РЕАЛЬНЫЕ ДАННЫЕ.
ДЕМО, ДО, Укроп,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23" authorId="0">
      <text>
        <r>
          <rPr>
            <sz val="8"/>
            <color indexed="81"/>
            <rFont val="Tahoma"/>
            <family val="2"/>
          </rPr>
          <t>ЗАМЕНИТЕ НА РЕАЛЬНЫЕ ДАННЫЕ.
ДЕМО, ДО, Укроп,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23" authorId="0">
      <text>
        <r>
          <rPr>
            <sz val="8"/>
            <color indexed="81"/>
            <rFont val="Tahoma"/>
            <family val="2"/>
          </rPr>
          <t>ЗАМЕНИТЕ НА РЕАЛЬНЫЕ ДАННЫЕ.
ДЕМО, ДО, Укроп,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23" authorId="0">
      <text>
        <r>
          <rPr>
            <sz val="8"/>
            <color indexed="81"/>
            <rFont val="Tahoma"/>
            <family val="2"/>
          </rPr>
          <t>ЗАМЕНИТЕ НА РЕАЛЬНЫЕ ДАННЫЕ.
ДЕМО, ДО, Укроп,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23" authorId="0">
      <text>
        <r>
          <rPr>
            <sz val="8"/>
            <color indexed="81"/>
            <rFont val="Tahoma"/>
            <family val="2"/>
          </rPr>
          <t>ЗАМЕНИТЕ НА РЕАЛЬНЫЕ ДАННЫЕ.
ДЕМО, ДО, Укроп,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23" authorId="0">
      <text>
        <r>
          <rPr>
            <sz val="8"/>
            <color indexed="81"/>
            <rFont val="Tahoma"/>
            <family val="2"/>
          </rPr>
          <t>ЗАМЕНИТЕ НА РЕАЛЬНЫЕ ДАННЫЕ.
ДЕМО, ДО, Укроп,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23" authorId="0">
      <text>
        <r>
          <rPr>
            <sz val="8"/>
            <color indexed="81"/>
            <rFont val="Tahoma"/>
            <family val="2"/>
          </rPr>
          <t>ЗАМЕНИТЕ НА РЕАЛЬНЫЕ ДАННЫЕ.
ДЕМО, ДО, Укроп,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23" authorId="0">
      <text>
        <r>
          <rPr>
            <sz val="8"/>
            <color indexed="81"/>
            <rFont val="Tahoma"/>
            <family val="2"/>
          </rPr>
          <t>ЗАМЕНИТЕ НА РЕАЛЬНЫЕ ДАННЫЕ.
ДЕМО, ДО, Укроп,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23" authorId="0">
      <text>
        <r>
          <rPr>
            <sz val="8"/>
            <color indexed="81"/>
            <rFont val="Tahoma"/>
            <family val="2"/>
          </rPr>
          <t>ЗАМЕНИТЕ НА РЕАЛЬНЫЕ ДАННЫЕ.
ДЕМО, ДО, Укроп,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24" authorId="0">
      <text>
        <r>
          <rPr>
            <sz val="8"/>
            <color indexed="81"/>
            <rFont val="Tahoma"/>
            <family val="2"/>
          </rPr>
          <t>ЗАМЕНИТЕ НА РЕАЛЬНЫЕ ДАННЫЕ.
ДЕМО, ДО, Укроп,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24" authorId="0">
      <text>
        <r>
          <rPr>
            <sz val="8"/>
            <color indexed="81"/>
            <rFont val="Tahoma"/>
            <family val="2"/>
          </rPr>
          <t>ЗАМЕНИТЕ НА РЕАЛЬНЫЕ ДАННЫЕ.
ДЕМО, ДО, Укроп,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24" authorId="0">
      <text>
        <r>
          <rPr>
            <sz val="8"/>
            <color indexed="81"/>
            <rFont val="Tahoma"/>
            <family val="2"/>
          </rPr>
          <t>ЗАМЕНИТЕ НА РЕАЛЬНЫЕ ДАННЫЕ.
ДЕМО, ДО, Укроп,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24" authorId="0">
      <text>
        <r>
          <rPr>
            <sz val="8"/>
            <color indexed="81"/>
            <rFont val="Tahoma"/>
            <family val="2"/>
          </rPr>
          <t>ЗАМЕНИТЕ НА РЕАЛЬНЫЕ ДАННЫЕ.
ДЕМО, ДО, Укроп,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24" authorId="0">
      <text>
        <r>
          <rPr>
            <sz val="8"/>
            <color indexed="81"/>
            <rFont val="Tahoma"/>
            <family val="2"/>
          </rPr>
          <t>ЗАМЕНИТЕ НА РЕАЛЬНЫЕ ДАННЫЕ.
ДЕМО, ДО, Укроп,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24" authorId="0">
      <text>
        <r>
          <rPr>
            <sz val="8"/>
            <color indexed="81"/>
            <rFont val="Tahoma"/>
            <family val="2"/>
          </rPr>
          <t>ЗАМЕНИТЕ НА РЕАЛЬНЫЕ ДАННЫЕ.
ДЕМО, ДО, Укроп,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24" authorId="0">
      <text>
        <r>
          <rPr>
            <sz val="8"/>
            <color indexed="81"/>
            <rFont val="Tahoma"/>
            <family val="2"/>
          </rPr>
          <t>ЗАМЕНИТЕ НА РЕАЛЬНЫЕ ДАННЫЕ.
ДЕМО, ДО, Укроп,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24" authorId="0">
      <text>
        <r>
          <rPr>
            <sz val="8"/>
            <color indexed="81"/>
            <rFont val="Tahoma"/>
            <family val="2"/>
          </rPr>
          <t>ЗАМЕНИТЕ НА РЕАЛЬНЫЕ ДАННЫЕ.
ДЕМО, ДО, Укроп,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24" authorId="0">
      <text>
        <r>
          <rPr>
            <sz val="8"/>
            <color indexed="81"/>
            <rFont val="Tahoma"/>
            <family val="2"/>
          </rPr>
          <t>ЗАМЕНИТЕ НА РЕАЛЬНЫЕ ДАННЫЕ.
ДЕМО, ДО, Укроп,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24" authorId="0">
      <text>
        <r>
          <rPr>
            <sz val="8"/>
            <color indexed="81"/>
            <rFont val="Tahoma"/>
            <family val="2"/>
          </rPr>
          <t>ЗАМЕНИТЕ НА РЕАЛЬНЫЕ ДАННЫЕ.
ДЕМО, ДО, Укроп,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25" authorId="0">
      <text>
        <r>
          <rPr>
            <sz val="8"/>
            <color indexed="81"/>
            <rFont val="Tahoma"/>
            <family val="2"/>
          </rPr>
          <t>ЗАМЕНИТЕ НА РЕАЛЬНЫЕ ДАННЫЕ.
ДЕМО, ДО, Укроп,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25" authorId="0">
      <text>
        <r>
          <rPr>
            <sz val="8"/>
            <color indexed="81"/>
            <rFont val="Tahoma"/>
            <family val="2"/>
          </rPr>
          <t>ЗАМЕНИТЕ НА РЕАЛЬНЫЕ ДАННЫЕ.
ДЕМО, ДО, Укроп,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25" authorId="0">
      <text>
        <r>
          <rPr>
            <sz val="8"/>
            <color indexed="81"/>
            <rFont val="Tahoma"/>
            <family val="2"/>
          </rPr>
          <t>ЗАМЕНИТЕ НА РЕАЛЬНЫЕ ДАННЫЕ.
ДЕМО, ДО, Укроп,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25" authorId="0">
      <text>
        <r>
          <rPr>
            <sz val="8"/>
            <color indexed="81"/>
            <rFont val="Tahoma"/>
            <family val="2"/>
          </rPr>
          <t>ЗАМЕНИТЕ НА РЕАЛЬНЫЕ ДАННЫЕ.
ДЕМО, ДО, Укроп,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25" authorId="0">
      <text>
        <r>
          <rPr>
            <sz val="8"/>
            <color indexed="81"/>
            <rFont val="Tahoma"/>
            <family val="2"/>
          </rPr>
          <t>ЗАМЕНИТЕ НА РЕАЛЬНЫЕ ДАННЫЕ.
ДЕМО, ДО, Укроп,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25" authorId="0">
      <text>
        <r>
          <rPr>
            <sz val="8"/>
            <color indexed="81"/>
            <rFont val="Tahoma"/>
            <family val="2"/>
          </rPr>
          <t>ЗАМЕНИТЕ НА РЕАЛЬНЫЕ ДАННЫЕ.
ДЕМО, ДО, Укроп,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25" authorId="0">
      <text>
        <r>
          <rPr>
            <sz val="8"/>
            <color indexed="81"/>
            <rFont val="Tahoma"/>
            <family val="2"/>
          </rPr>
          <t>ЗАМЕНИТЕ НА РЕАЛЬНЫЕ ДАННЫЕ.
ДЕМО, ДО, Укроп,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25" authorId="0">
      <text>
        <r>
          <rPr>
            <sz val="8"/>
            <color indexed="81"/>
            <rFont val="Tahoma"/>
            <family val="2"/>
          </rPr>
          <t>ЗАМЕНИТЕ НА РЕАЛЬНЫЕ ДАННЫЕ.
ДЕМО, ДО, Укроп,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25" authorId="0">
      <text>
        <r>
          <rPr>
            <sz val="8"/>
            <color indexed="81"/>
            <rFont val="Tahoma"/>
            <family val="2"/>
          </rPr>
          <t>ЗАМЕНИТЕ НА РЕАЛЬНЫЕ ДАННЫЕ.
ДЕМО, ДО, Укроп,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25" authorId="0">
      <text>
        <r>
          <rPr>
            <sz val="8"/>
            <color indexed="81"/>
            <rFont val="Tahoma"/>
            <family val="2"/>
          </rPr>
          <t>ЗАМЕНИТЕ НА РЕАЛЬНЫЕ ДАННЫЕ.
ДЕМО, ДО, Укроп,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26" authorId="0">
      <text>
        <r>
          <rPr>
            <sz val="8"/>
            <color indexed="81"/>
            <rFont val="Tahoma"/>
            <family val="2"/>
          </rPr>
          <t>ЗАМЕНИТЕ НА РЕАЛЬНЫЕ ДАННЫЕ.
ДЕМО, ДО, Укроп,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26" authorId="0">
      <text>
        <r>
          <rPr>
            <sz val="8"/>
            <color indexed="81"/>
            <rFont val="Tahoma"/>
            <family val="2"/>
          </rPr>
          <t>ЗАМЕНИТЕ НА РЕАЛЬНЫЕ ДАННЫЕ.
ДЕМО, ДО, Укроп,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26" authorId="0">
      <text>
        <r>
          <rPr>
            <sz val="8"/>
            <color indexed="81"/>
            <rFont val="Tahoma"/>
            <family val="2"/>
          </rPr>
          <t>ЗАМЕНИТЕ НА РЕАЛЬНЫЕ ДАННЫЕ.
ДЕМО, ДО, Укроп,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26" authorId="0">
      <text>
        <r>
          <rPr>
            <sz val="8"/>
            <color indexed="81"/>
            <rFont val="Tahoma"/>
            <family val="2"/>
          </rPr>
          <t>ЗАМЕНИТЕ НА РЕАЛЬНЫЕ ДАННЫЕ.
ДЕМО, ДО, Укроп,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26" authorId="0">
      <text>
        <r>
          <rPr>
            <sz val="8"/>
            <color indexed="81"/>
            <rFont val="Tahoma"/>
            <family val="2"/>
          </rPr>
          <t>ЗАМЕНИТЕ НА РЕАЛЬНЫЕ ДАННЫЕ.
ДЕМО, ДО, Укроп,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26" authorId="0">
      <text>
        <r>
          <rPr>
            <sz val="8"/>
            <color indexed="81"/>
            <rFont val="Tahoma"/>
            <family val="2"/>
          </rPr>
          <t>ЗАМЕНИТЕ НА РЕАЛЬНЫЕ ДАННЫЕ.
ДЕМО, ДО, Укроп,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26" authorId="0">
      <text>
        <r>
          <rPr>
            <sz val="8"/>
            <color indexed="81"/>
            <rFont val="Tahoma"/>
            <family val="2"/>
          </rPr>
          <t>ЗАМЕНИТЕ НА РЕАЛЬНЫЕ ДАННЫЕ.
ДЕМО, ДО, Укроп,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26" authorId="0">
      <text>
        <r>
          <rPr>
            <sz val="8"/>
            <color indexed="81"/>
            <rFont val="Tahoma"/>
            <family val="2"/>
          </rPr>
          <t>ЗАМЕНИТЕ НА РЕАЛЬНЫЕ ДАННЫЕ.
ДЕМО, ДО, Укроп,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26" authorId="0">
      <text>
        <r>
          <rPr>
            <sz val="8"/>
            <color indexed="81"/>
            <rFont val="Tahoma"/>
            <family val="2"/>
          </rPr>
          <t>ЗАМЕНИТЕ НА РЕАЛЬНЫЕ ДАННЫЕ.
ДЕМО, ДО, Укроп,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26" authorId="0">
      <text>
        <r>
          <rPr>
            <sz val="8"/>
            <color indexed="81"/>
            <rFont val="Tahoma"/>
            <family val="2"/>
          </rPr>
          <t>ЗАМЕНИТЕ НА РЕАЛЬНЫЕ ДАННЫЕ.
ДЕМО, ДО, Укроп,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27" authorId="0">
      <text>
        <r>
          <rPr>
            <sz val="8"/>
            <color indexed="81"/>
            <rFont val="Tahoma"/>
            <family val="2"/>
          </rPr>
          <t>ЗАМЕНИТЕ НА РЕАЛЬНЫЕ ДАННЫЕ.
ДЕМО, ДО, Укроп,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27" authorId="0">
      <text>
        <r>
          <rPr>
            <sz val="8"/>
            <color indexed="81"/>
            <rFont val="Tahoma"/>
            <family val="2"/>
          </rPr>
          <t>ЗАМЕНИТЕ НА РЕАЛЬНЫЕ ДАННЫЕ.
ДЕМО, ДО, Укроп,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27" authorId="0">
      <text>
        <r>
          <rPr>
            <sz val="8"/>
            <color indexed="81"/>
            <rFont val="Tahoma"/>
            <family val="2"/>
          </rPr>
          <t>ЗАМЕНИТЕ НА РЕАЛЬНЫЕ ДАННЫЕ.
ДЕМО, ДО, Укроп,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27" authorId="0">
      <text>
        <r>
          <rPr>
            <sz val="8"/>
            <color indexed="81"/>
            <rFont val="Tahoma"/>
            <family val="2"/>
          </rPr>
          <t>ЗАМЕНИТЕ НА РЕАЛЬНЫЕ ДАННЫЕ.
ДЕМО, ДО, Укроп,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27" authorId="0">
      <text>
        <r>
          <rPr>
            <sz val="8"/>
            <color indexed="81"/>
            <rFont val="Tahoma"/>
            <family val="2"/>
          </rPr>
          <t>ЗАМЕНИТЕ НА РЕАЛЬНЫЕ ДАННЫЕ.
ДЕМО, ДО, Укроп,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27" authorId="0">
      <text>
        <r>
          <rPr>
            <sz val="8"/>
            <color indexed="81"/>
            <rFont val="Tahoma"/>
            <family val="2"/>
          </rPr>
          <t>ЗАМЕНИТЕ НА РЕАЛЬНЫЕ ДАННЫЕ.
ДЕМО, ДО, Укроп,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27" authorId="0">
      <text>
        <r>
          <rPr>
            <sz val="8"/>
            <color indexed="81"/>
            <rFont val="Tahoma"/>
            <family val="2"/>
          </rPr>
          <t>ЗАМЕНИТЕ НА РЕАЛЬНЫЕ ДАННЫЕ.
ДЕМО, ДО, Укроп,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27" authorId="0">
      <text>
        <r>
          <rPr>
            <sz val="8"/>
            <color indexed="81"/>
            <rFont val="Tahoma"/>
            <family val="2"/>
          </rPr>
          <t>ЗАМЕНИТЕ НА РЕАЛЬНЫЕ ДАННЫЕ.
ДЕМО, ДО, Укроп,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27" authorId="0">
      <text>
        <r>
          <rPr>
            <sz val="8"/>
            <color indexed="81"/>
            <rFont val="Tahoma"/>
            <family val="2"/>
          </rPr>
          <t>ЗАМЕНИТЕ НА РЕАЛЬНЫЕ ДАННЫЕ.
ДЕМО, ДО, Укроп,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27" authorId="0">
      <text>
        <r>
          <rPr>
            <sz val="8"/>
            <color indexed="81"/>
            <rFont val="Tahoma"/>
            <family val="2"/>
          </rPr>
          <t>ЗАМЕНИТЕ НА РЕАЛЬНЫЕ ДАННЫЕ.
ДЕМО, ДО, Укроп,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36" authorId="0">
      <text>
        <r>
          <rPr>
            <sz val="8"/>
            <color indexed="81"/>
            <rFont val="Tahoma"/>
            <family val="2"/>
          </rPr>
          <t>ЗАМЕНИТЕ НА РЕАЛЬНЫЕ ДАННЫЕ.
Зеленый лук, цикл 1. 0 исключает все элементы данного цикла, а не один выброс.</t>
        </r>
      </text>
    </comment>
    <comment ref="F136" authorId="0">
      <text>
        <r>
          <rPr>
            <sz val="8"/>
            <color indexed="81"/>
            <rFont val="Tahoma"/>
            <family val="2"/>
          </rPr>
          <t>ЗАМЕНИТЕ НА РЕАЛЬНЫЕ ДАННЫЕ.
Зеленый лук, цикл 2. 0 исключает все элементы данного цикла, а не один выброс.</t>
        </r>
      </text>
    </comment>
    <comment ref="G136" authorId="0">
      <text>
        <r>
          <rPr>
            <sz val="8"/>
            <color indexed="81"/>
            <rFont val="Tahoma"/>
            <family val="2"/>
          </rPr>
          <t>ЗАМЕНИТЕ НА РЕАЛЬНЫЕ ДАННЫЕ.
Зеленый лук, цикл 3. 0 исключает все элементы данного цикла, а не один выброс.</t>
        </r>
      </text>
    </comment>
    <comment ref="H136" authorId="0">
      <text>
        <r>
          <rPr>
            <sz val="8"/>
            <color indexed="81"/>
            <rFont val="Tahoma"/>
            <family val="2"/>
          </rPr>
          <t>ЗАМЕНИТЕ НА РЕАЛЬНЫЕ ДАННЫЕ.
Зеленый лук, цикл 4. 0 исключает все элементы данного цикла, а не один выброс.</t>
        </r>
      </text>
    </comment>
    <comment ref="I136" authorId="0">
      <text>
        <r>
          <rPr>
            <sz val="8"/>
            <color indexed="81"/>
            <rFont val="Tahoma"/>
            <family val="2"/>
          </rPr>
          <t>ЗАМЕНИТЕ НА РЕАЛЬНЫЕ ДАННЫЕ.
Зеленый лук, цикл 5. 0 исключает все элементы данного цикла, а не один выброс.</t>
        </r>
      </text>
    </comment>
    <comment ref="J136" authorId="0">
      <text>
        <r>
          <rPr>
            <sz val="8"/>
            <color indexed="81"/>
            <rFont val="Tahoma"/>
            <family val="2"/>
          </rPr>
          <t>ЗАМЕНИТЕ НА РЕАЛЬНЫЕ ДАННЫЕ.
Зеленый лук, цикл 6. 0 исключает все элементы данного цикла, а не один выброс.</t>
        </r>
      </text>
    </comment>
    <comment ref="K136" authorId="0">
      <text>
        <r>
          <rPr>
            <sz val="8"/>
            <color indexed="81"/>
            <rFont val="Tahoma"/>
            <family val="2"/>
          </rPr>
          <t>ЗАМЕНИТЕ НА РЕАЛЬНЫЕ ДАННЫЕ.
Зеленый лук, цикл 7. 0 исключает все элементы данного цикла, а не один выброс.</t>
        </r>
      </text>
    </comment>
    <comment ref="L136" authorId="0">
      <text>
        <r>
          <rPr>
            <sz val="8"/>
            <color indexed="81"/>
            <rFont val="Tahoma"/>
            <family val="2"/>
          </rPr>
          <t>ЗАМЕНИТЕ НА РЕАЛЬНЫЕ ДАННЫЕ.
Зеленый лук, цикл 8. 0 исключает все элементы данного цикла, а не один выброс.</t>
        </r>
      </text>
    </comment>
    <comment ref="M136" authorId="0">
      <text>
        <r>
          <rPr>
            <sz val="8"/>
            <color indexed="81"/>
            <rFont val="Tahoma"/>
            <family val="2"/>
          </rPr>
          <t>ЗАМЕНИТЕ НА РЕАЛЬНЫЕ ДАННЫЕ.
Зеленый лук, цикл 9. 0 исключает все элементы данного цикла, а не один выброс.</t>
        </r>
      </text>
    </comment>
    <comment ref="N136" authorId="0">
      <text>
        <r>
          <rPr>
            <sz val="8"/>
            <color indexed="81"/>
            <rFont val="Tahoma"/>
            <family val="2"/>
          </rPr>
          <t>ЗАМЕНИТЕ НА РЕАЛЬНЫЕ ДАННЫЕ.
Зеленый лук, цикл 10. 0 исключает все элементы данного цикла, а не один выброс.</t>
        </r>
      </text>
    </comment>
    <comment ref="E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38" authorId="0">
      <text>
        <r>
          <rPr>
            <sz val="8"/>
            <color indexed="81"/>
            <rFont val="Tahoma"/>
            <family val="2"/>
          </rPr>
          <t>ЗАМЕНИТЕ НА РЕАЛЬНЫЕ ДАННЫЕ.
ДЕМО, ДО, Зеленый лук,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38" authorId="0">
      <text>
        <r>
          <rPr>
            <sz val="8"/>
            <color indexed="81"/>
            <rFont val="Tahoma"/>
            <family val="2"/>
          </rPr>
          <t>ЗАМЕНИТЕ НА РЕАЛЬНЫЕ ДАННЫЕ.
ДЕМО, ДО, Зеленый лук,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38" authorId="0">
      <text>
        <r>
          <rPr>
            <sz val="8"/>
            <color indexed="81"/>
            <rFont val="Tahoma"/>
            <family val="2"/>
          </rPr>
          <t>ЗАМЕНИТЕ НА РЕАЛЬНЫЕ ДАННЫЕ.
ДЕМО, ДО, Зеленый лук,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38" authorId="0">
      <text>
        <r>
          <rPr>
            <sz val="8"/>
            <color indexed="81"/>
            <rFont val="Tahoma"/>
            <family val="2"/>
          </rPr>
          <t>ЗАМЕНИТЕ НА РЕАЛЬНЫЕ ДАННЫЕ.
ДЕМО, ДО, Зеленый лук,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38" authorId="0">
      <text>
        <r>
          <rPr>
            <sz val="8"/>
            <color indexed="81"/>
            <rFont val="Tahoma"/>
            <family val="2"/>
          </rPr>
          <t>ЗАМЕНИТЕ НА РЕАЛЬНЫЕ ДАННЫЕ.
ДЕМО, ДО, Зеленый лук,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38" authorId="0">
      <text>
        <r>
          <rPr>
            <sz val="8"/>
            <color indexed="81"/>
            <rFont val="Tahoma"/>
            <family val="2"/>
          </rPr>
          <t>ЗАМЕНИТЕ НА РЕАЛЬНЫЕ ДАННЫЕ.
ДЕМО, ДО, Зеленый лук,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38" authorId="0">
      <text>
        <r>
          <rPr>
            <sz val="8"/>
            <color indexed="81"/>
            <rFont val="Tahoma"/>
            <family val="2"/>
          </rPr>
          <t>ЗАМЕНИТЕ НА РЕАЛЬНЫЕ ДАННЫЕ.
ДЕМО, ДО, Зеленый лук,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38" authorId="0">
      <text>
        <r>
          <rPr>
            <sz val="8"/>
            <color indexed="81"/>
            <rFont val="Tahoma"/>
            <family val="2"/>
          </rPr>
          <t>ЗАМЕНИТЕ НА РЕАЛЬНЫЕ ДАННЫЕ.
ДЕМО, ДО, Зеленый лук,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38" authorId="0">
      <text>
        <r>
          <rPr>
            <sz val="8"/>
            <color indexed="81"/>
            <rFont val="Tahoma"/>
            <family val="2"/>
          </rPr>
          <t>ЗАМЕНИТЕ НА РЕАЛЬНЫЕ ДАННЫЕ.
ДЕМО, ДО, Зеленый лук,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38" authorId="0">
      <text>
        <r>
          <rPr>
            <sz val="8"/>
            <color indexed="81"/>
            <rFont val="Tahoma"/>
            <family val="2"/>
          </rPr>
          <t>ЗАМЕНИТЕ НА РЕАЛЬНЫЕ ДАННЫЕ.
ДЕМО, ДО, Зеленый лук,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39" authorId="0">
      <text>
        <r>
          <rPr>
            <sz val="8"/>
            <color indexed="81"/>
            <rFont val="Tahoma"/>
            <family val="2"/>
          </rPr>
          <t>ЗАМЕНИТЕ НА РЕАЛЬНЫЕ ДАННЫЕ.
ДЕМО, ДО, Зеленый лук,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39" authorId="0">
      <text>
        <r>
          <rPr>
            <sz val="8"/>
            <color indexed="81"/>
            <rFont val="Tahoma"/>
            <family val="2"/>
          </rPr>
          <t>ЗАМЕНИТЕ НА РЕАЛЬНЫЕ ДАННЫЕ.
ДЕМО, ДО, Зеленый лук,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39" authorId="0">
      <text>
        <r>
          <rPr>
            <sz val="8"/>
            <color indexed="81"/>
            <rFont val="Tahoma"/>
            <family val="2"/>
          </rPr>
          <t>ЗАМЕНИТЕ НА РЕАЛЬНЫЕ ДАННЫЕ.
ДЕМО, ДО, Зеленый лук,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39" authorId="0">
      <text>
        <r>
          <rPr>
            <sz val="8"/>
            <color indexed="81"/>
            <rFont val="Tahoma"/>
            <family val="2"/>
          </rPr>
          <t>ЗАМЕНИТЕ НА РЕАЛЬНЫЕ ДАННЫЕ.
ДЕМО, ДО, Зеленый лук,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39" authorId="0">
      <text>
        <r>
          <rPr>
            <sz val="8"/>
            <color indexed="81"/>
            <rFont val="Tahoma"/>
            <family val="2"/>
          </rPr>
          <t>ЗАМЕНИТЕ НА РЕАЛЬНЫЕ ДАННЫЕ.
ДЕМО, ДО, Зеленый лук,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39" authorId="0">
      <text>
        <r>
          <rPr>
            <sz val="8"/>
            <color indexed="81"/>
            <rFont val="Tahoma"/>
            <family val="2"/>
          </rPr>
          <t>ЗАМЕНИТЕ НА РЕАЛЬНЫЕ ДАННЫЕ.
ДЕМО, ДО, Зеленый лук,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39" authorId="0">
      <text>
        <r>
          <rPr>
            <sz val="8"/>
            <color indexed="81"/>
            <rFont val="Tahoma"/>
            <family val="2"/>
          </rPr>
          <t>ЗАМЕНИТЕ НА РЕАЛЬНЫЕ ДАННЫЕ.
ДЕМО, ДО, Зеленый лук,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39" authorId="0">
      <text>
        <r>
          <rPr>
            <sz val="8"/>
            <color indexed="81"/>
            <rFont val="Tahoma"/>
            <family val="2"/>
          </rPr>
          <t>ЗАМЕНИТЕ НА РЕАЛЬНЫЕ ДАННЫЕ.
ДЕМО, ДО, Зеленый лук,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39" authorId="0">
      <text>
        <r>
          <rPr>
            <sz val="8"/>
            <color indexed="81"/>
            <rFont val="Tahoma"/>
            <family val="2"/>
          </rPr>
          <t>ЗАМЕНИТЕ НА РЕАЛЬНЫЕ ДАННЫЕ.
ДЕМО, ДО, Зеленый лук,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39" authorId="0">
      <text>
        <r>
          <rPr>
            <sz val="8"/>
            <color indexed="81"/>
            <rFont val="Tahoma"/>
            <family val="2"/>
          </rPr>
          <t>ЗАМЕНИТЕ НА РЕАЛЬНЫЕ ДАННЫЕ.
ДЕМО, ДО, Зеленый лук,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40" authorId="0">
      <text>
        <r>
          <rPr>
            <sz val="8"/>
            <color indexed="81"/>
            <rFont val="Tahoma"/>
            <family val="2"/>
          </rPr>
          <t>ЗАМЕНИТЕ НА РЕАЛЬНЫЕ ДАННЫЕ.
ДЕМО, ДО, Зеленый лук,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40" authorId="0">
      <text>
        <r>
          <rPr>
            <sz val="8"/>
            <color indexed="81"/>
            <rFont val="Tahoma"/>
            <family val="2"/>
          </rPr>
          <t>ЗАМЕНИТЕ НА РЕАЛЬНЫЕ ДАННЫЕ.
ДЕМО, ДО, Зеленый лук,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40" authorId="0">
      <text>
        <r>
          <rPr>
            <sz val="8"/>
            <color indexed="81"/>
            <rFont val="Tahoma"/>
            <family val="2"/>
          </rPr>
          <t>ЗАМЕНИТЕ НА РЕАЛЬНЫЕ ДАННЫЕ.
ДЕМО, ДО, Зеленый лук,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40" authorId="0">
      <text>
        <r>
          <rPr>
            <sz val="8"/>
            <color indexed="81"/>
            <rFont val="Tahoma"/>
            <family val="2"/>
          </rPr>
          <t>ЗАМЕНИТЕ НА РЕАЛЬНЫЕ ДАННЫЕ.
ДЕМО, ДО, Зеленый лук,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40" authorId="0">
      <text>
        <r>
          <rPr>
            <sz val="8"/>
            <color indexed="81"/>
            <rFont val="Tahoma"/>
            <family val="2"/>
          </rPr>
          <t>ЗАМЕНИТЕ НА РЕАЛЬНЫЕ ДАННЫЕ.
ДЕМО, ДО, Зеленый лук,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40" authorId="0">
      <text>
        <r>
          <rPr>
            <sz val="8"/>
            <color indexed="81"/>
            <rFont val="Tahoma"/>
            <family val="2"/>
          </rPr>
          <t>ЗАМЕНИТЕ НА РЕАЛЬНЫЕ ДАННЫЕ.
ДЕМО, ДО, Зеленый лук,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40" authorId="0">
      <text>
        <r>
          <rPr>
            <sz val="8"/>
            <color indexed="81"/>
            <rFont val="Tahoma"/>
            <family val="2"/>
          </rPr>
          <t>ЗАМЕНИТЕ НА РЕАЛЬНЫЕ ДАННЫЕ.
ДЕМО, ДО, Зеленый лук,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40" authorId="0">
      <text>
        <r>
          <rPr>
            <sz val="8"/>
            <color indexed="81"/>
            <rFont val="Tahoma"/>
            <family val="2"/>
          </rPr>
          <t>ЗАМЕНИТЕ НА РЕАЛЬНЫЕ ДАННЫЕ.
ДЕМО, ДО, Зеленый лук,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40" authorId="0">
      <text>
        <r>
          <rPr>
            <sz val="8"/>
            <color indexed="81"/>
            <rFont val="Tahoma"/>
            <family val="2"/>
          </rPr>
          <t>ЗАМЕНИТЕ НА РЕАЛЬНЫЕ ДАННЫЕ.
ДЕМО, ДО, Зеленый лук,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40" authorId="0">
      <text>
        <r>
          <rPr>
            <sz val="8"/>
            <color indexed="81"/>
            <rFont val="Tahoma"/>
            <family val="2"/>
          </rPr>
          <t>ЗАМЕНИТЕ НА РЕАЛЬНЫЕ ДАННЫЕ.
ДЕМО, ДО, Зеленый лук,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41" authorId="0">
      <text>
        <r>
          <rPr>
            <sz val="8"/>
            <color indexed="81"/>
            <rFont val="Tahoma"/>
            <family val="2"/>
          </rPr>
          <t>ЗАМЕНИТЕ НА РЕАЛЬНЫЕ ДАННЫЕ.
ДЕМО, ДО, Зеленый лук,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41" authorId="0">
      <text>
        <r>
          <rPr>
            <sz val="8"/>
            <color indexed="81"/>
            <rFont val="Tahoma"/>
            <family val="2"/>
          </rPr>
          <t>ЗАМЕНИТЕ НА РЕАЛЬНЫЕ ДАННЫЕ.
ДЕМО, ДО, Зеленый лук,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41" authorId="0">
      <text>
        <r>
          <rPr>
            <sz val="8"/>
            <color indexed="81"/>
            <rFont val="Tahoma"/>
            <family val="2"/>
          </rPr>
          <t>ЗАМЕНИТЕ НА РЕАЛЬНЫЕ ДАННЫЕ.
ДЕМО, ДО, Зеленый лук,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41" authorId="0">
      <text>
        <r>
          <rPr>
            <sz val="8"/>
            <color indexed="81"/>
            <rFont val="Tahoma"/>
            <family val="2"/>
          </rPr>
          <t>ЗАМЕНИТЕ НА РЕАЛЬНЫЕ ДАННЫЕ.
ДЕМО, ДО, Зеленый лук,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41" authorId="0">
      <text>
        <r>
          <rPr>
            <sz val="8"/>
            <color indexed="81"/>
            <rFont val="Tahoma"/>
            <family val="2"/>
          </rPr>
          <t>ЗАМЕНИТЕ НА РЕАЛЬНЫЕ ДАННЫЕ.
ДЕМО, ДО, Зеленый лук,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41" authorId="0">
      <text>
        <r>
          <rPr>
            <sz val="8"/>
            <color indexed="81"/>
            <rFont val="Tahoma"/>
            <family val="2"/>
          </rPr>
          <t>ЗАМЕНИТЕ НА РЕАЛЬНЫЕ ДАННЫЕ.
ДЕМО, ДО, Зеленый лук,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41" authorId="0">
      <text>
        <r>
          <rPr>
            <sz val="8"/>
            <color indexed="81"/>
            <rFont val="Tahoma"/>
            <family val="2"/>
          </rPr>
          <t>ЗАМЕНИТЕ НА РЕАЛЬНЫЕ ДАННЫЕ.
ДЕМО, ДО, Зеленый лук,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41" authorId="0">
      <text>
        <r>
          <rPr>
            <sz val="8"/>
            <color indexed="81"/>
            <rFont val="Tahoma"/>
            <family val="2"/>
          </rPr>
          <t>ЗАМЕНИТЕ НА РЕАЛЬНЫЕ ДАННЫЕ.
ДЕМО, ДО, Зеленый лук,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41" authorId="0">
      <text>
        <r>
          <rPr>
            <sz val="8"/>
            <color indexed="81"/>
            <rFont val="Tahoma"/>
            <family val="2"/>
          </rPr>
          <t>ЗАМЕНИТЕ НА РЕАЛЬНЫЕ ДАННЫЕ.
ДЕМО, ДО, Зеленый лук,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41" authorId="0">
      <text>
        <r>
          <rPr>
            <sz val="8"/>
            <color indexed="81"/>
            <rFont val="Tahoma"/>
            <family val="2"/>
          </rPr>
          <t>ЗАМЕНИТЕ НА РЕАЛЬНЫЕ ДАННЫЕ.
ДЕМО, ДО, Зеленый лук,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42" authorId="0">
      <text>
        <r>
          <rPr>
            <sz val="8"/>
            <color indexed="81"/>
            <rFont val="Tahoma"/>
            <family val="2"/>
          </rPr>
          <t>ЗАМЕНИТЕ НА РЕАЛЬНЫЕ ДАННЫЕ.
ДЕМО, ДО, Зеленый лук,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42" authorId="0">
      <text>
        <r>
          <rPr>
            <sz val="8"/>
            <color indexed="81"/>
            <rFont val="Tahoma"/>
            <family val="2"/>
          </rPr>
          <t>ЗАМЕНИТЕ НА РЕАЛЬНЫЕ ДАННЫЕ.
ДЕМО, ДО, Зеленый лук,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42" authorId="0">
      <text>
        <r>
          <rPr>
            <sz val="8"/>
            <color indexed="81"/>
            <rFont val="Tahoma"/>
            <family val="2"/>
          </rPr>
          <t>ЗАМЕНИТЕ НА РЕАЛЬНЫЕ ДАННЫЕ.
ДЕМО, ДО, Зеленый лук,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42" authorId="0">
      <text>
        <r>
          <rPr>
            <sz val="8"/>
            <color indexed="81"/>
            <rFont val="Tahoma"/>
            <family val="2"/>
          </rPr>
          <t>ЗАМЕНИТЕ НА РЕАЛЬНЫЕ ДАННЫЕ.
ДЕМО, ДО, Зеленый лук,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42" authorId="0">
      <text>
        <r>
          <rPr>
            <sz val="8"/>
            <color indexed="81"/>
            <rFont val="Tahoma"/>
            <family val="2"/>
          </rPr>
          <t>ЗАМЕНИТЕ НА РЕАЛЬНЫЕ ДАННЫЕ.
ДЕМО, ДО, Зеленый лук,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42" authorId="0">
      <text>
        <r>
          <rPr>
            <sz val="8"/>
            <color indexed="81"/>
            <rFont val="Tahoma"/>
            <family val="2"/>
          </rPr>
          <t>ЗАМЕНИТЕ НА РЕАЛЬНЫЕ ДАННЫЕ.
ДЕМО, ДО, Зеленый лук,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42" authorId="0">
      <text>
        <r>
          <rPr>
            <sz val="8"/>
            <color indexed="81"/>
            <rFont val="Tahoma"/>
            <family val="2"/>
          </rPr>
          <t>ЗАМЕНИТЕ НА РЕАЛЬНЫЕ ДАННЫЕ.
ДЕМО, ДО, Зеленый лук,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42" authorId="0">
      <text>
        <r>
          <rPr>
            <sz val="8"/>
            <color indexed="81"/>
            <rFont val="Tahoma"/>
            <family val="2"/>
          </rPr>
          <t>ЗАМЕНИТЕ НА РЕАЛЬНЫЕ ДАННЫЕ.
ДЕМО, ДО, Зеленый лук,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42" authorId="0">
      <text>
        <r>
          <rPr>
            <sz val="8"/>
            <color indexed="81"/>
            <rFont val="Tahoma"/>
            <family val="2"/>
          </rPr>
          <t>ЗАМЕНИТЕ НА РЕАЛЬНЫЕ ДАННЫЕ.
ДЕМО, ДО, Зеленый лук,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42" authorId="0">
      <text>
        <r>
          <rPr>
            <sz val="8"/>
            <color indexed="81"/>
            <rFont val="Tahoma"/>
            <family val="2"/>
          </rPr>
          <t>ЗАМЕНИТЕ НА РЕАЛЬНЫЕ ДАННЫЕ.
ДЕМО, ДО, Зеленый лук,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44" authorId="0">
      <text>
        <r>
          <rPr>
            <sz val="8"/>
            <color indexed="81"/>
            <rFont val="Tahoma"/>
            <family val="2"/>
          </rPr>
          <t>ЗАМЕНИТЕ НА РЕАЛЬНЫЕ ДАННЫЕ.
ДЕМО, ДО, Зеленый лук,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44" authorId="0">
      <text>
        <r>
          <rPr>
            <sz val="8"/>
            <color indexed="81"/>
            <rFont val="Tahoma"/>
            <family val="2"/>
          </rPr>
          <t>ЗАМЕНИТЕ НА РЕАЛЬНЫЕ ДАННЫЕ.
ДЕМО, ДО, Зеленый лук,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44" authorId="0">
      <text>
        <r>
          <rPr>
            <sz val="8"/>
            <color indexed="81"/>
            <rFont val="Tahoma"/>
            <family val="2"/>
          </rPr>
          <t>ЗАМЕНИТЕ НА РЕАЛЬНЫЕ ДАННЫЕ.
ДЕМО, ДО, Зеленый лук,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44" authorId="0">
      <text>
        <r>
          <rPr>
            <sz val="8"/>
            <color indexed="81"/>
            <rFont val="Tahoma"/>
            <family val="2"/>
          </rPr>
          <t>ЗАМЕНИТЕ НА РЕАЛЬНЫЕ ДАННЫЕ.
ДЕМО, ДО, Зеленый лук,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44" authorId="0">
      <text>
        <r>
          <rPr>
            <sz val="8"/>
            <color indexed="81"/>
            <rFont val="Tahoma"/>
            <family val="2"/>
          </rPr>
          <t>ЗАМЕНИТЕ НА РЕАЛЬНЫЕ ДАННЫЕ.
ДЕМО, ДО, Зеленый лук,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44" authorId="0">
      <text>
        <r>
          <rPr>
            <sz val="8"/>
            <color indexed="81"/>
            <rFont val="Tahoma"/>
            <family val="2"/>
          </rPr>
          <t>ЗАМЕНИТЕ НА РЕАЛЬНЫЕ ДАННЫЕ.
ДЕМО, ДО, Зеленый лук,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44" authorId="0">
      <text>
        <r>
          <rPr>
            <sz val="8"/>
            <color indexed="81"/>
            <rFont val="Tahoma"/>
            <family val="2"/>
          </rPr>
          <t>ЗАМЕНИТЕ НА РЕАЛЬНЫЕ ДАННЫЕ.
ДЕМО, ДО, Зеленый лук,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44" authorId="0">
      <text>
        <r>
          <rPr>
            <sz val="8"/>
            <color indexed="81"/>
            <rFont val="Tahoma"/>
            <family val="2"/>
          </rPr>
          <t>ЗАМЕНИТЕ НА РЕАЛЬНЫЕ ДАННЫЕ.
ДЕМО, ДО, Зеленый лук,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44" authorId="0">
      <text>
        <r>
          <rPr>
            <sz val="8"/>
            <color indexed="81"/>
            <rFont val="Tahoma"/>
            <family val="2"/>
          </rPr>
          <t>ЗАМЕНИТЕ НА РЕАЛЬНЫЕ ДАННЫЕ.
ДЕМО, ДО, Зеленый лук,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44" authorId="0">
      <text>
        <r>
          <rPr>
            <sz val="8"/>
            <color indexed="81"/>
            <rFont val="Tahoma"/>
            <family val="2"/>
          </rPr>
          <t>ЗАМЕНИТЕ НА РЕАЛЬНЫЕ ДАННЫЕ.
ДЕМО, ДО, Зеленый лук,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45" authorId="0">
      <text>
        <r>
          <rPr>
            <sz val="8"/>
            <color indexed="81"/>
            <rFont val="Tahoma"/>
            <family val="2"/>
          </rPr>
          <t>ЗАМЕНИТЕ НА РЕАЛЬНЫЕ ДАННЫЕ.
ДЕМО, ДО, Зеленый лук,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45" authorId="0">
      <text>
        <r>
          <rPr>
            <sz val="8"/>
            <color indexed="81"/>
            <rFont val="Tahoma"/>
            <family val="2"/>
          </rPr>
          <t>ЗАМЕНИТЕ НА РЕАЛЬНЫЕ ДАННЫЕ.
ДЕМО, ДО, Зеленый лук,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45" authorId="0">
      <text>
        <r>
          <rPr>
            <sz val="8"/>
            <color indexed="81"/>
            <rFont val="Tahoma"/>
            <family val="2"/>
          </rPr>
          <t>ЗАМЕНИТЕ НА РЕАЛЬНЫЕ ДАННЫЕ.
ДЕМО, ДО, Зеленый лук,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45" authorId="0">
      <text>
        <r>
          <rPr>
            <sz val="8"/>
            <color indexed="81"/>
            <rFont val="Tahoma"/>
            <family val="2"/>
          </rPr>
          <t>ЗАМЕНИТЕ НА РЕАЛЬНЫЕ ДАННЫЕ.
ДЕМО, ДО, Зеленый лук,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45" authorId="0">
      <text>
        <r>
          <rPr>
            <sz val="8"/>
            <color indexed="81"/>
            <rFont val="Tahoma"/>
            <family val="2"/>
          </rPr>
          <t>ЗАМЕНИТЕ НА РЕАЛЬНЫЕ ДАННЫЕ.
ДЕМО, ДО, Зеленый лук,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45" authorId="0">
      <text>
        <r>
          <rPr>
            <sz val="8"/>
            <color indexed="81"/>
            <rFont val="Tahoma"/>
            <family val="2"/>
          </rPr>
          <t>ЗАМЕНИТЕ НА РЕАЛЬНЫЕ ДАННЫЕ.
ДЕМО, ДО, Зеленый лук,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45" authorId="0">
      <text>
        <r>
          <rPr>
            <sz val="8"/>
            <color indexed="81"/>
            <rFont val="Tahoma"/>
            <family val="2"/>
          </rPr>
          <t>ЗАМЕНИТЕ НА РЕАЛЬНЫЕ ДАННЫЕ.
ДЕМО, ДО, Зеленый лук,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45" authorId="0">
      <text>
        <r>
          <rPr>
            <sz val="8"/>
            <color indexed="81"/>
            <rFont val="Tahoma"/>
            <family val="2"/>
          </rPr>
          <t>ЗАМЕНИТЕ НА РЕАЛЬНЫЕ ДАННЫЕ.
ДЕМО, ДО, Зеленый лук,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45" authorId="0">
      <text>
        <r>
          <rPr>
            <sz val="8"/>
            <color indexed="81"/>
            <rFont val="Tahoma"/>
            <family val="2"/>
          </rPr>
          <t>ЗАМЕНИТЕ НА РЕАЛЬНЫЕ ДАННЫЕ.
ДЕМО, ДО, Зеленый лук,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45" authorId="0">
      <text>
        <r>
          <rPr>
            <sz val="8"/>
            <color indexed="81"/>
            <rFont val="Tahoma"/>
            <family val="2"/>
          </rPr>
          <t>ЗАМЕНИТЕ НА РЕАЛЬНЫЕ ДАННЫЕ.
ДЕМО, ДО, Зеленый лук,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46" authorId="0">
      <text>
        <r>
          <rPr>
            <sz val="8"/>
            <color indexed="81"/>
            <rFont val="Tahoma"/>
            <family val="2"/>
          </rPr>
          <t>ЗАМЕНИТЕ НА РЕАЛЬНЫЕ ДАННЫЕ.
ДЕМО, ДО, Зеленый лук,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46" authorId="0">
      <text>
        <r>
          <rPr>
            <sz val="8"/>
            <color indexed="81"/>
            <rFont val="Tahoma"/>
            <family val="2"/>
          </rPr>
          <t>ЗАМЕНИТЕ НА РЕАЛЬНЫЕ ДАННЫЕ.
ДЕМО, ДО, Зеленый лук,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46" authorId="0">
      <text>
        <r>
          <rPr>
            <sz val="8"/>
            <color indexed="81"/>
            <rFont val="Tahoma"/>
            <family val="2"/>
          </rPr>
          <t>ЗАМЕНИТЕ НА РЕАЛЬНЫЕ ДАННЫЕ.
ДЕМО, ДО, Зеленый лук,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46" authorId="0">
      <text>
        <r>
          <rPr>
            <sz val="8"/>
            <color indexed="81"/>
            <rFont val="Tahoma"/>
            <family val="2"/>
          </rPr>
          <t>ЗАМЕНИТЕ НА РЕАЛЬНЫЕ ДАННЫЕ.
ДЕМО, ДО, Зеленый лук,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46" authorId="0">
      <text>
        <r>
          <rPr>
            <sz val="8"/>
            <color indexed="81"/>
            <rFont val="Tahoma"/>
            <family val="2"/>
          </rPr>
          <t>ЗАМЕНИТЕ НА РЕАЛЬНЫЕ ДАННЫЕ.
ДЕМО, ДО, Зеленый лук,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46" authorId="0">
      <text>
        <r>
          <rPr>
            <sz val="8"/>
            <color indexed="81"/>
            <rFont val="Tahoma"/>
            <family val="2"/>
          </rPr>
          <t>ЗАМЕНИТЕ НА РЕАЛЬНЫЕ ДАННЫЕ.
ДЕМО, ДО, Зеленый лук,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46" authorId="0">
      <text>
        <r>
          <rPr>
            <sz val="8"/>
            <color indexed="81"/>
            <rFont val="Tahoma"/>
            <family val="2"/>
          </rPr>
          <t>ЗАМЕНИТЕ НА РЕАЛЬНЫЕ ДАННЫЕ.
ДЕМО, ДО, Зеленый лук,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46" authorId="0">
      <text>
        <r>
          <rPr>
            <sz val="8"/>
            <color indexed="81"/>
            <rFont val="Tahoma"/>
            <family val="2"/>
          </rPr>
          <t>ЗАМЕНИТЕ НА РЕАЛЬНЫЕ ДАННЫЕ.
ДЕМО, ДО, Зеленый лук,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46" authorId="0">
      <text>
        <r>
          <rPr>
            <sz val="8"/>
            <color indexed="81"/>
            <rFont val="Tahoma"/>
            <family val="2"/>
          </rPr>
          <t>ЗАМЕНИТЕ НА РЕАЛЬНЫЕ ДАННЫЕ.
ДЕМО, ДО, Зеленый лук,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46" authorId="0">
      <text>
        <r>
          <rPr>
            <sz val="8"/>
            <color indexed="81"/>
            <rFont val="Tahoma"/>
            <family val="2"/>
          </rPr>
          <t>ЗАМЕНИТЕ НА РЕАЛЬНЫЕ ДАННЫЕ.
ДЕМО, ДО, Зеленый лук,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47" authorId="0">
      <text>
        <r>
          <rPr>
            <sz val="8"/>
            <color indexed="81"/>
            <rFont val="Tahoma"/>
            <family val="2"/>
          </rPr>
          <t>ЗАМЕНИТЕ НА РЕАЛЬНЫЕ ДАННЫЕ.
ДЕМО, ДО, Зеленый лук,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47" authorId="0">
      <text>
        <r>
          <rPr>
            <sz val="8"/>
            <color indexed="81"/>
            <rFont val="Tahoma"/>
            <family val="2"/>
          </rPr>
          <t>ЗАМЕНИТЕ НА РЕАЛЬНЫЕ ДАННЫЕ.
ДЕМО, ДО, Зеленый лук,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47" authorId="0">
      <text>
        <r>
          <rPr>
            <sz val="8"/>
            <color indexed="81"/>
            <rFont val="Tahoma"/>
            <family val="2"/>
          </rPr>
          <t>ЗАМЕНИТЕ НА РЕАЛЬНЫЕ ДАННЫЕ.
ДЕМО, ДО, Зеленый лук,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47" authorId="0">
      <text>
        <r>
          <rPr>
            <sz val="8"/>
            <color indexed="81"/>
            <rFont val="Tahoma"/>
            <family val="2"/>
          </rPr>
          <t>ЗАМЕНИТЕ НА РЕАЛЬНЫЕ ДАННЫЕ.
ДЕМО, ДО, Зеленый лук,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47" authorId="0">
      <text>
        <r>
          <rPr>
            <sz val="8"/>
            <color indexed="81"/>
            <rFont val="Tahoma"/>
            <family val="2"/>
          </rPr>
          <t>ЗАМЕНИТЕ НА РЕАЛЬНЫЕ ДАННЫЕ.
ДЕМО, ДО, Зеленый лук,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47" authorId="0">
      <text>
        <r>
          <rPr>
            <sz val="8"/>
            <color indexed="81"/>
            <rFont val="Tahoma"/>
            <family val="2"/>
          </rPr>
          <t>ЗАМЕНИТЕ НА РЕАЛЬНЫЕ ДАННЫЕ.
ДЕМО, ДО, Зеленый лук,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47" authorId="0">
      <text>
        <r>
          <rPr>
            <sz val="8"/>
            <color indexed="81"/>
            <rFont val="Tahoma"/>
            <family val="2"/>
          </rPr>
          <t>ЗАМЕНИТЕ НА РЕАЛЬНЫЕ ДАННЫЕ.
ДЕМО, ДО, Зеленый лук,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47" authorId="0">
      <text>
        <r>
          <rPr>
            <sz val="8"/>
            <color indexed="81"/>
            <rFont val="Tahoma"/>
            <family val="2"/>
          </rPr>
          <t>ЗАМЕНИТЕ НА РЕАЛЬНЫЕ ДАННЫЕ.
ДЕМО, ДО, Зеленый лук,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47" authorId="0">
      <text>
        <r>
          <rPr>
            <sz val="8"/>
            <color indexed="81"/>
            <rFont val="Tahoma"/>
            <family val="2"/>
          </rPr>
          <t>ЗАМЕНИТЕ НА РЕАЛЬНЫЕ ДАННЫЕ.
ДЕМО, ДО, Зеленый лук,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47" authorId="0">
      <text>
        <r>
          <rPr>
            <sz val="8"/>
            <color indexed="81"/>
            <rFont val="Tahoma"/>
            <family val="2"/>
          </rPr>
          <t>ЗАМЕНИТЕ НА РЕАЛЬНЫЕ ДАННЫЕ.
ДЕМО, ДО, Зеленый лук,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48" authorId="0">
      <text>
        <r>
          <rPr>
            <sz val="8"/>
            <color indexed="81"/>
            <rFont val="Tahoma"/>
            <family val="2"/>
          </rPr>
          <t>ЗАМЕНИТЕ НА РЕАЛЬНЫЕ ДАННЫЕ.
ДЕМО, ДО, Зеленый лук,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48" authorId="0">
      <text>
        <r>
          <rPr>
            <sz val="8"/>
            <color indexed="81"/>
            <rFont val="Tahoma"/>
            <family val="2"/>
          </rPr>
          <t>ЗАМЕНИТЕ НА РЕАЛЬНЫЕ ДАННЫЕ.
ДЕМО, ДО, Зеленый лук,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48" authorId="0">
      <text>
        <r>
          <rPr>
            <sz val="8"/>
            <color indexed="81"/>
            <rFont val="Tahoma"/>
            <family val="2"/>
          </rPr>
          <t>ЗАМЕНИТЕ НА РЕАЛЬНЫЕ ДАННЫЕ.
ДЕМО, ДО, Зеленый лук,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48" authorId="0">
      <text>
        <r>
          <rPr>
            <sz val="8"/>
            <color indexed="81"/>
            <rFont val="Tahoma"/>
            <family val="2"/>
          </rPr>
          <t>ЗАМЕНИТЕ НА РЕАЛЬНЫЕ ДАННЫЕ.
ДЕМО, ДО, Зеленый лук,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48" authorId="0">
      <text>
        <r>
          <rPr>
            <sz val="8"/>
            <color indexed="81"/>
            <rFont val="Tahoma"/>
            <family val="2"/>
          </rPr>
          <t>ЗАМЕНИТЕ НА РЕАЛЬНЫЕ ДАННЫЕ.
ДЕМО, ДО, Зеленый лук,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48" authorId="0">
      <text>
        <r>
          <rPr>
            <sz val="8"/>
            <color indexed="81"/>
            <rFont val="Tahoma"/>
            <family val="2"/>
          </rPr>
          <t>ЗАМЕНИТЕ НА РЕАЛЬНЫЕ ДАННЫЕ.
ДЕМО, ДО, Зеленый лук,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48" authorId="0">
      <text>
        <r>
          <rPr>
            <sz val="8"/>
            <color indexed="81"/>
            <rFont val="Tahoma"/>
            <family val="2"/>
          </rPr>
          <t>ЗАМЕНИТЕ НА РЕАЛЬНЫЕ ДАННЫЕ.
ДЕМО, ДО, Зеленый лук,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48" authorId="0">
      <text>
        <r>
          <rPr>
            <sz val="8"/>
            <color indexed="81"/>
            <rFont val="Tahoma"/>
            <family val="2"/>
          </rPr>
          <t>ЗАМЕНИТЕ НА РЕАЛЬНЫЕ ДАННЫЕ.
ДЕМО, ДО, Зеленый лук,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48" authorId="0">
      <text>
        <r>
          <rPr>
            <sz val="8"/>
            <color indexed="81"/>
            <rFont val="Tahoma"/>
            <family val="2"/>
          </rPr>
          <t>ЗАМЕНИТЕ НА РЕАЛЬНЫЕ ДАННЫЕ.
ДЕМО, ДО, Зеленый лук,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48" authorId="0">
      <text>
        <r>
          <rPr>
            <sz val="8"/>
            <color indexed="81"/>
            <rFont val="Tahoma"/>
            <family val="2"/>
          </rPr>
          <t>ЗАМЕНИТЕ НА РЕАЛЬНЫЕ ДАННЫЕ.
ДЕМО, ДО, Зеленый лук,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57" authorId="0">
      <text>
        <r>
          <rPr>
            <sz val="8"/>
            <color indexed="81"/>
            <rFont val="Tahoma"/>
            <family val="2"/>
          </rPr>
          <t>ЗАМЕНИТЕ НА РЕАЛЬНЫЕ ДАННЫЕ.
Кинза, цикл 1. 0 исключает все элементы данного цикла, а не один выброс.</t>
        </r>
      </text>
    </comment>
    <comment ref="F157" authorId="0">
      <text>
        <r>
          <rPr>
            <sz val="8"/>
            <color indexed="81"/>
            <rFont val="Tahoma"/>
            <family val="2"/>
          </rPr>
          <t>ЗАМЕНИТЕ НА РЕАЛЬНЫЕ ДАННЫЕ.
Кинза, цикл 2. 0 исключает все элементы данного цикла, а не один выброс.</t>
        </r>
      </text>
    </comment>
    <comment ref="G157" authorId="0">
      <text>
        <r>
          <rPr>
            <sz val="8"/>
            <color indexed="81"/>
            <rFont val="Tahoma"/>
            <family val="2"/>
          </rPr>
          <t>ЗАМЕНИТЕ НА РЕАЛЬНЫЕ ДАННЫЕ.
Кинза, цикл 3. 0 исключает все элементы данного цикла, а не один выброс.</t>
        </r>
      </text>
    </comment>
    <comment ref="H157" authorId="0">
      <text>
        <r>
          <rPr>
            <sz val="8"/>
            <color indexed="81"/>
            <rFont val="Tahoma"/>
            <family val="2"/>
          </rPr>
          <t>ЗАМЕНИТЕ НА РЕАЛЬНЫЕ ДАННЫЕ.
Кинза, цикл 4. 0 исключает все элементы данного цикла, а не один выброс.</t>
        </r>
      </text>
    </comment>
    <comment ref="I157" authorId="0">
      <text>
        <r>
          <rPr>
            <sz val="8"/>
            <color indexed="81"/>
            <rFont val="Tahoma"/>
            <family val="2"/>
          </rPr>
          <t>ЗАМЕНИТЕ НА РЕАЛЬНЫЕ ДАННЫЕ.
Кинза, цикл 5. 0 исключает все элементы данного цикла, а не один выброс.</t>
        </r>
      </text>
    </comment>
    <comment ref="J157" authorId="0">
      <text>
        <r>
          <rPr>
            <sz val="8"/>
            <color indexed="81"/>
            <rFont val="Tahoma"/>
            <family val="2"/>
          </rPr>
          <t>ЗАМЕНИТЕ НА РЕАЛЬНЫЕ ДАННЫЕ.
Кинза, цикл 6. 0 исключает все элементы данного цикла, а не один выброс.</t>
        </r>
      </text>
    </comment>
    <comment ref="K157" authorId="0">
      <text>
        <r>
          <rPr>
            <sz val="8"/>
            <color indexed="81"/>
            <rFont val="Tahoma"/>
            <family val="2"/>
          </rPr>
          <t>ЗАМЕНИТЕ НА РЕАЛЬНЫЕ ДАННЫЕ.
Кинза, цикл 7. 0 исключает все элементы данного цикла, а не один выброс.</t>
        </r>
      </text>
    </comment>
    <comment ref="L157" authorId="0">
      <text>
        <r>
          <rPr>
            <sz val="8"/>
            <color indexed="81"/>
            <rFont val="Tahoma"/>
            <family val="2"/>
          </rPr>
          <t>ЗАМЕНИТЕ НА РЕАЛЬНЫЕ ДАННЫЕ.
Кинза, цикл 8. 0 исключает все элементы данного цикла, а не один выброс.</t>
        </r>
      </text>
    </comment>
    <comment ref="M157" authorId="0">
      <text>
        <r>
          <rPr>
            <sz val="8"/>
            <color indexed="81"/>
            <rFont val="Tahoma"/>
            <family val="2"/>
          </rPr>
          <t>ЗАМЕНИТЕ НА РЕАЛЬНЫЕ ДАННЫЕ.
Кинза, цикл 9. 0 исключает все элементы данного цикла, а не один выброс.</t>
        </r>
      </text>
    </comment>
    <comment ref="N157" authorId="0">
      <text>
        <r>
          <rPr>
            <sz val="8"/>
            <color indexed="81"/>
            <rFont val="Tahoma"/>
            <family val="2"/>
          </rPr>
          <t>ЗАМЕНИТЕ НА РЕАЛЬНЫЕ ДАННЫЕ.
Кинза, цикл 10. 0 исключает все элементы данного цикла, а не один выброс.</t>
        </r>
      </text>
    </comment>
    <comment ref="E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59" authorId="0">
      <text>
        <r>
          <rPr>
            <sz val="8"/>
            <color indexed="81"/>
            <rFont val="Tahoma"/>
            <family val="2"/>
          </rPr>
          <t>ЗАМЕНИТЕ НА РЕАЛЬНЫЕ ДАННЫЕ.
ДЕМО, ДО, Кинза,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59" authorId="0">
      <text>
        <r>
          <rPr>
            <sz val="8"/>
            <color indexed="81"/>
            <rFont val="Tahoma"/>
            <family val="2"/>
          </rPr>
          <t>ЗАМЕНИТЕ НА РЕАЛЬНЫЕ ДАННЫЕ.
ДЕМО, ДО, Кинза,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59" authorId="0">
      <text>
        <r>
          <rPr>
            <sz val="8"/>
            <color indexed="81"/>
            <rFont val="Tahoma"/>
            <family val="2"/>
          </rPr>
          <t>ЗАМЕНИТЕ НА РЕАЛЬНЫЕ ДАННЫЕ.
ДЕМО, ДО, Кинза,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59" authorId="0">
      <text>
        <r>
          <rPr>
            <sz val="8"/>
            <color indexed="81"/>
            <rFont val="Tahoma"/>
            <family val="2"/>
          </rPr>
          <t>ЗАМЕНИТЕ НА РЕАЛЬНЫЕ ДАННЫЕ.
ДЕМО, ДО, Кинза,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59" authorId="0">
      <text>
        <r>
          <rPr>
            <sz val="8"/>
            <color indexed="81"/>
            <rFont val="Tahoma"/>
            <family val="2"/>
          </rPr>
          <t>ЗАМЕНИТЕ НА РЕАЛЬНЫЕ ДАННЫЕ.
ДЕМО, ДО, Кинза,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59" authorId="0">
      <text>
        <r>
          <rPr>
            <sz val="8"/>
            <color indexed="81"/>
            <rFont val="Tahoma"/>
            <family val="2"/>
          </rPr>
          <t>ЗАМЕНИТЕ НА РЕАЛЬНЫЕ ДАННЫЕ.
ДЕМО, ДО, Кинза,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59" authorId="0">
      <text>
        <r>
          <rPr>
            <sz val="8"/>
            <color indexed="81"/>
            <rFont val="Tahoma"/>
            <family val="2"/>
          </rPr>
          <t>ЗАМЕНИТЕ НА РЕАЛЬНЫЕ ДАННЫЕ.
ДЕМО, ДО, Кинза,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59" authorId="0">
      <text>
        <r>
          <rPr>
            <sz val="8"/>
            <color indexed="81"/>
            <rFont val="Tahoma"/>
            <family val="2"/>
          </rPr>
          <t>ЗАМЕНИТЕ НА РЕАЛЬНЫЕ ДАННЫЕ.
ДЕМО, ДО, Кинза,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59" authorId="0">
      <text>
        <r>
          <rPr>
            <sz val="8"/>
            <color indexed="81"/>
            <rFont val="Tahoma"/>
            <family val="2"/>
          </rPr>
          <t>ЗАМЕНИТЕ НА РЕАЛЬНЫЕ ДАННЫЕ.
ДЕМО, ДО, Кинза,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59" authorId="0">
      <text>
        <r>
          <rPr>
            <sz val="8"/>
            <color indexed="81"/>
            <rFont val="Tahoma"/>
            <family val="2"/>
          </rPr>
          <t>ЗАМЕНИТЕ НА РЕАЛЬНЫЕ ДАННЫЕ.
ДЕМО, ДО, Кинза,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60" authorId="0">
      <text>
        <r>
          <rPr>
            <sz val="8"/>
            <color indexed="81"/>
            <rFont val="Tahoma"/>
            <family val="2"/>
          </rPr>
          <t>ЗАМЕНИТЕ НА РЕАЛЬНЫЕ ДАННЫЕ.
ДЕМО, ДО, Кинза,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60" authorId="0">
      <text>
        <r>
          <rPr>
            <sz val="8"/>
            <color indexed="81"/>
            <rFont val="Tahoma"/>
            <family val="2"/>
          </rPr>
          <t>ЗАМЕНИТЕ НА РЕАЛЬНЫЕ ДАННЫЕ.
ДЕМО, ДО, Кинза,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60" authorId="0">
      <text>
        <r>
          <rPr>
            <sz val="8"/>
            <color indexed="81"/>
            <rFont val="Tahoma"/>
            <family val="2"/>
          </rPr>
          <t>ЗАМЕНИТЕ НА РЕАЛЬНЫЕ ДАННЫЕ.
ДЕМО, ДО, Кинза,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60" authorId="0">
      <text>
        <r>
          <rPr>
            <sz val="8"/>
            <color indexed="81"/>
            <rFont val="Tahoma"/>
            <family val="2"/>
          </rPr>
          <t>ЗАМЕНИТЕ НА РЕАЛЬНЫЕ ДАННЫЕ.
ДЕМО, ДО, Кинза,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60" authorId="0">
      <text>
        <r>
          <rPr>
            <sz val="8"/>
            <color indexed="81"/>
            <rFont val="Tahoma"/>
            <family val="2"/>
          </rPr>
          <t>ЗАМЕНИТЕ НА РЕАЛЬНЫЕ ДАННЫЕ.
ДЕМО, ДО, Кинза,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60" authorId="0">
      <text>
        <r>
          <rPr>
            <sz val="8"/>
            <color indexed="81"/>
            <rFont val="Tahoma"/>
            <family val="2"/>
          </rPr>
          <t>ЗАМЕНИТЕ НА РЕАЛЬНЫЕ ДАННЫЕ.
ДЕМО, ДО, Кинза,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60" authorId="0">
      <text>
        <r>
          <rPr>
            <sz val="8"/>
            <color indexed="81"/>
            <rFont val="Tahoma"/>
            <family val="2"/>
          </rPr>
          <t>ЗАМЕНИТЕ НА РЕАЛЬНЫЕ ДАННЫЕ.
ДЕМО, ДО, Кинза,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60" authorId="0">
      <text>
        <r>
          <rPr>
            <sz val="8"/>
            <color indexed="81"/>
            <rFont val="Tahoma"/>
            <family val="2"/>
          </rPr>
          <t>ЗАМЕНИТЕ НА РЕАЛЬНЫЕ ДАННЫЕ.
ДЕМО, ДО, Кинза,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60" authorId="0">
      <text>
        <r>
          <rPr>
            <sz val="8"/>
            <color indexed="81"/>
            <rFont val="Tahoma"/>
            <family val="2"/>
          </rPr>
          <t>ЗАМЕНИТЕ НА РЕАЛЬНЫЕ ДАННЫЕ.
ДЕМО, ДО, Кинза,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60" authorId="0">
      <text>
        <r>
          <rPr>
            <sz val="8"/>
            <color indexed="81"/>
            <rFont val="Tahoma"/>
            <family val="2"/>
          </rPr>
          <t>ЗАМЕНИТЕ НА РЕАЛЬНЫЕ ДАННЫЕ.
ДЕМО, ДО, Кинза,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61" authorId="0">
      <text>
        <r>
          <rPr>
            <sz val="8"/>
            <color indexed="81"/>
            <rFont val="Tahoma"/>
            <family val="2"/>
          </rPr>
          <t>ЗАМЕНИТЕ НА РЕАЛЬНЫЕ ДАННЫЕ.
ДЕМО, ДО, Кинза,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61" authorId="0">
      <text>
        <r>
          <rPr>
            <sz val="8"/>
            <color indexed="81"/>
            <rFont val="Tahoma"/>
            <family val="2"/>
          </rPr>
          <t>ЗАМЕНИТЕ НА РЕАЛЬНЫЕ ДАННЫЕ.
ДЕМО, ДО, Кинза,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61" authorId="0">
      <text>
        <r>
          <rPr>
            <sz val="8"/>
            <color indexed="81"/>
            <rFont val="Tahoma"/>
            <family val="2"/>
          </rPr>
          <t>ЗАМЕНИТЕ НА РЕАЛЬНЫЕ ДАННЫЕ.
ДЕМО, ДО, Кинза,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61" authorId="0">
      <text>
        <r>
          <rPr>
            <sz val="8"/>
            <color indexed="81"/>
            <rFont val="Tahoma"/>
            <family val="2"/>
          </rPr>
          <t>ЗАМЕНИТЕ НА РЕАЛЬНЫЕ ДАННЫЕ.
ДЕМО, ДО, Кинза,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61" authorId="0">
      <text>
        <r>
          <rPr>
            <sz val="8"/>
            <color indexed="81"/>
            <rFont val="Tahoma"/>
            <family val="2"/>
          </rPr>
          <t>ЗАМЕНИТЕ НА РЕАЛЬНЫЕ ДАННЫЕ.
ДЕМО, ДО, Кинза,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61" authorId="0">
      <text>
        <r>
          <rPr>
            <sz val="8"/>
            <color indexed="81"/>
            <rFont val="Tahoma"/>
            <family val="2"/>
          </rPr>
          <t>ЗАМЕНИТЕ НА РЕАЛЬНЫЕ ДАННЫЕ.
ДЕМО, ДО, Кинза,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61" authorId="0">
      <text>
        <r>
          <rPr>
            <sz val="8"/>
            <color indexed="81"/>
            <rFont val="Tahoma"/>
            <family val="2"/>
          </rPr>
          <t>ЗАМЕНИТЕ НА РЕАЛЬНЫЕ ДАННЫЕ.
ДЕМО, ДО, Кинза,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61" authorId="0">
      <text>
        <r>
          <rPr>
            <sz val="8"/>
            <color indexed="81"/>
            <rFont val="Tahoma"/>
            <family val="2"/>
          </rPr>
          <t>ЗАМЕНИТЕ НА РЕАЛЬНЫЕ ДАННЫЕ.
ДЕМО, ДО, Кинза,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61" authorId="0">
      <text>
        <r>
          <rPr>
            <sz val="8"/>
            <color indexed="81"/>
            <rFont val="Tahoma"/>
            <family val="2"/>
          </rPr>
          <t>ЗАМЕНИТЕ НА РЕАЛЬНЫЕ ДАННЫЕ.
ДЕМО, ДО, Кинза,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61" authorId="0">
      <text>
        <r>
          <rPr>
            <sz val="8"/>
            <color indexed="81"/>
            <rFont val="Tahoma"/>
            <family val="2"/>
          </rPr>
          <t>ЗАМЕНИТЕ НА РЕАЛЬНЫЕ ДАННЫЕ.
ДЕМО, ДО, Кинза,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62" authorId="0">
      <text>
        <r>
          <rPr>
            <sz val="8"/>
            <color indexed="81"/>
            <rFont val="Tahoma"/>
            <family val="2"/>
          </rPr>
          <t>ЗАМЕНИТЕ НА РЕАЛЬНЫЕ ДАННЫЕ.
ДЕМО, ДО, Кинза,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62" authorId="0">
      <text>
        <r>
          <rPr>
            <sz val="8"/>
            <color indexed="81"/>
            <rFont val="Tahoma"/>
            <family val="2"/>
          </rPr>
          <t>ЗАМЕНИТЕ НА РЕАЛЬНЫЕ ДАННЫЕ.
ДЕМО, ДО, Кинза,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62" authorId="0">
      <text>
        <r>
          <rPr>
            <sz val="8"/>
            <color indexed="81"/>
            <rFont val="Tahoma"/>
            <family val="2"/>
          </rPr>
          <t>ЗАМЕНИТЕ НА РЕАЛЬНЫЕ ДАННЫЕ.
ДЕМО, ДО, Кинза,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62" authorId="0">
      <text>
        <r>
          <rPr>
            <sz val="8"/>
            <color indexed="81"/>
            <rFont val="Tahoma"/>
            <family val="2"/>
          </rPr>
          <t>ЗАМЕНИТЕ НА РЕАЛЬНЫЕ ДАННЫЕ.
ДЕМО, ДО, Кинза,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62" authorId="0">
      <text>
        <r>
          <rPr>
            <sz val="8"/>
            <color indexed="81"/>
            <rFont val="Tahoma"/>
            <family val="2"/>
          </rPr>
          <t>ЗАМЕНИТЕ НА РЕАЛЬНЫЕ ДАННЫЕ.
ДЕМО, ДО, Кинза,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62" authorId="0">
      <text>
        <r>
          <rPr>
            <sz val="8"/>
            <color indexed="81"/>
            <rFont val="Tahoma"/>
            <family val="2"/>
          </rPr>
          <t>ЗАМЕНИТЕ НА РЕАЛЬНЫЕ ДАННЫЕ.
ДЕМО, ДО, Кинза,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62" authorId="0">
      <text>
        <r>
          <rPr>
            <sz val="8"/>
            <color indexed="81"/>
            <rFont val="Tahoma"/>
            <family val="2"/>
          </rPr>
          <t>ЗАМЕНИТЕ НА РЕАЛЬНЫЕ ДАННЫЕ.
ДЕМО, ДО, Кинза,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62" authorId="0">
      <text>
        <r>
          <rPr>
            <sz val="8"/>
            <color indexed="81"/>
            <rFont val="Tahoma"/>
            <family val="2"/>
          </rPr>
          <t>ЗАМЕНИТЕ НА РЕАЛЬНЫЕ ДАННЫЕ.
ДЕМО, ДО, Кинза,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62" authorId="0">
      <text>
        <r>
          <rPr>
            <sz val="8"/>
            <color indexed="81"/>
            <rFont val="Tahoma"/>
            <family val="2"/>
          </rPr>
          <t>ЗАМЕНИТЕ НА РЕАЛЬНЫЕ ДАННЫЕ.
ДЕМО, ДО, Кинза,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62" authorId="0">
      <text>
        <r>
          <rPr>
            <sz val="8"/>
            <color indexed="81"/>
            <rFont val="Tahoma"/>
            <family val="2"/>
          </rPr>
          <t>ЗАМЕНИТЕ НА РЕАЛЬНЫЕ ДАННЫЕ.
ДЕМО, ДО, Кинза,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63" authorId="0">
      <text>
        <r>
          <rPr>
            <sz val="8"/>
            <color indexed="81"/>
            <rFont val="Tahoma"/>
            <family val="2"/>
          </rPr>
          <t>ЗАМЕНИТЕ НА РЕАЛЬНЫЕ ДАННЫЕ.
ДЕМО, ДО, Кинза,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63" authorId="0">
      <text>
        <r>
          <rPr>
            <sz val="8"/>
            <color indexed="81"/>
            <rFont val="Tahoma"/>
            <family val="2"/>
          </rPr>
          <t>ЗАМЕНИТЕ НА РЕАЛЬНЫЕ ДАННЫЕ.
ДЕМО, ДО, Кинза,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63" authorId="0">
      <text>
        <r>
          <rPr>
            <sz val="8"/>
            <color indexed="81"/>
            <rFont val="Tahoma"/>
            <family val="2"/>
          </rPr>
          <t>ЗАМЕНИТЕ НА РЕАЛЬНЫЕ ДАННЫЕ.
ДЕМО, ДО, Кинза,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63" authorId="0">
      <text>
        <r>
          <rPr>
            <sz val="8"/>
            <color indexed="81"/>
            <rFont val="Tahoma"/>
            <family val="2"/>
          </rPr>
          <t>ЗАМЕНИТЕ НА РЕАЛЬНЫЕ ДАННЫЕ.
ДЕМО, ДО, Кинза,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63" authorId="0">
      <text>
        <r>
          <rPr>
            <sz val="8"/>
            <color indexed="81"/>
            <rFont val="Tahoma"/>
            <family val="2"/>
          </rPr>
          <t>ЗАМЕНИТЕ НА РЕАЛЬНЫЕ ДАННЫЕ.
ДЕМО, ДО, Кинза,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63" authorId="0">
      <text>
        <r>
          <rPr>
            <sz val="8"/>
            <color indexed="81"/>
            <rFont val="Tahoma"/>
            <family val="2"/>
          </rPr>
          <t>ЗАМЕНИТЕ НА РЕАЛЬНЫЕ ДАННЫЕ.
ДЕМО, ДО, Кинза,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63" authorId="0">
      <text>
        <r>
          <rPr>
            <sz val="8"/>
            <color indexed="81"/>
            <rFont val="Tahoma"/>
            <family val="2"/>
          </rPr>
          <t>ЗАМЕНИТЕ НА РЕАЛЬНЫЕ ДАННЫЕ.
ДЕМО, ДО, Кинза,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63" authorId="0">
      <text>
        <r>
          <rPr>
            <sz val="8"/>
            <color indexed="81"/>
            <rFont val="Tahoma"/>
            <family val="2"/>
          </rPr>
          <t>ЗАМЕНИТЕ НА РЕАЛЬНЫЕ ДАННЫЕ.
ДЕМО, ДО, Кинза,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63" authorId="0">
      <text>
        <r>
          <rPr>
            <sz val="8"/>
            <color indexed="81"/>
            <rFont val="Tahoma"/>
            <family val="2"/>
          </rPr>
          <t>ЗАМЕНИТЕ НА РЕАЛЬНЫЕ ДАННЫЕ.
ДЕМО, ДО, Кинза,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63" authorId="0">
      <text>
        <r>
          <rPr>
            <sz val="8"/>
            <color indexed="81"/>
            <rFont val="Tahoma"/>
            <family val="2"/>
          </rPr>
          <t>ЗАМЕНИТЕ НА РЕАЛЬНЫЕ ДАННЫЕ.
ДЕМО, ДО, Кинза,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65" authorId="0">
      <text>
        <r>
          <rPr>
            <sz val="8"/>
            <color indexed="81"/>
            <rFont val="Tahoma"/>
            <family val="2"/>
          </rPr>
          <t>ЗАМЕНИТЕ НА РЕАЛЬНЫЕ ДАННЫЕ.
ДЕМО, ДО, Кинза,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65" authorId="0">
      <text>
        <r>
          <rPr>
            <sz val="8"/>
            <color indexed="81"/>
            <rFont val="Tahoma"/>
            <family val="2"/>
          </rPr>
          <t>ЗАМЕНИТЕ НА РЕАЛЬНЫЕ ДАННЫЕ.
ДЕМО, ДО, Кинза,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65" authorId="0">
      <text>
        <r>
          <rPr>
            <sz val="8"/>
            <color indexed="81"/>
            <rFont val="Tahoma"/>
            <family val="2"/>
          </rPr>
          <t>ЗАМЕНИТЕ НА РЕАЛЬНЫЕ ДАННЫЕ.
ДЕМО, ДО, Кинза,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65" authorId="0">
      <text>
        <r>
          <rPr>
            <sz val="8"/>
            <color indexed="81"/>
            <rFont val="Tahoma"/>
            <family val="2"/>
          </rPr>
          <t>ЗАМЕНИТЕ НА РЕАЛЬНЫЕ ДАННЫЕ.
ДЕМО, ДО, Кинза,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65" authorId="0">
      <text>
        <r>
          <rPr>
            <sz val="8"/>
            <color indexed="81"/>
            <rFont val="Tahoma"/>
            <family val="2"/>
          </rPr>
          <t>ЗАМЕНИТЕ НА РЕАЛЬНЫЕ ДАННЫЕ.
ДЕМО, ДО, Кинза,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65" authorId="0">
      <text>
        <r>
          <rPr>
            <sz val="8"/>
            <color indexed="81"/>
            <rFont val="Tahoma"/>
            <family val="2"/>
          </rPr>
          <t>ЗАМЕНИТЕ НА РЕАЛЬНЫЕ ДАННЫЕ.
ДЕМО, ДО, Кинза,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65" authorId="0">
      <text>
        <r>
          <rPr>
            <sz val="8"/>
            <color indexed="81"/>
            <rFont val="Tahoma"/>
            <family val="2"/>
          </rPr>
          <t>ЗАМЕНИТЕ НА РЕАЛЬНЫЕ ДАННЫЕ.
ДЕМО, ДО, Кинза,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65" authorId="0">
      <text>
        <r>
          <rPr>
            <sz val="8"/>
            <color indexed="81"/>
            <rFont val="Tahoma"/>
            <family val="2"/>
          </rPr>
          <t>ЗАМЕНИТЕ НА РЕАЛЬНЫЕ ДАННЫЕ.
ДЕМО, ДО, Кинза,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65" authorId="0">
      <text>
        <r>
          <rPr>
            <sz val="8"/>
            <color indexed="81"/>
            <rFont val="Tahoma"/>
            <family val="2"/>
          </rPr>
          <t>ЗАМЕНИТЕ НА РЕАЛЬНЫЕ ДАННЫЕ.
ДЕМО, ДО, Кинза,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65" authorId="0">
      <text>
        <r>
          <rPr>
            <sz val="8"/>
            <color indexed="81"/>
            <rFont val="Tahoma"/>
            <family val="2"/>
          </rPr>
          <t>ЗАМЕНИТЕ НА РЕАЛЬНЫЕ ДАННЫЕ.
ДЕМО, ДО, Кинза,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66" authorId="0">
      <text>
        <r>
          <rPr>
            <sz val="8"/>
            <color indexed="81"/>
            <rFont val="Tahoma"/>
            <family val="2"/>
          </rPr>
          <t>ЗАМЕНИТЕ НА РЕАЛЬНЫЕ ДАННЫЕ.
ДЕМО, ДО, Кинза,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66" authorId="0">
      <text>
        <r>
          <rPr>
            <sz val="8"/>
            <color indexed="81"/>
            <rFont val="Tahoma"/>
            <family val="2"/>
          </rPr>
          <t>ЗАМЕНИТЕ НА РЕАЛЬНЫЕ ДАННЫЕ.
ДЕМО, ДО, Кинза,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66" authorId="0">
      <text>
        <r>
          <rPr>
            <sz val="8"/>
            <color indexed="81"/>
            <rFont val="Tahoma"/>
            <family val="2"/>
          </rPr>
          <t>ЗАМЕНИТЕ НА РЕАЛЬНЫЕ ДАННЫЕ.
ДЕМО, ДО, Кинза,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66" authorId="0">
      <text>
        <r>
          <rPr>
            <sz val="8"/>
            <color indexed="81"/>
            <rFont val="Tahoma"/>
            <family val="2"/>
          </rPr>
          <t>ЗАМЕНИТЕ НА РЕАЛЬНЫЕ ДАННЫЕ.
ДЕМО, ДО, Кинза,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66" authorId="0">
      <text>
        <r>
          <rPr>
            <sz val="8"/>
            <color indexed="81"/>
            <rFont val="Tahoma"/>
            <family val="2"/>
          </rPr>
          <t>ЗАМЕНИТЕ НА РЕАЛЬНЫЕ ДАННЫЕ.
ДЕМО, ДО, Кинза,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66" authorId="0">
      <text>
        <r>
          <rPr>
            <sz val="8"/>
            <color indexed="81"/>
            <rFont val="Tahoma"/>
            <family val="2"/>
          </rPr>
          <t>ЗАМЕНИТЕ НА РЕАЛЬНЫЕ ДАННЫЕ.
ДЕМО, ДО, Кинза,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66" authorId="0">
      <text>
        <r>
          <rPr>
            <sz val="8"/>
            <color indexed="81"/>
            <rFont val="Tahoma"/>
            <family val="2"/>
          </rPr>
          <t>ЗАМЕНИТЕ НА РЕАЛЬНЫЕ ДАННЫЕ.
ДЕМО, ДО, Кинза,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66" authorId="0">
      <text>
        <r>
          <rPr>
            <sz val="8"/>
            <color indexed="81"/>
            <rFont val="Tahoma"/>
            <family val="2"/>
          </rPr>
          <t>ЗАМЕНИТЕ НА РЕАЛЬНЫЕ ДАННЫЕ.
ДЕМО, ДО, Кинза,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66" authorId="0">
      <text>
        <r>
          <rPr>
            <sz val="8"/>
            <color indexed="81"/>
            <rFont val="Tahoma"/>
            <family val="2"/>
          </rPr>
          <t>ЗАМЕНИТЕ НА РЕАЛЬНЫЕ ДАННЫЕ.
ДЕМО, ДО, Кинза,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66" authorId="0">
      <text>
        <r>
          <rPr>
            <sz val="8"/>
            <color indexed="81"/>
            <rFont val="Tahoma"/>
            <family val="2"/>
          </rPr>
          <t>ЗАМЕНИТЕ НА РЕАЛЬНЫЕ ДАННЫЕ.
ДЕМО, ДО, Кинза,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67" authorId="0">
      <text>
        <r>
          <rPr>
            <sz val="8"/>
            <color indexed="81"/>
            <rFont val="Tahoma"/>
            <family val="2"/>
          </rPr>
          <t>ЗАМЕНИТЕ НА РЕАЛЬНЫЕ ДАННЫЕ.
ДЕМО, ДО, Кинза,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67" authorId="0">
      <text>
        <r>
          <rPr>
            <sz val="8"/>
            <color indexed="81"/>
            <rFont val="Tahoma"/>
            <family val="2"/>
          </rPr>
          <t>ЗАМЕНИТЕ НА РЕАЛЬНЫЕ ДАННЫЕ.
ДЕМО, ДО, Кинза,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67" authorId="0">
      <text>
        <r>
          <rPr>
            <sz val="8"/>
            <color indexed="81"/>
            <rFont val="Tahoma"/>
            <family val="2"/>
          </rPr>
          <t>ЗАМЕНИТЕ НА РЕАЛЬНЫЕ ДАННЫЕ.
ДЕМО, ДО, Кинза,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67" authorId="0">
      <text>
        <r>
          <rPr>
            <sz val="8"/>
            <color indexed="81"/>
            <rFont val="Tahoma"/>
            <family val="2"/>
          </rPr>
          <t>ЗАМЕНИТЕ НА РЕАЛЬНЫЕ ДАННЫЕ.
ДЕМО, ДО, Кинза,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67" authorId="0">
      <text>
        <r>
          <rPr>
            <sz val="8"/>
            <color indexed="81"/>
            <rFont val="Tahoma"/>
            <family val="2"/>
          </rPr>
          <t>ЗАМЕНИТЕ НА РЕАЛЬНЫЕ ДАННЫЕ.
ДЕМО, ДО, Кинза,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67" authorId="0">
      <text>
        <r>
          <rPr>
            <sz val="8"/>
            <color indexed="81"/>
            <rFont val="Tahoma"/>
            <family val="2"/>
          </rPr>
          <t>ЗАМЕНИТЕ НА РЕАЛЬНЫЕ ДАННЫЕ.
ДЕМО, ДО, Кинза,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67" authorId="0">
      <text>
        <r>
          <rPr>
            <sz val="8"/>
            <color indexed="81"/>
            <rFont val="Tahoma"/>
            <family val="2"/>
          </rPr>
          <t>ЗАМЕНИТЕ НА РЕАЛЬНЫЕ ДАННЫЕ.
ДЕМО, ДО, Кинза,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67" authorId="0">
      <text>
        <r>
          <rPr>
            <sz val="8"/>
            <color indexed="81"/>
            <rFont val="Tahoma"/>
            <family val="2"/>
          </rPr>
          <t>ЗАМЕНИТЕ НА РЕАЛЬНЫЕ ДАННЫЕ.
ДЕМО, ДО, Кинза,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67" authorId="0">
      <text>
        <r>
          <rPr>
            <sz val="8"/>
            <color indexed="81"/>
            <rFont val="Tahoma"/>
            <family val="2"/>
          </rPr>
          <t>ЗАМЕНИТЕ НА РЕАЛЬНЫЕ ДАННЫЕ.
ДЕМО, ДО, Кинза,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67" authorId="0">
      <text>
        <r>
          <rPr>
            <sz val="8"/>
            <color indexed="81"/>
            <rFont val="Tahoma"/>
            <family val="2"/>
          </rPr>
          <t>ЗАМЕНИТЕ НА РЕАЛЬНЫЕ ДАННЫЕ.
ДЕМО, ДО, Кинза,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68" authorId="0">
      <text>
        <r>
          <rPr>
            <sz val="8"/>
            <color indexed="81"/>
            <rFont val="Tahoma"/>
            <family val="2"/>
          </rPr>
          <t>ЗАМЕНИТЕ НА РЕАЛЬНЫЕ ДАННЫЕ.
ДЕМО, ДО, Кинза,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68" authorId="0">
      <text>
        <r>
          <rPr>
            <sz val="8"/>
            <color indexed="81"/>
            <rFont val="Tahoma"/>
            <family val="2"/>
          </rPr>
          <t>ЗАМЕНИТЕ НА РЕАЛЬНЫЕ ДАННЫЕ.
ДЕМО, ДО, Кинза,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68" authorId="0">
      <text>
        <r>
          <rPr>
            <sz val="8"/>
            <color indexed="81"/>
            <rFont val="Tahoma"/>
            <family val="2"/>
          </rPr>
          <t>ЗАМЕНИТЕ НА РЕАЛЬНЫЕ ДАННЫЕ.
ДЕМО, ДО, Кинза,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68" authorId="0">
      <text>
        <r>
          <rPr>
            <sz val="8"/>
            <color indexed="81"/>
            <rFont val="Tahoma"/>
            <family val="2"/>
          </rPr>
          <t>ЗАМЕНИТЕ НА РЕАЛЬНЫЕ ДАННЫЕ.
ДЕМО, ДО, Кинза,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68" authorId="0">
      <text>
        <r>
          <rPr>
            <sz val="8"/>
            <color indexed="81"/>
            <rFont val="Tahoma"/>
            <family val="2"/>
          </rPr>
          <t>ЗАМЕНИТЕ НА РЕАЛЬНЫЕ ДАННЫЕ.
ДЕМО, ДО, Кинза,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68" authorId="0">
      <text>
        <r>
          <rPr>
            <sz val="8"/>
            <color indexed="81"/>
            <rFont val="Tahoma"/>
            <family val="2"/>
          </rPr>
          <t>ЗАМЕНИТЕ НА РЕАЛЬНЫЕ ДАННЫЕ.
ДЕМО, ДО, Кинза,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68" authorId="0">
      <text>
        <r>
          <rPr>
            <sz val="8"/>
            <color indexed="81"/>
            <rFont val="Tahoma"/>
            <family val="2"/>
          </rPr>
          <t>ЗАМЕНИТЕ НА РЕАЛЬНЫЕ ДАННЫЕ.
ДЕМО, ДО, Кинза,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68" authorId="0">
      <text>
        <r>
          <rPr>
            <sz val="8"/>
            <color indexed="81"/>
            <rFont val="Tahoma"/>
            <family val="2"/>
          </rPr>
          <t>ЗАМЕНИТЕ НА РЕАЛЬНЫЕ ДАННЫЕ.
ДЕМО, ДО, Кинза,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68" authorId="0">
      <text>
        <r>
          <rPr>
            <sz val="8"/>
            <color indexed="81"/>
            <rFont val="Tahoma"/>
            <family val="2"/>
          </rPr>
          <t>ЗАМЕНИТЕ НА РЕАЛЬНЫЕ ДАННЫЕ.
ДЕМО, ДО, Кинза,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68" authorId="0">
      <text>
        <r>
          <rPr>
            <sz val="8"/>
            <color indexed="81"/>
            <rFont val="Tahoma"/>
            <family val="2"/>
          </rPr>
          <t>ЗАМЕНИТЕ НА РЕАЛЬНЫЕ ДАННЫЕ.
ДЕМО, ДО, Кинза,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69" authorId="0">
      <text>
        <r>
          <rPr>
            <sz val="8"/>
            <color indexed="81"/>
            <rFont val="Tahoma"/>
            <family val="2"/>
          </rPr>
          <t>ЗАМЕНИТЕ НА РЕАЛЬНЫЕ ДАННЫЕ.
ДЕМО, ДО, Кинза,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69" authorId="0">
      <text>
        <r>
          <rPr>
            <sz val="8"/>
            <color indexed="81"/>
            <rFont val="Tahoma"/>
            <family val="2"/>
          </rPr>
          <t>ЗАМЕНИТЕ НА РЕАЛЬНЫЕ ДАННЫЕ.
ДЕМО, ДО, Кинза,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69" authorId="0">
      <text>
        <r>
          <rPr>
            <sz val="8"/>
            <color indexed="81"/>
            <rFont val="Tahoma"/>
            <family val="2"/>
          </rPr>
          <t>ЗАМЕНИТЕ НА РЕАЛЬНЫЕ ДАННЫЕ.
ДЕМО, ДО, Кинза,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69" authorId="0">
      <text>
        <r>
          <rPr>
            <sz val="8"/>
            <color indexed="81"/>
            <rFont val="Tahoma"/>
            <family val="2"/>
          </rPr>
          <t>ЗАМЕНИТЕ НА РЕАЛЬНЫЕ ДАННЫЕ.
ДЕМО, ДО, Кинза,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69" authorId="0">
      <text>
        <r>
          <rPr>
            <sz val="8"/>
            <color indexed="81"/>
            <rFont val="Tahoma"/>
            <family val="2"/>
          </rPr>
          <t>ЗАМЕНИТЕ НА РЕАЛЬНЫЕ ДАННЫЕ.
ДЕМО, ДО, Кинза,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69" authorId="0">
      <text>
        <r>
          <rPr>
            <sz val="8"/>
            <color indexed="81"/>
            <rFont val="Tahoma"/>
            <family val="2"/>
          </rPr>
          <t>ЗАМЕНИТЕ НА РЕАЛЬНЫЕ ДАННЫЕ.
ДЕМО, ДО, Кинза,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69" authorId="0">
      <text>
        <r>
          <rPr>
            <sz val="8"/>
            <color indexed="81"/>
            <rFont val="Tahoma"/>
            <family val="2"/>
          </rPr>
          <t>ЗАМЕНИТЕ НА РЕАЛЬНЫЕ ДАННЫЕ.
ДЕМО, ДО, Кинза,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69" authorId="0">
      <text>
        <r>
          <rPr>
            <sz val="8"/>
            <color indexed="81"/>
            <rFont val="Tahoma"/>
            <family val="2"/>
          </rPr>
          <t>ЗАМЕНИТЕ НА РЕАЛЬНЫЕ ДАННЫЕ.
ДЕМО, ДО, Кинза,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69" authorId="0">
      <text>
        <r>
          <rPr>
            <sz val="8"/>
            <color indexed="81"/>
            <rFont val="Tahoma"/>
            <family val="2"/>
          </rPr>
          <t>ЗАМЕНИТЕ НА РЕАЛЬНЫЕ ДАННЫЕ.
ДЕМО, ДО, Кинза,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69" authorId="0">
      <text>
        <r>
          <rPr>
            <sz val="8"/>
            <color indexed="81"/>
            <rFont val="Tahoma"/>
            <family val="2"/>
          </rPr>
          <t>ЗАМЕНИТЕ НА РЕАЛЬНЫЕ ДАННЫЕ.
ДЕМО, ДО, Кинза,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78" authorId="0">
      <text>
        <r>
          <rPr>
            <sz val="8"/>
            <color indexed="81"/>
            <rFont val="Tahoma"/>
            <family val="2"/>
          </rPr>
          <t>ЗАМЕНИТЕ НА РЕАЛЬНЫЕ ДАННЫЕ.
Шампиньоны, цикл 1. 0 исключает все элементы данного цикла, а не один выброс.</t>
        </r>
      </text>
    </comment>
    <comment ref="F178" authorId="0">
      <text>
        <r>
          <rPr>
            <sz val="8"/>
            <color indexed="81"/>
            <rFont val="Tahoma"/>
            <family val="2"/>
          </rPr>
          <t>ЗАМЕНИТЕ НА РЕАЛЬНЫЕ ДАННЫЕ.
Шампиньоны, цикл 2. 0 исключает все элементы данного цикла, а не один выброс.</t>
        </r>
      </text>
    </comment>
    <comment ref="G178" authorId="0">
      <text>
        <r>
          <rPr>
            <sz val="8"/>
            <color indexed="81"/>
            <rFont val="Tahoma"/>
            <family val="2"/>
          </rPr>
          <t>ЗАМЕНИТЕ НА РЕАЛЬНЫЕ ДАННЫЕ.
Шампиньоны, цикл 3. 0 исключает все элементы данного цикла, а не один выброс.</t>
        </r>
      </text>
    </comment>
    <comment ref="H178" authorId="0">
      <text>
        <r>
          <rPr>
            <sz val="8"/>
            <color indexed="81"/>
            <rFont val="Tahoma"/>
            <family val="2"/>
          </rPr>
          <t>ЗАМЕНИТЕ НА РЕАЛЬНЫЕ ДАННЫЕ.
Шампиньоны, цикл 4. 0 исключает все элементы данного цикла, а не один выброс.</t>
        </r>
      </text>
    </comment>
    <comment ref="I178" authorId="0">
      <text>
        <r>
          <rPr>
            <sz val="8"/>
            <color indexed="81"/>
            <rFont val="Tahoma"/>
            <family val="2"/>
          </rPr>
          <t>ЗАМЕНИТЕ НА РЕАЛЬНЫЕ ДАННЫЕ.
Шампиньоны, цикл 5. 0 исключает все элементы данного цикла, а не один выброс.</t>
        </r>
      </text>
    </comment>
    <comment ref="J178" authorId="0">
      <text>
        <r>
          <rPr>
            <sz val="8"/>
            <color indexed="81"/>
            <rFont val="Tahoma"/>
            <family val="2"/>
          </rPr>
          <t>ЗАМЕНИТЕ НА РЕАЛЬНЫЕ ДАННЫЕ.
Шампиньоны, цикл 6. 0 исключает все элементы данного цикла, а не один выброс.</t>
        </r>
      </text>
    </comment>
    <comment ref="K178" authorId="0">
      <text>
        <r>
          <rPr>
            <sz val="8"/>
            <color indexed="81"/>
            <rFont val="Tahoma"/>
            <family val="2"/>
          </rPr>
          <t>ЗАМЕНИТЕ НА РЕАЛЬНЫЕ ДАННЫЕ.
Шампиньоны, цикл 7. 0 исключает все элементы данного цикла, а не один выброс.</t>
        </r>
      </text>
    </comment>
    <comment ref="L178" authorId="0">
      <text>
        <r>
          <rPr>
            <sz val="8"/>
            <color indexed="81"/>
            <rFont val="Tahoma"/>
            <family val="2"/>
          </rPr>
          <t>ЗАМЕНИТЕ НА РЕАЛЬНЫЕ ДАННЫЕ.
Шампиньоны, цикл 8. 0 исключает все элементы данного цикла, а не один выброс.</t>
        </r>
      </text>
    </comment>
    <comment ref="M178" authorId="0">
      <text>
        <r>
          <rPr>
            <sz val="8"/>
            <color indexed="81"/>
            <rFont val="Tahoma"/>
            <family val="2"/>
          </rPr>
          <t>ЗАМЕНИТЕ НА РЕАЛЬНЫЕ ДАННЫЕ.
Шампиньоны, цикл 9. 0 исключает все элементы данного цикла, а не один выброс.</t>
        </r>
      </text>
    </comment>
    <comment ref="N178" authorId="0">
      <text>
        <r>
          <rPr>
            <sz val="8"/>
            <color indexed="81"/>
            <rFont val="Tahoma"/>
            <family val="2"/>
          </rPr>
          <t>ЗАМЕНИТЕ НА РЕАЛЬНЫЕ ДАННЫЕ.
Шампиньоны, цикл 10. 0 исключает все элементы данного цикла, а не один выброс.</t>
        </r>
      </text>
    </comment>
    <comment ref="E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80" authorId="0">
      <text>
        <r>
          <rPr>
            <sz val="8"/>
            <color indexed="81"/>
            <rFont val="Tahoma"/>
            <family val="2"/>
          </rPr>
          <t>ЗАМЕНИТЕ НА РЕАЛЬНЫЕ ДАННЫЕ.
ДЕМО, ДО, Шампиньоны,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80" authorId="0">
      <text>
        <r>
          <rPr>
            <sz val="8"/>
            <color indexed="81"/>
            <rFont val="Tahoma"/>
            <family val="2"/>
          </rPr>
          <t>ЗАМЕНИТЕ НА РЕАЛЬНЫЕ ДАННЫЕ.
ДЕМО, ДО, Шампиньоны,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80" authorId="0">
      <text>
        <r>
          <rPr>
            <sz val="8"/>
            <color indexed="81"/>
            <rFont val="Tahoma"/>
            <family val="2"/>
          </rPr>
          <t>ЗАМЕНИТЕ НА РЕАЛЬНЫЕ ДАННЫЕ.
ДЕМО, ДО, Шампиньоны,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80" authorId="0">
      <text>
        <r>
          <rPr>
            <sz val="8"/>
            <color indexed="81"/>
            <rFont val="Tahoma"/>
            <family val="2"/>
          </rPr>
          <t>ЗАМЕНИТЕ НА РЕАЛЬНЫЕ ДАННЫЕ.
ДЕМО, ДО, Шампиньоны,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80" authorId="0">
      <text>
        <r>
          <rPr>
            <sz val="8"/>
            <color indexed="81"/>
            <rFont val="Tahoma"/>
            <family val="2"/>
          </rPr>
          <t>ЗАМЕНИТЕ НА РЕАЛЬНЫЕ ДАННЫЕ.
ДЕМО, ДО, Шампиньоны,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80" authorId="0">
      <text>
        <r>
          <rPr>
            <sz val="8"/>
            <color indexed="81"/>
            <rFont val="Tahoma"/>
            <family val="2"/>
          </rPr>
          <t>ЗАМЕНИТЕ НА РЕАЛЬНЫЕ ДАННЫЕ.
ДЕМО, ДО, Шампиньоны,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80" authorId="0">
      <text>
        <r>
          <rPr>
            <sz val="8"/>
            <color indexed="81"/>
            <rFont val="Tahoma"/>
            <family val="2"/>
          </rPr>
          <t>ЗАМЕНИТЕ НА РЕАЛЬНЫЕ ДАННЫЕ.
ДЕМО, ДО, Шампиньоны,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80" authorId="0">
      <text>
        <r>
          <rPr>
            <sz val="8"/>
            <color indexed="81"/>
            <rFont val="Tahoma"/>
            <family val="2"/>
          </rPr>
          <t>ЗАМЕНИТЕ НА РЕАЛЬНЫЕ ДАННЫЕ.
ДЕМО, ДО, Шампиньоны,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80" authorId="0">
      <text>
        <r>
          <rPr>
            <sz val="8"/>
            <color indexed="81"/>
            <rFont val="Tahoma"/>
            <family val="2"/>
          </rPr>
          <t>ЗАМЕНИТЕ НА РЕАЛЬНЫЕ ДАННЫЕ.
ДЕМО, ДО, Шампиньоны,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80" authorId="0">
      <text>
        <r>
          <rPr>
            <sz val="8"/>
            <color indexed="81"/>
            <rFont val="Tahoma"/>
            <family val="2"/>
          </rPr>
          <t>ЗАМЕНИТЕ НА РЕАЛЬНЫЕ ДАННЫЕ.
ДЕМО, ДО, Шампиньоны,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81" authorId="0">
      <text>
        <r>
          <rPr>
            <sz val="8"/>
            <color indexed="81"/>
            <rFont val="Tahoma"/>
            <family val="2"/>
          </rPr>
          <t>ЗАМЕНИТЕ НА РЕАЛЬНЫЕ ДАННЫЕ.
ДЕМО, ДО, Шампиньоны,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81" authorId="0">
      <text>
        <r>
          <rPr>
            <sz val="8"/>
            <color indexed="81"/>
            <rFont val="Tahoma"/>
            <family val="2"/>
          </rPr>
          <t>ЗАМЕНИТЕ НА РЕАЛЬНЫЕ ДАННЫЕ.
ДЕМО, ДО, Шампиньоны,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81" authorId="0">
      <text>
        <r>
          <rPr>
            <sz val="8"/>
            <color indexed="81"/>
            <rFont val="Tahoma"/>
            <family val="2"/>
          </rPr>
          <t>ЗАМЕНИТЕ НА РЕАЛЬНЫЕ ДАННЫЕ.
ДЕМО, ДО, Шампиньоны,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81" authorId="0">
      <text>
        <r>
          <rPr>
            <sz val="8"/>
            <color indexed="81"/>
            <rFont val="Tahoma"/>
            <family val="2"/>
          </rPr>
          <t>ЗАМЕНИТЕ НА РЕАЛЬНЫЕ ДАННЫЕ.
ДЕМО, ДО, Шампиньоны,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81" authorId="0">
      <text>
        <r>
          <rPr>
            <sz val="8"/>
            <color indexed="81"/>
            <rFont val="Tahoma"/>
            <family val="2"/>
          </rPr>
          <t>ЗАМЕНИТЕ НА РЕАЛЬНЫЕ ДАННЫЕ.
ДЕМО, ДО, Шампиньоны,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81" authorId="0">
      <text>
        <r>
          <rPr>
            <sz val="8"/>
            <color indexed="81"/>
            <rFont val="Tahoma"/>
            <family val="2"/>
          </rPr>
          <t>ЗАМЕНИТЕ НА РЕАЛЬНЫЕ ДАННЫЕ.
ДЕМО, ДО, Шампиньоны,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81" authorId="0">
      <text>
        <r>
          <rPr>
            <sz val="8"/>
            <color indexed="81"/>
            <rFont val="Tahoma"/>
            <family val="2"/>
          </rPr>
          <t>ЗАМЕНИТЕ НА РЕАЛЬНЫЕ ДАННЫЕ.
ДЕМО, ДО, Шампиньоны,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81" authorId="0">
      <text>
        <r>
          <rPr>
            <sz val="8"/>
            <color indexed="81"/>
            <rFont val="Tahoma"/>
            <family val="2"/>
          </rPr>
          <t>ЗАМЕНИТЕ НА РЕАЛЬНЫЕ ДАННЫЕ.
ДЕМО, ДО, Шампиньоны,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81" authorId="0">
      <text>
        <r>
          <rPr>
            <sz val="8"/>
            <color indexed="81"/>
            <rFont val="Tahoma"/>
            <family val="2"/>
          </rPr>
          <t>ЗАМЕНИТЕ НА РЕАЛЬНЫЕ ДАННЫЕ.
ДЕМО, ДО, Шампиньоны,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81" authorId="0">
      <text>
        <r>
          <rPr>
            <sz val="8"/>
            <color indexed="81"/>
            <rFont val="Tahoma"/>
            <family val="2"/>
          </rPr>
          <t>ЗАМЕНИТЕ НА РЕАЛЬНЫЕ ДАННЫЕ.
ДЕМО, ДО, Шампиньоны,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82" authorId="0">
      <text>
        <r>
          <rPr>
            <sz val="8"/>
            <color indexed="81"/>
            <rFont val="Tahoma"/>
            <family val="2"/>
          </rPr>
          <t>ЗАМЕНИТЕ НА РЕАЛЬНЫЕ ДАННЫЕ.
ДЕМО, ДО, Шампиньоны,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82" authorId="0">
      <text>
        <r>
          <rPr>
            <sz val="8"/>
            <color indexed="81"/>
            <rFont val="Tahoma"/>
            <family val="2"/>
          </rPr>
          <t>ЗАМЕНИТЕ НА РЕАЛЬНЫЕ ДАННЫЕ.
ДЕМО, ДО, Шампиньоны,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82" authorId="0">
      <text>
        <r>
          <rPr>
            <sz val="8"/>
            <color indexed="81"/>
            <rFont val="Tahoma"/>
            <family val="2"/>
          </rPr>
          <t>ЗАМЕНИТЕ НА РЕАЛЬНЫЕ ДАННЫЕ.
ДЕМО, ДО, Шампиньоны,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82" authorId="0">
      <text>
        <r>
          <rPr>
            <sz val="8"/>
            <color indexed="81"/>
            <rFont val="Tahoma"/>
            <family val="2"/>
          </rPr>
          <t>ЗАМЕНИТЕ НА РЕАЛЬНЫЕ ДАННЫЕ.
ДЕМО, ДО, Шампиньоны,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82" authorId="0">
      <text>
        <r>
          <rPr>
            <sz val="8"/>
            <color indexed="81"/>
            <rFont val="Tahoma"/>
            <family val="2"/>
          </rPr>
          <t>ЗАМЕНИТЕ НА РЕАЛЬНЫЕ ДАННЫЕ.
ДЕМО, ДО, Шампиньоны,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82" authorId="0">
      <text>
        <r>
          <rPr>
            <sz val="8"/>
            <color indexed="81"/>
            <rFont val="Tahoma"/>
            <family val="2"/>
          </rPr>
          <t>ЗАМЕНИТЕ НА РЕАЛЬНЫЕ ДАННЫЕ.
ДЕМО, ДО, Шампиньоны,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82" authorId="0">
      <text>
        <r>
          <rPr>
            <sz val="8"/>
            <color indexed="81"/>
            <rFont val="Tahoma"/>
            <family val="2"/>
          </rPr>
          <t>ЗАМЕНИТЕ НА РЕАЛЬНЫЕ ДАННЫЕ.
ДЕМО, ДО, Шампиньоны,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82" authorId="0">
      <text>
        <r>
          <rPr>
            <sz val="8"/>
            <color indexed="81"/>
            <rFont val="Tahoma"/>
            <family val="2"/>
          </rPr>
          <t>ЗАМЕНИТЕ НА РЕАЛЬНЫЕ ДАННЫЕ.
ДЕМО, ДО, Шампиньоны,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82" authorId="0">
      <text>
        <r>
          <rPr>
            <sz val="8"/>
            <color indexed="81"/>
            <rFont val="Tahoma"/>
            <family val="2"/>
          </rPr>
          <t>ЗАМЕНИТЕ НА РЕАЛЬНЫЕ ДАННЫЕ.
ДЕМО, ДО, Шампиньоны,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82" authorId="0">
      <text>
        <r>
          <rPr>
            <sz val="8"/>
            <color indexed="81"/>
            <rFont val="Tahoma"/>
            <family val="2"/>
          </rPr>
          <t>ЗАМЕНИТЕ НА РЕАЛЬНЫЕ ДАННЫЕ.
ДЕМО, ДО, Шампиньоны,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83" authorId="0">
      <text>
        <r>
          <rPr>
            <sz val="8"/>
            <color indexed="81"/>
            <rFont val="Tahoma"/>
            <family val="2"/>
          </rPr>
          <t>ЗАМЕНИТЕ НА РЕАЛЬНЫЕ ДАННЫЕ.
ДЕМО, ДО, Шампиньоны,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83" authorId="0">
      <text>
        <r>
          <rPr>
            <sz val="8"/>
            <color indexed="81"/>
            <rFont val="Tahoma"/>
            <family val="2"/>
          </rPr>
          <t>ЗАМЕНИТЕ НА РЕАЛЬНЫЕ ДАННЫЕ.
ДЕМО, ДО, Шампиньоны,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83" authorId="0">
      <text>
        <r>
          <rPr>
            <sz val="8"/>
            <color indexed="81"/>
            <rFont val="Tahoma"/>
            <family val="2"/>
          </rPr>
          <t>ЗАМЕНИТЕ НА РЕАЛЬНЫЕ ДАННЫЕ.
ДЕМО, ДО, Шампиньоны,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83" authorId="0">
      <text>
        <r>
          <rPr>
            <sz val="8"/>
            <color indexed="81"/>
            <rFont val="Tahoma"/>
            <family val="2"/>
          </rPr>
          <t>ЗАМЕНИТЕ НА РЕАЛЬНЫЕ ДАННЫЕ.
ДЕМО, ДО, Шампиньоны,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83" authorId="0">
      <text>
        <r>
          <rPr>
            <sz val="8"/>
            <color indexed="81"/>
            <rFont val="Tahoma"/>
            <family val="2"/>
          </rPr>
          <t>ЗАМЕНИТЕ НА РЕАЛЬНЫЕ ДАННЫЕ.
ДЕМО, ДО, Шампиньоны,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83" authorId="0">
      <text>
        <r>
          <rPr>
            <sz val="8"/>
            <color indexed="81"/>
            <rFont val="Tahoma"/>
            <family val="2"/>
          </rPr>
          <t>ЗАМЕНИТЕ НА РЕАЛЬНЫЕ ДАННЫЕ.
ДЕМО, ДО, Шампиньоны,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83" authorId="0">
      <text>
        <r>
          <rPr>
            <sz val="8"/>
            <color indexed="81"/>
            <rFont val="Tahoma"/>
            <family val="2"/>
          </rPr>
          <t>ЗАМЕНИТЕ НА РЕАЛЬНЫЕ ДАННЫЕ.
ДЕМО, ДО, Шампиньоны,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83" authorId="0">
      <text>
        <r>
          <rPr>
            <sz val="8"/>
            <color indexed="81"/>
            <rFont val="Tahoma"/>
            <family val="2"/>
          </rPr>
          <t>ЗАМЕНИТЕ НА РЕАЛЬНЫЕ ДАННЫЕ.
ДЕМО, ДО, Шампиньоны,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83" authorId="0">
      <text>
        <r>
          <rPr>
            <sz val="8"/>
            <color indexed="81"/>
            <rFont val="Tahoma"/>
            <family val="2"/>
          </rPr>
          <t>ЗАМЕНИТЕ НА РЕАЛЬНЫЕ ДАННЫЕ.
ДЕМО, ДО, Шампиньоны,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83" authorId="0">
      <text>
        <r>
          <rPr>
            <sz val="8"/>
            <color indexed="81"/>
            <rFont val="Tahoma"/>
            <family val="2"/>
          </rPr>
          <t>ЗАМЕНИТЕ НА РЕАЛЬНЫЕ ДАННЫЕ.
ДЕМО, ДО, Шампиньоны,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84" authorId="0">
      <text>
        <r>
          <rPr>
            <sz val="8"/>
            <color indexed="81"/>
            <rFont val="Tahoma"/>
            <family val="2"/>
          </rPr>
          <t>ЗАМЕНИТЕ НА РЕАЛЬНЫЕ ДАННЫЕ.
ДЕМО, ДО, Шампиньоны,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84" authorId="0">
      <text>
        <r>
          <rPr>
            <sz val="8"/>
            <color indexed="81"/>
            <rFont val="Tahoma"/>
            <family val="2"/>
          </rPr>
          <t>ЗАМЕНИТЕ НА РЕАЛЬНЫЕ ДАННЫЕ.
ДЕМО, ДО, Шампиньоны,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84" authorId="0">
      <text>
        <r>
          <rPr>
            <sz val="8"/>
            <color indexed="81"/>
            <rFont val="Tahoma"/>
            <family val="2"/>
          </rPr>
          <t>ЗАМЕНИТЕ НА РЕАЛЬНЫЕ ДАННЫЕ.
ДЕМО, ДО, Шампиньоны,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84" authorId="0">
      <text>
        <r>
          <rPr>
            <sz val="8"/>
            <color indexed="81"/>
            <rFont val="Tahoma"/>
            <family val="2"/>
          </rPr>
          <t>ЗАМЕНИТЕ НА РЕАЛЬНЫЕ ДАННЫЕ.
ДЕМО, ДО, Шампиньоны,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84" authorId="0">
      <text>
        <r>
          <rPr>
            <sz val="8"/>
            <color indexed="81"/>
            <rFont val="Tahoma"/>
            <family val="2"/>
          </rPr>
          <t>ЗАМЕНИТЕ НА РЕАЛЬНЫЕ ДАННЫЕ.
ДЕМО, ДО, Шампиньоны,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84" authorId="0">
      <text>
        <r>
          <rPr>
            <sz val="8"/>
            <color indexed="81"/>
            <rFont val="Tahoma"/>
            <family val="2"/>
          </rPr>
          <t>ЗАМЕНИТЕ НА РЕАЛЬНЫЕ ДАННЫЕ.
ДЕМО, ДО, Шампиньоны,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84" authorId="0">
      <text>
        <r>
          <rPr>
            <sz val="8"/>
            <color indexed="81"/>
            <rFont val="Tahoma"/>
            <family val="2"/>
          </rPr>
          <t>ЗАМЕНИТЕ НА РЕАЛЬНЫЕ ДАННЫЕ.
ДЕМО, ДО, Шампиньоны,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84" authorId="0">
      <text>
        <r>
          <rPr>
            <sz val="8"/>
            <color indexed="81"/>
            <rFont val="Tahoma"/>
            <family val="2"/>
          </rPr>
          <t>ЗАМЕНИТЕ НА РЕАЛЬНЫЕ ДАННЫЕ.
ДЕМО, ДО, Шампиньоны,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84" authorId="0">
      <text>
        <r>
          <rPr>
            <sz val="8"/>
            <color indexed="81"/>
            <rFont val="Tahoma"/>
            <family val="2"/>
          </rPr>
          <t>ЗАМЕНИТЕ НА РЕАЛЬНЫЕ ДАННЫЕ.
ДЕМО, ДО, Шампиньоны,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84" authorId="0">
      <text>
        <r>
          <rPr>
            <sz val="8"/>
            <color indexed="81"/>
            <rFont val="Tahoma"/>
            <family val="2"/>
          </rPr>
          <t>ЗАМЕНИТЕ НА РЕАЛЬНЫЕ ДАННЫЕ.
ДЕМО, ДО, Шампиньоны,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86" authorId="0">
      <text>
        <r>
          <rPr>
            <sz val="8"/>
            <color indexed="81"/>
            <rFont val="Tahoma"/>
            <family val="2"/>
          </rPr>
          <t>ЗАМЕНИТЕ НА РЕАЛЬНЫЕ ДАННЫЕ.
ДЕМО, ДО, Шампиньоны,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86" authorId="0">
      <text>
        <r>
          <rPr>
            <sz val="8"/>
            <color indexed="81"/>
            <rFont val="Tahoma"/>
            <family val="2"/>
          </rPr>
          <t>ЗАМЕНИТЕ НА РЕАЛЬНЫЕ ДАННЫЕ.
ДЕМО, ДО, Шампиньоны,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86" authorId="0">
      <text>
        <r>
          <rPr>
            <sz val="8"/>
            <color indexed="81"/>
            <rFont val="Tahoma"/>
            <family val="2"/>
          </rPr>
          <t>ЗАМЕНИТЕ НА РЕАЛЬНЫЕ ДАННЫЕ.
ДЕМО, ДО, Шампиньоны,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86" authorId="0">
      <text>
        <r>
          <rPr>
            <sz val="8"/>
            <color indexed="81"/>
            <rFont val="Tahoma"/>
            <family val="2"/>
          </rPr>
          <t>ЗАМЕНИТЕ НА РЕАЛЬНЫЕ ДАННЫЕ.
ДЕМО, ДО, Шампиньоны,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86" authorId="0">
      <text>
        <r>
          <rPr>
            <sz val="8"/>
            <color indexed="81"/>
            <rFont val="Tahoma"/>
            <family val="2"/>
          </rPr>
          <t>ЗАМЕНИТЕ НА РЕАЛЬНЫЕ ДАННЫЕ.
ДЕМО, ДО, Шампиньоны,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86" authorId="0">
      <text>
        <r>
          <rPr>
            <sz val="8"/>
            <color indexed="81"/>
            <rFont val="Tahoma"/>
            <family val="2"/>
          </rPr>
          <t>ЗАМЕНИТЕ НА РЕАЛЬНЫЕ ДАННЫЕ.
ДЕМО, ДО, Шампиньоны,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86" authorId="0">
      <text>
        <r>
          <rPr>
            <sz val="8"/>
            <color indexed="81"/>
            <rFont val="Tahoma"/>
            <family val="2"/>
          </rPr>
          <t>ЗАМЕНИТЕ НА РЕАЛЬНЫЕ ДАННЫЕ.
ДЕМО, ДО, Шампиньоны,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86" authorId="0">
      <text>
        <r>
          <rPr>
            <sz val="8"/>
            <color indexed="81"/>
            <rFont val="Tahoma"/>
            <family val="2"/>
          </rPr>
          <t>ЗАМЕНИТЕ НА РЕАЛЬНЫЕ ДАННЫЕ.
ДЕМО, ДО, Шампиньоны,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86" authorId="0">
      <text>
        <r>
          <rPr>
            <sz val="8"/>
            <color indexed="81"/>
            <rFont val="Tahoma"/>
            <family val="2"/>
          </rPr>
          <t>ЗАМЕНИТЕ НА РЕАЛЬНЫЕ ДАННЫЕ.
ДЕМО, ДО, Шампиньоны,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86" authorId="0">
      <text>
        <r>
          <rPr>
            <sz val="8"/>
            <color indexed="81"/>
            <rFont val="Tahoma"/>
            <family val="2"/>
          </rPr>
          <t>ЗАМЕНИТЕ НА РЕАЛЬНЫЕ ДАННЫЕ.
ДЕМО, ДО, Шампиньоны,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87" authorId="0">
      <text>
        <r>
          <rPr>
            <sz val="8"/>
            <color indexed="81"/>
            <rFont val="Tahoma"/>
            <family val="2"/>
          </rPr>
          <t>ЗАМЕНИТЕ НА РЕАЛЬНЫЕ ДАННЫЕ.
ДЕМО, ДО, Шампиньоны,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87" authorId="0">
      <text>
        <r>
          <rPr>
            <sz val="8"/>
            <color indexed="81"/>
            <rFont val="Tahoma"/>
            <family val="2"/>
          </rPr>
          <t>ЗАМЕНИТЕ НА РЕАЛЬНЫЕ ДАННЫЕ.
ДЕМО, ДО, Шампиньоны,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87" authorId="0">
      <text>
        <r>
          <rPr>
            <sz val="8"/>
            <color indexed="81"/>
            <rFont val="Tahoma"/>
            <family val="2"/>
          </rPr>
          <t>ЗАМЕНИТЕ НА РЕАЛЬНЫЕ ДАННЫЕ.
ДЕМО, ДО, Шампиньоны,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87" authorId="0">
      <text>
        <r>
          <rPr>
            <sz val="8"/>
            <color indexed="81"/>
            <rFont val="Tahoma"/>
            <family val="2"/>
          </rPr>
          <t>ЗАМЕНИТЕ НА РЕАЛЬНЫЕ ДАННЫЕ.
ДЕМО, ДО, Шампиньоны,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87" authorId="0">
      <text>
        <r>
          <rPr>
            <sz val="8"/>
            <color indexed="81"/>
            <rFont val="Tahoma"/>
            <family val="2"/>
          </rPr>
          <t>ЗАМЕНИТЕ НА РЕАЛЬНЫЕ ДАННЫЕ.
ДЕМО, ДО, Шампиньоны,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87" authorId="0">
      <text>
        <r>
          <rPr>
            <sz val="8"/>
            <color indexed="81"/>
            <rFont val="Tahoma"/>
            <family val="2"/>
          </rPr>
          <t>ЗАМЕНИТЕ НА РЕАЛЬНЫЕ ДАННЫЕ.
ДЕМО, ДО, Шампиньоны,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87" authorId="0">
      <text>
        <r>
          <rPr>
            <sz val="8"/>
            <color indexed="81"/>
            <rFont val="Tahoma"/>
            <family val="2"/>
          </rPr>
          <t>ЗАМЕНИТЕ НА РЕАЛЬНЫЕ ДАННЫЕ.
ДЕМО, ДО, Шампиньоны,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87" authorId="0">
      <text>
        <r>
          <rPr>
            <sz val="8"/>
            <color indexed="81"/>
            <rFont val="Tahoma"/>
            <family val="2"/>
          </rPr>
          <t>ЗАМЕНИТЕ НА РЕАЛЬНЫЕ ДАННЫЕ.
ДЕМО, ДО, Шампиньоны,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87" authorId="0">
      <text>
        <r>
          <rPr>
            <sz val="8"/>
            <color indexed="81"/>
            <rFont val="Tahoma"/>
            <family val="2"/>
          </rPr>
          <t>ЗАМЕНИТЕ НА РЕАЛЬНЫЕ ДАННЫЕ.
ДЕМО, ДО, Шампиньоны,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87" authorId="0">
      <text>
        <r>
          <rPr>
            <sz val="8"/>
            <color indexed="81"/>
            <rFont val="Tahoma"/>
            <family val="2"/>
          </rPr>
          <t>ЗАМЕНИТЕ НА РЕАЛЬНЫЕ ДАННЫЕ.
ДЕМО, ДО, Шампиньоны,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88" authorId="0">
      <text>
        <r>
          <rPr>
            <sz val="8"/>
            <color indexed="81"/>
            <rFont val="Tahoma"/>
            <family val="2"/>
          </rPr>
          <t>ЗАМЕНИТЕ НА РЕАЛЬНЫЕ ДАННЫЕ.
ДЕМО, ДО, Шампиньоны,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88" authorId="0">
      <text>
        <r>
          <rPr>
            <sz val="8"/>
            <color indexed="81"/>
            <rFont val="Tahoma"/>
            <family val="2"/>
          </rPr>
          <t>ЗАМЕНИТЕ НА РЕАЛЬНЫЕ ДАННЫЕ.
ДЕМО, ДО, Шампиньоны,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88" authorId="0">
      <text>
        <r>
          <rPr>
            <sz val="8"/>
            <color indexed="81"/>
            <rFont val="Tahoma"/>
            <family val="2"/>
          </rPr>
          <t>ЗАМЕНИТЕ НА РЕАЛЬНЫЕ ДАННЫЕ.
ДЕМО, ДО, Шампиньоны,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88" authorId="0">
      <text>
        <r>
          <rPr>
            <sz val="8"/>
            <color indexed="81"/>
            <rFont val="Tahoma"/>
            <family val="2"/>
          </rPr>
          <t>ЗАМЕНИТЕ НА РЕАЛЬНЫЕ ДАННЫЕ.
ДЕМО, ДО, Шампиньоны,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88" authorId="0">
      <text>
        <r>
          <rPr>
            <sz val="8"/>
            <color indexed="81"/>
            <rFont val="Tahoma"/>
            <family val="2"/>
          </rPr>
          <t>ЗАМЕНИТЕ НА РЕАЛЬНЫЕ ДАННЫЕ.
ДЕМО, ДО, Шампиньоны,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88" authorId="0">
      <text>
        <r>
          <rPr>
            <sz val="8"/>
            <color indexed="81"/>
            <rFont val="Tahoma"/>
            <family val="2"/>
          </rPr>
          <t>ЗАМЕНИТЕ НА РЕАЛЬНЫЕ ДАННЫЕ.
ДЕМО, ДО, Шампиньоны,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88" authorId="0">
      <text>
        <r>
          <rPr>
            <sz val="8"/>
            <color indexed="81"/>
            <rFont val="Tahoma"/>
            <family val="2"/>
          </rPr>
          <t>ЗАМЕНИТЕ НА РЕАЛЬНЫЕ ДАННЫЕ.
ДЕМО, ДО, Шампиньоны,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88" authorId="0">
      <text>
        <r>
          <rPr>
            <sz val="8"/>
            <color indexed="81"/>
            <rFont val="Tahoma"/>
            <family val="2"/>
          </rPr>
          <t>ЗАМЕНИТЕ НА РЕАЛЬНЫЕ ДАННЫЕ.
ДЕМО, ДО, Шампиньоны,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88" authorId="0">
      <text>
        <r>
          <rPr>
            <sz val="8"/>
            <color indexed="81"/>
            <rFont val="Tahoma"/>
            <family val="2"/>
          </rPr>
          <t>ЗАМЕНИТЕ НА РЕАЛЬНЫЕ ДАННЫЕ.
ДЕМО, ДО, Шампиньоны,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88" authorId="0">
      <text>
        <r>
          <rPr>
            <sz val="8"/>
            <color indexed="81"/>
            <rFont val="Tahoma"/>
            <family val="2"/>
          </rPr>
          <t>ЗАМЕНИТЕ НА РЕАЛЬНЫЕ ДАННЫЕ.
ДЕМО, ДО, Шампиньоны,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89" authorId="0">
      <text>
        <r>
          <rPr>
            <sz val="8"/>
            <color indexed="81"/>
            <rFont val="Tahoma"/>
            <family val="2"/>
          </rPr>
          <t>ЗАМЕНИТЕ НА РЕАЛЬНЫЕ ДАННЫЕ.
ДЕМО, ДО, Шампиньоны,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89" authorId="0">
      <text>
        <r>
          <rPr>
            <sz val="8"/>
            <color indexed="81"/>
            <rFont val="Tahoma"/>
            <family val="2"/>
          </rPr>
          <t>ЗАМЕНИТЕ НА РЕАЛЬНЫЕ ДАННЫЕ.
ДЕМО, ДО, Шампиньоны,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89" authorId="0">
      <text>
        <r>
          <rPr>
            <sz val="8"/>
            <color indexed="81"/>
            <rFont val="Tahoma"/>
            <family val="2"/>
          </rPr>
          <t>ЗАМЕНИТЕ НА РЕАЛЬНЫЕ ДАННЫЕ.
ДЕМО, ДО, Шампиньоны,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89" authorId="0">
      <text>
        <r>
          <rPr>
            <sz val="8"/>
            <color indexed="81"/>
            <rFont val="Tahoma"/>
            <family val="2"/>
          </rPr>
          <t>ЗАМЕНИТЕ НА РЕАЛЬНЫЕ ДАННЫЕ.
ДЕМО, ДО, Шампиньоны,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89" authorId="0">
      <text>
        <r>
          <rPr>
            <sz val="8"/>
            <color indexed="81"/>
            <rFont val="Tahoma"/>
            <family val="2"/>
          </rPr>
          <t>ЗАМЕНИТЕ НА РЕАЛЬНЫЕ ДАННЫЕ.
ДЕМО, ДО, Шампиньоны,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89" authorId="0">
      <text>
        <r>
          <rPr>
            <sz val="8"/>
            <color indexed="81"/>
            <rFont val="Tahoma"/>
            <family val="2"/>
          </rPr>
          <t>ЗАМЕНИТЕ НА РЕАЛЬНЫЕ ДАННЫЕ.
ДЕМО, ДО, Шампиньоны,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89" authorId="0">
      <text>
        <r>
          <rPr>
            <sz val="8"/>
            <color indexed="81"/>
            <rFont val="Tahoma"/>
            <family val="2"/>
          </rPr>
          <t>ЗАМЕНИТЕ НА РЕАЛЬНЫЕ ДАННЫЕ.
ДЕМО, ДО, Шампиньоны,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89" authorId="0">
      <text>
        <r>
          <rPr>
            <sz val="8"/>
            <color indexed="81"/>
            <rFont val="Tahoma"/>
            <family val="2"/>
          </rPr>
          <t>ЗАМЕНИТЕ НА РЕАЛЬНЫЕ ДАННЫЕ.
ДЕМО, ДО, Шампиньоны,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89" authorId="0">
      <text>
        <r>
          <rPr>
            <sz val="8"/>
            <color indexed="81"/>
            <rFont val="Tahoma"/>
            <family val="2"/>
          </rPr>
          <t>ЗАМЕНИТЕ НА РЕАЛЬНЫЕ ДАННЫЕ.
ДЕМО, ДО, Шампиньоны,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89" authorId="0">
      <text>
        <r>
          <rPr>
            <sz val="8"/>
            <color indexed="81"/>
            <rFont val="Tahoma"/>
            <family val="2"/>
          </rPr>
          <t>ЗАМЕНИТЕ НА РЕАЛЬНЫЕ ДАННЫЕ.
ДЕМО, ДО, Шампиньоны,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90" authorId="0">
      <text>
        <r>
          <rPr>
            <sz val="8"/>
            <color indexed="81"/>
            <rFont val="Tahoma"/>
            <family val="2"/>
          </rPr>
          <t>ЗАМЕНИТЕ НА РЕАЛЬНЫЕ ДАННЫЕ.
ДЕМО, ДО, Шампиньоны,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90" authorId="0">
      <text>
        <r>
          <rPr>
            <sz val="8"/>
            <color indexed="81"/>
            <rFont val="Tahoma"/>
            <family val="2"/>
          </rPr>
          <t>ЗАМЕНИТЕ НА РЕАЛЬНЫЕ ДАННЫЕ.
ДЕМО, ДО, Шампиньоны,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90" authorId="0">
      <text>
        <r>
          <rPr>
            <sz val="8"/>
            <color indexed="81"/>
            <rFont val="Tahoma"/>
            <family val="2"/>
          </rPr>
          <t>ЗАМЕНИТЕ НА РЕАЛЬНЫЕ ДАННЫЕ.
ДЕМО, ДО, Шампиньоны,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90" authorId="0">
      <text>
        <r>
          <rPr>
            <sz val="8"/>
            <color indexed="81"/>
            <rFont val="Tahoma"/>
            <family val="2"/>
          </rPr>
          <t>ЗАМЕНИТЕ НА РЕАЛЬНЫЕ ДАННЫЕ.
ДЕМО, ДО, Шампиньоны,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90" authorId="0">
      <text>
        <r>
          <rPr>
            <sz val="8"/>
            <color indexed="81"/>
            <rFont val="Tahoma"/>
            <family val="2"/>
          </rPr>
          <t>ЗАМЕНИТЕ НА РЕАЛЬНЫЕ ДАННЫЕ.
ДЕМО, ДО, Шампиньоны,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90" authorId="0">
      <text>
        <r>
          <rPr>
            <sz val="8"/>
            <color indexed="81"/>
            <rFont val="Tahoma"/>
            <family val="2"/>
          </rPr>
          <t>ЗАМЕНИТЕ НА РЕАЛЬНЫЕ ДАННЫЕ.
ДЕМО, ДО, Шампиньоны,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90" authorId="0">
      <text>
        <r>
          <rPr>
            <sz val="8"/>
            <color indexed="81"/>
            <rFont val="Tahoma"/>
            <family val="2"/>
          </rPr>
          <t>ЗАМЕНИТЕ НА РЕАЛЬНЫЕ ДАННЫЕ.
ДЕМО, ДО, Шампиньоны,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90" authorId="0">
      <text>
        <r>
          <rPr>
            <sz val="8"/>
            <color indexed="81"/>
            <rFont val="Tahoma"/>
            <family val="2"/>
          </rPr>
          <t>ЗАМЕНИТЕ НА РЕАЛЬНЫЕ ДАННЫЕ.
ДЕМО, ДО, Шампиньоны,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90" authorId="0">
      <text>
        <r>
          <rPr>
            <sz val="8"/>
            <color indexed="81"/>
            <rFont val="Tahoma"/>
            <family val="2"/>
          </rPr>
          <t>ЗАМЕНИТЕ НА РЕАЛЬНЫЕ ДАННЫЕ.
ДЕМО, ДО, Шампиньоны,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90" authorId="0">
      <text>
        <r>
          <rPr>
            <sz val="8"/>
            <color indexed="81"/>
            <rFont val="Tahoma"/>
            <family val="2"/>
          </rPr>
          <t>ЗАМЕНИТЕ НА РЕАЛЬНЫЕ ДАННЫЕ.
ДЕМО, ДО, Шампиньоны,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99" authorId="0">
      <text>
        <r>
          <rPr>
            <sz val="8"/>
            <color indexed="81"/>
            <rFont val="Tahoma"/>
            <family val="2"/>
          </rPr>
          <t>ЗАМЕНИТЕ НА РЕАЛЬНЫЕ ДАННЫЕ.
Перец болгарский красный, цикл 1. 0 исключает все элементы данного цикла, а не один выброс.</t>
        </r>
      </text>
    </comment>
    <comment ref="F199" authorId="0">
      <text>
        <r>
          <rPr>
            <sz val="8"/>
            <color indexed="81"/>
            <rFont val="Tahoma"/>
            <family val="2"/>
          </rPr>
          <t>ЗАМЕНИТЕ НА РЕАЛЬНЫЕ ДАННЫЕ.
Перец болгарский красный, цикл 2. 0 исключает все элементы данного цикла, а не один выброс.</t>
        </r>
      </text>
    </comment>
    <comment ref="G199" authorId="0">
      <text>
        <r>
          <rPr>
            <sz val="8"/>
            <color indexed="81"/>
            <rFont val="Tahoma"/>
            <family val="2"/>
          </rPr>
          <t>ЗАМЕНИТЕ НА РЕАЛЬНЫЕ ДАННЫЕ.
Перец болгарский красный, цикл 3. 0 исключает все элементы данного цикла, а не один выброс.</t>
        </r>
      </text>
    </comment>
    <comment ref="H199" authorId="0">
      <text>
        <r>
          <rPr>
            <sz val="8"/>
            <color indexed="81"/>
            <rFont val="Tahoma"/>
            <family val="2"/>
          </rPr>
          <t>ЗАМЕНИТЕ НА РЕАЛЬНЫЕ ДАННЫЕ.
Перец болгарский красный, цикл 4. 0 исключает все элементы данного цикла, а не один выброс.</t>
        </r>
      </text>
    </comment>
    <comment ref="I199" authorId="0">
      <text>
        <r>
          <rPr>
            <sz val="8"/>
            <color indexed="81"/>
            <rFont val="Tahoma"/>
            <family val="2"/>
          </rPr>
          <t>ЗАМЕНИТЕ НА РЕАЛЬНЫЕ ДАННЫЕ.
Перец болгарский красный, цикл 5. 0 исключает все элементы данного цикла, а не один выброс.</t>
        </r>
      </text>
    </comment>
    <comment ref="J199" authorId="0">
      <text>
        <r>
          <rPr>
            <sz val="8"/>
            <color indexed="81"/>
            <rFont val="Tahoma"/>
            <family val="2"/>
          </rPr>
          <t>ЗАМЕНИТЕ НА РЕАЛЬНЫЕ ДАННЫЕ.
Перец болгарский красный, цикл 6. 0 исключает все элементы данного цикла, а не один выброс.</t>
        </r>
      </text>
    </comment>
    <comment ref="K199" authorId="0">
      <text>
        <r>
          <rPr>
            <sz val="8"/>
            <color indexed="81"/>
            <rFont val="Tahoma"/>
            <family val="2"/>
          </rPr>
          <t>ЗАМЕНИТЕ НА РЕАЛЬНЫЕ ДАННЫЕ.
Перец болгарский красный, цикл 7. 0 исключает все элементы данного цикла, а не один выброс.</t>
        </r>
      </text>
    </comment>
    <comment ref="L199" authorId="0">
      <text>
        <r>
          <rPr>
            <sz val="8"/>
            <color indexed="81"/>
            <rFont val="Tahoma"/>
            <family val="2"/>
          </rPr>
          <t>ЗАМЕНИТЕ НА РЕАЛЬНЫЕ ДАННЫЕ.
Перец болгарский красный, цикл 8. 0 исключает все элементы данного цикла, а не один выброс.</t>
        </r>
      </text>
    </comment>
    <comment ref="M199" authorId="0">
      <text>
        <r>
          <rPr>
            <sz val="8"/>
            <color indexed="81"/>
            <rFont val="Tahoma"/>
            <family val="2"/>
          </rPr>
          <t>ЗАМЕНИТЕ НА РЕАЛЬНЫЕ ДАННЫЕ.
Перец болгарский красный, цикл 9. 0 исключает все элементы данного цикла, а не один выброс.</t>
        </r>
      </text>
    </comment>
    <comment ref="N199" authorId="0">
      <text>
        <r>
          <rPr>
            <sz val="8"/>
            <color indexed="81"/>
            <rFont val="Tahoma"/>
            <family val="2"/>
          </rPr>
          <t>ЗАМЕНИТЕ НА РЕАЛЬНЫЕ ДАННЫЕ.
Перец болгарский красный, цикл 10. 0 исключает все элементы данного цикла, а не один выброс.</t>
        </r>
      </text>
    </comment>
    <comment ref="E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01" authorId="0">
      <text>
        <r>
          <rPr>
            <sz val="8"/>
            <color indexed="81"/>
            <rFont val="Tahoma"/>
            <family val="2"/>
          </rPr>
          <t>ЗАМЕНИТЕ НА РЕАЛЬНЫЕ ДАННЫЕ.
ДЕМО, ДО, Перец болгарский красный,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01" authorId="0">
      <text>
        <r>
          <rPr>
            <sz val="8"/>
            <color indexed="81"/>
            <rFont val="Tahoma"/>
            <family val="2"/>
          </rPr>
          <t>ЗАМЕНИТЕ НА РЕАЛЬНЫЕ ДАННЫЕ.
ДЕМО, ДО, Перец болгарский красный,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01" authorId="0">
      <text>
        <r>
          <rPr>
            <sz val="8"/>
            <color indexed="81"/>
            <rFont val="Tahoma"/>
            <family val="2"/>
          </rPr>
          <t>ЗАМЕНИТЕ НА РЕАЛЬНЫЕ ДАННЫЕ.
ДЕМО, ДО, Перец болгарский красный,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01" authorId="0">
      <text>
        <r>
          <rPr>
            <sz val="8"/>
            <color indexed="81"/>
            <rFont val="Tahoma"/>
            <family val="2"/>
          </rPr>
          <t>ЗАМЕНИТЕ НА РЕАЛЬНЫЕ ДАННЫЕ.
ДЕМО, ДО, Перец болгарский красный,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01" authorId="0">
      <text>
        <r>
          <rPr>
            <sz val="8"/>
            <color indexed="81"/>
            <rFont val="Tahoma"/>
            <family val="2"/>
          </rPr>
          <t>ЗАМЕНИТЕ НА РЕАЛЬНЫЕ ДАННЫЕ.
ДЕМО, ДО, Перец болгарский красный,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01" authorId="0">
      <text>
        <r>
          <rPr>
            <sz val="8"/>
            <color indexed="81"/>
            <rFont val="Tahoma"/>
            <family val="2"/>
          </rPr>
          <t>ЗАМЕНИТЕ НА РЕАЛЬНЫЕ ДАННЫЕ.
ДЕМО, ДО, Перец болгарский красный,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01" authorId="0">
      <text>
        <r>
          <rPr>
            <sz val="8"/>
            <color indexed="81"/>
            <rFont val="Tahoma"/>
            <family val="2"/>
          </rPr>
          <t>ЗАМЕНИТЕ НА РЕАЛЬНЫЕ ДАННЫЕ.
ДЕМО, ДО, Перец болгарский красный,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01" authorId="0">
      <text>
        <r>
          <rPr>
            <sz val="8"/>
            <color indexed="81"/>
            <rFont val="Tahoma"/>
            <family val="2"/>
          </rPr>
          <t>ЗАМЕНИТЕ НА РЕАЛЬНЫЕ ДАННЫЕ.
ДЕМО, ДО, Перец болгарский красный,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01" authorId="0">
      <text>
        <r>
          <rPr>
            <sz val="8"/>
            <color indexed="81"/>
            <rFont val="Tahoma"/>
            <family val="2"/>
          </rPr>
          <t>ЗАМЕНИТЕ НА РЕАЛЬНЫЕ ДАННЫЕ.
ДЕМО, ДО, Перец болгарский красный,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01" authorId="0">
      <text>
        <r>
          <rPr>
            <sz val="8"/>
            <color indexed="81"/>
            <rFont val="Tahoma"/>
            <family val="2"/>
          </rPr>
          <t>ЗАМЕНИТЕ НА РЕАЛЬНЫЕ ДАННЫЕ.
ДЕМО, ДО, Перец болгарский красный,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02" authorId="0">
      <text>
        <r>
          <rPr>
            <sz val="8"/>
            <color indexed="81"/>
            <rFont val="Tahoma"/>
            <family val="2"/>
          </rPr>
          <t>ЗАМЕНИТЕ НА РЕАЛЬНЫЕ ДАННЫЕ.
ДЕМО, ДО, Перец болгарский красный,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02" authorId="0">
      <text>
        <r>
          <rPr>
            <sz val="8"/>
            <color indexed="81"/>
            <rFont val="Tahoma"/>
            <family val="2"/>
          </rPr>
          <t>ЗАМЕНИТЕ НА РЕАЛЬНЫЕ ДАННЫЕ.
ДЕМО, ДО, Перец болгарский красный,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02" authorId="0">
      <text>
        <r>
          <rPr>
            <sz val="8"/>
            <color indexed="81"/>
            <rFont val="Tahoma"/>
            <family val="2"/>
          </rPr>
          <t>ЗАМЕНИТЕ НА РЕАЛЬНЫЕ ДАННЫЕ.
ДЕМО, ДО, Перец болгарский красный,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02" authorId="0">
      <text>
        <r>
          <rPr>
            <sz val="8"/>
            <color indexed="81"/>
            <rFont val="Tahoma"/>
            <family val="2"/>
          </rPr>
          <t>ЗАМЕНИТЕ НА РЕАЛЬНЫЕ ДАННЫЕ.
ДЕМО, ДО, Перец болгарский красный,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02" authorId="0">
      <text>
        <r>
          <rPr>
            <sz val="8"/>
            <color indexed="81"/>
            <rFont val="Tahoma"/>
            <family val="2"/>
          </rPr>
          <t>ЗАМЕНИТЕ НА РЕАЛЬНЫЕ ДАННЫЕ.
ДЕМО, ДО, Перец болгарский красный,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02" authorId="0">
      <text>
        <r>
          <rPr>
            <sz val="8"/>
            <color indexed="81"/>
            <rFont val="Tahoma"/>
            <family val="2"/>
          </rPr>
          <t>ЗАМЕНИТЕ НА РЕАЛЬНЫЕ ДАННЫЕ.
ДЕМО, ДО, Перец болгарский красный,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02" authorId="0">
      <text>
        <r>
          <rPr>
            <sz val="8"/>
            <color indexed="81"/>
            <rFont val="Tahoma"/>
            <family val="2"/>
          </rPr>
          <t>ЗАМЕНИТЕ НА РЕАЛЬНЫЕ ДАННЫЕ.
ДЕМО, ДО, Перец болгарский красный,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02" authorId="0">
      <text>
        <r>
          <rPr>
            <sz val="8"/>
            <color indexed="81"/>
            <rFont val="Tahoma"/>
            <family val="2"/>
          </rPr>
          <t>ЗАМЕНИТЕ НА РЕАЛЬНЫЕ ДАННЫЕ.
ДЕМО, ДО, Перец болгарский красный,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02" authorId="0">
      <text>
        <r>
          <rPr>
            <sz val="8"/>
            <color indexed="81"/>
            <rFont val="Tahoma"/>
            <family val="2"/>
          </rPr>
          <t>ЗАМЕНИТЕ НА РЕАЛЬНЫЕ ДАННЫЕ.
ДЕМО, ДО, Перец болгарский красный,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02" authorId="0">
      <text>
        <r>
          <rPr>
            <sz val="8"/>
            <color indexed="81"/>
            <rFont val="Tahoma"/>
            <family val="2"/>
          </rPr>
          <t>ЗАМЕНИТЕ НА РЕАЛЬНЫЕ ДАННЫЕ.
ДЕМО, ДО, Перец болгарский красный,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03" authorId="0">
      <text>
        <r>
          <rPr>
            <sz val="8"/>
            <color indexed="81"/>
            <rFont val="Tahoma"/>
            <family val="2"/>
          </rPr>
          <t>ЗАМЕНИТЕ НА РЕАЛЬНЫЕ ДАННЫЕ.
ДЕМО, ДО, Перец болгарский красный,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03" authorId="0">
      <text>
        <r>
          <rPr>
            <sz val="8"/>
            <color indexed="81"/>
            <rFont val="Tahoma"/>
            <family val="2"/>
          </rPr>
          <t>ЗАМЕНИТЕ НА РЕАЛЬНЫЕ ДАННЫЕ.
ДЕМО, ДО, Перец болгарский красный,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03" authorId="0">
      <text>
        <r>
          <rPr>
            <sz val="8"/>
            <color indexed="81"/>
            <rFont val="Tahoma"/>
            <family val="2"/>
          </rPr>
          <t>ЗАМЕНИТЕ НА РЕАЛЬНЫЕ ДАННЫЕ.
ДЕМО, ДО, Перец болгарский красный,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03" authorId="0">
      <text>
        <r>
          <rPr>
            <sz val="8"/>
            <color indexed="81"/>
            <rFont val="Tahoma"/>
            <family val="2"/>
          </rPr>
          <t>ЗАМЕНИТЕ НА РЕАЛЬНЫЕ ДАННЫЕ.
ДЕМО, ДО, Перец болгарский красный,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03" authorId="0">
      <text>
        <r>
          <rPr>
            <sz val="8"/>
            <color indexed="81"/>
            <rFont val="Tahoma"/>
            <family val="2"/>
          </rPr>
          <t>ЗАМЕНИТЕ НА РЕАЛЬНЫЕ ДАННЫЕ.
ДЕМО, ДО, Перец болгарский красный,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03" authorId="0">
      <text>
        <r>
          <rPr>
            <sz val="8"/>
            <color indexed="81"/>
            <rFont val="Tahoma"/>
            <family val="2"/>
          </rPr>
          <t>ЗАМЕНИТЕ НА РЕАЛЬНЫЕ ДАННЫЕ.
ДЕМО, ДО, Перец болгарский красный,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03" authorId="0">
      <text>
        <r>
          <rPr>
            <sz val="8"/>
            <color indexed="81"/>
            <rFont val="Tahoma"/>
            <family val="2"/>
          </rPr>
          <t>ЗАМЕНИТЕ НА РЕАЛЬНЫЕ ДАННЫЕ.
ДЕМО, ДО, Перец болгарский красный,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03" authorId="0">
      <text>
        <r>
          <rPr>
            <sz val="8"/>
            <color indexed="81"/>
            <rFont val="Tahoma"/>
            <family val="2"/>
          </rPr>
          <t>ЗАМЕНИТЕ НА РЕАЛЬНЫЕ ДАННЫЕ.
ДЕМО, ДО, Перец болгарский красный,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03" authorId="0">
      <text>
        <r>
          <rPr>
            <sz val="8"/>
            <color indexed="81"/>
            <rFont val="Tahoma"/>
            <family val="2"/>
          </rPr>
          <t>ЗАМЕНИТЕ НА РЕАЛЬНЫЕ ДАННЫЕ.
ДЕМО, ДО, Перец болгарский красный,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03" authorId="0">
      <text>
        <r>
          <rPr>
            <sz val="8"/>
            <color indexed="81"/>
            <rFont val="Tahoma"/>
            <family val="2"/>
          </rPr>
          <t>ЗАМЕНИТЕ НА РЕАЛЬНЫЕ ДАННЫЕ.
ДЕМО, ДО, Перец болгарский красный,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04" authorId="0">
      <text>
        <r>
          <rPr>
            <sz val="8"/>
            <color indexed="81"/>
            <rFont val="Tahoma"/>
            <family val="2"/>
          </rPr>
          <t>ЗАМЕНИТЕ НА РЕАЛЬНЫЕ ДАННЫЕ.
ДЕМО, ДО, Перец болгарский красный,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04" authorId="0">
      <text>
        <r>
          <rPr>
            <sz val="8"/>
            <color indexed="81"/>
            <rFont val="Tahoma"/>
            <family val="2"/>
          </rPr>
          <t>ЗАМЕНИТЕ НА РЕАЛЬНЫЕ ДАННЫЕ.
ДЕМО, ДО, Перец болгарский красный,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04" authorId="0">
      <text>
        <r>
          <rPr>
            <sz val="8"/>
            <color indexed="81"/>
            <rFont val="Tahoma"/>
            <family val="2"/>
          </rPr>
          <t>ЗАМЕНИТЕ НА РЕАЛЬНЫЕ ДАННЫЕ.
ДЕМО, ДО, Перец болгарский красный,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04" authorId="0">
      <text>
        <r>
          <rPr>
            <sz val="8"/>
            <color indexed="81"/>
            <rFont val="Tahoma"/>
            <family val="2"/>
          </rPr>
          <t>ЗАМЕНИТЕ НА РЕАЛЬНЫЕ ДАННЫЕ.
ДЕМО, ДО, Перец болгарский красный,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04" authorId="0">
      <text>
        <r>
          <rPr>
            <sz val="8"/>
            <color indexed="81"/>
            <rFont val="Tahoma"/>
            <family val="2"/>
          </rPr>
          <t>ЗАМЕНИТЕ НА РЕАЛЬНЫЕ ДАННЫЕ.
ДЕМО, ДО, Перец болгарский красный,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04" authorId="0">
      <text>
        <r>
          <rPr>
            <sz val="8"/>
            <color indexed="81"/>
            <rFont val="Tahoma"/>
            <family val="2"/>
          </rPr>
          <t>ЗАМЕНИТЕ НА РЕАЛЬНЫЕ ДАННЫЕ.
ДЕМО, ДО, Перец болгарский красный,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04" authorId="0">
      <text>
        <r>
          <rPr>
            <sz val="8"/>
            <color indexed="81"/>
            <rFont val="Tahoma"/>
            <family val="2"/>
          </rPr>
          <t>ЗАМЕНИТЕ НА РЕАЛЬНЫЕ ДАННЫЕ.
ДЕМО, ДО, Перец болгарский красный,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04" authorId="0">
      <text>
        <r>
          <rPr>
            <sz val="8"/>
            <color indexed="81"/>
            <rFont val="Tahoma"/>
            <family val="2"/>
          </rPr>
          <t>ЗАМЕНИТЕ НА РЕАЛЬНЫЕ ДАННЫЕ.
ДЕМО, ДО, Перец болгарский красный,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04" authorId="0">
      <text>
        <r>
          <rPr>
            <sz val="8"/>
            <color indexed="81"/>
            <rFont val="Tahoma"/>
            <family val="2"/>
          </rPr>
          <t>ЗАМЕНИТЕ НА РЕАЛЬНЫЕ ДАННЫЕ.
ДЕМО, ДО, Перец болгарский красный,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04" authorId="0">
      <text>
        <r>
          <rPr>
            <sz val="8"/>
            <color indexed="81"/>
            <rFont val="Tahoma"/>
            <family val="2"/>
          </rPr>
          <t>ЗАМЕНИТЕ НА РЕАЛЬНЫЕ ДАННЫЕ.
ДЕМО, ДО, Перец болгарский красный,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05" authorId="0">
      <text>
        <r>
          <rPr>
            <sz val="8"/>
            <color indexed="81"/>
            <rFont val="Tahoma"/>
            <family val="2"/>
          </rPr>
          <t>ЗАМЕНИТЕ НА РЕАЛЬНЫЕ ДАННЫЕ.
ДЕМО, ДО, Перец болгарский красный,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05" authorId="0">
      <text>
        <r>
          <rPr>
            <sz val="8"/>
            <color indexed="81"/>
            <rFont val="Tahoma"/>
            <family val="2"/>
          </rPr>
          <t>ЗАМЕНИТЕ НА РЕАЛЬНЫЕ ДАННЫЕ.
ДЕМО, ДО, Перец болгарский красный,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05" authorId="0">
      <text>
        <r>
          <rPr>
            <sz val="8"/>
            <color indexed="81"/>
            <rFont val="Tahoma"/>
            <family val="2"/>
          </rPr>
          <t>ЗАМЕНИТЕ НА РЕАЛЬНЫЕ ДАННЫЕ.
ДЕМО, ДО, Перец болгарский красный,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05" authorId="0">
      <text>
        <r>
          <rPr>
            <sz val="8"/>
            <color indexed="81"/>
            <rFont val="Tahoma"/>
            <family val="2"/>
          </rPr>
          <t>ЗАМЕНИТЕ НА РЕАЛЬНЫЕ ДАННЫЕ.
ДЕМО, ДО, Перец болгарский красный,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05" authorId="0">
      <text>
        <r>
          <rPr>
            <sz val="8"/>
            <color indexed="81"/>
            <rFont val="Tahoma"/>
            <family val="2"/>
          </rPr>
          <t>ЗАМЕНИТЕ НА РЕАЛЬНЫЕ ДАННЫЕ.
ДЕМО, ДО, Перец болгарский красный,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05" authorId="0">
      <text>
        <r>
          <rPr>
            <sz val="8"/>
            <color indexed="81"/>
            <rFont val="Tahoma"/>
            <family val="2"/>
          </rPr>
          <t>ЗАМЕНИТЕ НА РЕАЛЬНЫЕ ДАННЫЕ.
ДЕМО, ДО, Перец болгарский красный,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05" authorId="0">
      <text>
        <r>
          <rPr>
            <sz val="8"/>
            <color indexed="81"/>
            <rFont val="Tahoma"/>
            <family val="2"/>
          </rPr>
          <t>ЗАМЕНИТЕ НА РЕАЛЬНЫЕ ДАННЫЕ.
ДЕМО, ДО, Перец болгарский красный,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05" authorId="0">
      <text>
        <r>
          <rPr>
            <sz val="8"/>
            <color indexed="81"/>
            <rFont val="Tahoma"/>
            <family val="2"/>
          </rPr>
          <t>ЗАМЕНИТЕ НА РЕАЛЬНЫЕ ДАННЫЕ.
ДЕМО, ДО, Перец болгарский красный,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05" authorId="0">
      <text>
        <r>
          <rPr>
            <sz val="8"/>
            <color indexed="81"/>
            <rFont val="Tahoma"/>
            <family val="2"/>
          </rPr>
          <t>ЗАМЕНИТЕ НА РЕАЛЬНЫЕ ДАННЫЕ.
ДЕМО, ДО, Перец болгарский красный,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05" authorId="0">
      <text>
        <r>
          <rPr>
            <sz val="8"/>
            <color indexed="81"/>
            <rFont val="Tahoma"/>
            <family val="2"/>
          </rPr>
          <t>ЗАМЕНИТЕ НА РЕАЛЬНЫЕ ДАННЫЕ.
ДЕМО, ДО, Перец болгарский красный,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07" authorId="0">
      <text>
        <r>
          <rPr>
            <sz val="8"/>
            <color indexed="81"/>
            <rFont val="Tahoma"/>
            <family val="2"/>
          </rPr>
          <t>ЗАМЕНИТЕ НА РЕАЛЬНЫЕ ДАННЫЕ.
ДЕМО, ДО, Перец болгарский красный,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07" authorId="0">
      <text>
        <r>
          <rPr>
            <sz val="8"/>
            <color indexed="81"/>
            <rFont val="Tahoma"/>
            <family val="2"/>
          </rPr>
          <t>ЗАМЕНИТЕ НА РЕАЛЬНЫЕ ДАННЫЕ.
ДЕМО, ДО, Перец болгарский красный,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07" authorId="0">
      <text>
        <r>
          <rPr>
            <sz val="8"/>
            <color indexed="81"/>
            <rFont val="Tahoma"/>
            <family val="2"/>
          </rPr>
          <t>ЗАМЕНИТЕ НА РЕАЛЬНЫЕ ДАННЫЕ.
ДЕМО, ДО, Перец болгарский красный,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07" authorId="0">
      <text>
        <r>
          <rPr>
            <sz val="8"/>
            <color indexed="81"/>
            <rFont val="Tahoma"/>
            <family val="2"/>
          </rPr>
          <t>ЗАМЕНИТЕ НА РЕАЛЬНЫЕ ДАННЫЕ.
ДЕМО, ДО, Перец болгарский красный,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07" authorId="0">
      <text>
        <r>
          <rPr>
            <sz val="8"/>
            <color indexed="81"/>
            <rFont val="Tahoma"/>
            <family val="2"/>
          </rPr>
          <t>ЗАМЕНИТЕ НА РЕАЛЬНЫЕ ДАННЫЕ.
ДЕМО, ДО, Перец болгарский красный,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07" authorId="0">
      <text>
        <r>
          <rPr>
            <sz val="8"/>
            <color indexed="81"/>
            <rFont val="Tahoma"/>
            <family val="2"/>
          </rPr>
          <t>ЗАМЕНИТЕ НА РЕАЛЬНЫЕ ДАННЫЕ.
ДЕМО, ДО, Перец болгарский красный,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07" authorId="0">
      <text>
        <r>
          <rPr>
            <sz val="8"/>
            <color indexed="81"/>
            <rFont val="Tahoma"/>
            <family val="2"/>
          </rPr>
          <t>ЗАМЕНИТЕ НА РЕАЛЬНЫЕ ДАННЫЕ.
ДЕМО, ДО, Перец болгарский красный,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07" authorId="0">
      <text>
        <r>
          <rPr>
            <sz val="8"/>
            <color indexed="81"/>
            <rFont val="Tahoma"/>
            <family val="2"/>
          </rPr>
          <t>ЗАМЕНИТЕ НА РЕАЛЬНЫЕ ДАННЫЕ.
ДЕМО, ДО, Перец болгарский красный,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07" authorId="0">
      <text>
        <r>
          <rPr>
            <sz val="8"/>
            <color indexed="81"/>
            <rFont val="Tahoma"/>
            <family val="2"/>
          </rPr>
          <t>ЗАМЕНИТЕ НА РЕАЛЬНЫЕ ДАННЫЕ.
ДЕМО, ДО, Перец болгарский красный,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07" authorId="0">
      <text>
        <r>
          <rPr>
            <sz val="8"/>
            <color indexed="81"/>
            <rFont val="Tahoma"/>
            <family val="2"/>
          </rPr>
          <t>ЗАМЕНИТЕ НА РЕАЛЬНЫЕ ДАННЫЕ.
ДЕМО, ДО, Перец болгарский красный,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08" authorId="0">
      <text>
        <r>
          <rPr>
            <sz val="8"/>
            <color indexed="81"/>
            <rFont val="Tahoma"/>
            <family val="2"/>
          </rPr>
          <t>ЗАМЕНИТЕ НА РЕАЛЬНЫЕ ДАННЫЕ.
ДЕМО, ДО, Перец болгарский красный,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08" authorId="0">
      <text>
        <r>
          <rPr>
            <sz val="8"/>
            <color indexed="81"/>
            <rFont val="Tahoma"/>
            <family val="2"/>
          </rPr>
          <t>ЗАМЕНИТЕ НА РЕАЛЬНЫЕ ДАННЫЕ.
ДЕМО, ДО, Перец болгарский красный,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08" authorId="0">
      <text>
        <r>
          <rPr>
            <sz val="8"/>
            <color indexed="81"/>
            <rFont val="Tahoma"/>
            <family val="2"/>
          </rPr>
          <t>ЗАМЕНИТЕ НА РЕАЛЬНЫЕ ДАННЫЕ.
ДЕМО, ДО, Перец болгарский красный,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08" authorId="0">
      <text>
        <r>
          <rPr>
            <sz val="8"/>
            <color indexed="81"/>
            <rFont val="Tahoma"/>
            <family val="2"/>
          </rPr>
          <t>ЗАМЕНИТЕ НА РЕАЛЬНЫЕ ДАННЫЕ.
ДЕМО, ДО, Перец болгарский красный,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08" authorId="0">
      <text>
        <r>
          <rPr>
            <sz val="8"/>
            <color indexed="81"/>
            <rFont val="Tahoma"/>
            <family val="2"/>
          </rPr>
          <t>ЗАМЕНИТЕ НА РЕАЛЬНЫЕ ДАННЫЕ.
ДЕМО, ДО, Перец болгарский красный,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08" authorId="0">
      <text>
        <r>
          <rPr>
            <sz val="8"/>
            <color indexed="81"/>
            <rFont val="Tahoma"/>
            <family val="2"/>
          </rPr>
          <t>ЗАМЕНИТЕ НА РЕАЛЬНЫЕ ДАННЫЕ.
ДЕМО, ДО, Перец болгарский красный,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08" authorId="0">
      <text>
        <r>
          <rPr>
            <sz val="8"/>
            <color indexed="81"/>
            <rFont val="Tahoma"/>
            <family val="2"/>
          </rPr>
          <t>ЗАМЕНИТЕ НА РЕАЛЬНЫЕ ДАННЫЕ.
ДЕМО, ДО, Перец болгарский красный,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08" authorId="0">
      <text>
        <r>
          <rPr>
            <sz val="8"/>
            <color indexed="81"/>
            <rFont val="Tahoma"/>
            <family val="2"/>
          </rPr>
          <t>ЗАМЕНИТЕ НА РЕАЛЬНЫЕ ДАННЫЕ.
ДЕМО, ДО, Перец болгарский красный,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08" authorId="0">
      <text>
        <r>
          <rPr>
            <sz val="8"/>
            <color indexed="81"/>
            <rFont val="Tahoma"/>
            <family val="2"/>
          </rPr>
          <t>ЗАМЕНИТЕ НА РЕАЛЬНЫЕ ДАННЫЕ.
ДЕМО, ДО, Перец болгарский красный,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08" authorId="0">
      <text>
        <r>
          <rPr>
            <sz val="8"/>
            <color indexed="81"/>
            <rFont val="Tahoma"/>
            <family val="2"/>
          </rPr>
          <t>ЗАМЕНИТЕ НА РЕАЛЬНЫЕ ДАННЫЕ.
ДЕМО, ДО, Перец болгарский красный,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09" authorId="0">
      <text>
        <r>
          <rPr>
            <sz val="8"/>
            <color indexed="81"/>
            <rFont val="Tahoma"/>
            <family val="2"/>
          </rPr>
          <t>ЗАМЕНИТЕ НА РЕАЛЬНЫЕ ДАННЫЕ.
ДЕМО, ДО, Перец болгарский красный,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09" authorId="0">
      <text>
        <r>
          <rPr>
            <sz val="8"/>
            <color indexed="81"/>
            <rFont val="Tahoma"/>
            <family val="2"/>
          </rPr>
          <t>ЗАМЕНИТЕ НА РЕАЛЬНЫЕ ДАННЫЕ.
ДЕМО, ДО, Перец болгарский красный,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09" authorId="0">
      <text>
        <r>
          <rPr>
            <sz val="8"/>
            <color indexed="81"/>
            <rFont val="Tahoma"/>
            <family val="2"/>
          </rPr>
          <t>ЗАМЕНИТЕ НА РЕАЛЬНЫЕ ДАННЫЕ.
ДЕМО, ДО, Перец болгарский красный,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09" authorId="0">
      <text>
        <r>
          <rPr>
            <sz val="8"/>
            <color indexed="81"/>
            <rFont val="Tahoma"/>
            <family val="2"/>
          </rPr>
          <t>ЗАМЕНИТЕ НА РЕАЛЬНЫЕ ДАННЫЕ.
ДЕМО, ДО, Перец болгарский красный,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09" authorId="0">
      <text>
        <r>
          <rPr>
            <sz val="8"/>
            <color indexed="81"/>
            <rFont val="Tahoma"/>
            <family val="2"/>
          </rPr>
          <t>ЗАМЕНИТЕ НА РЕАЛЬНЫЕ ДАННЫЕ.
ДЕМО, ДО, Перец болгарский красный,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09" authorId="0">
      <text>
        <r>
          <rPr>
            <sz val="8"/>
            <color indexed="81"/>
            <rFont val="Tahoma"/>
            <family val="2"/>
          </rPr>
          <t>ЗАМЕНИТЕ НА РЕАЛЬНЫЕ ДАННЫЕ.
ДЕМО, ДО, Перец болгарский красный,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09" authorId="0">
      <text>
        <r>
          <rPr>
            <sz val="8"/>
            <color indexed="81"/>
            <rFont val="Tahoma"/>
            <family val="2"/>
          </rPr>
          <t>ЗАМЕНИТЕ НА РЕАЛЬНЫЕ ДАННЫЕ.
ДЕМО, ДО, Перец болгарский красный,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09" authorId="0">
      <text>
        <r>
          <rPr>
            <sz val="8"/>
            <color indexed="81"/>
            <rFont val="Tahoma"/>
            <family val="2"/>
          </rPr>
          <t>ЗАМЕНИТЕ НА РЕАЛЬНЫЕ ДАННЫЕ.
ДЕМО, ДО, Перец болгарский красный,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09" authorId="0">
      <text>
        <r>
          <rPr>
            <sz val="8"/>
            <color indexed="81"/>
            <rFont val="Tahoma"/>
            <family val="2"/>
          </rPr>
          <t>ЗАМЕНИТЕ НА РЕАЛЬНЫЕ ДАННЫЕ.
ДЕМО, ДО, Перец болгарский красный,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09" authorId="0">
      <text>
        <r>
          <rPr>
            <sz val="8"/>
            <color indexed="81"/>
            <rFont val="Tahoma"/>
            <family val="2"/>
          </rPr>
          <t>ЗАМЕНИТЕ НА РЕАЛЬНЫЕ ДАННЫЕ.
ДЕМО, ДО, Перец болгарский красный,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10" authorId="0">
      <text>
        <r>
          <rPr>
            <sz val="8"/>
            <color indexed="81"/>
            <rFont val="Tahoma"/>
            <family val="2"/>
          </rPr>
          <t>ЗАМЕНИТЕ НА РЕАЛЬНЫЕ ДАННЫЕ.
ДЕМО, ДО, Перец болгарский красный,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10" authorId="0">
      <text>
        <r>
          <rPr>
            <sz val="8"/>
            <color indexed="81"/>
            <rFont val="Tahoma"/>
            <family val="2"/>
          </rPr>
          <t>ЗАМЕНИТЕ НА РЕАЛЬНЫЕ ДАННЫЕ.
ДЕМО, ДО, Перец болгарский красный,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10" authorId="0">
      <text>
        <r>
          <rPr>
            <sz val="8"/>
            <color indexed="81"/>
            <rFont val="Tahoma"/>
            <family val="2"/>
          </rPr>
          <t>ЗАМЕНИТЕ НА РЕАЛЬНЫЕ ДАННЫЕ.
ДЕМО, ДО, Перец болгарский красный,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10" authorId="0">
      <text>
        <r>
          <rPr>
            <sz val="8"/>
            <color indexed="81"/>
            <rFont val="Tahoma"/>
            <family val="2"/>
          </rPr>
          <t>ЗАМЕНИТЕ НА РЕАЛЬНЫЕ ДАННЫЕ.
ДЕМО, ДО, Перец болгарский красный,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10" authorId="0">
      <text>
        <r>
          <rPr>
            <sz val="8"/>
            <color indexed="81"/>
            <rFont val="Tahoma"/>
            <family val="2"/>
          </rPr>
          <t>ЗАМЕНИТЕ НА РЕАЛЬНЫЕ ДАННЫЕ.
ДЕМО, ДО, Перец болгарский красный,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10" authorId="0">
      <text>
        <r>
          <rPr>
            <sz val="8"/>
            <color indexed="81"/>
            <rFont val="Tahoma"/>
            <family val="2"/>
          </rPr>
          <t>ЗАМЕНИТЕ НА РЕАЛЬНЫЕ ДАННЫЕ.
ДЕМО, ДО, Перец болгарский красный,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10" authorId="0">
      <text>
        <r>
          <rPr>
            <sz val="8"/>
            <color indexed="81"/>
            <rFont val="Tahoma"/>
            <family val="2"/>
          </rPr>
          <t>ЗАМЕНИТЕ НА РЕАЛЬНЫЕ ДАННЫЕ.
ДЕМО, ДО, Перец болгарский красный,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10" authorId="0">
      <text>
        <r>
          <rPr>
            <sz val="8"/>
            <color indexed="81"/>
            <rFont val="Tahoma"/>
            <family val="2"/>
          </rPr>
          <t>ЗАМЕНИТЕ НА РЕАЛЬНЫЕ ДАННЫЕ.
ДЕМО, ДО, Перец болгарский красный,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10" authorId="0">
      <text>
        <r>
          <rPr>
            <sz val="8"/>
            <color indexed="81"/>
            <rFont val="Tahoma"/>
            <family val="2"/>
          </rPr>
          <t>ЗАМЕНИТЕ НА РЕАЛЬНЫЕ ДАННЫЕ.
ДЕМО, ДО, Перец болгарский красный,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10" authorId="0">
      <text>
        <r>
          <rPr>
            <sz val="8"/>
            <color indexed="81"/>
            <rFont val="Tahoma"/>
            <family val="2"/>
          </rPr>
          <t>ЗАМЕНИТЕ НА РЕАЛЬНЫЕ ДАННЫЕ.
ДЕМО, ДО, Перец болгарский красный,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11" authorId="0">
      <text>
        <r>
          <rPr>
            <sz val="8"/>
            <color indexed="81"/>
            <rFont val="Tahoma"/>
            <family val="2"/>
          </rPr>
          <t>ЗАМЕНИТЕ НА РЕАЛЬНЫЕ ДАННЫЕ.
ДЕМО, ДО, Перец болгарский красный,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11" authorId="0">
      <text>
        <r>
          <rPr>
            <sz val="8"/>
            <color indexed="81"/>
            <rFont val="Tahoma"/>
            <family val="2"/>
          </rPr>
          <t>ЗАМЕНИТЕ НА РЕАЛЬНЫЕ ДАННЫЕ.
ДЕМО, ДО, Перец болгарский красный,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11" authorId="0">
      <text>
        <r>
          <rPr>
            <sz val="8"/>
            <color indexed="81"/>
            <rFont val="Tahoma"/>
            <family val="2"/>
          </rPr>
          <t>ЗАМЕНИТЕ НА РЕАЛЬНЫЕ ДАННЫЕ.
ДЕМО, ДО, Перец болгарский красный,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11" authorId="0">
      <text>
        <r>
          <rPr>
            <sz val="8"/>
            <color indexed="81"/>
            <rFont val="Tahoma"/>
            <family val="2"/>
          </rPr>
          <t>ЗАМЕНИТЕ НА РЕАЛЬНЫЕ ДАННЫЕ.
ДЕМО, ДО, Перец болгарский красный,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11" authorId="0">
      <text>
        <r>
          <rPr>
            <sz val="8"/>
            <color indexed="81"/>
            <rFont val="Tahoma"/>
            <family val="2"/>
          </rPr>
          <t>ЗАМЕНИТЕ НА РЕАЛЬНЫЕ ДАННЫЕ.
ДЕМО, ДО, Перец болгарский красный,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11" authorId="0">
      <text>
        <r>
          <rPr>
            <sz val="8"/>
            <color indexed="81"/>
            <rFont val="Tahoma"/>
            <family val="2"/>
          </rPr>
          <t>ЗАМЕНИТЕ НА РЕАЛЬНЫЕ ДАННЫЕ.
ДЕМО, ДО, Перец болгарский красный,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11" authorId="0">
      <text>
        <r>
          <rPr>
            <sz val="8"/>
            <color indexed="81"/>
            <rFont val="Tahoma"/>
            <family val="2"/>
          </rPr>
          <t>ЗАМЕНИТЕ НА РЕАЛЬНЫЕ ДАННЫЕ.
ДЕМО, ДО, Перец болгарский красный,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11" authorId="0">
      <text>
        <r>
          <rPr>
            <sz val="8"/>
            <color indexed="81"/>
            <rFont val="Tahoma"/>
            <family val="2"/>
          </rPr>
          <t>ЗАМЕНИТЕ НА РЕАЛЬНЫЕ ДАННЫЕ.
ДЕМО, ДО, Перец болгарский красный,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11" authorId="0">
      <text>
        <r>
          <rPr>
            <sz val="8"/>
            <color indexed="81"/>
            <rFont val="Tahoma"/>
            <family val="2"/>
          </rPr>
          <t>ЗАМЕНИТЕ НА РЕАЛЬНЫЕ ДАННЫЕ.
ДЕМО, ДО, Перец болгарский красный,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11" authorId="0">
      <text>
        <r>
          <rPr>
            <sz val="8"/>
            <color indexed="81"/>
            <rFont val="Tahoma"/>
            <family val="2"/>
          </rPr>
          <t>ЗАМЕНИТЕ НА РЕАЛЬНЫЕ ДАННЫЕ.
ДЕМО, ДО, Перец болгарский красный,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20" authorId="0">
      <text>
        <r>
          <rPr>
            <sz val="8"/>
            <color indexed="81"/>
            <rFont val="Tahoma"/>
            <family val="2"/>
          </rPr>
          <t>ЗАМЕНИТЕ НА РЕАЛЬНЫЕ ДАННЫЕ.
Огурец, цикл 1. 0 исключает все элементы данного цикла, а не один выброс.</t>
        </r>
      </text>
    </comment>
    <comment ref="F220" authorId="0">
      <text>
        <r>
          <rPr>
            <sz val="8"/>
            <color indexed="81"/>
            <rFont val="Tahoma"/>
            <family val="2"/>
          </rPr>
          <t>ЗАМЕНИТЕ НА РЕАЛЬНЫЕ ДАННЫЕ.
Огурец, цикл 2. 0 исключает все элементы данного цикла, а не один выброс.</t>
        </r>
      </text>
    </comment>
    <comment ref="G220" authorId="0">
      <text>
        <r>
          <rPr>
            <sz val="8"/>
            <color indexed="81"/>
            <rFont val="Tahoma"/>
            <family val="2"/>
          </rPr>
          <t>ЗАМЕНИТЕ НА РЕАЛЬНЫЕ ДАННЫЕ.
Огурец, цикл 3. 0 исключает все элементы данного цикла, а не один выброс.</t>
        </r>
      </text>
    </comment>
    <comment ref="H220" authorId="0">
      <text>
        <r>
          <rPr>
            <sz val="8"/>
            <color indexed="81"/>
            <rFont val="Tahoma"/>
            <family val="2"/>
          </rPr>
          <t>ЗАМЕНИТЕ НА РЕАЛЬНЫЕ ДАННЫЕ.
Огурец, цикл 4. 0 исключает все элементы данного цикла, а не один выброс.</t>
        </r>
      </text>
    </comment>
    <comment ref="I220" authorId="0">
      <text>
        <r>
          <rPr>
            <sz val="8"/>
            <color indexed="81"/>
            <rFont val="Tahoma"/>
            <family val="2"/>
          </rPr>
          <t>ЗАМЕНИТЕ НА РЕАЛЬНЫЕ ДАННЫЕ.
Огурец, цикл 5. 0 исключает все элементы данного цикла, а не один выброс.</t>
        </r>
      </text>
    </comment>
    <comment ref="J220" authorId="0">
      <text>
        <r>
          <rPr>
            <sz val="8"/>
            <color indexed="81"/>
            <rFont val="Tahoma"/>
            <family val="2"/>
          </rPr>
          <t>ЗАМЕНИТЕ НА РЕАЛЬНЫЕ ДАННЫЕ.
Огурец, цикл 6. 0 исключает все элементы данного цикла, а не один выброс.</t>
        </r>
      </text>
    </comment>
    <comment ref="K220" authorId="0">
      <text>
        <r>
          <rPr>
            <sz val="8"/>
            <color indexed="81"/>
            <rFont val="Tahoma"/>
            <family val="2"/>
          </rPr>
          <t>ЗАМЕНИТЕ НА РЕАЛЬНЫЕ ДАННЫЕ.
Огурец, цикл 7. 0 исключает все элементы данного цикла, а не один выброс.</t>
        </r>
      </text>
    </comment>
    <comment ref="L220" authorId="0">
      <text>
        <r>
          <rPr>
            <sz val="8"/>
            <color indexed="81"/>
            <rFont val="Tahoma"/>
            <family val="2"/>
          </rPr>
          <t>ЗАМЕНИТЕ НА РЕАЛЬНЫЕ ДАННЫЕ.
Огурец, цикл 8. 0 исключает все элементы данного цикла, а не один выброс.</t>
        </r>
      </text>
    </comment>
    <comment ref="M220" authorId="0">
      <text>
        <r>
          <rPr>
            <sz val="8"/>
            <color indexed="81"/>
            <rFont val="Tahoma"/>
            <family val="2"/>
          </rPr>
          <t>ЗАМЕНИТЕ НА РЕАЛЬНЫЕ ДАННЫЕ.
Огурец, цикл 9. 0 исключает все элементы данного цикла, а не один выброс.</t>
        </r>
      </text>
    </comment>
    <comment ref="N220" authorId="0">
      <text>
        <r>
          <rPr>
            <sz val="8"/>
            <color indexed="81"/>
            <rFont val="Tahoma"/>
            <family val="2"/>
          </rPr>
          <t>ЗАМЕНИТЕ НА РЕАЛЬНЫЕ ДАННЫЕ.
Огурец, цикл 10. 0 исключает все элементы данного цикла, а не один выброс.</t>
        </r>
      </text>
    </comment>
    <comment ref="E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22" authorId="0">
      <text>
        <r>
          <rPr>
            <sz val="8"/>
            <color indexed="81"/>
            <rFont val="Tahoma"/>
            <family val="2"/>
          </rPr>
          <t>ЗАМЕНИТЕ НА РЕАЛЬНЫЕ ДАННЫЕ.
ДЕМО, ДО, Огурец,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22" authorId="0">
      <text>
        <r>
          <rPr>
            <sz val="8"/>
            <color indexed="81"/>
            <rFont val="Tahoma"/>
            <family val="2"/>
          </rPr>
          <t>ЗАМЕНИТЕ НА РЕАЛЬНЫЕ ДАННЫЕ.
ДЕМО, ДО, Огурец,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22" authorId="0">
      <text>
        <r>
          <rPr>
            <sz val="8"/>
            <color indexed="81"/>
            <rFont val="Tahoma"/>
            <family val="2"/>
          </rPr>
          <t>ЗАМЕНИТЕ НА РЕАЛЬНЫЕ ДАННЫЕ.
ДЕМО, ДО, Огурец,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22" authorId="0">
      <text>
        <r>
          <rPr>
            <sz val="8"/>
            <color indexed="81"/>
            <rFont val="Tahoma"/>
            <family val="2"/>
          </rPr>
          <t>ЗАМЕНИТЕ НА РЕАЛЬНЫЕ ДАННЫЕ.
ДЕМО, ДО, Огурец,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22" authorId="0">
      <text>
        <r>
          <rPr>
            <sz val="8"/>
            <color indexed="81"/>
            <rFont val="Tahoma"/>
            <family val="2"/>
          </rPr>
          <t>ЗАМЕНИТЕ НА РЕАЛЬНЫЕ ДАННЫЕ.
ДЕМО, ДО, Огурец,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22" authorId="0">
      <text>
        <r>
          <rPr>
            <sz val="8"/>
            <color indexed="81"/>
            <rFont val="Tahoma"/>
            <family val="2"/>
          </rPr>
          <t>ЗАМЕНИТЕ НА РЕАЛЬНЫЕ ДАННЫЕ.
ДЕМО, ДО, Огурец,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22" authorId="0">
      <text>
        <r>
          <rPr>
            <sz val="8"/>
            <color indexed="81"/>
            <rFont val="Tahoma"/>
            <family val="2"/>
          </rPr>
          <t>ЗАМЕНИТЕ НА РЕАЛЬНЫЕ ДАННЫЕ.
ДЕМО, ДО, Огурец,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22" authorId="0">
      <text>
        <r>
          <rPr>
            <sz val="8"/>
            <color indexed="81"/>
            <rFont val="Tahoma"/>
            <family val="2"/>
          </rPr>
          <t>ЗАМЕНИТЕ НА РЕАЛЬНЫЕ ДАННЫЕ.
ДЕМО, ДО, Огурец,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22" authorId="0">
      <text>
        <r>
          <rPr>
            <sz val="8"/>
            <color indexed="81"/>
            <rFont val="Tahoma"/>
            <family val="2"/>
          </rPr>
          <t>ЗАМЕНИТЕ НА РЕАЛЬНЫЕ ДАННЫЕ.
ДЕМО, ДО, Огурец,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22" authorId="0">
      <text>
        <r>
          <rPr>
            <sz val="8"/>
            <color indexed="81"/>
            <rFont val="Tahoma"/>
            <family val="2"/>
          </rPr>
          <t>ЗАМЕНИТЕ НА РЕАЛЬНЫЕ ДАННЫЕ.
ДЕМО, ДО, Огурец,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23" authorId="0">
      <text>
        <r>
          <rPr>
            <sz val="8"/>
            <color indexed="81"/>
            <rFont val="Tahoma"/>
            <family val="2"/>
          </rPr>
          <t>ЗАМЕНИТЕ НА РЕАЛЬНЫЕ ДАННЫЕ.
ДЕМО, ДО, Огурец,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23" authorId="0">
      <text>
        <r>
          <rPr>
            <sz val="8"/>
            <color indexed="81"/>
            <rFont val="Tahoma"/>
            <family val="2"/>
          </rPr>
          <t>ЗАМЕНИТЕ НА РЕАЛЬНЫЕ ДАННЫЕ.
ДЕМО, ДО, Огурец,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23" authorId="0">
      <text>
        <r>
          <rPr>
            <sz val="8"/>
            <color indexed="81"/>
            <rFont val="Tahoma"/>
            <family val="2"/>
          </rPr>
          <t>ЗАМЕНИТЕ НА РЕАЛЬНЫЕ ДАННЫЕ.
ДЕМО, ДО, Огурец,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23" authorId="0">
      <text>
        <r>
          <rPr>
            <sz val="8"/>
            <color indexed="81"/>
            <rFont val="Tahoma"/>
            <family val="2"/>
          </rPr>
          <t>ЗАМЕНИТЕ НА РЕАЛЬНЫЕ ДАННЫЕ.
ДЕМО, ДО, Огурец,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23" authorId="0">
      <text>
        <r>
          <rPr>
            <sz val="8"/>
            <color indexed="81"/>
            <rFont val="Tahoma"/>
            <family val="2"/>
          </rPr>
          <t>ЗАМЕНИТЕ НА РЕАЛЬНЫЕ ДАННЫЕ.
ДЕМО, ДО, Огурец,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23" authorId="0">
      <text>
        <r>
          <rPr>
            <sz val="8"/>
            <color indexed="81"/>
            <rFont val="Tahoma"/>
            <family val="2"/>
          </rPr>
          <t>ЗАМЕНИТЕ НА РЕАЛЬНЫЕ ДАННЫЕ.
ДЕМО, ДО, Огурец,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23" authorId="0">
      <text>
        <r>
          <rPr>
            <sz val="8"/>
            <color indexed="81"/>
            <rFont val="Tahoma"/>
            <family val="2"/>
          </rPr>
          <t>ЗАМЕНИТЕ НА РЕАЛЬНЫЕ ДАННЫЕ.
ДЕМО, ДО, Огурец,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23" authorId="0">
      <text>
        <r>
          <rPr>
            <sz val="8"/>
            <color indexed="81"/>
            <rFont val="Tahoma"/>
            <family val="2"/>
          </rPr>
          <t>ЗАМЕНИТЕ НА РЕАЛЬНЫЕ ДАННЫЕ.
ДЕМО, ДО, Огурец,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23" authorId="0">
      <text>
        <r>
          <rPr>
            <sz val="8"/>
            <color indexed="81"/>
            <rFont val="Tahoma"/>
            <family val="2"/>
          </rPr>
          <t>ЗАМЕНИТЕ НА РЕАЛЬНЫЕ ДАННЫЕ.
ДЕМО, ДО, Огурец,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23" authorId="0">
      <text>
        <r>
          <rPr>
            <sz val="8"/>
            <color indexed="81"/>
            <rFont val="Tahoma"/>
            <family val="2"/>
          </rPr>
          <t>ЗАМЕНИТЕ НА РЕАЛЬНЫЕ ДАННЫЕ.
ДЕМО, ДО, Огурец,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24" authorId="0">
      <text>
        <r>
          <rPr>
            <sz val="8"/>
            <color indexed="81"/>
            <rFont val="Tahoma"/>
            <family val="2"/>
          </rPr>
          <t>ЗАМЕНИТЕ НА РЕАЛЬНЫЕ ДАННЫЕ.
ДЕМО, ДО, Огурец,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24" authorId="0">
      <text>
        <r>
          <rPr>
            <sz val="8"/>
            <color indexed="81"/>
            <rFont val="Tahoma"/>
            <family val="2"/>
          </rPr>
          <t>ЗАМЕНИТЕ НА РЕАЛЬНЫЕ ДАННЫЕ.
ДЕМО, ДО, Огурец,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24" authorId="0">
      <text>
        <r>
          <rPr>
            <sz val="8"/>
            <color indexed="81"/>
            <rFont val="Tahoma"/>
            <family val="2"/>
          </rPr>
          <t>ЗАМЕНИТЕ НА РЕАЛЬНЫЕ ДАННЫЕ.
ДЕМО, ДО, Огурец,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24" authorId="0">
      <text>
        <r>
          <rPr>
            <sz val="8"/>
            <color indexed="81"/>
            <rFont val="Tahoma"/>
            <family val="2"/>
          </rPr>
          <t>ЗАМЕНИТЕ НА РЕАЛЬНЫЕ ДАННЫЕ.
ДЕМО, ДО, Огурец,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24" authorId="0">
      <text>
        <r>
          <rPr>
            <sz val="8"/>
            <color indexed="81"/>
            <rFont val="Tahoma"/>
            <family val="2"/>
          </rPr>
          <t>ЗАМЕНИТЕ НА РЕАЛЬНЫЕ ДАННЫЕ.
ДЕМО, ДО, Огурец,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24" authorId="0">
      <text>
        <r>
          <rPr>
            <sz val="8"/>
            <color indexed="81"/>
            <rFont val="Tahoma"/>
            <family val="2"/>
          </rPr>
          <t>ЗАМЕНИТЕ НА РЕАЛЬНЫЕ ДАННЫЕ.
ДЕМО, ДО, Огурец,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24" authorId="0">
      <text>
        <r>
          <rPr>
            <sz val="8"/>
            <color indexed="81"/>
            <rFont val="Tahoma"/>
            <family val="2"/>
          </rPr>
          <t>ЗАМЕНИТЕ НА РЕАЛЬНЫЕ ДАННЫЕ.
ДЕМО, ДО, Огурец,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24" authorId="0">
      <text>
        <r>
          <rPr>
            <sz val="8"/>
            <color indexed="81"/>
            <rFont val="Tahoma"/>
            <family val="2"/>
          </rPr>
          <t>ЗАМЕНИТЕ НА РЕАЛЬНЫЕ ДАННЫЕ.
ДЕМО, ДО, Огурец,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24" authorId="0">
      <text>
        <r>
          <rPr>
            <sz val="8"/>
            <color indexed="81"/>
            <rFont val="Tahoma"/>
            <family val="2"/>
          </rPr>
          <t>ЗАМЕНИТЕ НА РЕАЛЬНЫЕ ДАННЫЕ.
ДЕМО, ДО, Огурец,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24" authorId="0">
      <text>
        <r>
          <rPr>
            <sz val="8"/>
            <color indexed="81"/>
            <rFont val="Tahoma"/>
            <family val="2"/>
          </rPr>
          <t>ЗАМЕНИТЕ НА РЕАЛЬНЫЕ ДАННЫЕ.
ДЕМО, ДО, Огурец,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25" authorId="0">
      <text>
        <r>
          <rPr>
            <sz val="8"/>
            <color indexed="81"/>
            <rFont val="Tahoma"/>
            <family val="2"/>
          </rPr>
          <t>ЗАМЕНИТЕ НА РЕАЛЬНЫЕ ДАННЫЕ.
ДЕМО, ДО, Огурец,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25" authorId="0">
      <text>
        <r>
          <rPr>
            <sz val="8"/>
            <color indexed="81"/>
            <rFont val="Tahoma"/>
            <family val="2"/>
          </rPr>
          <t>ЗАМЕНИТЕ НА РЕАЛЬНЫЕ ДАННЫЕ.
ДЕМО, ДО, Огурец,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25" authorId="0">
      <text>
        <r>
          <rPr>
            <sz val="8"/>
            <color indexed="81"/>
            <rFont val="Tahoma"/>
            <family val="2"/>
          </rPr>
          <t>ЗАМЕНИТЕ НА РЕАЛЬНЫЕ ДАННЫЕ.
ДЕМО, ДО, Огурец,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25" authorId="0">
      <text>
        <r>
          <rPr>
            <sz val="8"/>
            <color indexed="81"/>
            <rFont val="Tahoma"/>
            <family val="2"/>
          </rPr>
          <t>ЗАМЕНИТЕ НА РЕАЛЬНЫЕ ДАННЫЕ.
ДЕМО, ДО, Огурец,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25" authorId="0">
      <text>
        <r>
          <rPr>
            <sz val="8"/>
            <color indexed="81"/>
            <rFont val="Tahoma"/>
            <family val="2"/>
          </rPr>
          <t>ЗАМЕНИТЕ НА РЕАЛЬНЫЕ ДАННЫЕ.
ДЕМО, ДО, Огурец,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25" authorId="0">
      <text>
        <r>
          <rPr>
            <sz val="8"/>
            <color indexed="81"/>
            <rFont val="Tahoma"/>
            <family val="2"/>
          </rPr>
          <t>ЗАМЕНИТЕ НА РЕАЛЬНЫЕ ДАННЫЕ.
ДЕМО, ДО, Огурец,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25" authorId="0">
      <text>
        <r>
          <rPr>
            <sz val="8"/>
            <color indexed="81"/>
            <rFont val="Tahoma"/>
            <family val="2"/>
          </rPr>
          <t>ЗАМЕНИТЕ НА РЕАЛЬНЫЕ ДАННЫЕ.
ДЕМО, ДО, Огурец,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25" authorId="0">
      <text>
        <r>
          <rPr>
            <sz val="8"/>
            <color indexed="81"/>
            <rFont val="Tahoma"/>
            <family val="2"/>
          </rPr>
          <t>ЗАМЕНИТЕ НА РЕАЛЬНЫЕ ДАННЫЕ.
ДЕМО, ДО, Огурец,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25" authorId="0">
      <text>
        <r>
          <rPr>
            <sz val="8"/>
            <color indexed="81"/>
            <rFont val="Tahoma"/>
            <family val="2"/>
          </rPr>
          <t>ЗАМЕНИТЕ НА РЕАЛЬНЫЕ ДАННЫЕ.
ДЕМО, ДО, Огурец,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25" authorId="0">
      <text>
        <r>
          <rPr>
            <sz val="8"/>
            <color indexed="81"/>
            <rFont val="Tahoma"/>
            <family val="2"/>
          </rPr>
          <t>ЗАМЕНИТЕ НА РЕАЛЬНЫЕ ДАННЫЕ.
ДЕМО, ДО, Огурец,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26" authorId="0">
      <text>
        <r>
          <rPr>
            <sz val="8"/>
            <color indexed="81"/>
            <rFont val="Tahoma"/>
            <family val="2"/>
          </rPr>
          <t>ЗАМЕНИТЕ НА РЕАЛЬНЫЕ ДАННЫЕ.
ДЕМО, ДО, Огурец,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26" authorId="0">
      <text>
        <r>
          <rPr>
            <sz val="8"/>
            <color indexed="81"/>
            <rFont val="Tahoma"/>
            <family val="2"/>
          </rPr>
          <t>ЗАМЕНИТЕ НА РЕАЛЬНЫЕ ДАННЫЕ.
ДЕМО, ДО, Огурец,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26" authorId="0">
      <text>
        <r>
          <rPr>
            <sz val="8"/>
            <color indexed="81"/>
            <rFont val="Tahoma"/>
            <family val="2"/>
          </rPr>
          <t>ЗАМЕНИТЕ НА РЕАЛЬНЫЕ ДАННЫЕ.
ДЕМО, ДО, Огурец,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26" authorId="0">
      <text>
        <r>
          <rPr>
            <sz val="8"/>
            <color indexed="81"/>
            <rFont val="Tahoma"/>
            <family val="2"/>
          </rPr>
          <t>ЗАМЕНИТЕ НА РЕАЛЬНЫЕ ДАННЫЕ.
ДЕМО, ДО, Огурец,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26" authorId="0">
      <text>
        <r>
          <rPr>
            <sz val="8"/>
            <color indexed="81"/>
            <rFont val="Tahoma"/>
            <family val="2"/>
          </rPr>
          <t>ЗАМЕНИТЕ НА РЕАЛЬНЫЕ ДАННЫЕ.
ДЕМО, ДО, Огурец,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26" authorId="0">
      <text>
        <r>
          <rPr>
            <sz val="8"/>
            <color indexed="81"/>
            <rFont val="Tahoma"/>
            <family val="2"/>
          </rPr>
          <t>ЗАМЕНИТЕ НА РЕАЛЬНЫЕ ДАННЫЕ.
ДЕМО, ДО, Огурец,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26" authorId="0">
      <text>
        <r>
          <rPr>
            <sz val="8"/>
            <color indexed="81"/>
            <rFont val="Tahoma"/>
            <family val="2"/>
          </rPr>
          <t>ЗАМЕНИТЕ НА РЕАЛЬНЫЕ ДАННЫЕ.
ДЕМО, ДО, Огурец,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26" authorId="0">
      <text>
        <r>
          <rPr>
            <sz val="8"/>
            <color indexed="81"/>
            <rFont val="Tahoma"/>
            <family val="2"/>
          </rPr>
          <t>ЗАМЕНИТЕ НА РЕАЛЬНЫЕ ДАННЫЕ.
ДЕМО, ДО, Огурец,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26" authorId="0">
      <text>
        <r>
          <rPr>
            <sz val="8"/>
            <color indexed="81"/>
            <rFont val="Tahoma"/>
            <family val="2"/>
          </rPr>
          <t>ЗАМЕНИТЕ НА РЕАЛЬНЫЕ ДАННЫЕ.
ДЕМО, ДО, Огурец,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26" authorId="0">
      <text>
        <r>
          <rPr>
            <sz val="8"/>
            <color indexed="81"/>
            <rFont val="Tahoma"/>
            <family val="2"/>
          </rPr>
          <t>ЗАМЕНИТЕ НА РЕАЛЬНЫЕ ДАННЫЕ.
ДЕМО, ДО, Огурец,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28" authorId="0">
      <text>
        <r>
          <rPr>
            <sz val="8"/>
            <color indexed="81"/>
            <rFont val="Tahoma"/>
            <family val="2"/>
          </rPr>
          <t>ЗАМЕНИТЕ НА РЕАЛЬНЫЕ ДАННЫЕ.
ДЕМО, ДО, Огурец,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28" authorId="0">
      <text>
        <r>
          <rPr>
            <sz val="8"/>
            <color indexed="81"/>
            <rFont val="Tahoma"/>
            <family val="2"/>
          </rPr>
          <t>ЗАМЕНИТЕ НА РЕАЛЬНЫЕ ДАННЫЕ.
ДЕМО, ДО, Огурец,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28" authorId="0">
      <text>
        <r>
          <rPr>
            <sz val="8"/>
            <color indexed="81"/>
            <rFont val="Tahoma"/>
            <family val="2"/>
          </rPr>
          <t>ЗАМЕНИТЕ НА РЕАЛЬНЫЕ ДАННЫЕ.
ДЕМО, ДО, Огурец,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28" authorId="0">
      <text>
        <r>
          <rPr>
            <sz val="8"/>
            <color indexed="81"/>
            <rFont val="Tahoma"/>
            <family val="2"/>
          </rPr>
          <t>ЗАМЕНИТЕ НА РЕАЛЬНЫЕ ДАННЫЕ.
ДЕМО, ДО, Огурец,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28" authorId="0">
      <text>
        <r>
          <rPr>
            <sz val="8"/>
            <color indexed="81"/>
            <rFont val="Tahoma"/>
            <family val="2"/>
          </rPr>
          <t>ЗАМЕНИТЕ НА РЕАЛЬНЫЕ ДАННЫЕ.
ДЕМО, ДО, Огурец,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28" authorId="0">
      <text>
        <r>
          <rPr>
            <sz val="8"/>
            <color indexed="81"/>
            <rFont val="Tahoma"/>
            <family val="2"/>
          </rPr>
          <t>ЗАМЕНИТЕ НА РЕАЛЬНЫЕ ДАННЫЕ.
ДЕМО, ДО, Огурец,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28" authorId="0">
      <text>
        <r>
          <rPr>
            <sz val="8"/>
            <color indexed="81"/>
            <rFont val="Tahoma"/>
            <family val="2"/>
          </rPr>
          <t>ЗАМЕНИТЕ НА РЕАЛЬНЫЕ ДАННЫЕ.
ДЕМО, ДО, Огурец,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28" authorId="0">
      <text>
        <r>
          <rPr>
            <sz val="8"/>
            <color indexed="81"/>
            <rFont val="Tahoma"/>
            <family val="2"/>
          </rPr>
          <t>ЗАМЕНИТЕ НА РЕАЛЬНЫЕ ДАННЫЕ.
ДЕМО, ДО, Огурец,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28" authorId="0">
      <text>
        <r>
          <rPr>
            <sz val="8"/>
            <color indexed="81"/>
            <rFont val="Tahoma"/>
            <family val="2"/>
          </rPr>
          <t>ЗАМЕНИТЕ НА РЕАЛЬНЫЕ ДАННЫЕ.
ДЕМО, ДО, Огурец,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28" authorId="0">
      <text>
        <r>
          <rPr>
            <sz val="8"/>
            <color indexed="81"/>
            <rFont val="Tahoma"/>
            <family val="2"/>
          </rPr>
          <t>ЗАМЕНИТЕ НА РЕАЛЬНЫЕ ДАННЫЕ.
ДЕМО, ДО, Огурец,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29" authorId="0">
      <text>
        <r>
          <rPr>
            <sz val="8"/>
            <color indexed="81"/>
            <rFont val="Tahoma"/>
            <family val="2"/>
          </rPr>
          <t>ЗАМЕНИТЕ НА РЕАЛЬНЫЕ ДАННЫЕ.
ДЕМО, ДО, Огурец,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29" authorId="0">
      <text>
        <r>
          <rPr>
            <sz val="8"/>
            <color indexed="81"/>
            <rFont val="Tahoma"/>
            <family val="2"/>
          </rPr>
          <t>ЗАМЕНИТЕ НА РЕАЛЬНЫЕ ДАННЫЕ.
ДЕМО, ДО, Огурец,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29" authorId="0">
      <text>
        <r>
          <rPr>
            <sz val="8"/>
            <color indexed="81"/>
            <rFont val="Tahoma"/>
            <family val="2"/>
          </rPr>
          <t>ЗАМЕНИТЕ НА РЕАЛЬНЫЕ ДАННЫЕ.
ДЕМО, ДО, Огурец,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29" authorId="0">
      <text>
        <r>
          <rPr>
            <sz val="8"/>
            <color indexed="81"/>
            <rFont val="Tahoma"/>
            <family val="2"/>
          </rPr>
          <t>ЗАМЕНИТЕ НА РЕАЛЬНЫЕ ДАННЫЕ.
ДЕМО, ДО, Огурец,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29" authorId="0">
      <text>
        <r>
          <rPr>
            <sz val="8"/>
            <color indexed="81"/>
            <rFont val="Tahoma"/>
            <family val="2"/>
          </rPr>
          <t>ЗАМЕНИТЕ НА РЕАЛЬНЫЕ ДАННЫЕ.
ДЕМО, ДО, Огурец,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29" authorId="0">
      <text>
        <r>
          <rPr>
            <sz val="8"/>
            <color indexed="81"/>
            <rFont val="Tahoma"/>
            <family val="2"/>
          </rPr>
          <t>ЗАМЕНИТЕ НА РЕАЛЬНЫЕ ДАННЫЕ.
ДЕМО, ДО, Огурец,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29" authorId="0">
      <text>
        <r>
          <rPr>
            <sz val="8"/>
            <color indexed="81"/>
            <rFont val="Tahoma"/>
            <family val="2"/>
          </rPr>
          <t>ЗАМЕНИТЕ НА РЕАЛЬНЫЕ ДАННЫЕ.
ДЕМО, ДО, Огурец,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29" authorId="0">
      <text>
        <r>
          <rPr>
            <sz val="8"/>
            <color indexed="81"/>
            <rFont val="Tahoma"/>
            <family val="2"/>
          </rPr>
          <t>ЗАМЕНИТЕ НА РЕАЛЬНЫЕ ДАННЫЕ.
ДЕМО, ДО, Огурец,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29" authorId="0">
      <text>
        <r>
          <rPr>
            <sz val="8"/>
            <color indexed="81"/>
            <rFont val="Tahoma"/>
            <family val="2"/>
          </rPr>
          <t>ЗАМЕНИТЕ НА РЕАЛЬНЫЕ ДАННЫЕ.
ДЕМО, ДО, Огурец,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29" authorId="0">
      <text>
        <r>
          <rPr>
            <sz val="8"/>
            <color indexed="81"/>
            <rFont val="Tahoma"/>
            <family val="2"/>
          </rPr>
          <t>ЗАМЕНИТЕ НА РЕАЛЬНЫЕ ДАННЫЕ.
ДЕМО, ДО, Огурец,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30" authorId="0">
      <text>
        <r>
          <rPr>
            <sz val="8"/>
            <color indexed="81"/>
            <rFont val="Tahoma"/>
            <family val="2"/>
          </rPr>
          <t>ЗАМЕНИТЕ НА РЕАЛЬНЫЕ ДАННЫЕ.
ДЕМО, ДО, Огурец,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30" authorId="0">
      <text>
        <r>
          <rPr>
            <sz val="8"/>
            <color indexed="81"/>
            <rFont val="Tahoma"/>
            <family val="2"/>
          </rPr>
          <t>ЗАМЕНИТЕ НА РЕАЛЬНЫЕ ДАННЫЕ.
ДЕМО, ДО, Огурец,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30" authorId="0">
      <text>
        <r>
          <rPr>
            <sz val="8"/>
            <color indexed="81"/>
            <rFont val="Tahoma"/>
            <family val="2"/>
          </rPr>
          <t>ЗАМЕНИТЕ НА РЕАЛЬНЫЕ ДАННЫЕ.
ДЕМО, ДО, Огурец,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30" authorId="0">
      <text>
        <r>
          <rPr>
            <sz val="8"/>
            <color indexed="81"/>
            <rFont val="Tahoma"/>
            <family val="2"/>
          </rPr>
          <t>ЗАМЕНИТЕ НА РЕАЛЬНЫЕ ДАННЫЕ.
ДЕМО, ДО, Огурец,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30" authorId="0">
      <text>
        <r>
          <rPr>
            <sz val="8"/>
            <color indexed="81"/>
            <rFont val="Tahoma"/>
            <family val="2"/>
          </rPr>
          <t>ЗАМЕНИТЕ НА РЕАЛЬНЫЕ ДАННЫЕ.
ДЕМО, ДО, Огурец,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30" authorId="0">
      <text>
        <r>
          <rPr>
            <sz val="8"/>
            <color indexed="81"/>
            <rFont val="Tahoma"/>
            <family val="2"/>
          </rPr>
          <t>ЗАМЕНИТЕ НА РЕАЛЬНЫЕ ДАННЫЕ.
ДЕМО, ДО, Огурец,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30" authorId="0">
      <text>
        <r>
          <rPr>
            <sz val="8"/>
            <color indexed="81"/>
            <rFont val="Tahoma"/>
            <family val="2"/>
          </rPr>
          <t>ЗАМЕНИТЕ НА РЕАЛЬНЫЕ ДАННЫЕ.
ДЕМО, ДО, Огурец,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30" authorId="0">
      <text>
        <r>
          <rPr>
            <sz val="8"/>
            <color indexed="81"/>
            <rFont val="Tahoma"/>
            <family val="2"/>
          </rPr>
          <t>ЗАМЕНИТЕ НА РЕАЛЬНЫЕ ДАННЫЕ.
ДЕМО, ДО, Огурец,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30" authorId="0">
      <text>
        <r>
          <rPr>
            <sz val="8"/>
            <color indexed="81"/>
            <rFont val="Tahoma"/>
            <family val="2"/>
          </rPr>
          <t>ЗАМЕНИТЕ НА РЕАЛЬНЫЕ ДАННЫЕ.
ДЕМО, ДО, Огурец,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30" authorId="0">
      <text>
        <r>
          <rPr>
            <sz val="8"/>
            <color indexed="81"/>
            <rFont val="Tahoma"/>
            <family val="2"/>
          </rPr>
          <t>ЗАМЕНИТЕ НА РЕАЛЬНЫЕ ДАННЫЕ.
ДЕМО, ДО, Огурец,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31" authorId="0">
      <text>
        <r>
          <rPr>
            <sz val="8"/>
            <color indexed="81"/>
            <rFont val="Tahoma"/>
            <family val="2"/>
          </rPr>
          <t>ЗАМЕНИТЕ НА РЕАЛЬНЫЕ ДАННЫЕ.
ДЕМО, ДО, Огурец,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31" authorId="0">
      <text>
        <r>
          <rPr>
            <sz val="8"/>
            <color indexed="81"/>
            <rFont val="Tahoma"/>
            <family val="2"/>
          </rPr>
          <t>ЗАМЕНИТЕ НА РЕАЛЬНЫЕ ДАННЫЕ.
ДЕМО, ДО, Огурец,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31" authorId="0">
      <text>
        <r>
          <rPr>
            <sz val="8"/>
            <color indexed="81"/>
            <rFont val="Tahoma"/>
            <family val="2"/>
          </rPr>
          <t>ЗАМЕНИТЕ НА РЕАЛЬНЫЕ ДАННЫЕ.
ДЕМО, ДО, Огурец,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31" authorId="0">
      <text>
        <r>
          <rPr>
            <sz val="8"/>
            <color indexed="81"/>
            <rFont val="Tahoma"/>
            <family val="2"/>
          </rPr>
          <t>ЗАМЕНИТЕ НА РЕАЛЬНЫЕ ДАННЫЕ.
ДЕМО, ДО, Огурец,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31" authorId="0">
      <text>
        <r>
          <rPr>
            <sz val="8"/>
            <color indexed="81"/>
            <rFont val="Tahoma"/>
            <family val="2"/>
          </rPr>
          <t>ЗАМЕНИТЕ НА РЕАЛЬНЫЕ ДАННЫЕ.
ДЕМО, ДО, Огурец,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31" authorId="0">
      <text>
        <r>
          <rPr>
            <sz val="8"/>
            <color indexed="81"/>
            <rFont val="Tahoma"/>
            <family val="2"/>
          </rPr>
          <t>ЗАМЕНИТЕ НА РЕАЛЬНЫЕ ДАННЫЕ.
ДЕМО, ДО, Огурец,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31" authorId="0">
      <text>
        <r>
          <rPr>
            <sz val="8"/>
            <color indexed="81"/>
            <rFont val="Tahoma"/>
            <family val="2"/>
          </rPr>
          <t>ЗАМЕНИТЕ НА РЕАЛЬНЫЕ ДАННЫЕ.
ДЕМО, ДО, Огурец,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31" authorId="0">
      <text>
        <r>
          <rPr>
            <sz val="8"/>
            <color indexed="81"/>
            <rFont val="Tahoma"/>
            <family val="2"/>
          </rPr>
          <t>ЗАМЕНИТЕ НА РЕАЛЬНЫЕ ДАННЫЕ.
ДЕМО, ДО, Огурец,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31" authorId="0">
      <text>
        <r>
          <rPr>
            <sz val="8"/>
            <color indexed="81"/>
            <rFont val="Tahoma"/>
            <family val="2"/>
          </rPr>
          <t>ЗАМЕНИТЕ НА РЕАЛЬНЫЕ ДАННЫЕ.
ДЕМО, ДО, Огурец,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31" authorId="0">
      <text>
        <r>
          <rPr>
            <sz val="8"/>
            <color indexed="81"/>
            <rFont val="Tahoma"/>
            <family val="2"/>
          </rPr>
          <t>ЗАМЕНИТЕ НА РЕАЛЬНЫЕ ДАННЫЕ.
ДЕМО, ДО, Огурец,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32" authorId="0">
      <text>
        <r>
          <rPr>
            <sz val="8"/>
            <color indexed="81"/>
            <rFont val="Tahoma"/>
            <family val="2"/>
          </rPr>
          <t>ЗАМЕНИТЕ НА РЕАЛЬНЫЕ ДАННЫЕ.
ДЕМО, ДО, Огурец,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32" authorId="0">
      <text>
        <r>
          <rPr>
            <sz val="8"/>
            <color indexed="81"/>
            <rFont val="Tahoma"/>
            <family val="2"/>
          </rPr>
          <t>ЗАМЕНИТЕ НА РЕАЛЬНЫЕ ДАННЫЕ.
ДЕМО, ДО, Огурец,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32" authorId="0">
      <text>
        <r>
          <rPr>
            <sz val="8"/>
            <color indexed="81"/>
            <rFont val="Tahoma"/>
            <family val="2"/>
          </rPr>
          <t>ЗАМЕНИТЕ НА РЕАЛЬНЫЕ ДАННЫЕ.
ДЕМО, ДО, Огурец,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32" authorId="0">
      <text>
        <r>
          <rPr>
            <sz val="8"/>
            <color indexed="81"/>
            <rFont val="Tahoma"/>
            <family val="2"/>
          </rPr>
          <t>ЗАМЕНИТЕ НА РЕАЛЬНЫЕ ДАННЫЕ.
ДЕМО, ДО, Огурец,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32" authorId="0">
      <text>
        <r>
          <rPr>
            <sz val="8"/>
            <color indexed="81"/>
            <rFont val="Tahoma"/>
            <family val="2"/>
          </rPr>
          <t>ЗАМЕНИТЕ НА РЕАЛЬНЫЕ ДАННЫЕ.
ДЕМО, ДО, Огурец,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32" authorId="0">
      <text>
        <r>
          <rPr>
            <sz val="8"/>
            <color indexed="81"/>
            <rFont val="Tahoma"/>
            <family val="2"/>
          </rPr>
          <t>ЗАМЕНИТЕ НА РЕАЛЬНЫЕ ДАННЫЕ.
ДЕМО, ДО, Огурец,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32" authorId="0">
      <text>
        <r>
          <rPr>
            <sz val="8"/>
            <color indexed="81"/>
            <rFont val="Tahoma"/>
            <family val="2"/>
          </rPr>
          <t>ЗАМЕНИТЕ НА РЕАЛЬНЫЕ ДАННЫЕ.
ДЕМО, ДО, Огурец,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32" authorId="0">
      <text>
        <r>
          <rPr>
            <sz val="8"/>
            <color indexed="81"/>
            <rFont val="Tahoma"/>
            <family val="2"/>
          </rPr>
          <t>ЗАМЕНИТЕ НА РЕАЛЬНЫЕ ДАННЫЕ.
ДЕМО, ДО, Огурец,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32" authorId="0">
      <text>
        <r>
          <rPr>
            <sz val="8"/>
            <color indexed="81"/>
            <rFont val="Tahoma"/>
            <family val="2"/>
          </rPr>
          <t>ЗАМЕНИТЕ НА РЕАЛЬНЫЕ ДАННЫЕ.
ДЕМО, ДО, Огурец,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32" authorId="0">
      <text>
        <r>
          <rPr>
            <sz val="8"/>
            <color indexed="81"/>
            <rFont val="Tahoma"/>
            <family val="2"/>
          </rPr>
          <t>ЗАМЕНИТЕ НА РЕАЛЬНЫЕ ДАННЫЕ.
ДЕМО, ДО, Огурец,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41" authorId="0">
      <text>
        <r>
          <rPr>
            <sz val="8"/>
            <color indexed="81"/>
            <rFont val="Tahoma"/>
            <family val="2"/>
          </rPr>
          <t>ЗАМЕНИТЕ НА РЕАЛЬНЫЕ ДАННЫЕ.
Редис, цикл 1. 0 исключает все элементы данного цикла, а не один выброс.</t>
        </r>
      </text>
    </comment>
    <comment ref="F241" authorId="0">
      <text>
        <r>
          <rPr>
            <sz val="8"/>
            <color indexed="81"/>
            <rFont val="Tahoma"/>
            <family val="2"/>
          </rPr>
          <t>ЗАМЕНИТЕ НА РЕАЛЬНЫЕ ДАННЫЕ.
Редис, цикл 2. 0 исключает все элементы данного цикла, а не один выброс.</t>
        </r>
      </text>
    </comment>
    <comment ref="G241" authorId="0">
      <text>
        <r>
          <rPr>
            <sz val="8"/>
            <color indexed="81"/>
            <rFont val="Tahoma"/>
            <family val="2"/>
          </rPr>
          <t>ЗАМЕНИТЕ НА РЕАЛЬНЫЕ ДАННЫЕ.
Редис, цикл 3. 0 исключает все элементы данного цикла, а не один выброс.</t>
        </r>
      </text>
    </comment>
    <comment ref="H241" authorId="0">
      <text>
        <r>
          <rPr>
            <sz val="8"/>
            <color indexed="81"/>
            <rFont val="Tahoma"/>
            <family val="2"/>
          </rPr>
          <t>ЗАМЕНИТЕ НА РЕАЛЬНЫЕ ДАННЫЕ.
Редис, цикл 4. 0 исключает все элементы данного цикла, а не один выброс.</t>
        </r>
      </text>
    </comment>
    <comment ref="I241" authorId="0">
      <text>
        <r>
          <rPr>
            <sz val="8"/>
            <color indexed="81"/>
            <rFont val="Tahoma"/>
            <family val="2"/>
          </rPr>
          <t>ЗАМЕНИТЕ НА РЕАЛЬНЫЕ ДАННЫЕ.
Редис, цикл 5. 0 исключает все элементы данного цикла, а не один выброс.</t>
        </r>
      </text>
    </comment>
    <comment ref="J241" authorId="0">
      <text>
        <r>
          <rPr>
            <sz val="8"/>
            <color indexed="81"/>
            <rFont val="Tahoma"/>
            <family val="2"/>
          </rPr>
          <t>ЗАМЕНИТЕ НА РЕАЛЬНЫЕ ДАННЫЕ.
Редис, цикл 6. 0 исключает все элементы данного цикла, а не один выброс.</t>
        </r>
      </text>
    </comment>
    <comment ref="K241" authorId="0">
      <text>
        <r>
          <rPr>
            <sz val="8"/>
            <color indexed="81"/>
            <rFont val="Tahoma"/>
            <family val="2"/>
          </rPr>
          <t>ЗАМЕНИТЕ НА РЕАЛЬНЫЕ ДАННЫЕ.
Редис, цикл 7. 0 исключает все элементы данного цикла, а не один выброс.</t>
        </r>
      </text>
    </comment>
    <comment ref="L241" authorId="0">
      <text>
        <r>
          <rPr>
            <sz val="8"/>
            <color indexed="81"/>
            <rFont val="Tahoma"/>
            <family val="2"/>
          </rPr>
          <t>ЗАМЕНИТЕ НА РЕАЛЬНЫЕ ДАННЫЕ.
Редис, цикл 8. 0 исключает все элементы данного цикла, а не один выброс.</t>
        </r>
      </text>
    </comment>
    <comment ref="M241" authorId="0">
      <text>
        <r>
          <rPr>
            <sz val="8"/>
            <color indexed="81"/>
            <rFont val="Tahoma"/>
            <family val="2"/>
          </rPr>
          <t>ЗАМЕНИТЕ НА РЕАЛЬНЫЕ ДАННЫЕ.
Редис, цикл 9. 0 исключает все элементы данного цикла, а не один выброс.</t>
        </r>
      </text>
    </comment>
    <comment ref="N241" authorId="0">
      <text>
        <r>
          <rPr>
            <sz val="8"/>
            <color indexed="81"/>
            <rFont val="Tahoma"/>
            <family val="2"/>
          </rPr>
          <t>ЗАМЕНИТЕ НА РЕАЛЬНЫЕ ДАННЫЕ.
Редис, цикл 10. 0 исключает все элементы данного цикла, а не один выброс.</t>
        </r>
      </text>
    </comment>
    <comment ref="E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43" authorId="0">
      <text>
        <r>
          <rPr>
            <sz val="8"/>
            <color indexed="81"/>
            <rFont val="Tahoma"/>
            <family val="2"/>
          </rPr>
          <t>ЗАМЕНИТЕ НА РЕАЛЬНЫЕ ДАННЫЕ.
ДЕМО, ДО, Редис,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43" authorId="0">
      <text>
        <r>
          <rPr>
            <sz val="8"/>
            <color indexed="81"/>
            <rFont val="Tahoma"/>
            <family val="2"/>
          </rPr>
          <t>ЗАМЕНИТЕ НА РЕАЛЬНЫЕ ДАННЫЕ.
ДЕМО, ДО, Редис,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43" authorId="0">
      <text>
        <r>
          <rPr>
            <sz val="8"/>
            <color indexed="81"/>
            <rFont val="Tahoma"/>
            <family val="2"/>
          </rPr>
          <t>ЗАМЕНИТЕ НА РЕАЛЬНЫЕ ДАННЫЕ.
ДЕМО, ДО, Редис,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43" authorId="0">
      <text>
        <r>
          <rPr>
            <sz val="8"/>
            <color indexed="81"/>
            <rFont val="Tahoma"/>
            <family val="2"/>
          </rPr>
          <t>ЗАМЕНИТЕ НА РЕАЛЬНЫЕ ДАННЫЕ.
ДЕМО, ДО, Редис,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43" authorId="0">
      <text>
        <r>
          <rPr>
            <sz val="8"/>
            <color indexed="81"/>
            <rFont val="Tahoma"/>
            <family val="2"/>
          </rPr>
          <t>ЗАМЕНИТЕ НА РЕАЛЬНЫЕ ДАННЫЕ.
ДЕМО, ДО, Редис,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43" authorId="0">
      <text>
        <r>
          <rPr>
            <sz val="8"/>
            <color indexed="81"/>
            <rFont val="Tahoma"/>
            <family val="2"/>
          </rPr>
          <t>ЗАМЕНИТЕ НА РЕАЛЬНЫЕ ДАННЫЕ.
ДЕМО, ДО, Редис,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43" authorId="0">
      <text>
        <r>
          <rPr>
            <sz val="8"/>
            <color indexed="81"/>
            <rFont val="Tahoma"/>
            <family val="2"/>
          </rPr>
          <t>ЗАМЕНИТЕ НА РЕАЛЬНЫЕ ДАННЫЕ.
ДЕМО, ДО, Редис,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43" authorId="0">
      <text>
        <r>
          <rPr>
            <sz val="8"/>
            <color indexed="81"/>
            <rFont val="Tahoma"/>
            <family val="2"/>
          </rPr>
          <t>ЗАМЕНИТЕ НА РЕАЛЬНЫЕ ДАННЫЕ.
ДЕМО, ДО, Редис,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43" authorId="0">
      <text>
        <r>
          <rPr>
            <sz val="8"/>
            <color indexed="81"/>
            <rFont val="Tahoma"/>
            <family val="2"/>
          </rPr>
          <t>ЗАМЕНИТЕ НА РЕАЛЬНЫЕ ДАННЫЕ.
ДЕМО, ДО, Редис,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43" authorId="0">
      <text>
        <r>
          <rPr>
            <sz val="8"/>
            <color indexed="81"/>
            <rFont val="Tahoma"/>
            <family val="2"/>
          </rPr>
          <t>ЗАМЕНИТЕ НА РЕАЛЬНЫЕ ДАННЫЕ.
ДЕМО, ДО, Редис,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44" authorId="0">
      <text>
        <r>
          <rPr>
            <sz val="8"/>
            <color indexed="81"/>
            <rFont val="Tahoma"/>
            <family val="2"/>
          </rPr>
          <t>ЗАМЕНИТЕ НА РЕАЛЬНЫЕ ДАННЫЕ.
ДЕМО, ДО, Редис,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44" authorId="0">
      <text>
        <r>
          <rPr>
            <sz val="8"/>
            <color indexed="81"/>
            <rFont val="Tahoma"/>
            <family val="2"/>
          </rPr>
          <t>ЗАМЕНИТЕ НА РЕАЛЬНЫЕ ДАННЫЕ.
ДЕМО, ДО, Редис,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44" authorId="0">
      <text>
        <r>
          <rPr>
            <sz val="8"/>
            <color indexed="81"/>
            <rFont val="Tahoma"/>
            <family val="2"/>
          </rPr>
          <t>ЗАМЕНИТЕ НА РЕАЛЬНЫЕ ДАННЫЕ.
ДЕМО, ДО, Редис,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44" authorId="0">
      <text>
        <r>
          <rPr>
            <sz val="8"/>
            <color indexed="81"/>
            <rFont val="Tahoma"/>
            <family val="2"/>
          </rPr>
          <t>ЗАМЕНИТЕ НА РЕАЛЬНЫЕ ДАННЫЕ.
ДЕМО, ДО, Редис,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44" authorId="0">
      <text>
        <r>
          <rPr>
            <sz val="8"/>
            <color indexed="81"/>
            <rFont val="Tahoma"/>
            <family val="2"/>
          </rPr>
          <t>ЗАМЕНИТЕ НА РЕАЛЬНЫЕ ДАННЫЕ.
ДЕМО, ДО, Редис,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44" authorId="0">
      <text>
        <r>
          <rPr>
            <sz val="8"/>
            <color indexed="81"/>
            <rFont val="Tahoma"/>
            <family val="2"/>
          </rPr>
          <t>ЗАМЕНИТЕ НА РЕАЛЬНЫЕ ДАННЫЕ.
ДЕМО, ДО, Редис,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44" authorId="0">
      <text>
        <r>
          <rPr>
            <sz val="8"/>
            <color indexed="81"/>
            <rFont val="Tahoma"/>
            <family val="2"/>
          </rPr>
          <t>ЗАМЕНИТЕ НА РЕАЛЬНЫЕ ДАННЫЕ.
ДЕМО, ДО, Редис,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44" authorId="0">
      <text>
        <r>
          <rPr>
            <sz val="8"/>
            <color indexed="81"/>
            <rFont val="Tahoma"/>
            <family val="2"/>
          </rPr>
          <t>ЗАМЕНИТЕ НА РЕАЛЬНЫЕ ДАННЫЕ.
ДЕМО, ДО, Редис,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44" authorId="0">
      <text>
        <r>
          <rPr>
            <sz val="8"/>
            <color indexed="81"/>
            <rFont val="Tahoma"/>
            <family val="2"/>
          </rPr>
          <t>ЗАМЕНИТЕ НА РЕАЛЬНЫЕ ДАННЫЕ.
ДЕМО, ДО, Редис,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44" authorId="0">
      <text>
        <r>
          <rPr>
            <sz val="8"/>
            <color indexed="81"/>
            <rFont val="Tahoma"/>
            <family val="2"/>
          </rPr>
          <t>ЗАМЕНИТЕ НА РЕАЛЬНЫЕ ДАННЫЕ.
ДЕМО, ДО, Редис,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45" authorId="0">
      <text>
        <r>
          <rPr>
            <sz val="8"/>
            <color indexed="81"/>
            <rFont val="Tahoma"/>
            <family val="2"/>
          </rPr>
          <t>ЗАМЕНИТЕ НА РЕАЛЬНЫЕ ДАННЫЕ.
ДЕМО, ДО, Редис,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45" authorId="0">
      <text>
        <r>
          <rPr>
            <sz val="8"/>
            <color indexed="81"/>
            <rFont val="Tahoma"/>
            <family val="2"/>
          </rPr>
          <t>ЗАМЕНИТЕ НА РЕАЛЬНЫЕ ДАННЫЕ.
ДЕМО, ДО, Редис,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45" authorId="0">
      <text>
        <r>
          <rPr>
            <sz val="8"/>
            <color indexed="81"/>
            <rFont val="Tahoma"/>
            <family val="2"/>
          </rPr>
          <t>ЗАМЕНИТЕ НА РЕАЛЬНЫЕ ДАННЫЕ.
ДЕМО, ДО, Редис,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45" authorId="0">
      <text>
        <r>
          <rPr>
            <sz val="8"/>
            <color indexed="81"/>
            <rFont val="Tahoma"/>
            <family val="2"/>
          </rPr>
          <t>ЗАМЕНИТЕ НА РЕАЛЬНЫЕ ДАННЫЕ.
ДЕМО, ДО, Редис,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45" authorId="0">
      <text>
        <r>
          <rPr>
            <sz val="8"/>
            <color indexed="81"/>
            <rFont val="Tahoma"/>
            <family val="2"/>
          </rPr>
          <t>ЗАМЕНИТЕ НА РЕАЛЬНЫЕ ДАННЫЕ.
ДЕМО, ДО, Редис,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45" authorId="0">
      <text>
        <r>
          <rPr>
            <sz val="8"/>
            <color indexed="81"/>
            <rFont val="Tahoma"/>
            <family val="2"/>
          </rPr>
          <t>ЗАМЕНИТЕ НА РЕАЛЬНЫЕ ДАННЫЕ.
ДЕМО, ДО, Редис,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45" authorId="0">
      <text>
        <r>
          <rPr>
            <sz val="8"/>
            <color indexed="81"/>
            <rFont val="Tahoma"/>
            <family val="2"/>
          </rPr>
          <t>ЗАМЕНИТЕ НА РЕАЛЬНЫЕ ДАННЫЕ.
ДЕМО, ДО, Редис,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45" authorId="0">
      <text>
        <r>
          <rPr>
            <sz val="8"/>
            <color indexed="81"/>
            <rFont val="Tahoma"/>
            <family val="2"/>
          </rPr>
          <t>ЗАМЕНИТЕ НА РЕАЛЬНЫЕ ДАННЫЕ.
ДЕМО, ДО, Редис,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45" authorId="0">
      <text>
        <r>
          <rPr>
            <sz val="8"/>
            <color indexed="81"/>
            <rFont val="Tahoma"/>
            <family val="2"/>
          </rPr>
          <t>ЗАМЕНИТЕ НА РЕАЛЬНЫЕ ДАННЫЕ.
ДЕМО, ДО, Редис,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45" authorId="0">
      <text>
        <r>
          <rPr>
            <sz val="8"/>
            <color indexed="81"/>
            <rFont val="Tahoma"/>
            <family val="2"/>
          </rPr>
          <t>ЗАМЕНИТЕ НА РЕАЛЬНЫЕ ДАННЫЕ.
ДЕМО, ДО, Редис,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46" authorId="0">
      <text>
        <r>
          <rPr>
            <sz val="8"/>
            <color indexed="81"/>
            <rFont val="Tahoma"/>
            <family val="2"/>
          </rPr>
          <t>ЗАМЕНИТЕ НА РЕАЛЬНЫЕ ДАННЫЕ.
ДЕМО, ДО, Редис,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46" authorId="0">
      <text>
        <r>
          <rPr>
            <sz val="8"/>
            <color indexed="81"/>
            <rFont val="Tahoma"/>
            <family val="2"/>
          </rPr>
          <t>ЗАМЕНИТЕ НА РЕАЛЬНЫЕ ДАННЫЕ.
ДЕМО, ДО, Редис,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46" authorId="0">
      <text>
        <r>
          <rPr>
            <sz val="8"/>
            <color indexed="81"/>
            <rFont val="Tahoma"/>
            <family val="2"/>
          </rPr>
          <t>ЗАМЕНИТЕ НА РЕАЛЬНЫЕ ДАННЫЕ.
ДЕМО, ДО, Редис,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46" authorId="0">
      <text>
        <r>
          <rPr>
            <sz val="8"/>
            <color indexed="81"/>
            <rFont val="Tahoma"/>
            <family val="2"/>
          </rPr>
          <t>ЗАМЕНИТЕ НА РЕАЛЬНЫЕ ДАННЫЕ.
ДЕМО, ДО, Редис,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46" authorId="0">
      <text>
        <r>
          <rPr>
            <sz val="8"/>
            <color indexed="81"/>
            <rFont val="Tahoma"/>
            <family val="2"/>
          </rPr>
          <t>ЗАМЕНИТЕ НА РЕАЛЬНЫЕ ДАННЫЕ.
ДЕМО, ДО, Редис,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46" authorId="0">
      <text>
        <r>
          <rPr>
            <sz val="8"/>
            <color indexed="81"/>
            <rFont val="Tahoma"/>
            <family val="2"/>
          </rPr>
          <t>ЗАМЕНИТЕ НА РЕАЛЬНЫЕ ДАННЫЕ.
ДЕМО, ДО, Редис,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46" authorId="0">
      <text>
        <r>
          <rPr>
            <sz val="8"/>
            <color indexed="81"/>
            <rFont val="Tahoma"/>
            <family val="2"/>
          </rPr>
          <t>ЗАМЕНИТЕ НА РЕАЛЬНЫЕ ДАННЫЕ.
ДЕМО, ДО, Редис,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46" authorId="0">
      <text>
        <r>
          <rPr>
            <sz val="8"/>
            <color indexed="81"/>
            <rFont val="Tahoma"/>
            <family val="2"/>
          </rPr>
          <t>ЗАМЕНИТЕ НА РЕАЛЬНЫЕ ДАННЫЕ.
ДЕМО, ДО, Редис,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46" authorId="0">
      <text>
        <r>
          <rPr>
            <sz val="8"/>
            <color indexed="81"/>
            <rFont val="Tahoma"/>
            <family val="2"/>
          </rPr>
          <t>ЗАМЕНИТЕ НА РЕАЛЬНЫЕ ДАННЫЕ.
ДЕМО, ДО, Редис,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46" authorId="0">
      <text>
        <r>
          <rPr>
            <sz val="8"/>
            <color indexed="81"/>
            <rFont val="Tahoma"/>
            <family val="2"/>
          </rPr>
          <t>ЗАМЕНИТЕ НА РЕАЛЬНЫЕ ДАННЫЕ.
ДЕМО, ДО, Редис,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47" authorId="0">
      <text>
        <r>
          <rPr>
            <sz val="8"/>
            <color indexed="81"/>
            <rFont val="Tahoma"/>
            <family val="2"/>
          </rPr>
          <t>ЗАМЕНИТЕ НА РЕАЛЬНЫЕ ДАННЫЕ.
ДЕМО, ДО, Редис,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47" authorId="0">
      <text>
        <r>
          <rPr>
            <sz val="8"/>
            <color indexed="81"/>
            <rFont val="Tahoma"/>
            <family val="2"/>
          </rPr>
          <t>ЗАМЕНИТЕ НА РЕАЛЬНЫЕ ДАННЫЕ.
ДЕМО, ДО, Редис,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47" authorId="0">
      <text>
        <r>
          <rPr>
            <sz val="8"/>
            <color indexed="81"/>
            <rFont val="Tahoma"/>
            <family val="2"/>
          </rPr>
          <t>ЗАМЕНИТЕ НА РЕАЛЬНЫЕ ДАННЫЕ.
ДЕМО, ДО, Редис,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47" authorId="0">
      <text>
        <r>
          <rPr>
            <sz val="8"/>
            <color indexed="81"/>
            <rFont val="Tahoma"/>
            <family val="2"/>
          </rPr>
          <t>ЗАМЕНИТЕ НА РЕАЛЬНЫЕ ДАННЫЕ.
ДЕМО, ДО, Редис,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47" authorId="0">
      <text>
        <r>
          <rPr>
            <sz val="8"/>
            <color indexed="81"/>
            <rFont val="Tahoma"/>
            <family val="2"/>
          </rPr>
          <t>ЗАМЕНИТЕ НА РЕАЛЬНЫЕ ДАННЫЕ.
ДЕМО, ДО, Редис,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47" authorId="0">
      <text>
        <r>
          <rPr>
            <sz val="8"/>
            <color indexed="81"/>
            <rFont val="Tahoma"/>
            <family val="2"/>
          </rPr>
          <t>ЗАМЕНИТЕ НА РЕАЛЬНЫЕ ДАННЫЕ.
ДЕМО, ДО, Редис,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47" authorId="0">
      <text>
        <r>
          <rPr>
            <sz val="8"/>
            <color indexed="81"/>
            <rFont val="Tahoma"/>
            <family val="2"/>
          </rPr>
          <t>ЗАМЕНИТЕ НА РЕАЛЬНЫЕ ДАННЫЕ.
ДЕМО, ДО, Редис,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47" authorId="0">
      <text>
        <r>
          <rPr>
            <sz val="8"/>
            <color indexed="81"/>
            <rFont val="Tahoma"/>
            <family val="2"/>
          </rPr>
          <t>ЗАМЕНИТЕ НА РЕАЛЬНЫЕ ДАННЫЕ.
ДЕМО, ДО, Редис,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47" authorId="0">
      <text>
        <r>
          <rPr>
            <sz val="8"/>
            <color indexed="81"/>
            <rFont val="Tahoma"/>
            <family val="2"/>
          </rPr>
          <t>ЗАМЕНИТЕ НА РЕАЛЬНЫЕ ДАННЫЕ.
ДЕМО, ДО, Редис,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47" authorId="0">
      <text>
        <r>
          <rPr>
            <sz val="8"/>
            <color indexed="81"/>
            <rFont val="Tahoma"/>
            <family val="2"/>
          </rPr>
          <t>ЗАМЕНИТЕ НА РЕАЛЬНЫЕ ДАННЫЕ.
ДЕМО, ДО, Редис,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49" authorId="0">
      <text>
        <r>
          <rPr>
            <sz val="8"/>
            <color indexed="81"/>
            <rFont val="Tahoma"/>
            <family val="2"/>
          </rPr>
          <t>ЗАМЕНИТЕ НА РЕАЛЬНЫЕ ДАННЫЕ.
ДЕМО, ДО, Редис,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49" authorId="0">
      <text>
        <r>
          <rPr>
            <sz val="8"/>
            <color indexed="81"/>
            <rFont val="Tahoma"/>
            <family val="2"/>
          </rPr>
          <t>ЗАМЕНИТЕ НА РЕАЛЬНЫЕ ДАННЫЕ.
ДЕМО, ДО, Редис,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49" authorId="0">
      <text>
        <r>
          <rPr>
            <sz val="8"/>
            <color indexed="81"/>
            <rFont val="Tahoma"/>
            <family val="2"/>
          </rPr>
          <t>ЗАМЕНИТЕ НА РЕАЛЬНЫЕ ДАННЫЕ.
ДЕМО, ДО, Редис,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49" authorId="0">
      <text>
        <r>
          <rPr>
            <sz val="8"/>
            <color indexed="81"/>
            <rFont val="Tahoma"/>
            <family val="2"/>
          </rPr>
          <t>ЗАМЕНИТЕ НА РЕАЛЬНЫЕ ДАННЫЕ.
ДЕМО, ДО, Редис,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49" authorId="0">
      <text>
        <r>
          <rPr>
            <sz val="8"/>
            <color indexed="81"/>
            <rFont val="Tahoma"/>
            <family val="2"/>
          </rPr>
          <t>ЗАМЕНИТЕ НА РЕАЛЬНЫЕ ДАННЫЕ.
ДЕМО, ДО, Редис,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49" authorId="0">
      <text>
        <r>
          <rPr>
            <sz val="8"/>
            <color indexed="81"/>
            <rFont val="Tahoma"/>
            <family val="2"/>
          </rPr>
          <t>ЗАМЕНИТЕ НА РЕАЛЬНЫЕ ДАННЫЕ.
ДЕМО, ДО, Редис,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49" authorId="0">
      <text>
        <r>
          <rPr>
            <sz val="8"/>
            <color indexed="81"/>
            <rFont val="Tahoma"/>
            <family val="2"/>
          </rPr>
          <t>ЗАМЕНИТЕ НА РЕАЛЬНЫЕ ДАННЫЕ.
ДЕМО, ДО, Редис,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49" authorId="0">
      <text>
        <r>
          <rPr>
            <sz val="8"/>
            <color indexed="81"/>
            <rFont val="Tahoma"/>
            <family val="2"/>
          </rPr>
          <t>ЗАМЕНИТЕ НА РЕАЛЬНЫЕ ДАННЫЕ.
ДЕМО, ДО, Редис,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49" authorId="0">
      <text>
        <r>
          <rPr>
            <sz val="8"/>
            <color indexed="81"/>
            <rFont val="Tahoma"/>
            <family val="2"/>
          </rPr>
          <t>ЗАМЕНИТЕ НА РЕАЛЬНЫЕ ДАННЫЕ.
ДЕМО, ДО, Редис,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49" authorId="0">
      <text>
        <r>
          <rPr>
            <sz val="8"/>
            <color indexed="81"/>
            <rFont val="Tahoma"/>
            <family val="2"/>
          </rPr>
          <t>ЗАМЕНИТЕ НА РЕАЛЬНЫЕ ДАННЫЕ.
ДЕМО, ДО, Редис,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50" authorId="0">
      <text>
        <r>
          <rPr>
            <sz val="8"/>
            <color indexed="81"/>
            <rFont val="Tahoma"/>
            <family val="2"/>
          </rPr>
          <t>ЗАМЕНИТЕ НА РЕАЛЬНЫЕ ДАННЫЕ.
ДЕМО, ДО, Редис,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50" authorId="0">
      <text>
        <r>
          <rPr>
            <sz val="8"/>
            <color indexed="81"/>
            <rFont val="Tahoma"/>
            <family val="2"/>
          </rPr>
          <t>ЗАМЕНИТЕ НА РЕАЛЬНЫЕ ДАННЫЕ.
ДЕМО, ДО, Редис,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50" authorId="0">
      <text>
        <r>
          <rPr>
            <sz val="8"/>
            <color indexed="81"/>
            <rFont val="Tahoma"/>
            <family val="2"/>
          </rPr>
          <t>ЗАМЕНИТЕ НА РЕАЛЬНЫЕ ДАННЫЕ.
ДЕМО, ДО, Редис,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50" authorId="0">
      <text>
        <r>
          <rPr>
            <sz val="8"/>
            <color indexed="81"/>
            <rFont val="Tahoma"/>
            <family val="2"/>
          </rPr>
          <t>ЗАМЕНИТЕ НА РЕАЛЬНЫЕ ДАННЫЕ.
ДЕМО, ДО, Редис,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50" authorId="0">
      <text>
        <r>
          <rPr>
            <sz val="8"/>
            <color indexed="81"/>
            <rFont val="Tahoma"/>
            <family val="2"/>
          </rPr>
          <t>ЗАМЕНИТЕ НА РЕАЛЬНЫЕ ДАННЫЕ.
ДЕМО, ДО, Редис,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50" authorId="0">
      <text>
        <r>
          <rPr>
            <sz val="8"/>
            <color indexed="81"/>
            <rFont val="Tahoma"/>
            <family val="2"/>
          </rPr>
          <t>ЗАМЕНИТЕ НА РЕАЛЬНЫЕ ДАННЫЕ.
ДЕМО, ДО, Редис,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50" authorId="0">
      <text>
        <r>
          <rPr>
            <sz val="8"/>
            <color indexed="81"/>
            <rFont val="Tahoma"/>
            <family val="2"/>
          </rPr>
          <t>ЗАМЕНИТЕ НА РЕАЛЬНЫЕ ДАННЫЕ.
ДЕМО, ДО, Редис,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50" authorId="0">
      <text>
        <r>
          <rPr>
            <sz val="8"/>
            <color indexed="81"/>
            <rFont val="Tahoma"/>
            <family val="2"/>
          </rPr>
          <t>ЗАМЕНИТЕ НА РЕАЛЬНЫЕ ДАННЫЕ.
ДЕМО, ДО, Редис,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50" authorId="0">
      <text>
        <r>
          <rPr>
            <sz val="8"/>
            <color indexed="81"/>
            <rFont val="Tahoma"/>
            <family val="2"/>
          </rPr>
          <t>ЗАМЕНИТЕ НА РЕАЛЬНЫЕ ДАННЫЕ.
ДЕМО, ДО, Редис,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50" authorId="0">
      <text>
        <r>
          <rPr>
            <sz val="8"/>
            <color indexed="81"/>
            <rFont val="Tahoma"/>
            <family val="2"/>
          </rPr>
          <t>ЗАМЕНИТЕ НА РЕАЛЬНЫЕ ДАННЫЕ.
ДЕМО, ДО, Редис,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51" authorId="0">
      <text>
        <r>
          <rPr>
            <sz val="8"/>
            <color indexed="81"/>
            <rFont val="Tahoma"/>
            <family val="2"/>
          </rPr>
          <t>ЗАМЕНИТЕ НА РЕАЛЬНЫЕ ДАННЫЕ.
ДЕМО, ДО, Редис,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51" authorId="0">
      <text>
        <r>
          <rPr>
            <sz val="8"/>
            <color indexed="81"/>
            <rFont val="Tahoma"/>
            <family val="2"/>
          </rPr>
          <t>ЗАМЕНИТЕ НА РЕАЛЬНЫЕ ДАННЫЕ.
ДЕМО, ДО, Редис,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51" authorId="0">
      <text>
        <r>
          <rPr>
            <sz val="8"/>
            <color indexed="81"/>
            <rFont val="Tahoma"/>
            <family val="2"/>
          </rPr>
          <t>ЗАМЕНИТЕ НА РЕАЛЬНЫЕ ДАННЫЕ.
ДЕМО, ДО, Редис,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51" authorId="0">
      <text>
        <r>
          <rPr>
            <sz val="8"/>
            <color indexed="81"/>
            <rFont val="Tahoma"/>
            <family val="2"/>
          </rPr>
          <t>ЗАМЕНИТЕ НА РЕАЛЬНЫЕ ДАННЫЕ.
ДЕМО, ДО, Редис,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51" authorId="0">
      <text>
        <r>
          <rPr>
            <sz val="8"/>
            <color indexed="81"/>
            <rFont val="Tahoma"/>
            <family val="2"/>
          </rPr>
          <t>ЗАМЕНИТЕ НА РЕАЛЬНЫЕ ДАННЫЕ.
ДЕМО, ДО, Редис,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51" authorId="0">
      <text>
        <r>
          <rPr>
            <sz val="8"/>
            <color indexed="81"/>
            <rFont val="Tahoma"/>
            <family val="2"/>
          </rPr>
          <t>ЗАМЕНИТЕ НА РЕАЛЬНЫЕ ДАННЫЕ.
ДЕМО, ДО, Редис,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51" authorId="0">
      <text>
        <r>
          <rPr>
            <sz val="8"/>
            <color indexed="81"/>
            <rFont val="Tahoma"/>
            <family val="2"/>
          </rPr>
          <t>ЗАМЕНИТЕ НА РЕАЛЬНЫЕ ДАННЫЕ.
ДЕМО, ДО, Редис,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51" authorId="0">
      <text>
        <r>
          <rPr>
            <sz val="8"/>
            <color indexed="81"/>
            <rFont val="Tahoma"/>
            <family val="2"/>
          </rPr>
          <t>ЗАМЕНИТЕ НА РЕАЛЬНЫЕ ДАННЫЕ.
ДЕМО, ДО, Редис,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51" authorId="0">
      <text>
        <r>
          <rPr>
            <sz val="8"/>
            <color indexed="81"/>
            <rFont val="Tahoma"/>
            <family val="2"/>
          </rPr>
          <t>ЗАМЕНИТЕ НА РЕАЛЬНЫЕ ДАННЫЕ.
ДЕМО, ДО, Редис,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51" authorId="0">
      <text>
        <r>
          <rPr>
            <sz val="8"/>
            <color indexed="81"/>
            <rFont val="Tahoma"/>
            <family val="2"/>
          </rPr>
          <t>ЗАМЕНИТЕ НА РЕАЛЬНЫЕ ДАННЫЕ.
ДЕМО, ДО, Редис,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52" authorId="0">
      <text>
        <r>
          <rPr>
            <sz val="8"/>
            <color indexed="81"/>
            <rFont val="Tahoma"/>
            <family val="2"/>
          </rPr>
          <t>ЗАМЕНИТЕ НА РЕАЛЬНЫЕ ДАННЫЕ.
ДЕМО, ДО, Редис,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52" authorId="0">
      <text>
        <r>
          <rPr>
            <sz val="8"/>
            <color indexed="81"/>
            <rFont val="Tahoma"/>
            <family val="2"/>
          </rPr>
          <t>ЗАМЕНИТЕ НА РЕАЛЬНЫЕ ДАННЫЕ.
ДЕМО, ДО, Редис,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52" authorId="0">
      <text>
        <r>
          <rPr>
            <sz val="8"/>
            <color indexed="81"/>
            <rFont val="Tahoma"/>
            <family val="2"/>
          </rPr>
          <t>ЗАМЕНИТЕ НА РЕАЛЬНЫЕ ДАННЫЕ.
ДЕМО, ДО, Редис,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52" authorId="0">
      <text>
        <r>
          <rPr>
            <sz val="8"/>
            <color indexed="81"/>
            <rFont val="Tahoma"/>
            <family val="2"/>
          </rPr>
          <t>ЗАМЕНИТЕ НА РЕАЛЬНЫЕ ДАННЫЕ.
ДЕМО, ДО, Редис,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52" authorId="0">
      <text>
        <r>
          <rPr>
            <sz val="8"/>
            <color indexed="81"/>
            <rFont val="Tahoma"/>
            <family val="2"/>
          </rPr>
          <t>ЗАМЕНИТЕ НА РЕАЛЬНЫЕ ДАННЫЕ.
ДЕМО, ДО, Редис,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52" authorId="0">
      <text>
        <r>
          <rPr>
            <sz val="8"/>
            <color indexed="81"/>
            <rFont val="Tahoma"/>
            <family val="2"/>
          </rPr>
          <t>ЗАМЕНИТЕ НА РЕАЛЬНЫЕ ДАННЫЕ.
ДЕМО, ДО, Редис,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52" authorId="0">
      <text>
        <r>
          <rPr>
            <sz val="8"/>
            <color indexed="81"/>
            <rFont val="Tahoma"/>
            <family val="2"/>
          </rPr>
          <t>ЗАМЕНИТЕ НА РЕАЛЬНЫЕ ДАННЫЕ.
ДЕМО, ДО, Редис,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52" authorId="0">
      <text>
        <r>
          <rPr>
            <sz val="8"/>
            <color indexed="81"/>
            <rFont val="Tahoma"/>
            <family val="2"/>
          </rPr>
          <t>ЗАМЕНИТЕ НА РЕАЛЬНЫЕ ДАННЫЕ.
ДЕМО, ДО, Редис,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52" authorId="0">
      <text>
        <r>
          <rPr>
            <sz val="8"/>
            <color indexed="81"/>
            <rFont val="Tahoma"/>
            <family val="2"/>
          </rPr>
          <t>ЗАМЕНИТЕ НА РЕАЛЬНЫЕ ДАННЫЕ.
ДЕМО, ДО, Редис,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52" authorId="0">
      <text>
        <r>
          <rPr>
            <sz val="8"/>
            <color indexed="81"/>
            <rFont val="Tahoma"/>
            <family val="2"/>
          </rPr>
          <t>ЗАМЕНИТЕ НА РЕАЛЬНЫЕ ДАННЫЕ.
ДЕМО, ДО, Редис,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53" authorId="0">
      <text>
        <r>
          <rPr>
            <sz val="8"/>
            <color indexed="81"/>
            <rFont val="Tahoma"/>
            <family val="2"/>
          </rPr>
          <t>ЗАМЕНИТЕ НА РЕАЛЬНЫЕ ДАННЫЕ.
ДЕМО, ДО, Редис,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53" authorId="0">
      <text>
        <r>
          <rPr>
            <sz val="8"/>
            <color indexed="81"/>
            <rFont val="Tahoma"/>
            <family val="2"/>
          </rPr>
          <t>ЗАМЕНИТЕ НА РЕАЛЬНЫЕ ДАННЫЕ.
ДЕМО, ДО, Редис,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53" authorId="0">
      <text>
        <r>
          <rPr>
            <sz val="8"/>
            <color indexed="81"/>
            <rFont val="Tahoma"/>
            <family val="2"/>
          </rPr>
          <t>ЗАМЕНИТЕ НА РЕАЛЬНЫЕ ДАННЫЕ.
ДЕМО, ДО, Редис,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53" authorId="0">
      <text>
        <r>
          <rPr>
            <sz val="8"/>
            <color indexed="81"/>
            <rFont val="Tahoma"/>
            <family val="2"/>
          </rPr>
          <t>ЗАМЕНИТЕ НА РЕАЛЬНЫЕ ДАННЫЕ.
ДЕМО, ДО, Редис,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53" authorId="0">
      <text>
        <r>
          <rPr>
            <sz val="8"/>
            <color indexed="81"/>
            <rFont val="Tahoma"/>
            <family val="2"/>
          </rPr>
          <t>ЗАМЕНИТЕ НА РЕАЛЬНЫЕ ДАННЫЕ.
ДЕМО, ДО, Редис,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53" authorId="0">
      <text>
        <r>
          <rPr>
            <sz val="8"/>
            <color indexed="81"/>
            <rFont val="Tahoma"/>
            <family val="2"/>
          </rPr>
          <t>ЗАМЕНИТЕ НА РЕАЛЬНЫЕ ДАННЫЕ.
ДЕМО, ДО, Редис,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53" authorId="0">
      <text>
        <r>
          <rPr>
            <sz val="8"/>
            <color indexed="81"/>
            <rFont val="Tahoma"/>
            <family val="2"/>
          </rPr>
          <t>ЗАМЕНИТЕ НА РЕАЛЬНЫЕ ДАННЫЕ.
ДЕМО, ДО, Редис,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53" authorId="0">
      <text>
        <r>
          <rPr>
            <sz val="8"/>
            <color indexed="81"/>
            <rFont val="Tahoma"/>
            <family val="2"/>
          </rPr>
          <t>ЗАМЕНИТЕ НА РЕАЛЬНЫЕ ДАННЫЕ.
ДЕМО, ДО, Редис,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53" authorId="0">
      <text>
        <r>
          <rPr>
            <sz val="8"/>
            <color indexed="81"/>
            <rFont val="Tahoma"/>
            <family val="2"/>
          </rPr>
          <t>ЗАМЕНИТЕ НА РЕАЛЬНЫЕ ДАННЫЕ.
ДЕМО, ДО, Редис,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53" authorId="0">
      <text>
        <r>
          <rPr>
            <sz val="8"/>
            <color indexed="81"/>
            <rFont val="Tahoma"/>
            <family val="2"/>
          </rPr>
          <t>ЗАМЕНИТЕ НА РЕАЛЬНЫЕ ДАННЫЕ.
ДЕМО, ДО, Редис,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62" authorId="0">
      <text>
        <r>
          <rPr>
            <sz val="8"/>
            <color indexed="81"/>
            <rFont val="Tahoma"/>
            <family val="2"/>
          </rPr>
          <t>ЗАМЕНИТЕ НА РЕАЛЬНЫЕ ДАННЫЕ.
Сельдерей ствол, цикл 1. 0 исключает все элементы данного цикла, а не один выброс.</t>
        </r>
      </text>
    </comment>
    <comment ref="F262" authorId="0">
      <text>
        <r>
          <rPr>
            <sz val="8"/>
            <color indexed="81"/>
            <rFont val="Tahoma"/>
            <family val="2"/>
          </rPr>
          <t>ЗАМЕНИТЕ НА РЕАЛЬНЫЕ ДАННЫЕ.
Сельдерей ствол, цикл 2. 0 исключает все элементы данного цикла, а не один выброс.</t>
        </r>
      </text>
    </comment>
    <comment ref="G262" authorId="0">
      <text>
        <r>
          <rPr>
            <sz val="8"/>
            <color indexed="81"/>
            <rFont val="Tahoma"/>
            <family val="2"/>
          </rPr>
          <t>ЗАМЕНИТЕ НА РЕАЛЬНЫЕ ДАННЫЕ.
Сельдерей ствол, цикл 3. 0 исключает все элементы данного цикла, а не один выброс.</t>
        </r>
      </text>
    </comment>
    <comment ref="H262" authorId="0">
      <text>
        <r>
          <rPr>
            <sz val="8"/>
            <color indexed="81"/>
            <rFont val="Tahoma"/>
            <family val="2"/>
          </rPr>
          <t>ЗАМЕНИТЕ НА РЕАЛЬНЫЕ ДАННЫЕ.
Сельдерей ствол, цикл 4. 0 исключает все элементы данного цикла, а не один выброс.</t>
        </r>
      </text>
    </comment>
    <comment ref="I262" authorId="0">
      <text>
        <r>
          <rPr>
            <sz val="8"/>
            <color indexed="81"/>
            <rFont val="Tahoma"/>
            <family val="2"/>
          </rPr>
          <t>ЗАМЕНИТЕ НА РЕАЛЬНЫЕ ДАННЫЕ.
Сельдерей ствол, цикл 5. 0 исключает все элементы данного цикла, а не один выброс.</t>
        </r>
      </text>
    </comment>
    <comment ref="J262" authorId="0">
      <text>
        <r>
          <rPr>
            <sz val="8"/>
            <color indexed="81"/>
            <rFont val="Tahoma"/>
            <family val="2"/>
          </rPr>
          <t>ЗАМЕНИТЕ НА РЕАЛЬНЫЕ ДАННЫЕ.
Сельдерей ствол, цикл 6. 0 исключает все элементы данного цикла, а не один выброс.</t>
        </r>
      </text>
    </comment>
    <comment ref="K262" authorId="0">
      <text>
        <r>
          <rPr>
            <sz val="8"/>
            <color indexed="81"/>
            <rFont val="Tahoma"/>
            <family val="2"/>
          </rPr>
          <t>ЗАМЕНИТЕ НА РЕАЛЬНЫЕ ДАННЫЕ.
Сельдерей ствол, цикл 7. 0 исключает все элементы данного цикла, а не один выброс.</t>
        </r>
      </text>
    </comment>
    <comment ref="L262" authorId="0">
      <text>
        <r>
          <rPr>
            <sz val="8"/>
            <color indexed="81"/>
            <rFont val="Tahoma"/>
            <family val="2"/>
          </rPr>
          <t>ЗАМЕНИТЕ НА РЕАЛЬНЫЕ ДАННЫЕ.
Сельдерей ствол, цикл 8. 0 исключает все элементы данного цикла, а не один выброс.</t>
        </r>
      </text>
    </comment>
    <comment ref="M262" authorId="0">
      <text>
        <r>
          <rPr>
            <sz val="8"/>
            <color indexed="81"/>
            <rFont val="Tahoma"/>
            <family val="2"/>
          </rPr>
          <t>ЗАМЕНИТЕ НА РЕАЛЬНЫЕ ДАННЫЕ.
Сельдерей ствол, цикл 9. 0 исключает все элементы данного цикла, а не один выброс.</t>
        </r>
      </text>
    </comment>
    <comment ref="N262" authorId="0">
      <text>
        <r>
          <rPr>
            <sz val="8"/>
            <color indexed="81"/>
            <rFont val="Tahoma"/>
            <family val="2"/>
          </rPr>
          <t>ЗАМЕНИТЕ НА РЕАЛЬНЫЕ ДАННЫЕ.
Сельдерей ствол, цикл 10. 0 исключает все элементы данного цикла, а не один выброс.</t>
        </r>
      </text>
    </comment>
    <comment ref="E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64" authorId="0">
      <text>
        <r>
          <rPr>
            <sz val="8"/>
            <color indexed="81"/>
            <rFont val="Tahoma"/>
            <family val="2"/>
          </rPr>
          <t>ЗАМЕНИТЕ НА РЕАЛЬНЫЕ ДАННЫЕ.
ДЕМО, ДО, Сельдерей ствол,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64" authorId="0">
      <text>
        <r>
          <rPr>
            <sz val="8"/>
            <color indexed="81"/>
            <rFont val="Tahoma"/>
            <family val="2"/>
          </rPr>
          <t>ЗАМЕНИТЕ НА РЕАЛЬНЫЕ ДАННЫЕ.
ДЕМО, ДО, Сельдерей ствол,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64" authorId="0">
      <text>
        <r>
          <rPr>
            <sz val="8"/>
            <color indexed="81"/>
            <rFont val="Tahoma"/>
            <family val="2"/>
          </rPr>
          <t>ЗАМЕНИТЕ НА РЕАЛЬНЫЕ ДАННЫЕ.
ДЕМО, ДО, Сельдерей ствол,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64" authorId="0">
      <text>
        <r>
          <rPr>
            <sz val="8"/>
            <color indexed="81"/>
            <rFont val="Tahoma"/>
            <family val="2"/>
          </rPr>
          <t>ЗАМЕНИТЕ НА РЕАЛЬНЫЕ ДАННЫЕ.
ДЕМО, ДО, Сельдерей ствол,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64" authorId="0">
      <text>
        <r>
          <rPr>
            <sz val="8"/>
            <color indexed="81"/>
            <rFont val="Tahoma"/>
            <family val="2"/>
          </rPr>
          <t>ЗАМЕНИТЕ НА РЕАЛЬНЫЕ ДАННЫЕ.
ДЕМО, ДО, Сельдерей ствол,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64" authorId="0">
      <text>
        <r>
          <rPr>
            <sz val="8"/>
            <color indexed="81"/>
            <rFont val="Tahoma"/>
            <family val="2"/>
          </rPr>
          <t>ЗАМЕНИТЕ НА РЕАЛЬНЫЕ ДАННЫЕ.
ДЕМО, ДО, Сельдерей ствол,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64" authorId="0">
      <text>
        <r>
          <rPr>
            <sz val="8"/>
            <color indexed="81"/>
            <rFont val="Tahoma"/>
            <family val="2"/>
          </rPr>
          <t>ЗАМЕНИТЕ НА РЕАЛЬНЫЕ ДАННЫЕ.
ДЕМО, ДО, Сельдерей ствол,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64" authorId="0">
      <text>
        <r>
          <rPr>
            <sz val="8"/>
            <color indexed="81"/>
            <rFont val="Tahoma"/>
            <family val="2"/>
          </rPr>
          <t>ЗАМЕНИТЕ НА РЕАЛЬНЫЕ ДАННЫЕ.
ДЕМО, ДО, Сельдерей ствол,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64" authorId="0">
      <text>
        <r>
          <rPr>
            <sz val="8"/>
            <color indexed="81"/>
            <rFont val="Tahoma"/>
            <family val="2"/>
          </rPr>
          <t>ЗАМЕНИТЕ НА РЕАЛЬНЫЕ ДАННЫЕ.
ДЕМО, ДО, Сельдерей ствол,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64" authorId="0">
      <text>
        <r>
          <rPr>
            <sz val="8"/>
            <color indexed="81"/>
            <rFont val="Tahoma"/>
            <family val="2"/>
          </rPr>
          <t>ЗАМЕНИТЕ НА РЕАЛЬНЫЕ ДАННЫЕ.
ДЕМО, ДО, Сельдерей ствол,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65" authorId="0">
      <text>
        <r>
          <rPr>
            <sz val="8"/>
            <color indexed="81"/>
            <rFont val="Tahoma"/>
            <family val="2"/>
          </rPr>
          <t>ЗАМЕНИТЕ НА РЕАЛЬНЫЕ ДАННЫЕ.
ДЕМО, ДО, Сельдерей ствол,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65" authorId="0">
      <text>
        <r>
          <rPr>
            <sz val="8"/>
            <color indexed="81"/>
            <rFont val="Tahoma"/>
            <family val="2"/>
          </rPr>
          <t>ЗАМЕНИТЕ НА РЕАЛЬНЫЕ ДАННЫЕ.
ДЕМО, ДО, Сельдерей ствол,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65" authorId="0">
      <text>
        <r>
          <rPr>
            <sz val="8"/>
            <color indexed="81"/>
            <rFont val="Tahoma"/>
            <family val="2"/>
          </rPr>
          <t>ЗАМЕНИТЕ НА РЕАЛЬНЫЕ ДАННЫЕ.
ДЕМО, ДО, Сельдерей ствол,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65" authorId="0">
      <text>
        <r>
          <rPr>
            <sz val="8"/>
            <color indexed="81"/>
            <rFont val="Tahoma"/>
            <family val="2"/>
          </rPr>
          <t>ЗАМЕНИТЕ НА РЕАЛЬНЫЕ ДАННЫЕ.
ДЕМО, ДО, Сельдерей ствол,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65" authorId="0">
      <text>
        <r>
          <rPr>
            <sz val="8"/>
            <color indexed="81"/>
            <rFont val="Tahoma"/>
            <family val="2"/>
          </rPr>
          <t>ЗАМЕНИТЕ НА РЕАЛЬНЫЕ ДАННЫЕ.
ДЕМО, ДО, Сельдерей ствол,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65" authorId="0">
      <text>
        <r>
          <rPr>
            <sz val="8"/>
            <color indexed="81"/>
            <rFont val="Tahoma"/>
            <family val="2"/>
          </rPr>
          <t>ЗАМЕНИТЕ НА РЕАЛЬНЫЕ ДАННЫЕ.
ДЕМО, ДО, Сельдерей ствол,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65" authorId="0">
      <text>
        <r>
          <rPr>
            <sz val="8"/>
            <color indexed="81"/>
            <rFont val="Tahoma"/>
            <family val="2"/>
          </rPr>
          <t>ЗАМЕНИТЕ НА РЕАЛЬНЫЕ ДАННЫЕ.
ДЕМО, ДО, Сельдерей ствол,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65" authorId="0">
      <text>
        <r>
          <rPr>
            <sz val="8"/>
            <color indexed="81"/>
            <rFont val="Tahoma"/>
            <family val="2"/>
          </rPr>
          <t>ЗАМЕНИТЕ НА РЕАЛЬНЫЕ ДАННЫЕ.
ДЕМО, ДО, Сельдерей ствол,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65" authorId="0">
      <text>
        <r>
          <rPr>
            <sz val="8"/>
            <color indexed="81"/>
            <rFont val="Tahoma"/>
            <family val="2"/>
          </rPr>
          <t>ЗАМЕНИТЕ НА РЕАЛЬНЫЕ ДАННЫЕ.
ДЕМО, ДО, Сельдерей ствол,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65" authorId="0">
      <text>
        <r>
          <rPr>
            <sz val="8"/>
            <color indexed="81"/>
            <rFont val="Tahoma"/>
            <family val="2"/>
          </rPr>
          <t>ЗАМЕНИТЕ НА РЕАЛЬНЫЕ ДАННЫЕ.
ДЕМО, ДО, Сельдерей ствол,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66" authorId="0">
      <text>
        <r>
          <rPr>
            <sz val="8"/>
            <color indexed="81"/>
            <rFont val="Tahoma"/>
            <family val="2"/>
          </rPr>
          <t>ЗАМЕНИТЕ НА РЕАЛЬНЫЕ ДАННЫЕ.
ДЕМО, ДО, Сельдерей ствол,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66" authorId="0">
      <text>
        <r>
          <rPr>
            <sz val="8"/>
            <color indexed="81"/>
            <rFont val="Tahoma"/>
            <family val="2"/>
          </rPr>
          <t>ЗАМЕНИТЕ НА РЕАЛЬНЫЕ ДАННЫЕ.
ДЕМО, ДО, Сельдерей ствол,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66" authorId="0">
      <text>
        <r>
          <rPr>
            <sz val="8"/>
            <color indexed="81"/>
            <rFont val="Tahoma"/>
            <family val="2"/>
          </rPr>
          <t>ЗАМЕНИТЕ НА РЕАЛЬНЫЕ ДАННЫЕ.
ДЕМО, ДО, Сельдерей ствол,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66" authorId="0">
      <text>
        <r>
          <rPr>
            <sz val="8"/>
            <color indexed="81"/>
            <rFont val="Tahoma"/>
            <family val="2"/>
          </rPr>
          <t>ЗАМЕНИТЕ НА РЕАЛЬНЫЕ ДАННЫЕ.
ДЕМО, ДО, Сельдерей ствол,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66" authorId="0">
      <text>
        <r>
          <rPr>
            <sz val="8"/>
            <color indexed="81"/>
            <rFont val="Tahoma"/>
            <family val="2"/>
          </rPr>
          <t>ЗАМЕНИТЕ НА РЕАЛЬНЫЕ ДАННЫЕ.
ДЕМО, ДО, Сельдерей ствол,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66" authorId="0">
      <text>
        <r>
          <rPr>
            <sz val="8"/>
            <color indexed="81"/>
            <rFont val="Tahoma"/>
            <family val="2"/>
          </rPr>
          <t>ЗАМЕНИТЕ НА РЕАЛЬНЫЕ ДАННЫЕ.
ДЕМО, ДО, Сельдерей ствол,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66" authorId="0">
      <text>
        <r>
          <rPr>
            <sz val="8"/>
            <color indexed="81"/>
            <rFont val="Tahoma"/>
            <family val="2"/>
          </rPr>
          <t>ЗАМЕНИТЕ НА РЕАЛЬНЫЕ ДАННЫЕ.
ДЕМО, ДО, Сельдерей ствол,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66" authorId="0">
      <text>
        <r>
          <rPr>
            <sz val="8"/>
            <color indexed="81"/>
            <rFont val="Tahoma"/>
            <family val="2"/>
          </rPr>
          <t>ЗАМЕНИТЕ НА РЕАЛЬНЫЕ ДАННЫЕ.
ДЕМО, ДО, Сельдерей ствол,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66" authorId="0">
      <text>
        <r>
          <rPr>
            <sz val="8"/>
            <color indexed="81"/>
            <rFont val="Tahoma"/>
            <family val="2"/>
          </rPr>
          <t>ЗАМЕНИТЕ НА РЕАЛЬНЫЕ ДАННЫЕ.
ДЕМО, ДО, Сельдерей ствол,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66" authorId="0">
      <text>
        <r>
          <rPr>
            <sz val="8"/>
            <color indexed="81"/>
            <rFont val="Tahoma"/>
            <family val="2"/>
          </rPr>
          <t>ЗАМЕНИТЕ НА РЕАЛЬНЫЕ ДАННЫЕ.
ДЕМО, ДО, Сельдерей ствол,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67" authorId="0">
      <text>
        <r>
          <rPr>
            <sz val="8"/>
            <color indexed="81"/>
            <rFont val="Tahoma"/>
            <family val="2"/>
          </rPr>
          <t>ЗАМЕНИТЕ НА РЕАЛЬНЫЕ ДАННЫЕ.
ДЕМО, ДО, Сельдерей ствол,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67" authorId="0">
      <text>
        <r>
          <rPr>
            <sz val="8"/>
            <color indexed="81"/>
            <rFont val="Tahoma"/>
            <family val="2"/>
          </rPr>
          <t>ЗАМЕНИТЕ НА РЕАЛЬНЫЕ ДАННЫЕ.
ДЕМО, ДО, Сельдерей ствол,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67" authorId="0">
      <text>
        <r>
          <rPr>
            <sz val="8"/>
            <color indexed="81"/>
            <rFont val="Tahoma"/>
            <family val="2"/>
          </rPr>
          <t>ЗАМЕНИТЕ НА РЕАЛЬНЫЕ ДАННЫЕ.
ДЕМО, ДО, Сельдерей ствол,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67" authorId="0">
      <text>
        <r>
          <rPr>
            <sz val="8"/>
            <color indexed="81"/>
            <rFont val="Tahoma"/>
            <family val="2"/>
          </rPr>
          <t>ЗАМЕНИТЕ НА РЕАЛЬНЫЕ ДАННЫЕ.
ДЕМО, ДО, Сельдерей ствол,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67" authorId="0">
      <text>
        <r>
          <rPr>
            <sz val="8"/>
            <color indexed="81"/>
            <rFont val="Tahoma"/>
            <family val="2"/>
          </rPr>
          <t>ЗАМЕНИТЕ НА РЕАЛЬНЫЕ ДАННЫЕ.
ДЕМО, ДО, Сельдерей ствол,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67" authorId="0">
      <text>
        <r>
          <rPr>
            <sz val="8"/>
            <color indexed="81"/>
            <rFont val="Tahoma"/>
            <family val="2"/>
          </rPr>
          <t>ЗАМЕНИТЕ НА РЕАЛЬНЫЕ ДАННЫЕ.
ДЕМО, ДО, Сельдерей ствол,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67" authorId="0">
      <text>
        <r>
          <rPr>
            <sz val="8"/>
            <color indexed="81"/>
            <rFont val="Tahoma"/>
            <family val="2"/>
          </rPr>
          <t>ЗАМЕНИТЕ НА РЕАЛЬНЫЕ ДАННЫЕ.
ДЕМО, ДО, Сельдерей ствол,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67" authorId="0">
      <text>
        <r>
          <rPr>
            <sz val="8"/>
            <color indexed="81"/>
            <rFont val="Tahoma"/>
            <family val="2"/>
          </rPr>
          <t>ЗАМЕНИТЕ НА РЕАЛЬНЫЕ ДАННЫЕ.
ДЕМО, ДО, Сельдерей ствол,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67" authorId="0">
      <text>
        <r>
          <rPr>
            <sz val="8"/>
            <color indexed="81"/>
            <rFont val="Tahoma"/>
            <family val="2"/>
          </rPr>
          <t>ЗАМЕНИТЕ НА РЕАЛЬНЫЕ ДАННЫЕ.
ДЕМО, ДО, Сельдерей ствол,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67" authorId="0">
      <text>
        <r>
          <rPr>
            <sz val="8"/>
            <color indexed="81"/>
            <rFont val="Tahoma"/>
            <family val="2"/>
          </rPr>
          <t>ЗАМЕНИТЕ НА РЕАЛЬНЫЕ ДАННЫЕ.
ДЕМО, ДО, Сельдерей ствол,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68" authorId="0">
      <text>
        <r>
          <rPr>
            <sz val="8"/>
            <color indexed="81"/>
            <rFont val="Tahoma"/>
            <family val="2"/>
          </rPr>
          <t>ЗАМЕНИТЕ НА РЕАЛЬНЫЕ ДАННЫЕ.
ДЕМО, ДО, Сельдерей ствол,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68" authorId="0">
      <text>
        <r>
          <rPr>
            <sz val="8"/>
            <color indexed="81"/>
            <rFont val="Tahoma"/>
            <family val="2"/>
          </rPr>
          <t>ЗАМЕНИТЕ НА РЕАЛЬНЫЕ ДАННЫЕ.
ДЕМО, ДО, Сельдерей ствол,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68" authorId="0">
      <text>
        <r>
          <rPr>
            <sz val="8"/>
            <color indexed="81"/>
            <rFont val="Tahoma"/>
            <family val="2"/>
          </rPr>
          <t>ЗАМЕНИТЕ НА РЕАЛЬНЫЕ ДАННЫЕ.
ДЕМО, ДО, Сельдерей ствол,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68" authorId="0">
      <text>
        <r>
          <rPr>
            <sz val="8"/>
            <color indexed="81"/>
            <rFont val="Tahoma"/>
            <family val="2"/>
          </rPr>
          <t>ЗАМЕНИТЕ НА РЕАЛЬНЫЕ ДАННЫЕ.
ДЕМО, ДО, Сельдерей ствол,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68" authorId="0">
      <text>
        <r>
          <rPr>
            <sz val="8"/>
            <color indexed="81"/>
            <rFont val="Tahoma"/>
            <family val="2"/>
          </rPr>
          <t>ЗАМЕНИТЕ НА РЕАЛЬНЫЕ ДАННЫЕ.
ДЕМО, ДО, Сельдерей ствол,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68" authorId="0">
      <text>
        <r>
          <rPr>
            <sz val="8"/>
            <color indexed="81"/>
            <rFont val="Tahoma"/>
            <family val="2"/>
          </rPr>
          <t>ЗАМЕНИТЕ НА РЕАЛЬНЫЕ ДАННЫЕ.
ДЕМО, ДО, Сельдерей ствол,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68" authorId="0">
      <text>
        <r>
          <rPr>
            <sz val="8"/>
            <color indexed="81"/>
            <rFont val="Tahoma"/>
            <family val="2"/>
          </rPr>
          <t>ЗАМЕНИТЕ НА РЕАЛЬНЫЕ ДАННЫЕ.
ДЕМО, ДО, Сельдерей ствол,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68" authorId="0">
      <text>
        <r>
          <rPr>
            <sz val="8"/>
            <color indexed="81"/>
            <rFont val="Tahoma"/>
            <family val="2"/>
          </rPr>
          <t>ЗАМЕНИТЕ НА РЕАЛЬНЫЕ ДАННЫЕ.
ДЕМО, ДО, Сельдерей ствол,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68" authorId="0">
      <text>
        <r>
          <rPr>
            <sz val="8"/>
            <color indexed="81"/>
            <rFont val="Tahoma"/>
            <family val="2"/>
          </rPr>
          <t>ЗАМЕНИТЕ НА РЕАЛЬНЫЕ ДАННЫЕ.
ДЕМО, ДО, Сельдерей ствол,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68" authorId="0">
      <text>
        <r>
          <rPr>
            <sz val="8"/>
            <color indexed="81"/>
            <rFont val="Tahoma"/>
            <family val="2"/>
          </rPr>
          <t>ЗАМЕНИТЕ НА РЕАЛЬНЫЕ ДАННЫЕ.
ДЕМО, ДО, Сельдерей ствол,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70" authorId="0">
      <text>
        <r>
          <rPr>
            <sz val="8"/>
            <color indexed="81"/>
            <rFont val="Tahoma"/>
            <family val="2"/>
          </rPr>
          <t>ЗАМЕНИТЕ НА РЕАЛЬНЫЕ ДАННЫЕ.
ДЕМО, ДО, Сельдерей ствол,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70" authorId="0">
      <text>
        <r>
          <rPr>
            <sz val="8"/>
            <color indexed="81"/>
            <rFont val="Tahoma"/>
            <family val="2"/>
          </rPr>
          <t>ЗАМЕНИТЕ НА РЕАЛЬНЫЕ ДАННЫЕ.
ДЕМО, ДО, Сельдерей ствол,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70" authorId="0">
      <text>
        <r>
          <rPr>
            <sz val="8"/>
            <color indexed="81"/>
            <rFont val="Tahoma"/>
            <family val="2"/>
          </rPr>
          <t>ЗАМЕНИТЕ НА РЕАЛЬНЫЕ ДАННЫЕ.
ДЕМО, ДО, Сельдерей ствол,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70" authorId="0">
      <text>
        <r>
          <rPr>
            <sz val="8"/>
            <color indexed="81"/>
            <rFont val="Tahoma"/>
            <family val="2"/>
          </rPr>
          <t>ЗАМЕНИТЕ НА РЕАЛЬНЫЕ ДАННЫЕ.
ДЕМО, ДО, Сельдерей ствол,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70" authorId="0">
      <text>
        <r>
          <rPr>
            <sz val="8"/>
            <color indexed="81"/>
            <rFont val="Tahoma"/>
            <family val="2"/>
          </rPr>
          <t>ЗАМЕНИТЕ НА РЕАЛЬНЫЕ ДАННЫЕ.
ДЕМО, ДО, Сельдерей ствол,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70" authorId="0">
      <text>
        <r>
          <rPr>
            <sz val="8"/>
            <color indexed="81"/>
            <rFont val="Tahoma"/>
            <family val="2"/>
          </rPr>
          <t>ЗАМЕНИТЕ НА РЕАЛЬНЫЕ ДАННЫЕ.
ДЕМО, ДО, Сельдерей ствол,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70" authorId="0">
      <text>
        <r>
          <rPr>
            <sz val="8"/>
            <color indexed="81"/>
            <rFont val="Tahoma"/>
            <family val="2"/>
          </rPr>
          <t>ЗАМЕНИТЕ НА РЕАЛЬНЫЕ ДАННЫЕ.
ДЕМО, ДО, Сельдерей ствол,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70" authorId="0">
      <text>
        <r>
          <rPr>
            <sz val="8"/>
            <color indexed="81"/>
            <rFont val="Tahoma"/>
            <family val="2"/>
          </rPr>
          <t>ЗАМЕНИТЕ НА РЕАЛЬНЫЕ ДАННЫЕ.
ДЕМО, ДО, Сельдерей ствол,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70" authorId="0">
      <text>
        <r>
          <rPr>
            <sz val="8"/>
            <color indexed="81"/>
            <rFont val="Tahoma"/>
            <family val="2"/>
          </rPr>
          <t>ЗАМЕНИТЕ НА РЕАЛЬНЫЕ ДАННЫЕ.
ДЕМО, ДО, Сельдерей ствол,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70" authorId="0">
      <text>
        <r>
          <rPr>
            <sz val="8"/>
            <color indexed="81"/>
            <rFont val="Tahoma"/>
            <family val="2"/>
          </rPr>
          <t>ЗАМЕНИТЕ НА РЕАЛЬНЫЕ ДАННЫЕ.
ДЕМО, ДО, Сельдерей ствол,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71" authorId="0">
      <text>
        <r>
          <rPr>
            <sz val="8"/>
            <color indexed="81"/>
            <rFont val="Tahoma"/>
            <family val="2"/>
          </rPr>
          <t>ЗАМЕНИТЕ НА РЕАЛЬНЫЕ ДАННЫЕ.
ДЕМО, ДО, Сельдерей ствол,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71" authorId="0">
      <text>
        <r>
          <rPr>
            <sz val="8"/>
            <color indexed="81"/>
            <rFont val="Tahoma"/>
            <family val="2"/>
          </rPr>
          <t>ЗАМЕНИТЕ НА РЕАЛЬНЫЕ ДАННЫЕ.
ДЕМО, ДО, Сельдерей ствол,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71" authorId="0">
      <text>
        <r>
          <rPr>
            <sz val="8"/>
            <color indexed="81"/>
            <rFont val="Tahoma"/>
            <family val="2"/>
          </rPr>
          <t>ЗАМЕНИТЕ НА РЕАЛЬНЫЕ ДАННЫЕ.
ДЕМО, ДО, Сельдерей ствол,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71" authorId="0">
      <text>
        <r>
          <rPr>
            <sz val="8"/>
            <color indexed="81"/>
            <rFont val="Tahoma"/>
            <family val="2"/>
          </rPr>
          <t>ЗАМЕНИТЕ НА РЕАЛЬНЫЕ ДАННЫЕ.
ДЕМО, ДО, Сельдерей ствол,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71" authorId="0">
      <text>
        <r>
          <rPr>
            <sz val="8"/>
            <color indexed="81"/>
            <rFont val="Tahoma"/>
            <family val="2"/>
          </rPr>
          <t>ЗАМЕНИТЕ НА РЕАЛЬНЫЕ ДАННЫЕ.
ДЕМО, ДО, Сельдерей ствол,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71" authorId="0">
      <text>
        <r>
          <rPr>
            <sz val="8"/>
            <color indexed="81"/>
            <rFont val="Tahoma"/>
            <family val="2"/>
          </rPr>
          <t>ЗАМЕНИТЕ НА РЕАЛЬНЫЕ ДАННЫЕ.
ДЕМО, ДО, Сельдерей ствол,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71" authorId="0">
      <text>
        <r>
          <rPr>
            <sz val="8"/>
            <color indexed="81"/>
            <rFont val="Tahoma"/>
            <family val="2"/>
          </rPr>
          <t>ЗАМЕНИТЕ НА РЕАЛЬНЫЕ ДАННЫЕ.
ДЕМО, ДО, Сельдерей ствол,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71" authorId="0">
      <text>
        <r>
          <rPr>
            <sz val="8"/>
            <color indexed="81"/>
            <rFont val="Tahoma"/>
            <family val="2"/>
          </rPr>
          <t>ЗАМЕНИТЕ НА РЕАЛЬНЫЕ ДАННЫЕ.
ДЕМО, ДО, Сельдерей ствол,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71" authorId="0">
      <text>
        <r>
          <rPr>
            <sz val="8"/>
            <color indexed="81"/>
            <rFont val="Tahoma"/>
            <family val="2"/>
          </rPr>
          <t>ЗАМЕНИТЕ НА РЕАЛЬНЫЕ ДАННЫЕ.
ДЕМО, ДО, Сельдерей ствол,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71" authorId="0">
      <text>
        <r>
          <rPr>
            <sz val="8"/>
            <color indexed="81"/>
            <rFont val="Tahoma"/>
            <family val="2"/>
          </rPr>
          <t>ЗАМЕНИТЕ НА РЕАЛЬНЫЕ ДАННЫЕ.
ДЕМО, ДО, Сельдерей ствол,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72" authorId="0">
      <text>
        <r>
          <rPr>
            <sz val="8"/>
            <color indexed="81"/>
            <rFont val="Tahoma"/>
            <family val="2"/>
          </rPr>
          <t>ЗАМЕНИТЕ НА РЕАЛЬНЫЕ ДАННЫЕ.
ДЕМО, ДО, Сельдерей ствол,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72" authorId="0">
      <text>
        <r>
          <rPr>
            <sz val="8"/>
            <color indexed="81"/>
            <rFont val="Tahoma"/>
            <family val="2"/>
          </rPr>
          <t>ЗАМЕНИТЕ НА РЕАЛЬНЫЕ ДАННЫЕ.
ДЕМО, ДО, Сельдерей ствол,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72" authorId="0">
      <text>
        <r>
          <rPr>
            <sz val="8"/>
            <color indexed="81"/>
            <rFont val="Tahoma"/>
            <family val="2"/>
          </rPr>
          <t>ЗАМЕНИТЕ НА РЕАЛЬНЫЕ ДАННЫЕ.
ДЕМО, ДО, Сельдерей ствол,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72" authorId="0">
      <text>
        <r>
          <rPr>
            <sz val="8"/>
            <color indexed="81"/>
            <rFont val="Tahoma"/>
            <family val="2"/>
          </rPr>
          <t>ЗАМЕНИТЕ НА РЕАЛЬНЫЕ ДАННЫЕ.
ДЕМО, ДО, Сельдерей ствол,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72" authorId="0">
      <text>
        <r>
          <rPr>
            <sz val="8"/>
            <color indexed="81"/>
            <rFont val="Tahoma"/>
            <family val="2"/>
          </rPr>
          <t>ЗАМЕНИТЕ НА РЕАЛЬНЫЕ ДАННЫЕ.
ДЕМО, ДО, Сельдерей ствол,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72" authorId="0">
      <text>
        <r>
          <rPr>
            <sz val="8"/>
            <color indexed="81"/>
            <rFont val="Tahoma"/>
            <family val="2"/>
          </rPr>
          <t>ЗАМЕНИТЕ НА РЕАЛЬНЫЕ ДАННЫЕ.
ДЕМО, ДО, Сельдерей ствол,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72" authorId="0">
      <text>
        <r>
          <rPr>
            <sz val="8"/>
            <color indexed="81"/>
            <rFont val="Tahoma"/>
            <family val="2"/>
          </rPr>
          <t>ЗАМЕНИТЕ НА РЕАЛЬНЫЕ ДАННЫЕ.
ДЕМО, ДО, Сельдерей ствол,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72" authorId="0">
      <text>
        <r>
          <rPr>
            <sz val="8"/>
            <color indexed="81"/>
            <rFont val="Tahoma"/>
            <family val="2"/>
          </rPr>
          <t>ЗАМЕНИТЕ НА РЕАЛЬНЫЕ ДАННЫЕ.
ДЕМО, ДО, Сельдерей ствол,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72" authorId="0">
      <text>
        <r>
          <rPr>
            <sz val="8"/>
            <color indexed="81"/>
            <rFont val="Tahoma"/>
            <family val="2"/>
          </rPr>
          <t>ЗАМЕНИТЕ НА РЕАЛЬНЫЕ ДАННЫЕ.
ДЕМО, ДО, Сельдерей ствол,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72" authorId="0">
      <text>
        <r>
          <rPr>
            <sz val="8"/>
            <color indexed="81"/>
            <rFont val="Tahoma"/>
            <family val="2"/>
          </rPr>
          <t>ЗАМЕНИТЕ НА РЕАЛЬНЫЕ ДАННЫЕ.
ДЕМО, ДО, Сельдерей ствол,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73" authorId="0">
      <text>
        <r>
          <rPr>
            <sz val="8"/>
            <color indexed="81"/>
            <rFont val="Tahoma"/>
            <family val="2"/>
          </rPr>
          <t>ЗАМЕНИТЕ НА РЕАЛЬНЫЕ ДАННЫЕ.
ДЕМО, ДО, Сельдерей ствол,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73" authorId="0">
      <text>
        <r>
          <rPr>
            <sz val="8"/>
            <color indexed="81"/>
            <rFont val="Tahoma"/>
            <family val="2"/>
          </rPr>
          <t>ЗАМЕНИТЕ НА РЕАЛЬНЫЕ ДАННЫЕ.
ДЕМО, ДО, Сельдерей ствол,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73" authorId="0">
      <text>
        <r>
          <rPr>
            <sz val="8"/>
            <color indexed="81"/>
            <rFont val="Tahoma"/>
            <family val="2"/>
          </rPr>
          <t>ЗАМЕНИТЕ НА РЕАЛЬНЫЕ ДАННЫЕ.
ДЕМО, ДО, Сельдерей ствол,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73" authorId="0">
      <text>
        <r>
          <rPr>
            <sz val="8"/>
            <color indexed="81"/>
            <rFont val="Tahoma"/>
            <family val="2"/>
          </rPr>
          <t>ЗАМЕНИТЕ НА РЕАЛЬНЫЕ ДАННЫЕ.
ДЕМО, ДО, Сельдерей ствол,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73" authorId="0">
      <text>
        <r>
          <rPr>
            <sz val="8"/>
            <color indexed="81"/>
            <rFont val="Tahoma"/>
            <family val="2"/>
          </rPr>
          <t>ЗАМЕНИТЕ НА РЕАЛЬНЫЕ ДАННЫЕ.
ДЕМО, ДО, Сельдерей ствол,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73" authorId="0">
      <text>
        <r>
          <rPr>
            <sz val="8"/>
            <color indexed="81"/>
            <rFont val="Tahoma"/>
            <family val="2"/>
          </rPr>
          <t>ЗАМЕНИТЕ НА РЕАЛЬНЫЕ ДАННЫЕ.
ДЕМО, ДО, Сельдерей ствол,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73" authorId="0">
      <text>
        <r>
          <rPr>
            <sz val="8"/>
            <color indexed="81"/>
            <rFont val="Tahoma"/>
            <family val="2"/>
          </rPr>
          <t>ЗАМЕНИТЕ НА РЕАЛЬНЫЕ ДАННЫЕ.
ДЕМО, ДО, Сельдерей ствол,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73" authorId="0">
      <text>
        <r>
          <rPr>
            <sz val="8"/>
            <color indexed="81"/>
            <rFont val="Tahoma"/>
            <family val="2"/>
          </rPr>
          <t>ЗАМЕНИТЕ НА РЕАЛЬНЫЕ ДАННЫЕ.
ДЕМО, ДО, Сельдерей ствол,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73" authorId="0">
      <text>
        <r>
          <rPr>
            <sz val="8"/>
            <color indexed="81"/>
            <rFont val="Tahoma"/>
            <family val="2"/>
          </rPr>
          <t>ЗАМЕНИТЕ НА РЕАЛЬНЫЕ ДАННЫЕ.
ДЕМО, ДО, Сельдерей ствол,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73" authorId="0">
      <text>
        <r>
          <rPr>
            <sz val="8"/>
            <color indexed="81"/>
            <rFont val="Tahoma"/>
            <family val="2"/>
          </rPr>
          <t>ЗАМЕНИТЕ НА РЕАЛЬНЫЕ ДАННЫЕ.
ДЕМО, ДО, Сельдерей ствол,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74" authorId="0">
      <text>
        <r>
          <rPr>
            <sz val="8"/>
            <color indexed="81"/>
            <rFont val="Tahoma"/>
            <family val="2"/>
          </rPr>
          <t>ЗАМЕНИТЕ НА РЕАЛЬНЫЕ ДАННЫЕ.
ДЕМО, ДО, Сельдерей ствол,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74" authorId="0">
      <text>
        <r>
          <rPr>
            <sz val="8"/>
            <color indexed="81"/>
            <rFont val="Tahoma"/>
            <family val="2"/>
          </rPr>
          <t>ЗАМЕНИТЕ НА РЕАЛЬНЫЕ ДАННЫЕ.
ДЕМО, ДО, Сельдерей ствол,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74" authorId="0">
      <text>
        <r>
          <rPr>
            <sz val="8"/>
            <color indexed="81"/>
            <rFont val="Tahoma"/>
            <family val="2"/>
          </rPr>
          <t>ЗАМЕНИТЕ НА РЕАЛЬНЫЕ ДАННЫЕ.
ДЕМО, ДО, Сельдерей ствол,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74" authorId="0">
      <text>
        <r>
          <rPr>
            <sz val="8"/>
            <color indexed="81"/>
            <rFont val="Tahoma"/>
            <family val="2"/>
          </rPr>
          <t>ЗАМЕНИТЕ НА РЕАЛЬНЫЕ ДАННЫЕ.
ДЕМО, ДО, Сельдерей ствол,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74" authorId="0">
      <text>
        <r>
          <rPr>
            <sz val="8"/>
            <color indexed="81"/>
            <rFont val="Tahoma"/>
            <family val="2"/>
          </rPr>
          <t>ЗАМЕНИТЕ НА РЕАЛЬНЫЕ ДАННЫЕ.
ДЕМО, ДО, Сельдерей ствол,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74" authorId="0">
      <text>
        <r>
          <rPr>
            <sz val="8"/>
            <color indexed="81"/>
            <rFont val="Tahoma"/>
            <family val="2"/>
          </rPr>
          <t>ЗАМЕНИТЕ НА РЕАЛЬНЫЕ ДАННЫЕ.
ДЕМО, ДО, Сельдерей ствол,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74" authorId="0">
      <text>
        <r>
          <rPr>
            <sz val="8"/>
            <color indexed="81"/>
            <rFont val="Tahoma"/>
            <family val="2"/>
          </rPr>
          <t>ЗАМЕНИТЕ НА РЕАЛЬНЫЕ ДАННЫЕ.
ДЕМО, ДО, Сельдерей ствол,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74" authorId="0">
      <text>
        <r>
          <rPr>
            <sz val="8"/>
            <color indexed="81"/>
            <rFont val="Tahoma"/>
            <family val="2"/>
          </rPr>
          <t>ЗАМЕНИТЕ НА РЕАЛЬНЫЕ ДАННЫЕ.
ДЕМО, ДО, Сельдерей ствол,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74" authorId="0">
      <text>
        <r>
          <rPr>
            <sz val="8"/>
            <color indexed="81"/>
            <rFont val="Tahoma"/>
            <family val="2"/>
          </rPr>
          <t>ЗАМЕНИТЕ НА РЕАЛЬНЫЕ ДАННЫЕ.
ДЕМО, ДО, Сельдерей ствол,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74" authorId="0">
      <text>
        <r>
          <rPr>
            <sz val="8"/>
            <color indexed="81"/>
            <rFont val="Tahoma"/>
            <family val="2"/>
          </rPr>
          <t>ЗАМЕНИТЕ НА РЕАЛЬНЫЕ ДАННЫЕ.
ДЕМО, ДО, Сельдерей ствол,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83" authorId="0">
      <text>
        <r>
          <rPr>
            <sz val="8"/>
            <color indexed="81"/>
            <rFont val="Tahoma"/>
            <family val="2"/>
          </rPr>
          <t>ЗАМЕНИТЕ НА РЕАЛЬНЫЕ ДАННЫЕ.
Сельдерей корень, цикл 1. 0 исключает все элементы данного цикла, а не один выброс.</t>
        </r>
      </text>
    </comment>
    <comment ref="F283" authorId="0">
      <text>
        <r>
          <rPr>
            <sz val="8"/>
            <color indexed="81"/>
            <rFont val="Tahoma"/>
            <family val="2"/>
          </rPr>
          <t>ЗАМЕНИТЕ НА РЕАЛЬНЫЕ ДАННЫЕ.
Сельдерей корень, цикл 2. 0 исключает все элементы данного цикла, а не один выброс.</t>
        </r>
      </text>
    </comment>
    <comment ref="G283" authorId="0">
      <text>
        <r>
          <rPr>
            <sz val="8"/>
            <color indexed="81"/>
            <rFont val="Tahoma"/>
            <family val="2"/>
          </rPr>
          <t>ЗАМЕНИТЕ НА РЕАЛЬНЫЕ ДАННЫЕ.
Сельдерей корень, цикл 3. 0 исключает все элементы данного цикла, а не один выброс.</t>
        </r>
      </text>
    </comment>
    <comment ref="H283" authorId="0">
      <text>
        <r>
          <rPr>
            <sz val="8"/>
            <color indexed="81"/>
            <rFont val="Tahoma"/>
            <family val="2"/>
          </rPr>
          <t>ЗАМЕНИТЕ НА РЕАЛЬНЫЕ ДАННЫЕ.
Сельдерей корень, цикл 4. 0 исключает все элементы данного цикла, а не один выброс.</t>
        </r>
      </text>
    </comment>
    <comment ref="I283" authorId="0">
      <text>
        <r>
          <rPr>
            <sz val="8"/>
            <color indexed="81"/>
            <rFont val="Tahoma"/>
            <family val="2"/>
          </rPr>
          <t>ЗАМЕНИТЕ НА РЕАЛЬНЫЕ ДАННЫЕ.
Сельдерей корень, цикл 5. 0 исключает все элементы данного цикла, а не один выброс.</t>
        </r>
      </text>
    </comment>
    <comment ref="J283" authorId="0">
      <text>
        <r>
          <rPr>
            <sz val="8"/>
            <color indexed="81"/>
            <rFont val="Tahoma"/>
            <family val="2"/>
          </rPr>
          <t>ЗАМЕНИТЕ НА РЕАЛЬНЫЕ ДАННЫЕ.
Сельдерей корень, цикл 6. 0 исключает все элементы данного цикла, а не один выброс.</t>
        </r>
      </text>
    </comment>
    <comment ref="K283" authorId="0">
      <text>
        <r>
          <rPr>
            <sz val="8"/>
            <color indexed="81"/>
            <rFont val="Tahoma"/>
            <family val="2"/>
          </rPr>
          <t>ЗАМЕНИТЕ НА РЕАЛЬНЫЕ ДАННЫЕ.
Сельдерей корень, цикл 7. 0 исключает все элементы данного цикла, а не один выброс.</t>
        </r>
      </text>
    </comment>
    <comment ref="L283" authorId="0">
      <text>
        <r>
          <rPr>
            <sz val="8"/>
            <color indexed="81"/>
            <rFont val="Tahoma"/>
            <family val="2"/>
          </rPr>
          <t>ЗАМЕНИТЕ НА РЕАЛЬНЫЕ ДАННЫЕ.
Сельдерей корень, цикл 8. 0 исключает все элементы данного цикла, а не один выброс.</t>
        </r>
      </text>
    </comment>
    <comment ref="M283" authorId="0">
      <text>
        <r>
          <rPr>
            <sz val="8"/>
            <color indexed="81"/>
            <rFont val="Tahoma"/>
            <family val="2"/>
          </rPr>
          <t>ЗАМЕНИТЕ НА РЕАЛЬНЫЕ ДАННЫЕ.
Сельдерей корень, цикл 9. 0 исключает все элементы данного цикла, а не один выброс.</t>
        </r>
      </text>
    </comment>
    <comment ref="N283" authorId="0">
      <text>
        <r>
          <rPr>
            <sz val="8"/>
            <color indexed="81"/>
            <rFont val="Tahoma"/>
            <family val="2"/>
          </rPr>
          <t>ЗАМЕНИТЕ НА РЕАЛЬНЫЕ ДАННЫЕ.
Сельдерей корень, цикл 10. 0 исключает все элементы данного цикла, а не один выброс.</t>
        </r>
      </text>
    </comment>
    <comment ref="E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85" authorId="0">
      <text>
        <r>
          <rPr>
            <sz val="8"/>
            <color indexed="81"/>
            <rFont val="Tahoma"/>
            <family val="2"/>
          </rPr>
          <t>ЗАМЕНИТЕ НА РЕАЛЬНЫЕ ДАННЫЕ.
ДЕМО, ДО, Сельдерей корень,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85" authorId="0">
      <text>
        <r>
          <rPr>
            <sz val="8"/>
            <color indexed="81"/>
            <rFont val="Tahoma"/>
            <family val="2"/>
          </rPr>
          <t>ЗАМЕНИТЕ НА РЕАЛЬНЫЕ ДАННЫЕ.
ДЕМО, ДО, Сельдерей корень,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85" authorId="0">
      <text>
        <r>
          <rPr>
            <sz val="8"/>
            <color indexed="81"/>
            <rFont val="Tahoma"/>
            <family val="2"/>
          </rPr>
          <t>ЗАМЕНИТЕ НА РЕАЛЬНЫЕ ДАННЫЕ.
ДЕМО, ДО, Сельдерей корень,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85" authorId="0">
      <text>
        <r>
          <rPr>
            <sz val="8"/>
            <color indexed="81"/>
            <rFont val="Tahoma"/>
            <family val="2"/>
          </rPr>
          <t>ЗАМЕНИТЕ НА РЕАЛЬНЫЕ ДАННЫЕ.
ДЕМО, ДО, Сельдерей корень,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85" authorId="0">
      <text>
        <r>
          <rPr>
            <sz val="8"/>
            <color indexed="81"/>
            <rFont val="Tahoma"/>
            <family val="2"/>
          </rPr>
          <t>ЗАМЕНИТЕ НА РЕАЛЬНЫЕ ДАННЫЕ.
ДЕМО, ДО, Сельдерей корень,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85" authorId="0">
      <text>
        <r>
          <rPr>
            <sz val="8"/>
            <color indexed="81"/>
            <rFont val="Tahoma"/>
            <family val="2"/>
          </rPr>
          <t>ЗАМЕНИТЕ НА РЕАЛЬНЫЕ ДАННЫЕ.
ДЕМО, ДО, Сельдерей корень,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85" authorId="0">
      <text>
        <r>
          <rPr>
            <sz val="8"/>
            <color indexed="81"/>
            <rFont val="Tahoma"/>
            <family val="2"/>
          </rPr>
          <t>ЗАМЕНИТЕ НА РЕАЛЬНЫЕ ДАННЫЕ.
ДЕМО, ДО, Сельдерей корень,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85" authorId="0">
      <text>
        <r>
          <rPr>
            <sz val="8"/>
            <color indexed="81"/>
            <rFont val="Tahoma"/>
            <family val="2"/>
          </rPr>
          <t>ЗАМЕНИТЕ НА РЕАЛЬНЫЕ ДАННЫЕ.
ДЕМО, ДО, Сельдерей корень,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85" authorId="0">
      <text>
        <r>
          <rPr>
            <sz val="8"/>
            <color indexed="81"/>
            <rFont val="Tahoma"/>
            <family val="2"/>
          </rPr>
          <t>ЗАМЕНИТЕ НА РЕАЛЬНЫЕ ДАННЫЕ.
ДЕМО, ДО, Сельдерей корень,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85" authorId="0">
      <text>
        <r>
          <rPr>
            <sz val="8"/>
            <color indexed="81"/>
            <rFont val="Tahoma"/>
            <family val="2"/>
          </rPr>
          <t>ЗАМЕНИТЕ НА РЕАЛЬНЫЕ ДАННЫЕ.
ДЕМО, ДО, Сельдерей корень,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86" authorId="0">
      <text>
        <r>
          <rPr>
            <sz val="8"/>
            <color indexed="81"/>
            <rFont val="Tahoma"/>
            <family val="2"/>
          </rPr>
          <t>ЗАМЕНИТЕ НА РЕАЛЬНЫЕ ДАННЫЕ.
ДЕМО, ДО, Сельдерей корень,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86" authorId="0">
      <text>
        <r>
          <rPr>
            <sz val="8"/>
            <color indexed="81"/>
            <rFont val="Tahoma"/>
            <family val="2"/>
          </rPr>
          <t>ЗАМЕНИТЕ НА РЕАЛЬНЫЕ ДАННЫЕ.
ДЕМО, ДО, Сельдерей корень,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86" authorId="0">
      <text>
        <r>
          <rPr>
            <sz val="8"/>
            <color indexed="81"/>
            <rFont val="Tahoma"/>
            <family val="2"/>
          </rPr>
          <t>ЗАМЕНИТЕ НА РЕАЛЬНЫЕ ДАННЫЕ.
ДЕМО, ДО, Сельдерей корень,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86" authorId="0">
      <text>
        <r>
          <rPr>
            <sz val="8"/>
            <color indexed="81"/>
            <rFont val="Tahoma"/>
            <family val="2"/>
          </rPr>
          <t>ЗАМЕНИТЕ НА РЕАЛЬНЫЕ ДАННЫЕ.
ДЕМО, ДО, Сельдерей корень,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86" authorId="0">
      <text>
        <r>
          <rPr>
            <sz val="8"/>
            <color indexed="81"/>
            <rFont val="Tahoma"/>
            <family val="2"/>
          </rPr>
          <t>ЗАМЕНИТЕ НА РЕАЛЬНЫЕ ДАННЫЕ.
ДЕМО, ДО, Сельдерей корень,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86" authorId="0">
      <text>
        <r>
          <rPr>
            <sz val="8"/>
            <color indexed="81"/>
            <rFont val="Tahoma"/>
            <family val="2"/>
          </rPr>
          <t>ЗАМЕНИТЕ НА РЕАЛЬНЫЕ ДАННЫЕ.
ДЕМО, ДО, Сельдерей корень,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86" authorId="0">
      <text>
        <r>
          <rPr>
            <sz val="8"/>
            <color indexed="81"/>
            <rFont val="Tahoma"/>
            <family val="2"/>
          </rPr>
          <t>ЗАМЕНИТЕ НА РЕАЛЬНЫЕ ДАННЫЕ.
ДЕМО, ДО, Сельдерей корень,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86" authorId="0">
      <text>
        <r>
          <rPr>
            <sz val="8"/>
            <color indexed="81"/>
            <rFont val="Tahoma"/>
            <family val="2"/>
          </rPr>
          <t>ЗАМЕНИТЕ НА РЕАЛЬНЫЕ ДАННЫЕ.
ДЕМО, ДО, Сельдерей корень,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86" authorId="0">
      <text>
        <r>
          <rPr>
            <sz val="8"/>
            <color indexed="81"/>
            <rFont val="Tahoma"/>
            <family val="2"/>
          </rPr>
          <t>ЗАМЕНИТЕ НА РЕАЛЬНЫЕ ДАННЫЕ.
ДЕМО, ДО, Сельдерей корень,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86" authorId="0">
      <text>
        <r>
          <rPr>
            <sz val="8"/>
            <color indexed="81"/>
            <rFont val="Tahoma"/>
            <family val="2"/>
          </rPr>
          <t>ЗАМЕНИТЕ НА РЕАЛЬНЫЕ ДАННЫЕ.
ДЕМО, ДО, Сельдерей корень,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87" authorId="0">
      <text>
        <r>
          <rPr>
            <sz val="8"/>
            <color indexed="81"/>
            <rFont val="Tahoma"/>
            <family val="2"/>
          </rPr>
          <t>ЗАМЕНИТЕ НА РЕАЛЬНЫЕ ДАННЫЕ.
ДЕМО, ДО, Сельдерей корень,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87" authorId="0">
      <text>
        <r>
          <rPr>
            <sz val="8"/>
            <color indexed="81"/>
            <rFont val="Tahoma"/>
            <family val="2"/>
          </rPr>
          <t>ЗАМЕНИТЕ НА РЕАЛЬНЫЕ ДАННЫЕ.
ДЕМО, ДО, Сельдерей корень,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87" authorId="0">
      <text>
        <r>
          <rPr>
            <sz val="8"/>
            <color indexed="81"/>
            <rFont val="Tahoma"/>
            <family val="2"/>
          </rPr>
          <t>ЗАМЕНИТЕ НА РЕАЛЬНЫЕ ДАННЫЕ.
ДЕМО, ДО, Сельдерей корень,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87" authorId="0">
      <text>
        <r>
          <rPr>
            <sz val="8"/>
            <color indexed="81"/>
            <rFont val="Tahoma"/>
            <family val="2"/>
          </rPr>
          <t>ЗАМЕНИТЕ НА РЕАЛЬНЫЕ ДАННЫЕ.
ДЕМО, ДО, Сельдерей корень,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87" authorId="0">
      <text>
        <r>
          <rPr>
            <sz val="8"/>
            <color indexed="81"/>
            <rFont val="Tahoma"/>
            <family val="2"/>
          </rPr>
          <t>ЗАМЕНИТЕ НА РЕАЛЬНЫЕ ДАННЫЕ.
ДЕМО, ДО, Сельдерей корень,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87" authorId="0">
      <text>
        <r>
          <rPr>
            <sz val="8"/>
            <color indexed="81"/>
            <rFont val="Tahoma"/>
            <family val="2"/>
          </rPr>
          <t>ЗАМЕНИТЕ НА РЕАЛЬНЫЕ ДАННЫЕ.
ДЕМО, ДО, Сельдерей корень,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87" authorId="0">
      <text>
        <r>
          <rPr>
            <sz val="8"/>
            <color indexed="81"/>
            <rFont val="Tahoma"/>
            <family val="2"/>
          </rPr>
          <t>ЗАМЕНИТЕ НА РЕАЛЬНЫЕ ДАННЫЕ.
ДЕМО, ДО, Сельдерей корень,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87" authorId="0">
      <text>
        <r>
          <rPr>
            <sz val="8"/>
            <color indexed="81"/>
            <rFont val="Tahoma"/>
            <family val="2"/>
          </rPr>
          <t>ЗАМЕНИТЕ НА РЕАЛЬНЫЕ ДАННЫЕ.
ДЕМО, ДО, Сельдерей корень,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87" authorId="0">
      <text>
        <r>
          <rPr>
            <sz val="8"/>
            <color indexed="81"/>
            <rFont val="Tahoma"/>
            <family val="2"/>
          </rPr>
          <t>ЗАМЕНИТЕ НА РЕАЛЬНЫЕ ДАННЫЕ.
ДЕМО, ДО, Сельдерей корень,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87" authorId="0">
      <text>
        <r>
          <rPr>
            <sz val="8"/>
            <color indexed="81"/>
            <rFont val="Tahoma"/>
            <family val="2"/>
          </rPr>
          <t>ЗАМЕНИТЕ НА РЕАЛЬНЫЕ ДАННЫЕ.
ДЕМО, ДО, Сельдерей корень,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88" authorId="0">
      <text>
        <r>
          <rPr>
            <sz val="8"/>
            <color indexed="81"/>
            <rFont val="Tahoma"/>
            <family val="2"/>
          </rPr>
          <t>ЗАМЕНИТЕ НА РЕАЛЬНЫЕ ДАННЫЕ.
ДЕМО, ДО, Сельдерей корень,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88" authorId="0">
      <text>
        <r>
          <rPr>
            <sz val="8"/>
            <color indexed="81"/>
            <rFont val="Tahoma"/>
            <family val="2"/>
          </rPr>
          <t>ЗАМЕНИТЕ НА РЕАЛЬНЫЕ ДАННЫЕ.
ДЕМО, ДО, Сельдерей корень,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88" authorId="0">
      <text>
        <r>
          <rPr>
            <sz val="8"/>
            <color indexed="81"/>
            <rFont val="Tahoma"/>
            <family val="2"/>
          </rPr>
          <t>ЗАМЕНИТЕ НА РЕАЛЬНЫЕ ДАННЫЕ.
ДЕМО, ДО, Сельдерей корень,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88" authorId="0">
      <text>
        <r>
          <rPr>
            <sz val="8"/>
            <color indexed="81"/>
            <rFont val="Tahoma"/>
            <family val="2"/>
          </rPr>
          <t>ЗАМЕНИТЕ НА РЕАЛЬНЫЕ ДАННЫЕ.
ДЕМО, ДО, Сельдерей корень,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88" authorId="0">
      <text>
        <r>
          <rPr>
            <sz val="8"/>
            <color indexed="81"/>
            <rFont val="Tahoma"/>
            <family val="2"/>
          </rPr>
          <t>ЗАМЕНИТЕ НА РЕАЛЬНЫЕ ДАННЫЕ.
ДЕМО, ДО, Сельдерей корень,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88" authorId="0">
      <text>
        <r>
          <rPr>
            <sz val="8"/>
            <color indexed="81"/>
            <rFont val="Tahoma"/>
            <family val="2"/>
          </rPr>
          <t>ЗАМЕНИТЕ НА РЕАЛЬНЫЕ ДАННЫЕ.
ДЕМО, ДО, Сельдерей корень,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88" authorId="0">
      <text>
        <r>
          <rPr>
            <sz val="8"/>
            <color indexed="81"/>
            <rFont val="Tahoma"/>
            <family val="2"/>
          </rPr>
          <t>ЗАМЕНИТЕ НА РЕАЛЬНЫЕ ДАННЫЕ.
ДЕМО, ДО, Сельдерей корень,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88" authorId="0">
      <text>
        <r>
          <rPr>
            <sz val="8"/>
            <color indexed="81"/>
            <rFont val="Tahoma"/>
            <family val="2"/>
          </rPr>
          <t>ЗАМЕНИТЕ НА РЕАЛЬНЫЕ ДАННЫЕ.
ДЕМО, ДО, Сельдерей корень,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88" authorId="0">
      <text>
        <r>
          <rPr>
            <sz val="8"/>
            <color indexed="81"/>
            <rFont val="Tahoma"/>
            <family val="2"/>
          </rPr>
          <t>ЗАМЕНИТЕ НА РЕАЛЬНЫЕ ДАННЫЕ.
ДЕМО, ДО, Сельдерей корень,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88" authorId="0">
      <text>
        <r>
          <rPr>
            <sz val="8"/>
            <color indexed="81"/>
            <rFont val="Tahoma"/>
            <family val="2"/>
          </rPr>
          <t>ЗАМЕНИТЕ НА РЕАЛЬНЫЕ ДАННЫЕ.
ДЕМО, ДО, Сельдерей корень,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89" authorId="0">
      <text>
        <r>
          <rPr>
            <sz val="8"/>
            <color indexed="81"/>
            <rFont val="Tahoma"/>
            <family val="2"/>
          </rPr>
          <t>ЗАМЕНИТЕ НА РЕАЛЬНЫЕ ДАННЫЕ.
ДЕМО, ДО, Сельдерей корень,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89" authorId="0">
      <text>
        <r>
          <rPr>
            <sz val="8"/>
            <color indexed="81"/>
            <rFont val="Tahoma"/>
            <family val="2"/>
          </rPr>
          <t>ЗАМЕНИТЕ НА РЕАЛЬНЫЕ ДАННЫЕ.
ДЕМО, ДО, Сельдерей корень,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89" authorId="0">
      <text>
        <r>
          <rPr>
            <sz val="8"/>
            <color indexed="81"/>
            <rFont val="Tahoma"/>
            <family val="2"/>
          </rPr>
          <t>ЗАМЕНИТЕ НА РЕАЛЬНЫЕ ДАННЫЕ.
ДЕМО, ДО, Сельдерей корень,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89" authorId="0">
      <text>
        <r>
          <rPr>
            <sz val="8"/>
            <color indexed="81"/>
            <rFont val="Tahoma"/>
            <family val="2"/>
          </rPr>
          <t>ЗАМЕНИТЕ НА РЕАЛЬНЫЕ ДАННЫЕ.
ДЕМО, ДО, Сельдерей корень,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89" authorId="0">
      <text>
        <r>
          <rPr>
            <sz val="8"/>
            <color indexed="81"/>
            <rFont val="Tahoma"/>
            <family val="2"/>
          </rPr>
          <t>ЗАМЕНИТЕ НА РЕАЛЬНЫЕ ДАННЫЕ.
ДЕМО, ДО, Сельдерей корень,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89" authorId="0">
      <text>
        <r>
          <rPr>
            <sz val="8"/>
            <color indexed="81"/>
            <rFont val="Tahoma"/>
            <family val="2"/>
          </rPr>
          <t>ЗАМЕНИТЕ НА РЕАЛЬНЫЕ ДАННЫЕ.
ДЕМО, ДО, Сельдерей корень,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89" authorId="0">
      <text>
        <r>
          <rPr>
            <sz val="8"/>
            <color indexed="81"/>
            <rFont val="Tahoma"/>
            <family val="2"/>
          </rPr>
          <t>ЗАМЕНИТЕ НА РЕАЛЬНЫЕ ДАННЫЕ.
ДЕМО, ДО, Сельдерей корень,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89" authorId="0">
      <text>
        <r>
          <rPr>
            <sz val="8"/>
            <color indexed="81"/>
            <rFont val="Tahoma"/>
            <family val="2"/>
          </rPr>
          <t>ЗАМЕНИТЕ НА РЕАЛЬНЫЕ ДАННЫЕ.
ДЕМО, ДО, Сельдерей корень,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89" authorId="0">
      <text>
        <r>
          <rPr>
            <sz val="8"/>
            <color indexed="81"/>
            <rFont val="Tahoma"/>
            <family val="2"/>
          </rPr>
          <t>ЗАМЕНИТЕ НА РЕАЛЬНЫЕ ДАННЫЕ.
ДЕМО, ДО, Сельдерей корень,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89" authorId="0">
      <text>
        <r>
          <rPr>
            <sz val="8"/>
            <color indexed="81"/>
            <rFont val="Tahoma"/>
            <family val="2"/>
          </rPr>
          <t>ЗАМЕНИТЕ НА РЕАЛЬНЫЕ ДАННЫЕ.
ДЕМО, ДО, Сельдерей корень,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91" authorId="0">
      <text>
        <r>
          <rPr>
            <sz val="8"/>
            <color indexed="81"/>
            <rFont val="Tahoma"/>
            <family val="2"/>
          </rPr>
          <t>ЗАМЕНИТЕ НА РЕАЛЬНЫЕ ДАННЫЕ.
ДЕМО, ДО, Сельдерей корень,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91" authorId="0">
      <text>
        <r>
          <rPr>
            <sz val="8"/>
            <color indexed="81"/>
            <rFont val="Tahoma"/>
            <family val="2"/>
          </rPr>
          <t>ЗАМЕНИТЕ НА РЕАЛЬНЫЕ ДАННЫЕ.
ДЕМО, ДО, Сельдерей корень,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91" authorId="0">
      <text>
        <r>
          <rPr>
            <sz val="8"/>
            <color indexed="81"/>
            <rFont val="Tahoma"/>
            <family val="2"/>
          </rPr>
          <t>ЗАМЕНИТЕ НА РЕАЛЬНЫЕ ДАННЫЕ.
ДЕМО, ДО, Сельдерей корень,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91" authorId="0">
      <text>
        <r>
          <rPr>
            <sz val="8"/>
            <color indexed="81"/>
            <rFont val="Tahoma"/>
            <family val="2"/>
          </rPr>
          <t>ЗАМЕНИТЕ НА РЕАЛЬНЫЕ ДАННЫЕ.
ДЕМО, ДО, Сельдерей корень,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91" authorId="0">
      <text>
        <r>
          <rPr>
            <sz val="8"/>
            <color indexed="81"/>
            <rFont val="Tahoma"/>
            <family val="2"/>
          </rPr>
          <t>ЗАМЕНИТЕ НА РЕАЛЬНЫЕ ДАННЫЕ.
ДЕМО, ДО, Сельдерей корень,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91" authorId="0">
      <text>
        <r>
          <rPr>
            <sz val="8"/>
            <color indexed="81"/>
            <rFont val="Tahoma"/>
            <family val="2"/>
          </rPr>
          <t>ЗАМЕНИТЕ НА РЕАЛЬНЫЕ ДАННЫЕ.
ДЕМО, ДО, Сельдерей корень,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91" authorId="0">
      <text>
        <r>
          <rPr>
            <sz val="8"/>
            <color indexed="81"/>
            <rFont val="Tahoma"/>
            <family val="2"/>
          </rPr>
          <t>ЗАМЕНИТЕ НА РЕАЛЬНЫЕ ДАННЫЕ.
ДЕМО, ДО, Сельдерей корень,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91" authorId="0">
      <text>
        <r>
          <rPr>
            <sz val="8"/>
            <color indexed="81"/>
            <rFont val="Tahoma"/>
            <family val="2"/>
          </rPr>
          <t>ЗАМЕНИТЕ НА РЕАЛЬНЫЕ ДАННЫЕ.
ДЕМО, ДО, Сельдерей корень,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91" authorId="0">
      <text>
        <r>
          <rPr>
            <sz val="8"/>
            <color indexed="81"/>
            <rFont val="Tahoma"/>
            <family val="2"/>
          </rPr>
          <t>ЗАМЕНИТЕ НА РЕАЛЬНЫЕ ДАННЫЕ.
ДЕМО, ДО, Сельдерей корень,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91" authorId="0">
      <text>
        <r>
          <rPr>
            <sz val="8"/>
            <color indexed="81"/>
            <rFont val="Tahoma"/>
            <family val="2"/>
          </rPr>
          <t>ЗАМЕНИТЕ НА РЕАЛЬНЫЕ ДАННЫЕ.
ДЕМО, ДО, Сельдерей корень,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92" authorId="0">
      <text>
        <r>
          <rPr>
            <sz val="8"/>
            <color indexed="81"/>
            <rFont val="Tahoma"/>
            <family val="2"/>
          </rPr>
          <t>ЗАМЕНИТЕ НА РЕАЛЬНЫЕ ДАННЫЕ.
ДЕМО, ДО, Сельдерей корень,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92" authorId="0">
      <text>
        <r>
          <rPr>
            <sz val="8"/>
            <color indexed="81"/>
            <rFont val="Tahoma"/>
            <family val="2"/>
          </rPr>
          <t>ЗАМЕНИТЕ НА РЕАЛЬНЫЕ ДАННЫЕ.
ДЕМО, ДО, Сельдерей корень,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92" authorId="0">
      <text>
        <r>
          <rPr>
            <sz val="8"/>
            <color indexed="81"/>
            <rFont val="Tahoma"/>
            <family val="2"/>
          </rPr>
          <t>ЗАМЕНИТЕ НА РЕАЛЬНЫЕ ДАННЫЕ.
ДЕМО, ДО, Сельдерей корень,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92" authorId="0">
      <text>
        <r>
          <rPr>
            <sz val="8"/>
            <color indexed="81"/>
            <rFont val="Tahoma"/>
            <family val="2"/>
          </rPr>
          <t>ЗАМЕНИТЕ НА РЕАЛЬНЫЕ ДАННЫЕ.
ДЕМО, ДО, Сельдерей корень,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92" authorId="0">
      <text>
        <r>
          <rPr>
            <sz val="8"/>
            <color indexed="81"/>
            <rFont val="Tahoma"/>
            <family val="2"/>
          </rPr>
          <t>ЗАМЕНИТЕ НА РЕАЛЬНЫЕ ДАННЫЕ.
ДЕМО, ДО, Сельдерей корень,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92" authorId="0">
      <text>
        <r>
          <rPr>
            <sz val="8"/>
            <color indexed="81"/>
            <rFont val="Tahoma"/>
            <family val="2"/>
          </rPr>
          <t>ЗАМЕНИТЕ НА РЕАЛЬНЫЕ ДАННЫЕ.
ДЕМО, ДО, Сельдерей корень,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92" authorId="0">
      <text>
        <r>
          <rPr>
            <sz val="8"/>
            <color indexed="81"/>
            <rFont val="Tahoma"/>
            <family val="2"/>
          </rPr>
          <t>ЗАМЕНИТЕ НА РЕАЛЬНЫЕ ДАННЫЕ.
ДЕМО, ДО, Сельдерей корень,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92" authorId="0">
      <text>
        <r>
          <rPr>
            <sz val="8"/>
            <color indexed="81"/>
            <rFont val="Tahoma"/>
            <family val="2"/>
          </rPr>
          <t>ЗАМЕНИТЕ НА РЕАЛЬНЫЕ ДАННЫЕ.
ДЕМО, ДО, Сельдерей корень,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92" authorId="0">
      <text>
        <r>
          <rPr>
            <sz val="8"/>
            <color indexed="81"/>
            <rFont val="Tahoma"/>
            <family val="2"/>
          </rPr>
          <t>ЗАМЕНИТЕ НА РЕАЛЬНЫЕ ДАННЫЕ.
ДЕМО, ДО, Сельдерей корень,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92" authorId="0">
      <text>
        <r>
          <rPr>
            <sz val="8"/>
            <color indexed="81"/>
            <rFont val="Tahoma"/>
            <family val="2"/>
          </rPr>
          <t>ЗАМЕНИТЕ НА РЕАЛЬНЫЕ ДАННЫЕ.
ДЕМО, ДО, Сельдерей корень,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93" authorId="0">
      <text>
        <r>
          <rPr>
            <sz val="8"/>
            <color indexed="81"/>
            <rFont val="Tahoma"/>
            <family val="2"/>
          </rPr>
          <t>ЗАМЕНИТЕ НА РЕАЛЬНЫЕ ДАННЫЕ.
ДЕМО, ДО, Сельдерей корень,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93" authorId="0">
      <text>
        <r>
          <rPr>
            <sz val="8"/>
            <color indexed="81"/>
            <rFont val="Tahoma"/>
            <family val="2"/>
          </rPr>
          <t>ЗАМЕНИТЕ НА РЕАЛЬНЫЕ ДАННЫЕ.
ДЕМО, ДО, Сельдерей корень,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93" authorId="0">
      <text>
        <r>
          <rPr>
            <sz val="8"/>
            <color indexed="81"/>
            <rFont val="Tahoma"/>
            <family val="2"/>
          </rPr>
          <t>ЗАМЕНИТЕ НА РЕАЛЬНЫЕ ДАННЫЕ.
ДЕМО, ДО, Сельдерей корень,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93" authorId="0">
      <text>
        <r>
          <rPr>
            <sz val="8"/>
            <color indexed="81"/>
            <rFont val="Tahoma"/>
            <family val="2"/>
          </rPr>
          <t>ЗАМЕНИТЕ НА РЕАЛЬНЫЕ ДАННЫЕ.
ДЕМО, ДО, Сельдерей корень,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93" authorId="0">
      <text>
        <r>
          <rPr>
            <sz val="8"/>
            <color indexed="81"/>
            <rFont val="Tahoma"/>
            <family val="2"/>
          </rPr>
          <t>ЗАМЕНИТЕ НА РЕАЛЬНЫЕ ДАННЫЕ.
ДЕМО, ДО, Сельдерей корень,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93" authorId="0">
      <text>
        <r>
          <rPr>
            <sz val="8"/>
            <color indexed="81"/>
            <rFont val="Tahoma"/>
            <family val="2"/>
          </rPr>
          <t>ЗАМЕНИТЕ НА РЕАЛЬНЫЕ ДАННЫЕ.
ДЕМО, ДО, Сельдерей корень,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93" authorId="0">
      <text>
        <r>
          <rPr>
            <sz val="8"/>
            <color indexed="81"/>
            <rFont val="Tahoma"/>
            <family val="2"/>
          </rPr>
          <t>ЗАМЕНИТЕ НА РЕАЛЬНЫЕ ДАННЫЕ.
ДЕМО, ДО, Сельдерей корень,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93" authorId="0">
      <text>
        <r>
          <rPr>
            <sz val="8"/>
            <color indexed="81"/>
            <rFont val="Tahoma"/>
            <family val="2"/>
          </rPr>
          <t>ЗАМЕНИТЕ НА РЕАЛЬНЫЕ ДАННЫЕ.
ДЕМО, ДО, Сельдерей корень,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93" authorId="0">
      <text>
        <r>
          <rPr>
            <sz val="8"/>
            <color indexed="81"/>
            <rFont val="Tahoma"/>
            <family val="2"/>
          </rPr>
          <t>ЗАМЕНИТЕ НА РЕАЛЬНЫЕ ДАННЫЕ.
ДЕМО, ДО, Сельдерей корень,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93" authorId="0">
      <text>
        <r>
          <rPr>
            <sz val="8"/>
            <color indexed="81"/>
            <rFont val="Tahoma"/>
            <family val="2"/>
          </rPr>
          <t>ЗАМЕНИТЕ НА РЕАЛЬНЫЕ ДАННЫЕ.
ДЕМО, ДО, Сельдерей корень,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94" authorId="0">
      <text>
        <r>
          <rPr>
            <sz val="8"/>
            <color indexed="81"/>
            <rFont val="Tahoma"/>
            <family val="2"/>
          </rPr>
          <t>ЗАМЕНИТЕ НА РЕАЛЬНЫЕ ДАННЫЕ.
ДЕМО, ДО, Сельдерей корень,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94" authorId="0">
      <text>
        <r>
          <rPr>
            <sz val="8"/>
            <color indexed="81"/>
            <rFont val="Tahoma"/>
            <family val="2"/>
          </rPr>
          <t>ЗАМЕНИТЕ НА РЕАЛЬНЫЕ ДАННЫЕ.
ДЕМО, ДО, Сельдерей корень,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94" authorId="0">
      <text>
        <r>
          <rPr>
            <sz val="8"/>
            <color indexed="81"/>
            <rFont val="Tahoma"/>
            <family val="2"/>
          </rPr>
          <t>ЗАМЕНИТЕ НА РЕАЛЬНЫЕ ДАННЫЕ.
ДЕМО, ДО, Сельдерей корень,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94" authorId="0">
      <text>
        <r>
          <rPr>
            <sz val="8"/>
            <color indexed="81"/>
            <rFont val="Tahoma"/>
            <family val="2"/>
          </rPr>
          <t>ЗАМЕНИТЕ НА РЕАЛЬНЫЕ ДАННЫЕ.
ДЕМО, ДО, Сельдерей корень,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94" authorId="0">
      <text>
        <r>
          <rPr>
            <sz val="8"/>
            <color indexed="81"/>
            <rFont val="Tahoma"/>
            <family val="2"/>
          </rPr>
          <t>ЗАМЕНИТЕ НА РЕАЛЬНЫЕ ДАННЫЕ.
ДЕМО, ДО, Сельдерей корень,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94" authorId="0">
      <text>
        <r>
          <rPr>
            <sz val="8"/>
            <color indexed="81"/>
            <rFont val="Tahoma"/>
            <family val="2"/>
          </rPr>
          <t>ЗАМЕНИТЕ НА РЕАЛЬНЫЕ ДАННЫЕ.
ДЕМО, ДО, Сельдерей корень,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94" authorId="0">
      <text>
        <r>
          <rPr>
            <sz val="8"/>
            <color indexed="81"/>
            <rFont val="Tahoma"/>
            <family val="2"/>
          </rPr>
          <t>ЗАМЕНИТЕ НА РЕАЛЬНЫЕ ДАННЫЕ.
ДЕМО, ДО, Сельдерей корень,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94" authorId="0">
      <text>
        <r>
          <rPr>
            <sz val="8"/>
            <color indexed="81"/>
            <rFont val="Tahoma"/>
            <family val="2"/>
          </rPr>
          <t>ЗАМЕНИТЕ НА РЕАЛЬНЫЕ ДАННЫЕ.
ДЕМО, ДО, Сельдерей корень,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94" authorId="0">
      <text>
        <r>
          <rPr>
            <sz val="8"/>
            <color indexed="81"/>
            <rFont val="Tahoma"/>
            <family val="2"/>
          </rPr>
          <t>ЗАМЕНИТЕ НА РЕАЛЬНЫЕ ДАННЫЕ.
ДЕМО, ДО, Сельдерей корень,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94" authorId="0">
      <text>
        <r>
          <rPr>
            <sz val="8"/>
            <color indexed="81"/>
            <rFont val="Tahoma"/>
            <family val="2"/>
          </rPr>
          <t>ЗАМЕНИТЕ НА РЕАЛЬНЫЕ ДАННЫЕ.
ДЕМО, ДО, Сельдерей корень,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95" authorId="0">
      <text>
        <r>
          <rPr>
            <sz val="8"/>
            <color indexed="81"/>
            <rFont val="Tahoma"/>
            <family val="2"/>
          </rPr>
          <t>ЗАМЕНИТЕ НА РЕАЛЬНЫЕ ДАННЫЕ.
ДЕМО, ДО, Сельдерей корень,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95" authorId="0">
      <text>
        <r>
          <rPr>
            <sz val="8"/>
            <color indexed="81"/>
            <rFont val="Tahoma"/>
            <family val="2"/>
          </rPr>
          <t>ЗАМЕНИТЕ НА РЕАЛЬНЫЕ ДАННЫЕ.
ДЕМО, ДО, Сельдерей корень,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95" authorId="0">
      <text>
        <r>
          <rPr>
            <sz val="8"/>
            <color indexed="81"/>
            <rFont val="Tahoma"/>
            <family val="2"/>
          </rPr>
          <t>ЗАМЕНИТЕ НА РЕАЛЬНЫЕ ДАННЫЕ.
ДЕМО, ДО, Сельдерей корень,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95" authorId="0">
      <text>
        <r>
          <rPr>
            <sz val="8"/>
            <color indexed="81"/>
            <rFont val="Tahoma"/>
            <family val="2"/>
          </rPr>
          <t>ЗАМЕНИТЕ НА РЕАЛЬНЫЕ ДАННЫЕ.
ДЕМО, ДО, Сельдерей корень,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95" authorId="0">
      <text>
        <r>
          <rPr>
            <sz val="8"/>
            <color indexed="81"/>
            <rFont val="Tahoma"/>
            <family val="2"/>
          </rPr>
          <t>ЗАМЕНИТЕ НА РЕАЛЬНЫЕ ДАННЫЕ.
ДЕМО, ДО, Сельдерей корень,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95" authorId="0">
      <text>
        <r>
          <rPr>
            <sz val="8"/>
            <color indexed="81"/>
            <rFont val="Tahoma"/>
            <family val="2"/>
          </rPr>
          <t>ЗАМЕНИТЕ НА РЕАЛЬНЫЕ ДАННЫЕ.
ДЕМО, ДО, Сельдерей корень,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95" authorId="0">
      <text>
        <r>
          <rPr>
            <sz val="8"/>
            <color indexed="81"/>
            <rFont val="Tahoma"/>
            <family val="2"/>
          </rPr>
          <t>ЗАМЕНИТЕ НА РЕАЛЬНЫЕ ДАННЫЕ.
ДЕМО, ДО, Сельдерей корень,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95" authorId="0">
      <text>
        <r>
          <rPr>
            <sz val="8"/>
            <color indexed="81"/>
            <rFont val="Tahoma"/>
            <family val="2"/>
          </rPr>
          <t>ЗАМЕНИТЕ НА РЕАЛЬНЫЕ ДАННЫЕ.
ДЕМО, ДО, Сельдерей корень,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95" authorId="0">
      <text>
        <r>
          <rPr>
            <sz val="8"/>
            <color indexed="81"/>
            <rFont val="Tahoma"/>
            <family val="2"/>
          </rPr>
          <t>ЗАМЕНИТЕ НА РЕАЛЬНЫЕ ДАННЫЕ.
ДЕМО, ДО, Сельдерей корень,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95" authorId="0">
      <text>
        <r>
          <rPr>
            <sz val="8"/>
            <color indexed="81"/>
            <rFont val="Tahoma"/>
            <family val="2"/>
          </rPr>
          <t>ЗАМЕНИТЕ НА РЕАЛЬНЫЕ ДАННЫЕ.
ДЕМО, ДО, Сельдерей корень,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04" authorId="0">
      <text>
        <r>
          <rPr>
            <sz val="8"/>
            <color indexed="81"/>
            <rFont val="Tahoma"/>
            <family val="2"/>
          </rPr>
          <t>ЗАМЕНИТЕ НА РЕАЛЬНЫЕ ДАННЫЕ.
Тыква, цикл 1. 0 исключает все элементы данного цикла, а не один выброс.</t>
        </r>
      </text>
    </comment>
    <comment ref="F304" authorId="0">
      <text>
        <r>
          <rPr>
            <sz val="8"/>
            <color indexed="81"/>
            <rFont val="Tahoma"/>
            <family val="2"/>
          </rPr>
          <t>ЗАМЕНИТЕ НА РЕАЛЬНЫЕ ДАННЫЕ.
Тыква, цикл 2. 0 исключает все элементы данного цикла, а не один выброс.</t>
        </r>
      </text>
    </comment>
    <comment ref="G304" authorId="0">
      <text>
        <r>
          <rPr>
            <sz val="8"/>
            <color indexed="81"/>
            <rFont val="Tahoma"/>
            <family val="2"/>
          </rPr>
          <t>ЗАМЕНИТЕ НА РЕАЛЬНЫЕ ДАННЫЕ.
Тыква, цикл 3. 0 исключает все элементы данного цикла, а не один выброс.</t>
        </r>
      </text>
    </comment>
    <comment ref="H304" authorId="0">
      <text>
        <r>
          <rPr>
            <sz val="8"/>
            <color indexed="81"/>
            <rFont val="Tahoma"/>
            <family val="2"/>
          </rPr>
          <t>ЗАМЕНИТЕ НА РЕАЛЬНЫЕ ДАННЫЕ.
Тыква, цикл 4. 0 исключает все элементы данного цикла, а не один выброс.</t>
        </r>
      </text>
    </comment>
    <comment ref="I304" authorId="0">
      <text>
        <r>
          <rPr>
            <sz val="8"/>
            <color indexed="81"/>
            <rFont val="Tahoma"/>
            <family val="2"/>
          </rPr>
          <t>ЗАМЕНИТЕ НА РЕАЛЬНЫЕ ДАННЫЕ.
Тыква, цикл 5. 0 исключает все элементы данного цикла, а не один выброс.</t>
        </r>
      </text>
    </comment>
    <comment ref="J304" authorId="0">
      <text>
        <r>
          <rPr>
            <sz val="8"/>
            <color indexed="81"/>
            <rFont val="Tahoma"/>
            <family val="2"/>
          </rPr>
          <t>ЗАМЕНИТЕ НА РЕАЛЬНЫЕ ДАННЫЕ.
Тыква, цикл 6. 0 исключает все элементы данного цикла, а не один выброс.</t>
        </r>
      </text>
    </comment>
    <comment ref="K304" authorId="0">
      <text>
        <r>
          <rPr>
            <sz val="8"/>
            <color indexed="81"/>
            <rFont val="Tahoma"/>
            <family val="2"/>
          </rPr>
          <t>ЗАМЕНИТЕ НА РЕАЛЬНЫЕ ДАННЫЕ.
Тыква, цикл 7. 0 исключает все элементы данного цикла, а не один выброс.</t>
        </r>
      </text>
    </comment>
    <comment ref="L304" authorId="0">
      <text>
        <r>
          <rPr>
            <sz val="8"/>
            <color indexed="81"/>
            <rFont val="Tahoma"/>
            <family val="2"/>
          </rPr>
          <t>ЗАМЕНИТЕ НА РЕАЛЬНЫЕ ДАННЫЕ.
Тыква, цикл 8. 0 исключает все элементы данного цикла, а не один выброс.</t>
        </r>
      </text>
    </comment>
    <comment ref="M304" authorId="0">
      <text>
        <r>
          <rPr>
            <sz val="8"/>
            <color indexed="81"/>
            <rFont val="Tahoma"/>
            <family val="2"/>
          </rPr>
          <t>ЗАМЕНИТЕ НА РЕАЛЬНЫЕ ДАННЫЕ.
Тыква, цикл 9. 0 исключает все элементы данного цикла, а не один выброс.</t>
        </r>
      </text>
    </comment>
    <comment ref="N304" authorId="0">
      <text>
        <r>
          <rPr>
            <sz val="8"/>
            <color indexed="81"/>
            <rFont val="Tahoma"/>
            <family val="2"/>
          </rPr>
          <t>ЗАМЕНИТЕ НА РЕАЛЬНЫЕ ДАННЫЕ.
Тыква, цикл 10. 0 исключает все элементы данного цикла, а не один выброс.</t>
        </r>
      </text>
    </comment>
    <comment ref="E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06" authorId="0">
      <text>
        <r>
          <rPr>
            <sz val="8"/>
            <color indexed="81"/>
            <rFont val="Tahoma"/>
            <family val="2"/>
          </rPr>
          <t>ЗАМЕНИТЕ НА РЕАЛЬНЫЕ ДАННЫЕ.
ДЕМО, ДО, Тыква,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06" authorId="0">
      <text>
        <r>
          <rPr>
            <sz val="8"/>
            <color indexed="81"/>
            <rFont val="Tahoma"/>
            <family val="2"/>
          </rPr>
          <t>ЗАМЕНИТЕ НА РЕАЛЬНЫЕ ДАННЫЕ.
ДЕМО, ДО, Тыква,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06" authorId="0">
      <text>
        <r>
          <rPr>
            <sz val="8"/>
            <color indexed="81"/>
            <rFont val="Tahoma"/>
            <family val="2"/>
          </rPr>
          <t>ЗАМЕНИТЕ НА РЕАЛЬНЫЕ ДАННЫЕ.
ДЕМО, ДО, Тыква,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06" authorId="0">
      <text>
        <r>
          <rPr>
            <sz val="8"/>
            <color indexed="81"/>
            <rFont val="Tahoma"/>
            <family val="2"/>
          </rPr>
          <t>ЗАМЕНИТЕ НА РЕАЛЬНЫЕ ДАННЫЕ.
ДЕМО, ДО, Тыква,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06" authorId="0">
      <text>
        <r>
          <rPr>
            <sz val="8"/>
            <color indexed="81"/>
            <rFont val="Tahoma"/>
            <family val="2"/>
          </rPr>
          <t>ЗАМЕНИТЕ НА РЕАЛЬНЫЕ ДАННЫЕ.
ДЕМО, ДО, Тыква,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06" authorId="0">
      <text>
        <r>
          <rPr>
            <sz val="8"/>
            <color indexed="81"/>
            <rFont val="Tahoma"/>
            <family val="2"/>
          </rPr>
          <t>ЗАМЕНИТЕ НА РЕАЛЬНЫЕ ДАННЫЕ.
ДЕМО, ДО, Тыква,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06" authorId="0">
      <text>
        <r>
          <rPr>
            <sz val="8"/>
            <color indexed="81"/>
            <rFont val="Tahoma"/>
            <family val="2"/>
          </rPr>
          <t>ЗАМЕНИТЕ НА РЕАЛЬНЫЕ ДАННЫЕ.
ДЕМО, ДО, Тыква,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06" authorId="0">
      <text>
        <r>
          <rPr>
            <sz val="8"/>
            <color indexed="81"/>
            <rFont val="Tahoma"/>
            <family val="2"/>
          </rPr>
          <t>ЗАМЕНИТЕ НА РЕАЛЬНЫЕ ДАННЫЕ.
ДЕМО, ДО, Тыква,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06" authorId="0">
      <text>
        <r>
          <rPr>
            <sz val="8"/>
            <color indexed="81"/>
            <rFont val="Tahoma"/>
            <family val="2"/>
          </rPr>
          <t>ЗАМЕНИТЕ НА РЕАЛЬНЫЕ ДАННЫЕ.
ДЕМО, ДО, Тыква,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06" authorId="0">
      <text>
        <r>
          <rPr>
            <sz val="8"/>
            <color indexed="81"/>
            <rFont val="Tahoma"/>
            <family val="2"/>
          </rPr>
          <t>ЗАМЕНИТЕ НА РЕАЛЬНЫЕ ДАННЫЕ.
ДЕМО, ДО, Тыква,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07" authorId="0">
      <text>
        <r>
          <rPr>
            <sz val="8"/>
            <color indexed="81"/>
            <rFont val="Tahoma"/>
            <family val="2"/>
          </rPr>
          <t>ЗАМЕНИТЕ НА РЕАЛЬНЫЕ ДАННЫЕ.
ДЕМО, ДО, Тыква,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07" authorId="0">
      <text>
        <r>
          <rPr>
            <sz val="8"/>
            <color indexed="81"/>
            <rFont val="Tahoma"/>
            <family val="2"/>
          </rPr>
          <t>ЗАМЕНИТЕ НА РЕАЛЬНЫЕ ДАННЫЕ.
ДЕМО, ДО, Тыква,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07" authorId="0">
      <text>
        <r>
          <rPr>
            <sz val="8"/>
            <color indexed="81"/>
            <rFont val="Tahoma"/>
            <family val="2"/>
          </rPr>
          <t>ЗАМЕНИТЕ НА РЕАЛЬНЫЕ ДАННЫЕ.
ДЕМО, ДО, Тыква,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07" authorId="0">
      <text>
        <r>
          <rPr>
            <sz val="8"/>
            <color indexed="81"/>
            <rFont val="Tahoma"/>
            <family val="2"/>
          </rPr>
          <t>ЗАМЕНИТЕ НА РЕАЛЬНЫЕ ДАННЫЕ.
ДЕМО, ДО, Тыква,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07" authorId="0">
      <text>
        <r>
          <rPr>
            <sz val="8"/>
            <color indexed="81"/>
            <rFont val="Tahoma"/>
            <family val="2"/>
          </rPr>
          <t>ЗАМЕНИТЕ НА РЕАЛЬНЫЕ ДАННЫЕ.
ДЕМО, ДО, Тыква,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07" authorId="0">
      <text>
        <r>
          <rPr>
            <sz val="8"/>
            <color indexed="81"/>
            <rFont val="Tahoma"/>
            <family val="2"/>
          </rPr>
          <t>ЗАМЕНИТЕ НА РЕАЛЬНЫЕ ДАННЫЕ.
ДЕМО, ДО, Тыква,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07" authorId="0">
      <text>
        <r>
          <rPr>
            <sz val="8"/>
            <color indexed="81"/>
            <rFont val="Tahoma"/>
            <family val="2"/>
          </rPr>
          <t>ЗАМЕНИТЕ НА РЕАЛЬНЫЕ ДАННЫЕ.
ДЕМО, ДО, Тыква,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07" authorId="0">
      <text>
        <r>
          <rPr>
            <sz val="8"/>
            <color indexed="81"/>
            <rFont val="Tahoma"/>
            <family val="2"/>
          </rPr>
          <t>ЗАМЕНИТЕ НА РЕАЛЬНЫЕ ДАННЫЕ.
ДЕМО, ДО, Тыква,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07" authorId="0">
      <text>
        <r>
          <rPr>
            <sz val="8"/>
            <color indexed="81"/>
            <rFont val="Tahoma"/>
            <family val="2"/>
          </rPr>
          <t>ЗАМЕНИТЕ НА РЕАЛЬНЫЕ ДАННЫЕ.
ДЕМО, ДО, Тыква,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07" authorId="0">
      <text>
        <r>
          <rPr>
            <sz val="8"/>
            <color indexed="81"/>
            <rFont val="Tahoma"/>
            <family val="2"/>
          </rPr>
          <t>ЗАМЕНИТЕ НА РЕАЛЬНЫЕ ДАННЫЕ.
ДЕМО, ДО, Тыква,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08" authorId="0">
      <text>
        <r>
          <rPr>
            <sz val="8"/>
            <color indexed="81"/>
            <rFont val="Tahoma"/>
            <family val="2"/>
          </rPr>
          <t>ЗАМЕНИТЕ НА РЕАЛЬНЫЕ ДАННЫЕ.
ДЕМО, ДО, Тыква,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08" authorId="0">
      <text>
        <r>
          <rPr>
            <sz val="8"/>
            <color indexed="81"/>
            <rFont val="Tahoma"/>
            <family val="2"/>
          </rPr>
          <t>ЗАМЕНИТЕ НА РЕАЛЬНЫЕ ДАННЫЕ.
ДЕМО, ДО, Тыква,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08" authorId="0">
      <text>
        <r>
          <rPr>
            <sz val="8"/>
            <color indexed="81"/>
            <rFont val="Tahoma"/>
            <family val="2"/>
          </rPr>
          <t>ЗАМЕНИТЕ НА РЕАЛЬНЫЕ ДАННЫЕ.
ДЕМО, ДО, Тыква,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08" authorId="0">
      <text>
        <r>
          <rPr>
            <sz val="8"/>
            <color indexed="81"/>
            <rFont val="Tahoma"/>
            <family val="2"/>
          </rPr>
          <t>ЗАМЕНИТЕ НА РЕАЛЬНЫЕ ДАННЫЕ.
ДЕМО, ДО, Тыква,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08" authorId="0">
      <text>
        <r>
          <rPr>
            <sz val="8"/>
            <color indexed="81"/>
            <rFont val="Tahoma"/>
            <family val="2"/>
          </rPr>
          <t>ЗАМЕНИТЕ НА РЕАЛЬНЫЕ ДАННЫЕ.
ДЕМО, ДО, Тыква,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08" authorId="0">
      <text>
        <r>
          <rPr>
            <sz val="8"/>
            <color indexed="81"/>
            <rFont val="Tahoma"/>
            <family val="2"/>
          </rPr>
          <t>ЗАМЕНИТЕ НА РЕАЛЬНЫЕ ДАННЫЕ.
ДЕМО, ДО, Тыква,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08" authorId="0">
      <text>
        <r>
          <rPr>
            <sz val="8"/>
            <color indexed="81"/>
            <rFont val="Tahoma"/>
            <family val="2"/>
          </rPr>
          <t>ЗАМЕНИТЕ НА РЕАЛЬНЫЕ ДАННЫЕ.
ДЕМО, ДО, Тыква,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08" authorId="0">
      <text>
        <r>
          <rPr>
            <sz val="8"/>
            <color indexed="81"/>
            <rFont val="Tahoma"/>
            <family val="2"/>
          </rPr>
          <t>ЗАМЕНИТЕ НА РЕАЛЬНЫЕ ДАННЫЕ.
ДЕМО, ДО, Тыква,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08" authorId="0">
      <text>
        <r>
          <rPr>
            <sz val="8"/>
            <color indexed="81"/>
            <rFont val="Tahoma"/>
            <family val="2"/>
          </rPr>
          <t>ЗАМЕНИТЕ НА РЕАЛЬНЫЕ ДАННЫЕ.
ДЕМО, ДО, Тыква,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08" authorId="0">
      <text>
        <r>
          <rPr>
            <sz val="8"/>
            <color indexed="81"/>
            <rFont val="Tahoma"/>
            <family val="2"/>
          </rPr>
          <t>ЗАМЕНИТЕ НА РЕАЛЬНЫЕ ДАННЫЕ.
ДЕМО, ДО, Тыква,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09" authorId="0">
      <text>
        <r>
          <rPr>
            <sz val="8"/>
            <color indexed="81"/>
            <rFont val="Tahoma"/>
            <family val="2"/>
          </rPr>
          <t>ЗАМЕНИТЕ НА РЕАЛЬНЫЕ ДАННЫЕ.
ДЕМО, ДО, Тыква,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09" authorId="0">
      <text>
        <r>
          <rPr>
            <sz val="8"/>
            <color indexed="81"/>
            <rFont val="Tahoma"/>
            <family val="2"/>
          </rPr>
          <t>ЗАМЕНИТЕ НА РЕАЛЬНЫЕ ДАННЫЕ.
ДЕМО, ДО, Тыква,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09" authorId="0">
      <text>
        <r>
          <rPr>
            <sz val="8"/>
            <color indexed="81"/>
            <rFont val="Tahoma"/>
            <family val="2"/>
          </rPr>
          <t>ЗАМЕНИТЕ НА РЕАЛЬНЫЕ ДАННЫЕ.
ДЕМО, ДО, Тыква,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09" authorId="0">
      <text>
        <r>
          <rPr>
            <sz val="8"/>
            <color indexed="81"/>
            <rFont val="Tahoma"/>
            <family val="2"/>
          </rPr>
          <t>ЗАМЕНИТЕ НА РЕАЛЬНЫЕ ДАННЫЕ.
ДЕМО, ДО, Тыква,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09" authorId="0">
      <text>
        <r>
          <rPr>
            <sz val="8"/>
            <color indexed="81"/>
            <rFont val="Tahoma"/>
            <family val="2"/>
          </rPr>
          <t>ЗАМЕНИТЕ НА РЕАЛЬНЫЕ ДАННЫЕ.
ДЕМО, ДО, Тыква,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09" authorId="0">
      <text>
        <r>
          <rPr>
            <sz val="8"/>
            <color indexed="81"/>
            <rFont val="Tahoma"/>
            <family val="2"/>
          </rPr>
          <t>ЗАМЕНИТЕ НА РЕАЛЬНЫЕ ДАННЫЕ.
ДЕМО, ДО, Тыква,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09" authorId="0">
      <text>
        <r>
          <rPr>
            <sz val="8"/>
            <color indexed="81"/>
            <rFont val="Tahoma"/>
            <family val="2"/>
          </rPr>
          <t>ЗАМЕНИТЕ НА РЕАЛЬНЫЕ ДАННЫЕ.
ДЕМО, ДО, Тыква,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09" authorId="0">
      <text>
        <r>
          <rPr>
            <sz val="8"/>
            <color indexed="81"/>
            <rFont val="Tahoma"/>
            <family val="2"/>
          </rPr>
          <t>ЗАМЕНИТЕ НА РЕАЛЬНЫЕ ДАННЫЕ.
ДЕМО, ДО, Тыква,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09" authorId="0">
      <text>
        <r>
          <rPr>
            <sz val="8"/>
            <color indexed="81"/>
            <rFont val="Tahoma"/>
            <family val="2"/>
          </rPr>
          <t>ЗАМЕНИТЕ НА РЕАЛЬНЫЕ ДАННЫЕ.
ДЕМО, ДО, Тыква,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09" authorId="0">
      <text>
        <r>
          <rPr>
            <sz val="8"/>
            <color indexed="81"/>
            <rFont val="Tahoma"/>
            <family val="2"/>
          </rPr>
          <t>ЗАМЕНИТЕ НА РЕАЛЬНЫЕ ДАННЫЕ.
ДЕМО, ДО, Тыква,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10" authorId="0">
      <text>
        <r>
          <rPr>
            <sz val="8"/>
            <color indexed="81"/>
            <rFont val="Tahoma"/>
            <family val="2"/>
          </rPr>
          <t>ЗАМЕНИТЕ НА РЕАЛЬНЫЕ ДАННЫЕ.
ДЕМО, ДО, Тыква,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10" authorId="0">
      <text>
        <r>
          <rPr>
            <sz val="8"/>
            <color indexed="81"/>
            <rFont val="Tahoma"/>
            <family val="2"/>
          </rPr>
          <t>ЗАМЕНИТЕ НА РЕАЛЬНЫЕ ДАННЫЕ.
ДЕМО, ДО, Тыква,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10" authorId="0">
      <text>
        <r>
          <rPr>
            <sz val="8"/>
            <color indexed="81"/>
            <rFont val="Tahoma"/>
            <family val="2"/>
          </rPr>
          <t>ЗАМЕНИТЕ НА РЕАЛЬНЫЕ ДАННЫЕ.
ДЕМО, ДО, Тыква,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10" authorId="0">
      <text>
        <r>
          <rPr>
            <sz val="8"/>
            <color indexed="81"/>
            <rFont val="Tahoma"/>
            <family val="2"/>
          </rPr>
          <t>ЗАМЕНИТЕ НА РЕАЛЬНЫЕ ДАННЫЕ.
ДЕМО, ДО, Тыква,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10" authorId="0">
      <text>
        <r>
          <rPr>
            <sz val="8"/>
            <color indexed="81"/>
            <rFont val="Tahoma"/>
            <family val="2"/>
          </rPr>
          <t>ЗАМЕНИТЕ НА РЕАЛЬНЫЕ ДАННЫЕ.
ДЕМО, ДО, Тыква,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10" authorId="0">
      <text>
        <r>
          <rPr>
            <sz val="8"/>
            <color indexed="81"/>
            <rFont val="Tahoma"/>
            <family val="2"/>
          </rPr>
          <t>ЗАМЕНИТЕ НА РЕАЛЬНЫЕ ДАННЫЕ.
ДЕМО, ДО, Тыква,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10" authorId="0">
      <text>
        <r>
          <rPr>
            <sz val="8"/>
            <color indexed="81"/>
            <rFont val="Tahoma"/>
            <family val="2"/>
          </rPr>
          <t>ЗАМЕНИТЕ НА РЕАЛЬНЫЕ ДАННЫЕ.
ДЕМО, ДО, Тыква,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10" authorId="0">
      <text>
        <r>
          <rPr>
            <sz val="8"/>
            <color indexed="81"/>
            <rFont val="Tahoma"/>
            <family val="2"/>
          </rPr>
          <t>ЗАМЕНИТЕ НА РЕАЛЬНЫЕ ДАННЫЕ.
ДЕМО, ДО, Тыква,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10" authorId="0">
      <text>
        <r>
          <rPr>
            <sz val="8"/>
            <color indexed="81"/>
            <rFont val="Tahoma"/>
            <family val="2"/>
          </rPr>
          <t>ЗАМЕНИТЕ НА РЕАЛЬНЫЕ ДАННЫЕ.
ДЕМО, ДО, Тыква,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10" authorId="0">
      <text>
        <r>
          <rPr>
            <sz val="8"/>
            <color indexed="81"/>
            <rFont val="Tahoma"/>
            <family val="2"/>
          </rPr>
          <t>ЗАМЕНИТЕ НА РЕАЛЬНЫЕ ДАННЫЕ.
ДЕМО, ДО, Тыква,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12" authorId="0">
      <text>
        <r>
          <rPr>
            <sz val="8"/>
            <color indexed="81"/>
            <rFont val="Tahoma"/>
            <family val="2"/>
          </rPr>
          <t>ЗАМЕНИТЕ НА РЕАЛЬНЫЕ ДАННЫЕ.
ДЕМО, ДО, Тыква,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12" authorId="0">
      <text>
        <r>
          <rPr>
            <sz val="8"/>
            <color indexed="81"/>
            <rFont val="Tahoma"/>
            <family val="2"/>
          </rPr>
          <t>ЗАМЕНИТЕ НА РЕАЛЬНЫЕ ДАННЫЕ.
ДЕМО, ДО, Тыква,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12" authorId="0">
      <text>
        <r>
          <rPr>
            <sz val="8"/>
            <color indexed="81"/>
            <rFont val="Tahoma"/>
            <family val="2"/>
          </rPr>
          <t>ЗАМЕНИТЕ НА РЕАЛЬНЫЕ ДАННЫЕ.
ДЕМО, ДО, Тыква,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12" authorId="0">
      <text>
        <r>
          <rPr>
            <sz val="8"/>
            <color indexed="81"/>
            <rFont val="Tahoma"/>
            <family val="2"/>
          </rPr>
          <t>ЗАМЕНИТЕ НА РЕАЛЬНЫЕ ДАННЫЕ.
ДЕМО, ДО, Тыква,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12" authorId="0">
      <text>
        <r>
          <rPr>
            <sz val="8"/>
            <color indexed="81"/>
            <rFont val="Tahoma"/>
            <family val="2"/>
          </rPr>
          <t>ЗАМЕНИТЕ НА РЕАЛЬНЫЕ ДАННЫЕ.
ДЕМО, ДО, Тыква,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12" authorId="0">
      <text>
        <r>
          <rPr>
            <sz val="8"/>
            <color indexed="81"/>
            <rFont val="Tahoma"/>
            <family val="2"/>
          </rPr>
          <t>ЗАМЕНИТЕ НА РЕАЛЬНЫЕ ДАННЫЕ.
ДЕМО, ДО, Тыква,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12" authorId="0">
      <text>
        <r>
          <rPr>
            <sz val="8"/>
            <color indexed="81"/>
            <rFont val="Tahoma"/>
            <family val="2"/>
          </rPr>
          <t>ЗАМЕНИТЕ НА РЕАЛЬНЫЕ ДАННЫЕ.
ДЕМО, ДО, Тыква,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12" authorId="0">
      <text>
        <r>
          <rPr>
            <sz val="8"/>
            <color indexed="81"/>
            <rFont val="Tahoma"/>
            <family val="2"/>
          </rPr>
          <t>ЗАМЕНИТЕ НА РЕАЛЬНЫЕ ДАННЫЕ.
ДЕМО, ДО, Тыква,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12" authorId="0">
      <text>
        <r>
          <rPr>
            <sz val="8"/>
            <color indexed="81"/>
            <rFont val="Tahoma"/>
            <family val="2"/>
          </rPr>
          <t>ЗАМЕНИТЕ НА РЕАЛЬНЫЕ ДАННЫЕ.
ДЕМО, ДО, Тыква,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12" authorId="0">
      <text>
        <r>
          <rPr>
            <sz val="8"/>
            <color indexed="81"/>
            <rFont val="Tahoma"/>
            <family val="2"/>
          </rPr>
          <t>ЗАМЕНИТЕ НА РЕАЛЬНЫЕ ДАННЫЕ.
ДЕМО, ДО, Тыква,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13" authorId="0">
      <text>
        <r>
          <rPr>
            <sz val="8"/>
            <color indexed="81"/>
            <rFont val="Tahoma"/>
            <family val="2"/>
          </rPr>
          <t>ЗАМЕНИТЕ НА РЕАЛЬНЫЕ ДАННЫЕ.
ДЕМО, ДО, Тыква,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13" authorId="0">
      <text>
        <r>
          <rPr>
            <sz val="8"/>
            <color indexed="81"/>
            <rFont val="Tahoma"/>
            <family val="2"/>
          </rPr>
          <t>ЗАМЕНИТЕ НА РЕАЛЬНЫЕ ДАННЫЕ.
ДЕМО, ДО, Тыква,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13" authorId="0">
      <text>
        <r>
          <rPr>
            <sz val="8"/>
            <color indexed="81"/>
            <rFont val="Tahoma"/>
            <family val="2"/>
          </rPr>
          <t>ЗАМЕНИТЕ НА РЕАЛЬНЫЕ ДАННЫЕ.
ДЕМО, ДО, Тыква,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13" authorId="0">
      <text>
        <r>
          <rPr>
            <sz val="8"/>
            <color indexed="81"/>
            <rFont val="Tahoma"/>
            <family val="2"/>
          </rPr>
          <t>ЗАМЕНИТЕ НА РЕАЛЬНЫЕ ДАННЫЕ.
ДЕМО, ДО, Тыква,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13" authorId="0">
      <text>
        <r>
          <rPr>
            <sz val="8"/>
            <color indexed="81"/>
            <rFont val="Tahoma"/>
            <family val="2"/>
          </rPr>
          <t>ЗАМЕНИТЕ НА РЕАЛЬНЫЕ ДАННЫЕ.
ДЕМО, ДО, Тыква,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13" authorId="0">
      <text>
        <r>
          <rPr>
            <sz val="8"/>
            <color indexed="81"/>
            <rFont val="Tahoma"/>
            <family val="2"/>
          </rPr>
          <t>ЗАМЕНИТЕ НА РЕАЛЬНЫЕ ДАННЫЕ.
ДЕМО, ДО, Тыква,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13" authorId="0">
      <text>
        <r>
          <rPr>
            <sz val="8"/>
            <color indexed="81"/>
            <rFont val="Tahoma"/>
            <family val="2"/>
          </rPr>
          <t>ЗАМЕНИТЕ НА РЕАЛЬНЫЕ ДАННЫЕ.
ДЕМО, ДО, Тыква,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13" authorId="0">
      <text>
        <r>
          <rPr>
            <sz val="8"/>
            <color indexed="81"/>
            <rFont val="Tahoma"/>
            <family val="2"/>
          </rPr>
          <t>ЗАМЕНИТЕ НА РЕАЛЬНЫЕ ДАННЫЕ.
ДЕМО, ДО, Тыква,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13" authorId="0">
      <text>
        <r>
          <rPr>
            <sz val="8"/>
            <color indexed="81"/>
            <rFont val="Tahoma"/>
            <family val="2"/>
          </rPr>
          <t>ЗАМЕНИТЕ НА РЕАЛЬНЫЕ ДАННЫЕ.
ДЕМО, ДО, Тыква,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13" authorId="0">
      <text>
        <r>
          <rPr>
            <sz val="8"/>
            <color indexed="81"/>
            <rFont val="Tahoma"/>
            <family val="2"/>
          </rPr>
          <t>ЗАМЕНИТЕ НА РЕАЛЬНЫЕ ДАННЫЕ.
ДЕМО, ДО, Тыква,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14" authorId="0">
      <text>
        <r>
          <rPr>
            <sz val="8"/>
            <color indexed="81"/>
            <rFont val="Tahoma"/>
            <family val="2"/>
          </rPr>
          <t>ЗАМЕНИТЕ НА РЕАЛЬНЫЕ ДАННЫЕ.
ДЕМО, ДО, Тыква,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14" authorId="0">
      <text>
        <r>
          <rPr>
            <sz val="8"/>
            <color indexed="81"/>
            <rFont val="Tahoma"/>
            <family val="2"/>
          </rPr>
          <t>ЗАМЕНИТЕ НА РЕАЛЬНЫЕ ДАННЫЕ.
ДЕМО, ДО, Тыква,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14" authorId="0">
      <text>
        <r>
          <rPr>
            <sz val="8"/>
            <color indexed="81"/>
            <rFont val="Tahoma"/>
            <family val="2"/>
          </rPr>
          <t>ЗАМЕНИТЕ НА РЕАЛЬНЫЕ ДАННЫЕ.
ДЕМО, ДО, Тыква,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14" authorId="0">
      <text>
        <r>
          <rPr>
            <sz val="8"/>
            <color indexed="81"/>
            <rFont val="Tahoma"/>
            <family val="2"/>
          </rPr>
          <t>ЗАМЕНИТЕ НА РЕАЛЬНЫЕ ДАННЫЕ.
ДЕМО, ДО, Тыква,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14" authorId="0">
      <text>
        <r>
          <rPr>
            <sz val="8"/>
            <color indexed="81"/>
            <rFont val="Tahoma"/>
            <family val="2"/>
          </rPr>
          <t>ЗАМЕНИТЕ НА РЕАЛЬНЫЕ ДАННЫЕ.
ДЕМО, ДО, Тыква,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14" authorId="0">
      <text>
        <r>
          <rPr>
            <sz val="8"/>
            <color indexed="81"/>
            <rFont val="Tahoma"/>
            <family val="2"/>
          </rPr>
          <t>ЗАМЕНИТЕ НА РЕАЛЬНЫЕ ДАННЫЕ.
ДЕМО, ДО, Тыква,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14" authorId="0">
      <text>
        <r>
          <rPr>
            <sz val="8"/>
            <color indexed="81"/>
            <rFont val="Tahoma"/>
            <family val="2"/>
          </rPr>
          <t>ЗАМЕНИТЕ НА РЕАЛЬНЫЕ ДАННЫЕ.
ДЕМО, ДО, Тыква,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14" authorId="0">
      <text>
        <r>
          <rPr>
            <sz val="8"/>
            <color indexed="81"/>
            <rFont val="Tahoma"/>
            <family val="2"/>
          </rPr>
          <t>ЗАМЕНИТЕ НА РЕАЛЬНЫЕ ДАННЫЕ.
ДЕМО, ДО, Тыква,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14" authorId="0">
      <text>
        <r>
          <rPr>
            <sz val="8"/>
            <color indexed="81"/>
            <rFont val="Tahoma"/>
            <family val="2"/>
          </rPr>
          <t>ЗАМЕНИТЕ НА РЕАЛЬНЫЕ ДАННЫЕ.
ДЕМО, ДО, Тыква,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14" authorId="0">
      <text>
        <r>
          <rPr>
            <sz val="8"/>
            <color indexed="81"/>
            <rFont val="Tahoma"/>
            <family val="2"/>
          </rPr>
          <t>ЗАМЕНИТЕ НА РЕАЛЬНЫЕ ДАННЫЕ.
ДЕМО, ДО, Тыква,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15" authorId="0">
      <text>
        <r>
          <rPr>
            <sz val="8"/>
            <color indexed="81"/>
            <rFont val="Tahoma"/>
            <family val="2"/>
          </rPr>
          <t>ЗАМЕНИТЕ НА РЕАЛЬНЫЕ ДАННЫЕ.
ДЕМО, ДО, Тыква,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15" authorId="0">
      <text>
        <r>
          <rPr>
            <sz val="8"/>
            <color indexed="81"/>
            <rFont val="Tahoma"/>
            <family val="2"/>
          </rPr>
          <t>ЗАМЕНИТЕ НА РЕАЛЬНЫЕ ДАННЫЕ.
ДЕМО, ДО, Тыква,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15" authorId="0">
      <text>
        <r>
          <rPr>
            <sz val="8"/>
            <color indexed="81"/>
            <rFont val="Tahoma"/>
            <family val="2"/>
          </rPr>
          <t>ЗАМЕНИТЕ НА РЕАЛЬНЫЕ ДАННЫЕ.
ДЕМО, ДО, Тыква,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15" authorId="0">
      <text>
        <r>
          <rPr>
            <sz val="8"/>
            <color indexed="81"/>
            <rFont val="Tahoma"/>
            <family val="2"/>
          </rPr>
          <t>ЗАМЕНИТЕ НА РЕАЛЬНЫЕ ДАННЫЕ.
ДЕМО, ДО, Тыква,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15" authorId="0">
      <text>
        <r>
          <rPr>
            <sz val="8"/>
            <color indexed="81"/>
            <rFont val="Tahoma"/>
            <family val="2"/>
          </rPr>
          <t>ЗАМЕНИТЕ НА РЕАЛЬНЫЕ ДАННЫЕ.
ДЕМО, ДО, Тыква,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15" authorId="0">
      <text>
        <r>
          <rPr>
            <sz val="8"/>
            <color indexed="81"/>
            <rFont val="Tahoma"/>
            <family val="2"/>
          </rPr>
          <t>ЗАМЕНИТЕ НА РЕАЛЬНЫЕ ДАННЫЕ.
ДЕМО, ДО, Тыква,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15" authorId="0">
      <text>
        <r>
          <rPr>
            <sz val="8"/>
            <color indexed="81"/>
            <rFont val="Tahoma"/>
            <family val="2"/>
          </rPr>
          <t>ЗАМЕНИТЕ НА РЕАЛЬНЫЕ ДАННЫЕ.
ДЕМО, ДО, Тыква,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15" authorId="0">
      <text>
        <r>
          <rPr>
            <sz val="8"/>
            <color indexed="81"/>
            <rFont val="Tahoma"/>
            <family val="2"/>
          </rPr>
          <t>ЗАМЕНИТЕ НА РЕАЛЬНЫЕ ДАННЫЕ.
ДЕМО, ДО, Тыква,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15" authorId="0">
      <text>
        <r>
          <rPr>
            <sz val="8"/>
            <color indexed="81"/>
            <rFont val="Tahoma"/>
            <family val="2"/>
          </rPr>
          <t>ЗАМЕНИТЕ НА РЕАЛЬНЫЕ ДАННЫЕ.
ДЕМО, ДО, Тыква,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15" authorId="0">
      <text>
        <r>
          <rPr>
            <sz val="8"/>
            <color indexed="81"/>
            <rFont val="Tahoma"/>
            <family val="2"/>
          </rPr>
          <t>ЗАМЕНИТЕ НА РЕАЛЬНЫЕ ДАННЫЕ.
ДЕМО, ДО, Тыква,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16" authorId="0">
      <text>
        <r>
          <rPr>
            <sz val="8"/>
            <color indexed="81"/>
            <rFont val="Tahoma"/>
            <family val="2"/>
          </rPr>
          <t>ЗАМЕНИТЕ НА РЕАЛЬНЫЕ ДАННЫЕ.
ДЕМО, ДО, Тыква,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16" authorId="0">
      <text>
        <r>
          <rPr>
            <sz val="8"/>
            <color indexed="81"/>
            <rFont val="Tahoma"/>
            <family val="2"/>
          </rPr>
          <t>ЗАМЕНИТЕ НА РЕАЛЬНЫЕ ДАННЫЕ.
ДЕМО, ДО, Тыква,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16" authorId="0">
      <text>
        <r>
          <rPr>
            <sz val="8"/>
            <color indexed="81"/>
            <rFont val="Tahoma"/>
            <family val="2"/>
          </rPr>
          <t>ЗАМЕНИТЕ НА РЕАЛЬНЫЕ ДАННЫЕ.
ДЕМО, ДО, Тыква,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16" authorId="0">
      <text>
        <r>
          <rPr>
            <sz val="8"/>
            <color indexed="81"/>
            <rFont val="Tahoma"/>
            <family val="2"/>
          </rPr>
          <t>ЗАМЕНИТЕ НА РЕАЛЬНЫЕ ДАННЫЕ.
ДЕМО, ДО, Тыква,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16" authorId="0">
      <text>
        <r>
          <rPr>
            <sz val="8"/>
            <color indexed="81"/>
            <rFont val="Tahoma"/>
            <family val="2"/>
          </rPr>
          <t>ЗАМЕНИТЕ НА РЕАЛЬНЫЕ ДАННЫЕ.
ДЕМО, ДО, Тыква,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16" authorId="0">
      <text>
        <r>
          <rPr>
            <sz val="8"/>
            <color indexed="81"/>
            <rFont val="Tahoma"/>
            <family val="2"/>
          </rPr>
          <t>ЗАМЕНИТЕ НА РЕАЛЬНЫЕ ДАННЫЕ.
ДЕМО, ДО, Тыква,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16" authorId="0">
      <text>
        <r>
          <rPr>
            <sz val="8"/>
            <color indexed="81"/>
            <rFont val="Tahoma"/>
            <family val="2"/>
          </rPr>
          <t>ЗАМЕНИТЕ НА РЕАЛЬНЫЕ ДАННЫЕ.
ДЕМО, ДО, Тыква,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16" authorId="0">
      <text>
        <r>
          <rPr>
            <sz val="8"/>
            <color indexed="81"/>
            <rFont val="Tahoma"/>
            <family val="2"/>
          </rPr>
          <t>ЗАМЕНИТЕ НА РЕАЛЬНЫЕ ДАННЫЕ.
ДЕМО, ДО, Тыква,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16" authorId="0">
      <text>
        <r>
          <rPr>
            <sz val="8"/>
            <color indexed="81"/>
            <rFont val="Tahoma"/>
            <family val="2"/>
          </rPr>
          <t>ЗАМЕНИТЕ НА РЕАЛЬНЫЕ ДАННЫЕ.
ДЕМО, ДО, Тыква,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16" authorId="0">
      <text>
        <r>
          <rPr>
            <sz val="8"/>
            <color indexed="81"/>
            <rFont val="Tahoma"/>
            <family val="2"/>
          </rPr>
          <t>ЗАМЕНИТЕ НА РЕАЛЬНЫЕ ДАННЫЕ.
ДЕМО, ДО, Тыква,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25" authorId="0">
      <text>
        <r>
          <rPr>
            <sz val="8"/>
            <color indexed="81"/>
            <rFont val="Tahoma"/>
            <family val="2"/>
          </rPr>
          <t>ЗАМЕНИТЕ НА РЕАЛЬНЫЕ ДАННЫЕ.
Имбирь, цикл 1. 0 исключает все элементы данного цикла, а не один выброс.</t>
        </r>
      </text>
    </comment>
    <comment ref="F325" authorId="0">
      <text>
        <r>
          <rPr>
            <sz val="8"/>
            <color indexed="81"/>
            <rFont val="Tahoma"/>
            <family val="2"/>
          </rPr>
          <t>ЗАМЕНИТЕ НА РЕАЛЬНЫЕ ДАННЫЕ.
Имбирь, цикл 2. 0 исключает все элементы данного цикла, а не один выброс.</t>
        </r>
      </text>
    </comment>
    <comment ref="G325" authorId="0">
      <text>
        <r>
          <rPr>
            <sz val="8"/>
            <color indexed="81"/>
            <rFont val="Tahoma"/>
            <family val="2"/>
          </rPr>
          <t>ЗАМЕНИТЕ НА РЕАЛЬНЫЕ ДАННЫЕ.
Имбирь, цикл 3. 0 исключает все элементы данного цикла, а не один выброс.</t>
        </r>
      </text>
    </comment>
    <comment ref="H325" authorId="0">
      <text>
        <r>
          <rPr>
            <sz val="8"/>
            <color indexed="81"/>
            <rFont val="Tahoma"/>
            <family val="2"/>
          </rPr>
          <t>ЗАМЕНИТЕ НА РЕАЛЬНЫЕ ДАННЫЕ.
Имбирь, цикл 4. 0 исключает все элементы данного цикла, а не один выброс.</t>
        </r>
      </text>
    </comment>
    <comment ref="I325" authorId="0">
      <text>
        <r>
          <rPr>
            <sz val="8"/>
            <color indexed="81"/>
            <rFont val="Tahoma"/>
            <family val="2"/>
          </rPr>
          <t>ЗАМЕНИТЕ НА РЕАЛЬНЫЕ ДАННЫЕ.
Имбирь, цикл 5. 0 исключает все элементы данного цикла, а не один выброс.</t>
        </r>
      </text>
    </comment>
    <comment ref="J325" authorId="0">
      <text>
        <r>
          <rPr>
            <sz val="8"/>
            <color indexed="81"/>
            <rFont val="Tahoma"/>
            <family val="2"/>
          </rPr>
          <t>ЗАМЕНИТЕ НА РЕАЛЬНЫЕ ДАННЫЕ.
Имбирь, цикл 6. 0 исключает все элементы данного цикла, а не один выброс.</t>
        </r>
      </text>
    </comment>
    <comment ref="K325" authorId="0">
      <text>
        <r>
          <rPr>
            <sz val="8"/>
            <color indexed="81"/>
            <rFont val="Tahoma"/>
            <family val="2"/>
          </rPr>
          <t>ЗАМЕНИТЕ НА РЕАЛЬНЫЕ ДАННЫЕ.
Имбирь, цикл 7. 0 исключает все элементы данного цикла, а не один выброс.</t>
        </r>
      </text>
    </comment>
    <comment ref="L325" authorId="0">
      <text>
        <r>
          <rPr>
            <sz val="8"/>
            <color indexed="81"/>
            <rFont val="Tahoma"/>
            <family val="2"/>
          </rPr>
          <t>ЗАМЕНИТЕ НА РЕАЛЬНЫЕ ДАННЫЕ.
Имбирь, цикл 8. 0 исключает все элементы данного цикла, а не один выброс.</t>
        </r>
      </text>
    </comment>
    <comment ref="M325" authorId="0">
      <text>
        <r>
          <rPr>
            <sz val="8"/>
            <color indexed="81"/>
            <rFont val="Tahoma"/>
            <family val="2"/>
          </rPr>
          <t>ЗАМЕНИТЕ НА РЕАЛЬНЫЕ ДАННЫЕ.
Имбирь, цикл 9. 0 исключает все элементы данного цикла, а не один выброс.</t>
        </r>
      </text>
    </comment>
    <comment ref="N325" authorId="0">
      <text>
        <r>
          <rPr>
            <sz val="8"/>
            <color indexed="81"/>
            <rFont val="Tahoma"/>
            <family val="2"/>
          </rPr>
          <t>ЗАМЕНИТЕ НА РЕАЛЬНЫЕ ДАННЫЕ.
Имбирь, цикл 10. 0 исключает все элементы данного цикла, а не один выброс.</t>
        </r>
      </text>
    </comment>
    <comment ref="E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27" authorId="0">
      <text>
        <r>
          <rPr>
            <sz val="8"/>
            <color indexed="81"/>
            <rFont val="Tahoma"/>
            <family val="2"/>
          </rPr>
          <t>ЗАМЕНИТЕ НА РЕАЛЬНЫЕ ДАННЫЕ.
ДЕМО, ДО, Имбирь,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27" authorId="0">
      <text>
        <r>
          <rPr>
            <sz val="8"/>
            <color indexed="81"/>
            <rFont val="Tahoma"/>
            <family val="2"/>
          </rPr>
          <t>ЗАМЕНИТЕ НА РЕАЛЬНЫЕ ДАННЫЕ.
ДЕМО, ДО, Имбирь,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27" authorId="0">
      <text>
        <r>
          <rPr>
            <sz val="8"/>
            <color indexed="81"/>
            <rFont val="Tahoma"/>
            <family val="2"/>
          </rPr>
          <t>ЗАМЕНИТЕ НА РЕАЛЬНЫЕ ДАННЫЕ.
ДЕМО, ДО, Имбирь,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27" authorId="0">
      <text>
        <r>
          <rPr>
            <sz val="8"/>
            <color indexed="81"/>
            <rFont val="Tahoma"/>
            <family val="2"/>
          </rPr>
          <t>ЗАМЕНИТЕ НА РЕАЛЬНЫЕ ДАННЫЕ.
ДЕМО, ДО, Имбирь,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27" authorId="0">
      <text>
        <r>
          <rPr>
            <sz val="8"/>
            <color indexed="81"/>
            <rFont val="Tahoma"/>
            <family val="2"/>
          </rPr>
          <t>ЗАМЕНИТЕ НА РЕАЛЬНЫЕ ДАННЫЕ.
ДЕМО, ДО, Имбирь,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27" authorId="0">
      <text>
        <r>
          <rPr>
            <sz val="8"/>
            <color indexed="81"/>
            <rFont val="Tahoma"/>
            <family val="2"/>
          </rPr>
          <t>ЗАМЕНИТЕ НА РЕАЛЬНЫЕ ДАННЫЕ.
ДЕМО, ДО, Имбирь,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27" authorId="0">
      <text>
        <r>
          <rPr>
            <sz val="8"/>
            <color indexed="81"/>
            <rFont val="Tahoma"/>
            <family val="2"/>
          </rPr>
          <t>ЗАМЕНИТЕ НА РЕАЛЬНЫЕ ДАННЫЕ.
ДЕМО, ДО, Имбирь,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27" authorId="0">
      <text>
        <r>
          <rPr>
            <sz val="8"/>
            <color indexed="81"/>
            <rFont val="Tahoma"/>
            <family val="2"/>
          </rPr>
          <t>ЗАМЕНИТЕ НА РЕАЛЬНЫЕ ДАННЫЕ.
ДЕМО, ДО, Имбирь,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27" authorId="0">
      <text>
        <r>
          <rPr>
            <sz val="8"/>
            <color indexed="81"/>
            <rFont val="Tahoma"/>
            <family val="2"/>
          </rPr>
          <t>ЗАМЕНИТЕ НА РЕАЛЬНЫЕ ДАННЫЕ.
ДЕМО, ДО, Имбирь,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27" authorId="0">
      <text>
        <r>
          <rPr>
            <sz val="8"/>
            <color indexed="81"/>
            <rFont val="Tahoma"/>
            <family val="2"/>
          </rPr>
          <t>ЗАМЕНИТЕ НА РЕАЛЬНЫЕ ДАННЫЕ.
ДЕМО, ДО, Имбирь,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28" authorId="0">
      <text>
        <r>
          <rPr>
            <sz val="8"/>
            <color indexed="81"/>
            <rFont val="Tahoma"/>
            <family val="2"/>
          </rPr>
          <t>ЗАМЕНИТЕ НА РЕАЛЬНЫЕ ДАННЫЕ.
ДЕМО, ДО, Имбирь,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28" authorId="0">
      <text>
        <r>
          <rPr>
            <sz val="8"/>
            <color indexed="81"/>
            <rFont val="Tahoma"/>
            <family val="2"/>
          </rPr>
          <t>ЗАМЕНИТЕ НА РЕАЛЬНЫЕ ДАННЫЕ.
ДЕМО, ДО, Имбирь,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28" authorId="0">
      <text>
        <r>
          <rPr>
            <sz val="8"/>
            <color indexed="81"/>
            <rFont val="Tahoma"/>
            <family val="2"/>
          </rPr>
          <t>ЗАМЕНИТЕ НА РЕАЛЬНЫЕ ДАННЫЕ.
ДЕМО, ДО, Имбирь,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28" authorId="0">
      <text>
        <r>
          <rPr>
            <sz val="8"/>
            <color indexed="81"/>
            <rFont val="Tahoma"/>
            <family val="2"/>
          </rPr>
          <t>ЗАМЕНИТЕ НА РЕАЛЬНЫЕ ДАННЫЕ.
ДЕМО, ДО, Имбирь,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28" authorId="0">
      <text>
        <r>
          <rPr>
            <sz val="8"/>
            <color indexed="81"/>
            <rFont val="Tahoma"/>
            <family val="2"/>
          </rPr>
          <t>ЗАМЕНИТЕ НА РЕАЛЬНЫЕ ДАННЫЕ.
ДЕМО, ДО, Имбирь,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28" authorId="0">
      <text>
        <r>
          <rPr>
            <sz val="8"/>
            <color indexed="81"/>
            <rFont val="Tahoma"/>
            <family val="2"/>
          </rPr>
          <t>ЗАМЕНИТЕ НА РЕАЛЬНЫЕ ДАННЫЕ.
ДЕМО, ДО, Имбирь,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28" authorId="0">
      <text>
        <r>
          <rPr>
            <sz val="8"/>
            <color indexed="81"/>
            <rFont val="Tahoma"/>
            <family val="2"/>
          </rPr>
          <t>ЗАМЕНИТЕ НА РЕАЛЬНЫЕ ДАННЫЕ.
ДЕМО, ДО, Имбирь,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28" authorId="0">
      <text>
        <r>
          <rPr>
            <sz val="8"/>
            <color indexed="81"/>
            <rFont val="Tahoma"/>
            <family val="2"/>
          </rPr>
          <t>ЗАМЕНИТЕ НА РЕАЛЬНЫЕ ДАННЫЕ.
ДЕМО, ДО, Имбирь,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28" authorId="0">
      <text>
        <r>
          <rPr>
            <sz val="8"/>
            <color indexed="81"/>
            <rFont val="Tahoma"/>
            <family val="2"/>
          </rPr>
          <t>ЗАМЕНИТЕ НА РЕАЛЬНЫЕ ДАННЫЕ.
ДЕМО, ДО, Имбирь,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28" authorId="0">
      <text>
        <r>
          <rPr>
            <sz val="8"/>
            <color indexed="81"/>
            <rFont val="Tahoma"/>
            <family val="2"/>
          </rPr>
          <t>ЗАМЕНИТЕ НА РЕАЛЬНЫЕ ДАННЫЕ.
ДЕМО, ДО, Имбирь,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29" authorId="0">
      <text>
        <r>
          <rPr>
            <sz val="8"/>
            <color indexed="81"/>
            <rFont val="Tahoma"/>
            <family val="2"/>
          </rPr>
          <t>ЗАМЕНИТЕ НА РЕАЛЬНЫЕ ДАННЫЕ.
ДЕМО, ДО, Имбирь,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29" authorId="0">
      <text>
        <r>
          <rPr>
            <sz val="8"/>
            <color indexed="81"/>
            <rFont val="Tahoma"/>
            <family val="2"/>
          </rPr>
          <t>ЗАМЕНИТЕ НА РЕАЛЬНЫЕ ДАННЫЕ.
ДЕМО, ДО, Имбирь,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29" authorId="0">
      <text>
        <r>
          <rPr>
            <sz val="8"/>
            <color indexed="81"/>
            <rFont val="Tahoma"/>
            <family val="2"/>
          </rPr>
          <t>ЗАМЕНИТЕ НА РЕАЛЬНЫЕ ДАННЫЕ.
ДЕМО, ДО, Имбирь,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29" authorId="0">
      <text>
        <r>
          <rPr>
            <sz val="8"/>
            <color indexed="81"/>
            <rFont val="Tahoma"/>
            <family val="2"/>
          </rPr>
          <t>ЗАМЕНИТЕ НА РЕАЛЬНЫЕ ДАННЫЕ.
ДЕМО, ДО, Имбирь,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29" authorId="0">
      <text>
        <r>
          <rPr>
            <sz val="8"/>
            <color indexed="81"/>
            <rFont val="Tahoma"/>
            <family val="2"/>
          </rPr>
          <t>ЗАМЕНИТЕ НА РЕАЛЬНЫЕ ДАННЫЕ.
ДЕМО, ДО, Имбирь,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29" authorId="0">
      <text>
        <r>
          <rPr>
            <sz val="8"/>
            <color indexed="81"/>
            <rFont val="Tahoma"/>
            <family val="2"/>
          </rPr>
          <t>ЗАМЕНИТЕ НА РЕАЛЬНЫЕ ДАННЫЕ.
ДЕМО, ДО, Имбирь,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29" authorId="0">
      <text>
        <r>
          <rPr>
            <sz val="8"/>
            <color indexed="81"/>
            <rFont val="Tahoma"/>
            <family val="2"/>
          </rPr>
          <t>ЗАМЕНИТЕ НА РЕАЛЬНЫЕ ДАННЫЕ.
ДЕМО, ДО, Имбирь,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29" authorId="0">
      <text>
        <r>
          <rPr>
            <sz val="8"/>
            <color indexed="81"/>
            <rFont val="Tahoma"/>
            <family val="2"/>
          </rPr>
          <t>ЗАМЕНИТЕ НА РЕАЛЬНЫЕ ДАННЫЕ.
ДЕМО, ДО, Имбирь,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29" authorId="0">
      <text>
        <r>
          <rPr>
            <sz val="8"/>
            <color indexed="81"/>
            <rFont val="Tahoma"/>
            <family val="2"/>
          </rPr>
          <t>ЗАМЕНИТЕ НА РЕАЛЬНЫЕ ДАННЫЕ.
ДЕМО, ДО, Имбирь,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29" authorId="0">
      <text>
        <r>
          <rPr>
            <sz val="8"/>
            <color indexed="81"/>
            <rFont val="Tahoma"/>
            <family val="2"/>
          </rPr>
          <t>ЗАМЕНИТЕ НА РЕАЛЬНЫЕ ДАННЫЕ.
ДЕМО, ДО, Имбирь,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30" authorId="0">
      <text>
        <r>
          <rPr>
            <sz val="8"/>
            <color indexed="81"/>
            <rFont val="Tahoma"/>
            <family val="2"/>
          </rPr>
          <t>ЗАМЕНИТЕ НА РЕАЛЬНЫЕ ДАННЫЕ.
ДЕМО, ДО, Имбирь,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30" authorId="0">
      <text>
        <r>
          <rPr>
            <sz val="8"/>
            <color indexed="81"/>
            <rFont val="Tahoma"/>
            <family val="2"/>
          </rPr>
          <t>ЗАМЕНИТЕ НА РЕАЛЬНЫЕ ДАННЫЕ.
ДЕМО, ДО, Имбирь,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30" authorId="0">
      <text>
        <r>
          <rPr>
            <sz val="8"/>
            <color indexed="81"/>
            <rFont val="Tahoma"/>
            <family val="2"/>
          </rPr>
          <t>ЗАМЕНИТЕ НА РЕАЛЬНЫЕ ДАННЫЕ.
ДЕМО, ДО, Имбирь,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30" authorId="0">
      <text>
        <r>
          <rPr>
            <sz val="8"/>
            <color indexed="81"/>
            <rFont val="Tahoma"/>
            <family val="2"/>
          </rPr>
          <t>ЗАМЕНИТЕ НА РЕАЛЬНЫЕ ДАННЫЕ.
ДЕМО, ДО, Имбирь,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30" authorId="0">
      <text>
        <r>
          <rPr>
            <sz val="8"/>
            <color indexed="81"/>
            <rFont val="Tahoma"/>
            <family val="2"/>
          </rPr>
          <t>ЗАМЕНИТЕ НА РЕАЛЬНЫЕ ДАННЫЕ.
ДЕМО, ДО, Имбирь,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30" authorId="0">
      <text>
        <r>
          <rPr>
            <sz val="8"/>
            <color indexed="81"/>
            <rFont val="Tahoma"/>
            <family val="2"/>
          </rPr>
          <t>ЗАМЕНИТЕ НА РЕАЛЬНЫЕ ДАННЫЕ.
ДЕМО, ДО, Имбирь,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30" authorId="0">
      <text>
        <r>
          <rPr>
            <sz val="8"/>
            <color indexed="81"/>
            <rFont val="Tahoma"/>
            <family val="2"/>
          </rPr>
          <t>ЗАМЕНИТЕ НА РЕАЛЬНЫЕ ДАННЫЕ.
ДЕМО, ДО, Имбирь,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30" authorId="0">
      <text>
        <r>
          <rPr>
            <sz val="8"/>
            <color indexed="81"/>
            <rFont val="Tahoma"/>
            <family val="2"/>
          </rPr>
          <t>ЗАМЕНИТЕ НА РЕАЛЬНЫЕ ДАННЫЕ.
ДЕМО, ДО, Имбирь,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30" authorId="0">
      <text>
        <r>
          <rPr>
            <sz val="8"/>
            <color indexed="81"/>
            <rFont val="Tahoma"/>
            <family val="2"/>
          </rPr>
          <t>ЗАМЕНИТЕ НА РЕАЛЬНЫЕ ДАННЫЕ.
ДЕМО, ДО, Имбирь,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30" authorId="0">
      <text>
        <r>
          <rPr>
            <sz val="8"/>
            <color indexed="81"/>
            <rFont val="Tahoma"/>
            <family val="2"/>
          </rPr>
          <t>ЗАМЕНИТЕ НА РЕАЛЬНЫЕ ДАННЫЕ.
ДЕМО, ДО, Имбирь,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31" authorId="0">
      <text>
        <r>
          <rPr>
            <sz val="8"/>
            <color indexed="81"/>
            <rFont val="Tahoma"/>
            <family val="2"/>
          </rPr>
          <t>ЗАМЕНИТЕ НА РЕАЛЬНЫЕ ДАННЫЕ.
ДЕМО, ДО, Имбирь,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31" authorId="0">
      <text>
        <r>
          <rPr>
            <sz val="8"/>
            <color indexed="81"/>
            <rFont val="Tahoma"/>
            <family val="2"/>
          </rPr>
          <t>ЗАМЕНИТЕ НА РЕАЛЬНЫЕ ДАННЫЕ.
ДЕМО, ДО, Имбирь,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31" authorId="0">
      <text>
        <r>
          <rPr>
            <sz val="8"/>
            <color indexed="81"/>
            <rFont val="Tahoma"/>
            <family val="2"/>
          </rPr>
          <t>ЗАМЕНИТЕ НА РЕАЛЬНЫЕ ДАННЫЕ.
ДЕМО, ДО, Имбирь,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31" authorId="0">
      <text>
        <r>
          <rPr>
            <sz val="8"/>
            <color indexed="81"/>
            <rFont val="Tahoma"/>
            <family val="2"/>
          </rPr>
          <t>ЗАМЕНИТЕ НА РЕАЛЬНЫЕ ДАННЫЕ.
ДЕМО, ДО, Имбирь,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31" authorId="0">
      <text>
        <r>
          <rPr>
            <sz val="8"/>
            <color indexed="81"/>
            <rFont val="Tahoma"/>
            <family val="2"/>
          </rPr>
          <t>ЗАМЕНИТЕ НА РЕАЛЬНЫЕ ДАННЫЕ.
ДЕМО, ДО, Имбирь,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31" authorId="0">
      <text>
        <r>
          <rPr>
            <sz val="8"/>
            <color indexed="81"/>
            <rFont val="Tahoma"/>
            <family val="2"/>
          </rPr>
          <t>ЗАМЕНИТЕ НА РЕАЛЬНЫЕ ДАННЫЕ.
ДЕМО, ДО, Имбирь,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31" authorId="0">
      <text>
        <r>
          <rPr>
            <sz val="8"/>
            <color indexed="81"/>
            <rFont val="Tahoma"/>
            <family val="2"/>
          </rPr>
          <t>ЗАМЕНИТЕ НА РЕАЛЬНЫЕ ДАННЫЕ.
ДЕМО, ДО, Имбирь,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31" authorId="0">
      <text>
        <r>
          <rPr>
            <sz val="8"/>
            <color indexed="81"/>
            <rFont val="Tahoma"/>
            <family val="2"/>
          </rPr>
          <t>ЗАМЕНИТЕ НА РЕАЛЬНЫЕ ДАННЫЕ.
ДЕМО, ДО, Имбирь,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31" authorId="0">
      <text>
        <r>
          <rPr>
            <sz val="8"/>
            <color indexed="81"/>
            <rFont val="Tahoma"/>
            <family val="2"/>
          </rPr>
          <t>ЗАМЕНИТЕ НА РЕАЛЬНЫЕ ДАННЫЕ.
ДЕМО, ДО, Имбирь,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31" authorId="0">
      <text>
        <r>
          <rPr>
            <sz val="8"/>
            <color indexed="81"/>
            <rFont val="Tahoma"/>
            <family val="2"/>
          </rPr>
          <t>ЗАМЕНИТЕ НА РЕАЛЬНЫЕ ДАННЫЕ.
ДЕМО, ДО, Имбирь,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33" authorId="0">
      <text>
        <r>
          <rPr>
            <sz val="8"/>
            <color indexed="81"/>
            <rFont val="Tahoma"/>
            <family val="2"/>
          </rPr>
          <t>ЗАМЕНИТЕ НА РЕАЛЬНЫЕ ДАННЫЕ.
ДЕМО, ДО, Имбирь,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33" authorId="0">
      <text>
        <r>
          <rPr>
            <sz val="8"/>
            <color indexed="81"/>
            <rFont val="Tahoma"/>
            <family val="2"/>
          </rPr>
          <t>ЗАМЕНИТЕ НА РЕАЛЬНЫЕ ДАННЫЕ.
ДЕМО, ДО, Имбирь,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33" authorId="0">
      <text>
        <r>
          <rPr>
            <sz val="8"/>
            <color indexed="81"/>
            <rFont val="Tahoma"/>
            <family val="2"/>
          </rPr>
          <t>ЗАМЕНИТЕ НА РЕАЛЬНЫЕ ДАННЫЕ.
ДЕМО, ДО, Имбирь,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33" authorId="0">
      <text>
        <r>
          <rPr>
            <sz val="8"/>
            <color indexed="81"/>
            <rFont val="Tahoma"/>
            <family val="2"/>
          </rPr>
          <t>ЗАМЕНИТЕ НА РЕАЛЬНЫЕ ДАННЫЕ.
ДЕМО, ДО, Имбирь,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33" authorId="0">
      <text>
        <r>
          <rPr>
            <sz val="8"/>
            <color indexed="81"/>
            <rFont val="Tahoma"/>
            <family val="2"/>
          </rPr>
          <t>ЗАМЕНИТЕ НА РЕАЛЬНЫЕ ДАННЫЕ.
ДЕМО, ДО, Имбирь,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33" authorId="0">
      <text>
        <r>
          <rPr>
            <sz val="8"/>
            <color indexed="81"/>
            <rFont val="Tahoma"/>
            <family val="2"/>
          </rPr>
          <t>ЗАМЕНИТЕ НА РЕАЛЬНЫЕ ДАННЫЕ.
ДЕМО, ДО, Имбирь,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33" authorId="0">
      <text>
        <r>
          <rPr>
            <sz val="8"/>
            <color indexed="81"/>
            <rFont val="Tahoma"/>
            <family val="2"/>
          </rPr>
          <t>ЗАМЕНИТЕ НА РЕАЛЬНЫЕ ДАННЫЕ.
ДЕМО, ДО, Имбирь,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33" authorId="0">
      <text>
        <r>
          <rPr>
            <sz val="8"/>
            <color indexed="81"/>
            <rFont val="Tahoma"/>
            <family val="2"/>
          </rPr>
          <t>ЗАМЕНИТЕ НА РЕАЛЬНЫЕ ДАННЫЕ.
ДЕМО, ДО, Имбирь,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33" authorId="0">
      <text>
        <r>
          <rPr>
            <sz val="8"/>
            <color indexed="81"/>
            <rFont val="Tahoma"/>
            <family val="2"/>
          </rPr>
          <t>ЗАМЕНИТЕ НА РЕАЛЬНЫЕ ДАННЫЕ.
ДЕМО, ДО, Имбирь,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33" authorId="0">
      <text>
        <r>
          <rPr>
            <sz val="8"/>
            <color indexed="81"/>
            <rFont val="Tahoma"/>
            <family val="2"/>
          </rPr>
          <t>ЗАМЕНИТЕ НА РЕАЛЬНЫЕ ДАННЫЕ.
ДЕМО, ДО, Имбирь,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34" authorId="0">
      <text>
        <r>
          <rPr>
            <sz val="8"/>
            <color indexed="81"/>
            <rFont val="Tahoma"/>
            <family val="2"/>
          </rPr>
          <t>ЗАМЕНИТЕ НА РЕАЛЬНЫЕ ДАННЫЕ.
ДЕМО, ДО, Имбирь,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34" authorId="0">
      <text>
        <r>
          <rPr>
            <sz val="8"/>
            <color indexed="81"/>
            <rFont val="Tahoma"/>
            <family val="2"/>
          </rPr>
          <t>ЗАМЕНИТЕ НА РЕАЛЬНЫЕ ДАННЫЕ.
ДЕМО, ДО, Имбирь,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34" authorId="0">
      <text>
        <r>
          <rPr>
            <sz val="8"/>
            <color indexed="81"/>
            <rFont val="Tahoma"/>
            <family val="2"/>
          </rPr>
          <t>ЗАМЕНИТЕ НА РЕАЛЬНЫЕ ДАННЫЕ.
ДЕМО, ДО, Имбирь,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34" authorId="0">
      <text>
        <r>
          <rPr>
            <sz val="8"/>
            <color indexed="81"/>
            <rFont val="Tahoma"/>
            <family val="2"/>
          </rPr>
          <t>ЗАМЕНИТЕ НА РЕАЛЬНЫЕ ДАННЫЕ.
ДЕМО, ДО, Имбирь,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34" authorId="0">
      <text>
        <r>
          <rPr>
            <sz val="8"/>
            <color indexed="81"/>
            <rFont val="Tahoma"/>
            <family val="2"/>
          </rPr>
          <t>ЗАМЕНИТЕ НА РЕАЛЬНЫЕ ДАННЫЕ.
ДЕМО, ДО, Имбирь,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34" authorId="0">
      <text>
        <r>
          <rPr>
            <sz val="8"/>
            <color indexed="81"/>
            <rFont val="Tahoma"/>
            <family val="2"/>
          </rPr>
          <t>ЗАМЕНИТЕ НА РЕАЛЬНЫЕ ДАННЫЕ.
ДЕМО, ДО, Имбирь,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34" authorId="0">
      <text>
        <r>
          <rPr>
            <sz val="8"/>
            <color indexed="81"/>
            <rFont val="Tahoma"/>
            <family val="2"/>
          </rPr>
          <t>ЗАМЕНИТЕ НА РЕАЛЬНЫЕ ДАННЫЕ.
ДЕМО, ДО, Имбирь,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34" authorId="0">
      <text>
        <r>
          <rPr>
            <sz val="8"/>
            <color indexed="81"/>
            <rFont val="Tahoma"/>
            <family val="2"/>
          </rPr>
          <t>ЗАМЕНИТЕ НА РЕАЛЬНЫЕ ДАННЫЕ.
ДЕМО, ДО, Имбирь,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34" authorId="0">
      <text>
        <r>
          <rPr>
            <sz val="8"/>
            <color indexed="81"/>
            <rFont val="Tahoma"/>
            <family val="2"/>
          </rPr>
          <t>ЗАМЕНИТЕ НА РЕАЛЬНЫЕ ДАННЫЕ.
ДЕМО, ДО, Имбирь,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34" authorId="0">
      <text>
        <r>
          <rPr>
            <sz val="8"/>
            <color indexed="81"/>
            <rFont val="Tahoma"/>
            <family val="2"/>
          </rPr>
          <t>ЗАМЕНИТЕ НА РЕАЛЬНЫЕ ДАННЫЕ.
ДЕМО, ДО, Имбирь,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35" authorId="0">
      <text>
        <r>
          <rPr>
            <sz val="8"/>
            <color indexed="81"/>
            <rFont val="Tahoma"/>
            <family val="2"/>
          </rPr>
          <t>ЗАМЕНИТЕ НА РЕАЛЬНЫЕ ДАННЫЕ.
ДЕМО, ДО, Имбирь,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35" authorId="0">
      <text>
        <r>
          <rPr>
            <sz val="8"/>
            <color indexed="81"/>
            <rFont val="Tahoma"/>
            <family val="2"/>
          </rPr>
          <t>ЗАМЕНИТЕ НА РЕАЛЬНЫЕ ДАННЫЕ.
ДЕМО, ДО, Имбирь,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35" authorId="0">
      <text>
        <r>
          <rPr>
            <sz val="8"/>
            <color indexed="81"/>
            <rFont val="Tahoma"/>
            <family val="2"/>
          </rPr>
          <t>ЗАМЕНИТЕ НА РЕАЛЬНЫЕ ДАННЫЕ.
ДЕМО, ДО, Имбирь,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35" authorId="0">
      <text>
        <r>
          <rPr>
            <sz val="8"/>
            <color indexed="81"/>
            <rFont val="Tahoma"/>
            <family val="2"/>
          </rPr>
          <t>ЗАМЕНИТЕ НА РЕАЛЬНЫЕ ДАННЫЕ.
ДЕМО, ДО, Имбирь,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35" authorId="0">
      <text>
        <r>
          <rPr>
            <sz val="8"/>
            <color indexed="81"/>
            <rFont val="Tahoma"/>
            <family val="2"/>
          </rPr>
          <t>ЗАМЕНИТЕ НА РЕАЛЬНЫЕ ДАННЫЕ.
ДЕМО, ДО, Имбирь,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35" authorId="0">
      <text>
        <r>
          <rPr>
            <sz val="8"/>
            <color indexed="81"/>
            <rFont val="Tahoma"/>
            <family val="2"/>
          </rPr>
          <t>ЗАМЕНИТЕ НА РЕАЛЬНЫЕ ДАННЫЕ.
ДЕМО, ДО, Имбирь,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35" authorId="0">
      <text>
        <r>
          <rPr>
            <sz val="8"/>
            <color indexed="81"/>
            <rFont val="Tahoma"/>
            <family val="2"/>
          </rPr>
          <t>ЗАМЕНИТЕ НА РЕАЛЬНЫЕ ДАННЫЕ.
ДЕМО, ДО, Имбирь,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35" authorId="0">
      <text>
        <r>
          <rPr>
            <sz val="8"/>
            <color indexed="81"/>
            <rFont val="Tahoma"/>
            <family val="2"/>
          </rPr>
          <t>ЗАМЕНИТЕ НА РЕАЛЬНЫЕ ДАННЫЕ.
ДЕМО, ДО, Имбирь,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35" authorId="0">
      <text>
        <r>
          <rPr>
            <sz val="8"/>
            <color indexed="81"/>
            <rFont val="Tahoma"/>
            <family val="2"/>
          </rPr>
          <t>ЗАМЕНИТЕ НА РЕАЛЬНЫЕ ДАННЫЕ.
ДЕМО, ДО, Имбирь,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35" authorId="0">
      <text>
        <r>
          <rPr>
            <sz val="8"/>
            <color indexed="81"/>
            <rFont val="Tahoma"/>
            <family val="2"/>
          </rPr>
          <t>ЗАМЕНИТЕ НА РЕАЛЬНЫЕ ДАННЫЕ.
ДЕМО, ДО, Имбирь,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36" authorId="0">
      <text>
        <r>
          <rPr>
            <sz val="8"/>
            <color indexed="81"/>
            <rFont val="Tahoma"/>
            <family val="2"/>
          </rPr>
          <t>ЗАМЕНИТЕ НА РЕАЛЬНЫЕ ДАННЫЕ.
ДЕМО, ДО, Имбирь,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36" authorId="0">
      <text>
        <r>
          <rPr>
            <sz val="8"/>
            <color indexed="81"/>
            <rFont val="Tahoma"/>
            <family val="2"/>
          </rPr>
          <t>ЗАМЕНИТЕ НА РЕАЛЬНЫЕ ДАННЫЕ.
ДЕМО, ДО, Имбирь,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36" authorId="0">
      <text>
        <r>
          <rPr>
            <sz val="8"/>
            <color indexed="81"/>
            <rFont val="Tahoma"/>
            <family val="2"/>
          </rPr>
          <t>ЗАМЕНИТЕ НА РЕАЛЬНЫЕ ДАННЫЕ.
ДЕМО, ДО, Имбирь,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36" authorId="0">
      <text>
        <r>
          <rPr>
            <sz val="8"/>
            <color indexed="81"/>
            <rFont val="Tahoma"/>
            <family val="2"/>
          </rPr>
          <t>ЗАМЕНИТЕ НА РЕАЛЬНЫЕ ДАННЫЕ.
ДЕМО, ДО, Имбирь,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36" authorId="0">
      <text>
        <r>
          <rPr>
            <sz val="8"/>
            <color indexed="81"/>
            <rFont val="Tahoma"/>
            <family val="2"/>
          </rPr>
          <t>ЗАМЕНИТЕ НА РЕАЛЬНЫЕ ДАННЫЕ.
ДЕМО, ДО, Имбирь,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36" authorId="0">
      <text>
        <r>
          <rPr>
            <sz val="8"/>
            <color indexed="81"/>
            <rFont val="Tahoma"/>
            <family val="2"/>
          </rPr>
          <t>ЗАМЕНИТЕ НА РЕАЛЬНЫЕ ДАННЫЕ.
ДЕМО, ДО, Имбирь,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36" authorId="0">
      <text>
        <r>
          <rPr>
            <sz val="8"/>
            <color indexed="81"/>
            <rFont val="Tahoma"/>
            <family val="2"/>
          </rPr>
          <t>ЗАМЕНИТЕ НА РЕАЛЬНЫЕ ДАННЫЕ.
ДЕМО, ДО, Имбирь,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36" authorId="0">
      <text>
        <r>
          <rPr>
            <sz val="8"/>
            <color indexed="81"/>
            <rFont val="Tahoma"/>
            <family val="2"/>
          </rPr>
          <t>ЗАМЕНИТЕ НА РЕАЛЬНЫЕ ДАННЫЕ.
ДЕМО, ДО, Имбирь,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36" authorId="0">
      <text>
        <r>
          <rPr>
            <sz val="8"/>
            <color indexed="81"/>
            <rFont val="Tahoma"/>
            <family val="2"/>
          </rPr>
          <t>ЗАМЕНИТЕ НА РЕАЛЬНЫЕ ДАННЫЕ.
ДЕМО, ДО, Имбирь,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36" authorId="0">
      <text>
        <r>
          <rPr>
            <sz val="8"/>
            <color indexed="81"/>
            <rFont val="Tahoma"/>
            <family val="2"/>
          </rPr>
          <t>ЗАМЕНИТЕ НА РЕАЛЬНЫЕ ДАННЫЕ.
ДЕМО, ДО, Имбирь,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37" authorId="0">
      <text>
        <r>
          <rPr>
            <sz val="8"/>
            <color indexed="81"/>
            <rFont val="Tahoma"/>
            <family val="2"/>
          </rPr>
          <t>ЗАМЕНИТЕ НА РЕАЛЬНЫЕ ДАННЫЕ.
ДЕМО, ДО, Имбирь,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37" authorId="0">
      <text>
        <r>
          <rPr>
            <sz val="8"/>
            <color indexed="81"/>
            <rFont val="Tahoma"/>
            <family val="2"/>
          </rPr>
          <t>ЗАМЕНИТЕ НА РЕАЛЬНЫЕ ДАННЫЕ.
ДЕМО, ДО, Имбирь,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37" authorId="0">
      <text>
        <r>
          <rPr>
            <sz val="8"/>
            <color indexed="81"/>
            <rFont val="Tahoma"/>
            <family val="2"/>
          </rPr>
          <t>ЗАМЕНИТЕ НА РЕАЛЬНЫЕ ДАННЫЕ.
ДЕМО, ДО, Имбирь,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37" authorId="0">
      <text>
        <r>
          <rPr>
            <sz val="8"/>
            <color indexed="81"/>
            <rFont val="Tahoma"/>
            <family val="2"/>
          </rPr>
          <t>ЗАМЕНИТЕ НА РЕАЛЬНЫЕ ДАННЫЕ.
ДЕМО, ДО, Имбирь,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37" authorId="0">
      <text>
        <r>
          <rPr>
            <sz val="8"/>
            <color indexed="81"/>
            <rFont val="Tahoma"/>
            <family val="2"/>
          </rPr>
          <t>ЗАМЕНИТЕ НА РЕАЛЬНЫЕ ДАННЫЕ.
ДЕМО, ДО, Имбирь,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37" authorId="0">
      <text>
        <r>
          <rPr>
            <sz val="8"/>
            <color indexed="81"/>
            <rFont val="Tahoma"/>
            <family val="2"/>
          </rPr>
          <t>ЗАМЕНИТЕ НА РЕАЛЬНЫЕ ДАННЫЕ.
ДЕМО, ДО, Имбирь,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37" authorId="0">
      <text>
        <r>
          <rPr>
            <sz val="8"/>
            <color indexed="81"/>
            <rFont val="Tahoma"/>
            <family val="2"/>
          </rPr>
          <t>ЗАМЕНИТЕ НА РЕАЛЬНЫЕ ДАННЫЕ.
ДЕМО, ДО, Имбирь,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37" authorId="0">
      <text>
        <r>
          <rPr>
            <sz val="8"/>
            <color indexed="81"/>
            <rFont val="Tahoma"/>
            <family val="2"/>
          </rPr>
          <t>ЗАМЕНИТЕ НА РЕАЛЬНЫЕ ДАННЫЕ.
ДЕМО, ДО, Имбирь,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37" authorId="0">
      <text>
        <r>
          <rPr>
            <sz val="8"/>
            <color indexed="81"/>
            <rFont val="Tahoma"/>
            <family val="2"/>
          </rPr>
          <t>ЗАМЕНИТЕ НА РЕАЛЬНЫЕ ДАННЫЕ.
ДЕМО, ДО, Имбирь,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37" authorId="0">
      <text>
        <r>
          <rPr>
            <sz val="8"/>
            <color indexed="81"/>
            <rFont val="Tahoma"/>
            <family val="2"/>
          </rPr>
          <t>ЗАМЕНИТЕ НА РЕАЛЬНЫЕ ДАННЫЕ.
ДЕМО, ДО, Имбирь,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46" authorId="0">
      <text>
        <r>
          <rPr>
            <sz val="8"/>
            <color indexed="81"/>
            <rFont val="Tahoma"/>
            <family val="2"/>
          </rPr>
          <t>ЗАМЕНИТЕ НА РЕАЛЬНЫЕ ДАННЫЕ.
Лимон, цикл 1. 0 исключает все элементы данного цикла, а не один выброс.</t>
        </r>
      </text>
    </comment>
    <comment ref="F346" authorId="0">
      <text>
        <r>
          <rPr>
            <sz val="8"/>
            <color indexed="81"/>
            <rFont val="Tahoma"/>
            <family val="2"/>
          </rPr>
          <t>ЗАМЕНИТЕ НА РЕАЛЬНЫЕ ДАННЫЕ.
Лимон, цикл 2. 0 исключает все элементы данного цикла, а не один выброс.</t>
        </r>
      </text>
    </comment>
    <comment ref="G346" authorId="0">
      <text>
        <r>
          <rPr>
            <sz val="8"/>
            <color indexed="81"/>
            <rFont val="Tahoma"/>
            <family val="2"/>
          </rPr>
          <t>ЗАМЕНИТЕ НА РЕАЛЬНЫЕ ДАННЫЕ.
Лимон, цикл 3. 0 исключает все элементы данного цикла, а не один выброс.</t>
        </r>
      </text>
    </comment>
    <comment ref="H346" authorId="0">
      <text>
        <r>
          <rPr>
            <sz val="8"/>
            <color indexed="81"/>
            <rFont val="Tahoma"/>
            <family val="2"/>
          </rPr>
          <t>ЗАМЕНИТЕ НА РЕАЛЬНЫЕ ДАННЫЕ.
Лимон, цикл 4. 0 исключает все элементы данного цикла, а не один выброс.</t>
        </r>
      </text>
    </comment>
    <comment ref="I346" authorId="0">
      <text>
        <r>
          <rPr>
            <sz val="8"/>
            <color indexed="81"/>
            <rFont val="Tahoma"/>
            <family val="2"/>
          </rPr>
          <t>ЗАМЕНИТЕ НА РЕАЛЬНЫЕ ДАННЫЕ.
Лимон, цикл 5. 0 исключает все элементы данного цикла, а не один выброс.</t>
        </r>
      </text>
    </comment>
    <comment ref="J346" authorId="0">
      <text>
        <r>
          <rPr>
            <sz val="8"/>
            <color indexed="81"/>
            <rFont val="Tahoma"/>
            <family val="2"/>
          </rPr>
          <t>ЗАМЕНИТЕ НА РЕАЛЬНЫЕ ДАННЫЕ.
Лимон, цикл 6. 0 исключает все элементы данного цикла, а не один выброс.</t>
        </r>
      </text>
    </comment>
    <comment ref="K346" authorId="0">
      <text>
        <r>
          <rPr>
            <sz val="8"/>
            <color indexed="81"/>
            <rFont val="Tahoma"/>
            <family val="2"/>
          </rPr>
          <t>ЗАМЕНИТЕ НА РЕАЛЬНЫЕ ДАННЫЕ.
Лимон, цикл 7. 0 исключает все элементы данного цикла, а не один выброс.</t>
        </r>
      </text>
    </comment>
    <comment ref="L346" authorId="0">
      <text>
        <r>
          <rPr>
            <sz val="8"/>
            <color indexed="81"/>
            <rFont val="Tahoma"/>
            <family val="2"/>
          </rPr>
          <t>ЗАМЕНИТЕ НА РЕАЛЬНЫЕ ДАННЫЕ.
Лимон, цикл 8. 0 исключает все элементы данного цикла, а не один выброс.</t>
        </r>
      </text>
    </comment>
    <comment ref="M346" authorId="0">
      <text>
        <r>
          <rPr>
            <sz val="8"/>
            <color indexed="81"/>
            <rFont val="Tahoma"/>
            <family val="2"/>
          </rPr>
          <t>ЗАМЕНИТЕ НА РЕАЛЬНЫЕ ДАННЫЕ.
Лимон, цикл 9. 0 исключает все элементы данного цикла, а не один выброс.</t>
        </r>
      </text>
    </comment>
    <comment ref="N346" authorId="0">
      <text>
        <r>
          <rPr>
            <sz val="8"/>
            <color indexed="81"/>
            <rFont val="Tahoma"/>
            <family val="2"/>
          </rPr>
          <t>ЗАМЕНИТЕ НА РЕАЛЬНЫЕ ДАННЫЕ.
Лимон, цикл 10. 0 исключает все элементы данного цикла, а не один выброс.</t>
        </r>
      </text>
    </comment>
    <comment ref="E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48" authorId="0">
      <text>
        <r>
          <rPr>
            <sz val="8"/>
            <color indexed="81"/>
            <rFont val="Tahoma"/>
            <family val="2"/>
          </rPr>
          <t>ЗАМЕНИТЕ НА РЕАЛЬНЫЕ ДАННЫЕ.
ДЕМО, ДО, Лимон,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48" authorId="0">
      <text>
        <r>
          <rPr>
            <sz val="8"/>
            <color indexed="81"/>
            <rFont val="Tahoma"/>
            <family val="2"/>
          </rPr>
          <t>ЗАМЕНИТЕ НА РЕАЛЬНЫЕ ДАННЫЕ.
ДЕМО, ДО, Лимон,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48" authorId="0">
      <text>
        <r>
          <rPr>
            <sz val="8"/>
            <color indexed="81"/>
            <rFont val="Tahoma"/>
            <family val="2"/>
          </rPr>
          <t>ЗАМЕНИТЕ НА РЕАЛЬНЫЕ ДАННЫЕ.
ДЕМО, ДО, Лимон,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48" authorId="0">
      <text>
        <r>
          <rPr>
            <sz val="8"/>
            <color indexed="81"/>
            <rFont val="Tahoma"/>
            <family val="2"/>
          </rPr>
          <t>ЗАМЕНИТЕ НА РЕАЛЬНЫЕ ДАННЫЕ.
ДЕМО, ДО, Лимон,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48" authorId="0">
      <text>
        <r>
          <rPr>
            <sz val="8"/>
            <color indexed="81"/>
            <rFont val="Tahoma"/>
            <family val="2"/>
          </rPr>
          <t>ЗАМЕНИТЕ НА РЕАЛЬНЫЕ ДАННЫЕ.
ДЕМО, ДО, Лимон,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48" authorId="0">
      <text>
        <r>
          <rPr>
            <sz val="8"/>
            <color indexed="81"/>
            <rFont val="Tahoma"/>
            <family val="2"/>
          </rPr>
          <t>ЗАМЕНИТЕ НА РЕАЛЬНЫЕ ДАННЫЕ.
ДЕМО, ДО, Лимон,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48" authorId="0">
      <text>
        <r>
          <rPr>
            <sz val="8"/>
            <color indexed="81"/>
            <rFont val="Tahoma"/>
            <family val="2"/>
          </rPr>
          <t>ЗАМЕНИТЕ НА РЕАЛЬНЫЕ ДАННЫЕ.
ДЕМО, ДО, Лимон,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48" authorId="0">
      <text>
        <r>
          <rPr>
            <sz val="8"/>
            <color indexed="81"/>
            <rFont val="Tahoma"/>
            <family val="2"/>
          </rPr>
          <t>ЗАМЕНИТЕ НА РЕАЛЬНЫЕ ДАННЫЕ.
ДЕМО, ДО, Лимон,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48" authorId="0">
      <text>
        <r>
          <rPr>
            <sz val="8"/>
            <color indexed="81"/>
            <rFont val="Tahoma"/>
            <family val="2"/>
          </rPr>
          <t>ЗАМЕНИТЕ НА РЕАЛЬНЫЕ ДАННЫЕ.
ДЕМО, ДО, Лимон,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48" authorId="0">
      <text>
        <r>
          <rPr>
            <sz val="8"/>
            <color indexed="81"/>
            <rFont val="Tahoma"/>
            <family val="2"/>
          </rPr>
          <t>ЗАМЕНИТЕ НА РЕАЛЬНЫЕ ДАННЫЕ.
ДЕМО, ДО, Лимон,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49" authorId="0">
      <text>
        <r>
          <rPr>
            <sz val="8"/>
            <color indexed="81"/>
            <rFont val="Tahoma"/>
            <family val="2"/>
          </rPr>
          <t>ЗАМЕНИТЕ НА РЕАЛЬНЫЕ ДАННЫЕ.
ДЕМО, ДО, Лимон,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49" authorId="0">
      <text>
        <r>
          <rPr>
            <sz val="8"/>
            <color indexed="81"/>
            <rFont val="Tahoma"/>
            <family val="2"/>
          </rPr>
          <t>ЗАМЕНИТЕ НА РЕАЛЬНЫЕ ДАННЫЕ.
ДЕМО, ДО, Лимон,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49" authorId="0">
      <text>
        <r>
          <rPr>
            <sz val="8"/>
            <color indexed="81"/>
            <rFont val="Tahoma"/>
            <family val="2"/>
          </rPr>
          <t>ЗАМЕНИТЕ НА РЕАЛЬНЫЕ ДАННЫЕ.
ДЕМО, ДО, Лимон,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49" authorId="0">
      <text>
        <r>
          <rPr>
            <sz val="8"/>
            <color indexed="81"/>
            <rFont val="Tahoma"/>
            <family val="2"/>
          </rPr>
          <t>ЗАМЕНИТЕ НА РЕАЛЬНЫЕ ДАННЫЕ.
ДЕМО, ДО, Лимон,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49" authorId="0">
      <text>
        <r>
          <rPr>
            <sz val="8"/>
            <color indexed="81"/>
            <rFont val="Tahoma"/>
            <family val="2"/>
          </rPr>
          <t>ЗАМЕНИТЕ НА РЕАЛЬНЫЕ ДАННЫЕ.
ДЕМО, ДО, Лимон,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49" authorId="0">
      <text>
        <r>
          <rPr>
            <sz val="8"/>
            <color indexed="81"/>
            <rFont val="Tahoma"/>
            <family val="2"/>
          </rPr>
          <t>ЗАМЕНИТЕ НА РЕАЛЬНЫЕ ДАННЫЕ.
ДЕМО, ДО, Лимон,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49" authorId="0">
      <text>
        <r>
          <rPr>
            <sz val="8"/>
            <color indexed="81"/>
            <rFont val="Tahoma"/>
            <family val="2"/>
          </rPr>
          <t>ЗАМЕНИТЕ НА РЕАЛЬНЫЕ ДАННЫЕ.
ДЕМО, ДО, Лимон,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49" authorId="0">
      <text>
        <r>
          <rPr>
            <sz val="8"/>
            <color indexed="81"/>
            <rFont val="Tahoma"/>
            <family val="2"/>
          </rPr>
          <t>ЗАМЕНИТЕ НА РЕАЛЬНЫЕ ДАННЫЕ.
ДЕМО, ДО, Лимон,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49" authorId="0">
      <text>
        <r>
          <rPr>
            <sz val="8"/>
            <color indexed="81"/>
            <rFont val="Tahoma"/>
            <family val="2"/>
          </rPr>
          <t>ЗАМЕНИТЕ НА РЕАЛЬНЫЕ ДАННЫЕ.
ДЕМО, ДО, Лимон,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49" authorId="0">
      <text>
        <r>
          <rPr>
            <sz val="8"/>
            <color indexed="81"/>
            <rFont val="Tahoma"/>
            <family val="2"/>
          </rPr>
          <t>ЗАМЕНИТЕ НА РЕАЛЬНЫЕ ДАННЫЕ.
ДЕМО, ДО, Лимон,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50" authorId="0">
      <text>
        <r>
          <rPr>
            <sz val="8"/>
            <color indexed="81"/>
            <rFont val="Tahoma"/>
            <family val="2"/>
          </rPr>
          <t>ЗАМЕНИТЕ НА РЕАЛЬНЫЕ ДАННЫЕ.
ДЕМО, ДО, Лимон,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50" authorId="0">
      <text>
        <r>
          <rPr>
            <sz val="8"/>
            <color indexed="81"/>
            <rFont val="Tahoma"/>
            <family val="2"/>
          </rPr>
          <t>ЗАМЕНИТЕ НА РЕАЛЬНЫЕ ДАННЫЕ.
ДЕМО, ДО, Лимон,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50" authorId="0">
      <text>
        <r>
          <rPr>
            <sz val="8"/>
            <color indexed="81"/>
            <rFont val="Tahoma"/>
            <family val="2"/>
          </rPr>
          <t>ЗАМЕНИТЕ НА РЕАЛЬНЫЕ ДАННЫЕ.
ДЕМО, ДО, Лимон,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50" authorId="0">
      <text>
        <r>
          <rPr>
            <sz val="8"/>
            <color indexed="81"/>
            <rFont val="Tahoma"/>
            <family val="2"/>
          </rPr>
          <t>ЗАМЕНИТЕ НА РЕАЛЬНЫЕ ДАННЫЕ.
ДЕМО, ДО, Лимон,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50" authorId="0">
      <text>
        <r>
          <rPr>
            <sz val="8"/>
            <color indexed="81"/>
            <rFont val="Tahoma"/>
            <family val="2"/>
          </rPr>
          <t>ЗАМЕНИТЕ НА РЕАЛЬНЫЕ ДАННЫЕ.
ДЕМО, ДО, Лимон,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50" authorId="0">
      <text>
        <r>
          <rPr>
            <sz val="8"/>
            <color indexed="81"/>
            <rFont val="Tahoma"/>
            <family val="2"/>
          </rPr>
          <t>ЗАМЕНИТЕ НА РЕАЛЬНЫЕ ДАННЫЕ.
ДЕМО, ДО, Лимон,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50" authorId="0">
      <text>
        <r>
          <rPr>
            <sz val="8"/>
            <color indexed="81"/>
            <rFont val="Tahoma"/>
            <family val="2"/>
          </rPr>
          <t>ЗАМЕНИТЕ НА РЕАЛЬНЫЕ ДАННЫЕ.
ДЕМО, ДО, Лимон,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50" authorId="0">
      <text>
        <r>
          <rPr>
            <sz val="8"/>
            <color indexed="81"/>
            <rFont val="Tahoma"/>
            <family val="2"/>
          </rPr>
          <t>ЗАМЕНИТЕ НА РЕАЛЬНЫЕ ДАННЫЕ.
ДЕМО, ДО, Лимон,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50" authorId="0">
      <text>
        <r>
          <rPr>
            <sz val="8"/>
            <color indexed="81"/>
            <rFont val="Tahoma"/>
            <family val="2"/>
          </rPr>
          <t>ЗАМЕНИТЕ НА РЕАЛЬНЫЕ ДАННЫЕ.
ДЕМО, ДО, Лимон,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50" authorId="0">
      <text>
        <r>
          <rPr>
            <sz val="8"/>
            <color indexed="81"/>
            <rFont val="Tahoma"/>
            <family val="2"/>
          </rPr>
          <t>ЗАМЕНИТЕ НА РЕАЛЬНЫЕ ДАННЫЕ.
ДЕМО, ДО, Лимон,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51" authorId="0">
      <text>
        <r>
          <rPr>
            <sz val="8"/>
            <color indexed="81"/>
            <rFont val="Tahoma"/>
            <family val="2"/>
          </rPr>
          <t>ЗАМЕНИТЕ НА РЕАЛЬНЫЕ ДАННЫЕ.
ДЕМО, ДО, Лимон,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51" authorId="0">
      <text>
        <r>
          <rPr>
            <sz val="8"/>
            <color indexed="81"/>
            <rFont val="Tahoma"/>
            <family val="2"/>
          </rPr>
          <t>ЗАМЕНИТЕ НА РЕАЛЬНЫЕ ДАННЫЕ.
ДЕМО, ДО, Лимон,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51" authorId="0">
      <text>
        <r>
          <rPr>
            <sz val="8"/>
            <color indexed="81"/>
            <rFont val="Tahoma"/>
            <family val="2"/>
          </rPr>
          <t>ЗАМЕНИТЕ НА РЕАЛЬНЫЕ ДАННЫЕ.
ДЕМО, ДО, Лимон,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51" authorId="0">
      <text>
        <r>
          <rPr>
            <sz val="8"/>
            <color indexed="81"/>
            <rFont val="Tahoma"/>
            <family val="2"/>
          </rPr>
          <t>ЗАМЕНИТЕ НА РЕАЛЬНЫЕ ДАННЫЕ.
ДЕМО, ДО, Лимон,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51" authorId="0">
      <text>
        <r>
          <rPr>
            <sz val="8"/>
            <color indexed="81"/>
            <rFont val="Tahoma"/>
            <family val="2"/>
          </rPr>
          <t>ЗАМЕНИТЕ НА РЕАЛЬНЫЕ ДАННЫЕ.
ДЕМО, ДО, Лимон,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51" authorId="0">
      <text>
        <r>
          <rPr>
            <sz val="8"/>
            <color indexed="81"/>
            <rFont val="Tahoma"/>
            <family val="2"/>
          </rPr>
          <t>ЗАМЕНИТЕ НА РЕАЛЬНЫЕ ДАННЫЕ.
ДЕМО, ДО, Лимон,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51" authorId="0">
      <text>
        <r>
          <rPr>
            <sz val="8"/>
            <color indexed="81"/>
            <rFont val="Tahoma"/>
            <family val="2"/>
          </rPr>
          <t>ЗАМЕНИТЕ НА РЕАЛЬНЫЕ ДАННЫЕ.
ДЕМО, ДО, Лимон,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51" authorId="0">
      <text>
        <r>
          <rPr>
            <sz val="8"/>
            <color indexed="81"/>
            <rFont val="Tahoma"/>
            <family val="2"/>
          </rPr>
          <t>ЗАМЕНИТЕ НА РЕАЛЬНЫЕ ДАННЫЕ.
ДЕМО, ДО, Лимон,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51" authorId="0">
      <text>
        <r>
          <rPr>
            <sz val="8"/>
            <color indexed="81"/>
            <rFont val="Tahoma"/>
            <family val="2"/>
          </rPr>
          <t>ЗАМЕНИТЕ НА РЕАЛЬНЫЕ ДАННЫЕ.
ДЕМО, ДО, Лимон,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51" authorId="0">
      <text>
        <r>
          <rPr>
            <sz val="8"/>
            <color indexed="81"/>
            <rFont val="Tahoma"/>
            <family val="2"/>
          </rPr>
          <t>ЗАМЕНИТЕ НА РЕАЛЬНЫЕ ДАННЫЕ.
ДЕМО, ДО, Лимон,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52" authorId="0">
      <text>
        <r>
          <rPr>
            <sz val="8"/>
            <color indexed="81"/>
            <rFont val="Tahoma"/>
            <family val="2"/>
          </rPr>
          <t>ЗАМЕНИТЕ НА РЕАЛЬНЫЕ ДАННЫЕ.
ДЕМО, ДО, Лимон,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52" authorId="0">
      <text>
        <r>
          <rPr>
            <sz val="8"/>
            <color indexed="81"/>
            <rFont val="Tahoma"/>
            <family val="2"/>
          </rPr>
          <t>ЗАМЕНИТЕ НА РЕАЛЬНЫЕ ДАННЫЕ.
ДЕМО, ДО, Лимон,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52" authorId="0">
      <text>
        <r>
          <rPr>
            <sz val="8"/>
            <color indexed="81"/>
            <rFont val="Tahoma"/>
            <family val="2"/>
          </rPr>
          <t>ЗАМЕНИТЕ НА РЕАЛЬНЫЕ ДАННЫЕ.
ДЕМО, ДО, Лимон,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52" authorId="0">
      <text>
        <r>
          <rPr>
            <sz val="8"/>
            <color indexed="81"/>
            <rFont val="Tahoma"/>
            <family val="2"/>
          </rPr>
          <t>ЗАМЕНИТЕ НА РЕАЛЬНЫЕ ДАННЫЕ.
ДЕМО, ДО, Лимон,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52" authorId="0">
      <text>
        <r>
          <rPr>
            <sz val="8"/>
            <color indexed="81"/>
            <rFont val="Tahoma"/>
            <family val="2"/>
          </rPr>
          <t>ЗАМЕНИТЕ НА РЕАЛЬНЫЕ ДАННЫЕ.
ДЕМО, ДО, Лимон,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52" authorId="0">
      <text>
        <r>
          <rPr>
            <sz val="8"/>
            <color indexed="81"/>
            <rFont val="Tahoma"/>
            <family val="2"/>
          </rPr>
          <t>ЗАМЕНИТЕ НА РЕАЛЬНЫЕ ДАННЫЕ.
ДЕМО, ДО, Лимон,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52" authorId="0">
      <text>
        <r>
          <rPr>
            <sz val="8"/>
            <color indexed="81"/>
            <rFont val="Tahoma"/>
            <family val="2"/>
          </rPr>
          <t>ЗАМЕНИТЕ НА РЕАЛЬНЫЕ ДАННЫЕ.
ДЕМО, ДО, Лимон,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52" authorId="0">
      <text>
        <r>
          <rPr>
            <sz val="8"/>
            <color indexed="81"/>
            <rFont val="Tahoma"/>
            <family val="2"/>
          </rPr>
          <t>ЗАМЕНИТЕ НА РЕАЛЬНЫЕ ДАННЫЕ.
ДЕМО, ДО, Лимон,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52" authorId="0">
      <text>
        <r>
          <rPr>
            <sz val="8"/>
            <color indexed="81"/>
            <rFont val="Tahoma"/>
            <family val="2"/>
          </rPr>
          <t>ЗАМЕНИТЕ НА РЕАЛЬНЫЕ ДАННЫЕ.
ДЕМО, ДО, Лимон,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52" authorId="0">
      <text>
        <r>
          <rPr>
            <sz val="8"/>
            <color indexed="81"/>
            <rFont val="Tahoma"/>
            <family val="2"/>
          </rPr>
          <t>ЗАМЕНИТЕ НА РЕАЛЬНЫЕ ДАННЫЕ.
ДЕМО, ДО, Лимон,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54" authorId="0">
      <text>
        <r>
          <rPr>
            <sz val="8"/>
            <color indexed="81"/>
            <rFont val="Tahoma"/>
            <family val="2"/>
          </rPr>
          <t>ЗАМЕНИТЕ НА РЕАЛЬНЫЕ ДАННЫЕ.
ДЕМО, ДО, Лимон,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54" authorId="0">
      <text>
        <r>
          <rPr>
            <sz val="8"/>
            <color indexed="81"/>
            <rFont val="Tahoma"/>
            <family val="2"/>
          </rPr>
          <t>ЗАМЕНИТЕ НА РЕАЛЬНЫЕ ДАННЫЕ.
ДЕМО, ДО, Лимон,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54" authorId="0">
      <text>
        <r>
          <rPr>
            <sz val="8"/>
            <color indexed="81"/>
            <rFont val="Tahoma"/>
            <family val="2"/>
          </rPr>
          <t>ЗАМЕНИТЕ НА РЕАЛЬНЫЕ ДАННЫЕ.
ДЕМО, ДО, Лимон,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54" authorId="0">
      <text>
        <r>
          <rPr>
            <sz val="8"/>
            <color indexed="81"/>
            <rFont val="Tahoma"/>
            <family val="2"/>
          </rPr>
          <t>ЗАМЕНИТЕ НА РЕАЛЬНЫЕ ДАННЫЕ.
ДЕМО, ДО, Лимон,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54" authorId="0">
      <text>
        <r>
          <rPr>
            <sz val="8"/>
            <color indexed="81"/>
            <rFont val="Tahoma"/>
            <family val="2"/>
          </rPr>
          <t>ЗАМЕНИТЕ НА РЕАЛЬНЫЕ ДАННЫЕ.
ДЕМО, ДО, Лимон,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54" authorId="0">
      <text>
        <r>
          <rPr>
            <sz val="8"/>
            <color indexed="81"/>
            <rFont val="Tahoma"/>
            <family val="2"/>
          </rPr>
          <t>ЗАМЕНИТЕ НА РЕАЛЬНЫЕ ДАННЫЕ.
ДЕМО, ДО, Лимон,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54" authorId="0">
      <text>
        <r>
          <rPr>
            <sz val="8"/>
            <color indexed="81"/>
            <rFont val="Tahoma"/>
            <family val="2"/>
          </rPr>
          <t>ЗАМЕНИТЕ НА РЕАЛЬНЫЕ ДАННЫЕ.
ДЕМО, ДО, Лимон,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54" authorId="0">
      <text>
        <r>
          <rPr>
            <sz val="8"/>
            <color indexed="81"/>
            <rFont val="Tahoma"/>
            <family val="2"/>
          </rPr>
          <t>ЗАМЕНИТЕ НА РЕАЛЬНЫЕ ДАННЫЕ.
ДЕМО, ДО, Лимон,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54" authorId="0">
      <text>
        <r>
          <rPr>
            <sz val="8"/>
            <color indexed="81"/>
            <rFont val="Tahoma"/>
            <family val="2"/>
          </rPr>
          <t>ЗАМЕНИТЕ НА РЕАЛЬНЫЕ ДАННЫЕ.
ДЕМО, ДО, Лимон,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54" authorId="0">
      <text>
        <r>
          <rPr>
            <sz val="8"/>
            <color indexed="81"/>
            <rFont val="Tahoma"/>
            <family val="2"/>
          </rPr>
          <t>ЗАМЕНИТЕ НА РЕАЛЬНЫЕ ДАННЫЕ.
ДЕМО, ДО, Лимон,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55" authorId="0">
      <text>
        <r>
          <rPr>
            <sz val="8"/>
            <color indexed="81"/>
            <rFont val="Tahoma"/>
            <family val="2"/>
          </rPr>
          <t>ЗАМЕНИТЕ НА РЕАЛЬНЫЕ ДАННЫЕ.
ДЕМО, ДО, Лимон,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55" authorId="0">
      <text>
        <r>
          <rPr>
            <sz val="8"/>
            <color indexed="81"/>
            <rFont val="Tahoma"/>
            <family val="2"/>
          </rPr>
          <t>ЗАМЕНИТЕ НА РЕАЛЬНЫЕ ДАННЫЕ.
ДЕМО, ДО, Лимон,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55" authorId="0">
      <text>
        <r>
          <rPr>
            <sz val="8"/>
            <color indexed="81"/>
            <rFont val="Tahoma"/>
            <family val="2"/>
          </rPr>
          <t>ЗАМЕНИТЕ НА РЕАЛЬНЫЕ ДАННЫЕ.
ДЕМО, ДО, Лимон,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55" authorId="0">
      <text>
        <r>
          <rPr>
            <sz val="8"/>
            <color indexed="81"/>
            <rFont val="Tahoma"/>
            <family val="2"/>
          </rPr>
          <t>ЗАМЕНИТЕ НА РЕАЛЬНЫЕ ДАННЫЕ.
ДЕМО, ДО, Лимон,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55" authorId="0">
      <text>
        <r>
          <rPr>
            <sz val="8"/>
            <color indexed="81"/>
            <rFont val="Tahoma"/>
            <family val="2"/>
          </rPr>
          <t>ЗАМЕНИТЕ НА РЕАЛЬНЫЕ ДАННЫЕ.
ДЕМО, ДО, Лимон,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55" authorId="0">
      <text>
        <r>
          <rPr>
            <sz val="8"/>
            <color indexed="81"/>
            <rFont val="Tahoma"/>
            <family val="2"/>
          </rPr>
          <t>ЗАМЕНИТЕ НА РЕАЛЬНЫЕ ДАННЫЕ.
ДЕМО, ДО, Лимон,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55" authorId="0">
      <text>
        <r>
          <rPr>
            <sz val="8"/>
            <color indexed="81"/>
            <rFont val="Tahoma"/>
            <family val="2"/>
          </rPr>
          <t>ЗАМЕНИТЕ НА РЕАЛЬНЫЕ ДАННЫЕ.
ДЕМО, ДО, Лимон,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55" authorId="0">
      <text>
        <r>
          <rPr>
            <sz val="8"/>
            <color indexed="81"/>
            <rFont val="Tahoma"/>
            <family val="2"/>
          </rPr>
          <t>ЗАМЕНИТЕ НА РЕАЛЬНЫЕ ДАННЫЕ.
ДЕМО, ДО, Лимон,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55" authorId="0">
      <text>
        <r>
          <rPr>
            <sz val="8"/>
            <color indexed="81"/>
            <rFont val="Tahoma"/>
            <family val="2"/>
          </rPr>
          <t>ЗАМЕНИТЕ НА РЕАЛЬНЫЕ ДАННЫЕ.
ДЕМО, ДО, Лимон,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55" authorId="0">
      <text>
        <r>
          <rPr>
            <sz val="8"/>
            <color indexed="81"/>
            <rFont val="Tahoma"/>
            <family val="2"/>
          </rPr>
          <t>ЗАМЕНИТЕ НА РЕАЛЬНЫЕ ДАННЫЕ.
ДЕМО, ДО, Лимон,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56" authorId="0">
      <text>
        <r>
          <rPr>
            <sz val="8"/>
            <color indexed="81"/>
            <rFont val="Tahoma"/>
            <family val="2"/>
          </rPr>
          <t>ЗАМЕНИТЕ НА РЕАЛЬНЫЕ ДАННЫЕ.
ДЕМО, ДО, Лимон,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56" authorId="0">
      <text>
        <r>
          <rPr>
            <sz val="8"/>
            <color indexed="81"/>
            <rFont val="Tahoma"/>
            <family val="2"/>
          </rPr>
          <t>ЗАМЕНИТЕ НА РЕАЛЬНЫЕ ДАННЫЕ.
ДЕМО, ДО, Лимон,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56" authorId="0">
      <text>
        <r>
          <rPr>
            <sz val="8"/>
            <color indexed="81"/>
            <rFont val="Tahoma"/>
            <family val="2"/>
          </rPr>
          <t>ЗАМЕНИТЕ НА РЕАЛЬНЫЕ ДАННЫЕ.
ДЕМО, ДО, Лимон,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56" authorId="0">
      <text>
        <r>
          <rPr>
            <sz val="8"/>
            <color indexed="81"/>
            <rFont val="Tahoma"/>
            <family val="2"/>
          </rPr>
          <t>ЗАМЕНИТЕ НА РЕАЛЬНЫЕ ДАННЫЕ.
ДЕМО, ДО, Лимон,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56" authorId="0">
      <text>
        <r>
          <rPr>
            <sz val="8"/>
            <color indexed="81"/>
            <rFont val="Tahoma"/>
            <family val="2"/>
          </rPr>
          <t>ЗАМЕНИТЕ НА РЕАЛЬНЫЕ ДАННЫЕ.
ДЕМО, ДО, Лимон,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56" authorId="0">
      <text>
        <r>
          <rPr>
            <sz val="8"/>
            <color indexed="81"/>
            <rFont val="Tahoma"/>
            <family val="2"/>
          </rPr>
          <t>ЗАМЕНИТЕ НА РЕАЛЬНЫЕ ДАННЫЕ.
ДЕМО, ДО, Лимон,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56" authorId="0">
      <text>
        <r>
          <rPr>
            <sz val="8"/>
            <color indexed="81"/>
            <rFont val="Tahoma"/>
            <family val="2"/>
          </rPr>
          <t>ЗАМЕНИТЕ НА РЕАЛЬНЫЕ ДАННЫЕ.
ДЕМО, ДО, Лимон,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56" authorId="0">
      <text>
        <r>
          <rPr>
            <sz val="8"/>
            <color indexed="81"/>
            <rFont val="Tahoma"/>
            <family val="2"/>
          </rPr>
          <t>ЗАМЕНИТЕ НА РЕАЛЬНЫЕ ДАННЫЕ.
ДЕМО, ДО, Лимон,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56" authorId="0">
      <text>
        <r>
          <rPr>
            <sz val="8"/>
            <color indexed="81"/>
            <rFont val="Tahoma"/>
            <family val="2"/>
          </rPr>
          <t>ЗАМЕНИТЕ НА РЕАЛЬНЫЕ ДАННЫЕ.
ДЕМО, ДО, Лимон,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56" authorId="0">
      <text>
        <r>
          <rPr>
            <sz val="8"/>
            <color indexed="81"/>
            <rFont val="Tahoma"/>
            <family val="2"/>
          </rPr>
          <t>ЗАМЕНИТЕ НА РЕАЛЬНЫЕ ДАННЫЕ.
ДЕМО, ДО, Лимон,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57" authorId="0">
      <text>
        <r>
          <rPr>
            <sz val="8"/>
            <color indexed="81"/>
            <rFont val="Tahoma"/>
            <family val="2"/>
          </rPr>
          <t>ЗАМЕНИТЕ НА РЕАЛЬНЫЕ ДАННЫЕ.
ДЕМО, ДО, Лимон,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57" authorId="0">
      <text>
        <r>
          <rPr>
            <sz val="8"/>
            <color indexed="81"/>
            <rFont val="Tahoma"/>
            <family val="2"/>
          </rPr>
          <t>ЗАМЕНИТЕ НА РЕАЛЬНЫЕ ДАННЫЕ.
ДЕМО, ДО, Лимон,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57" authorId="0">
      <text>
        <r>
          <rPr>
            <sz val="8"/>
            <color indexed="81"/>
            <rFont val="Tahoma"/>
            <family val="2"/>
          </rPr>
          <t>ЗАМЕНИТЕ НА РЕАЛЬНЫЕ ДАННЫЕ.
ДЕМО, ДО, Лимон,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57" authorId="0">
      <text>
        <r>
          <rPr>
            <sz val="8"/>
            <color indexed="81"/>
            <rFont val="Tahoma"/>
            <family val="2"/>
          </rPr>
          <t>ЗАМЕНИТЕ НА РЕАЛЬНЫЕ ДАННЫЕ.
ДЕМО, ДО, Лимон,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57" authorId="0">
      <text>
        <r>
          <rPr>
            <sz val="8"/>
            <color indexed="81"/>
            <rFont val="Tahoma"/>
            <family val="2"/>
          </rPr>
          <t>ЗАМЕНИТЕ НА РЕАЛЬНЫЕ ДАННЫЕ.
ДЕМО, ДО, Лимон,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57" authorId="0">
      <text>
        <r>
          <rPr>
            <sz val="8"/>
            <color indexed="81"/>
            <rFont val="Tahoma"/>
            <family val="2"/>
          </rPr>
          <t>ЗАМЕНИТЕ НА РЕАЛЬНЫЕ ДАННЫЕ.
ДЕМО, ДО, Лимон,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57" authorId="0">
      <text>
        <r>
          <rPr>
            <sz val="8"/>
            <color indexed="81"/>
            <rFont val="Tahoma"/>
            <family val="2"/>
          </rPr>
          <t>ЗАМЕНИТЕ НА РЕАЛЬНЫЕ ДАННЫЕ.
ДЕМО, ДО, Лимон,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57" authorId="0">
      <text>
        <r>
          <rPr>
            <sz val="8"/>
            <color indexed="81"/>
            <rFont val="Tahoma"/>
            <family val="2"/>
          </rPr>
          <t>ЗАМЕНИТЕ НА РЕАЛЬНЫЕ ДАННЫЕ.
ДЕМО, ДО, Лимон,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57" authorId="0">
      <text>
        <r>
          <rPr>
            <sz val="8"/>
            <color indexed="81"/>
            <rFont val="Tahoma"/>
            <family val="2"/>
          </rPr>
          <t>ЗАМЕНИТЕ НА РЕАЛЬНЫЕ ДАННЫЕ.
ДЕМО, ДО, Лимон,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57" authorId="0">
      <text>
        <r>
          <rPr>
            <sz val="8"/>
            <color indexed="81"/>
            <rFont val="Tahoma"/>
            <family val="2"/>
          </rPr>
          <t>ЗАМЕНИТЕ НА РЕАЛЬНЫЕ ДАННЫЕ.
ДЕМО, ДО, Лимон,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58" authorId="0">
      <text>
        <r>
          <rPr>
            <sz val="8"/>
            <color indexed="81"/>
            <rFont val="Tahoma"/>
            <family val="2"/>
          </rPr>
          <t>ЗАМЕНИТЕ НА РЕАЛЬНЫЕ ДАННЫЕ.
ДЕМО, ДО, Лимон,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58" authorId="0">
      <text>
        <r>
          <rPr>
            <sz val="8"/>
            <color indexed="81"/>
            <rFont val="Tahoma"/>
            <family val="2"/>
          </rPr>
          <t>ЗАМЕНИТЕ НА РЕАЛЬНЫЕ ДАННЫЕ.
ДЕМО, ДО, Лимон,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58" authorId="0">
      <text>
        <r>
          <rPr>
            <sz val="8"/>
            <color indexed="81"/>
            <rFont val="Tahoma"/>
            <family val="2"/>
          </rPr>
          <t>ЗАМЕНИТЕ НА РЕАЛЬНЫЕ ДАННЫЕ.
ДЕМО, ДО, Лимон,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58" authorId="0">
      <text>
        <r>
          <rPr>
            <sz val="8"/>
            <color indexed="81"/>
            <rFont val="Tahoma"/>
            <family val="2"/>
          </rPr>
          <t>ЗАМЕНИТЕ НА РЕАЛЬНЫЕ ДАННЫЕ.
ДЕМО, ДО, Лимон,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58" authorId="0">
      <text>
        <r>
          <rPr>
            <sz val="8"/>
            <color indexed="81"/>
            <rFont val="Tahoma"/>
            <family val="2"/>
          </rPr>
          <t>ЗАМЕНИТЕ НА РЕАЛЬНЫЕ ДАННЫЕ.
ДЕМО, ДО, Лимон,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58" authorId="0">
      <text>
        <r>
          <rPr>
            <sz val="8"/>
            <color indexed="81"/>
            <rFont val="Tahoma"/>
            <family val="2"/>
          </rPr>
          <t>ЗАМЕНИТЕ НА РЕАЛЬНЫЕ ДАННЫЕ.
ДЕМО, ДО, Лимон,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58" authorId="0">
      <text>
        <r>
          <rPr>
            <sz val="8"/>
            <color indexed="81"/>
            <rFont val="Tahoma"/>
            <family val="2"/>
          </rPr>
          <t>ЗАМЕНИТЕ НА РЕАЛЬНЫЕ ДАННЫЕ.
ДЕМО, ДО, Лимон,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58" authorId="0">
      <text>
        <r>
          <rPr>
            <sz val="8"/>
            <color indexed="81"/>
            <rFont val="Tahoma"/>
            <family val="2"/>
          </rPr>
          <t>ЗАМЕНИТЕ НА РЕАЛЬНЫЕ ДАННЫЕ.
ДЕМО, ДО, Лимон,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58" authorId="0">
      <text>
        <r>
          <rPr>
            <sz val="8"/>
            <color indexed="81"/>
            <rFont val="Tahoma"/>
            <family val="2"/>
          </rPr>
          <t>ЗАМЕНИТЕ НА РЕАЛЬНЫЕ ДАННЫЕ.
ДЕМО, ДО, Лимон,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58" authorId="0">
      <text>
        <r>
          <rPr>
            <sz val="8"/>
            <color indexed="81"/>
            <rFont val="Tahoma"/>
            <family val="2"/>
          </rPr>
          <t>ЗАМЕНИТЕ НА РЕАЛЬНЫЕ ДАННЫЕ.
ДЕМО, ДО, Лимон,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67" authorId="0">
      <text>
        <r>
          <rPr>
            <sz val="8"/>
            <color indexed="81"/>
            <rFont val="Tahoma"/>
            <family val="2"/>
          </rPr>
          <t>ЗАМЕНИТЕ НА РЕАЛЬНЫЕ ДАННЫЕ.
Апельсин, цикл 1. 0 исключает все элементы данного цикла, а не один выброс.</t>
        </r>
      </text>
    </comment>
    <comment ref="F367" authorId="0">
      <text>
        <r>
          <rPr>
            <sz val="8"/>
            <color indexed="81"/>
            <rFont val="Tahoma"/>
            <family val="2"/>
          </rPr>
          <t>ЗАМЕНИТЕ НА РЕАЛЬНЫЕ ДАННЫЕ.
Апельсин, цикл 2. 0 исключает все элементы данного цикла, а не один выброс.</t>
        </r>
      </text>
    </comment>
    <comment ref="G367" authorId="0">
      <text>
        <r>
          <rPr>
            <sz val="8"/>
            <color indexed="81"/>
            <rFont val="Tahoma"/>
            <family val="2"/>
          </rPr>
          <t>ЗАМЕНИТЕ НА РЕАЛЬНЫЕ ДАННЫЕ.
Апельсин, цикл 3. 0 исключает все элементы данного цикла, а не один выброс.</t>
        </r>
      </text>
    </comment>
    <comment ref="H367" authorId="0">
      <text>
        <r>
          <rPr>
            <sz val="8"/>
            <color indexed="81"/>
            <rFont val="Tahoma"/>
            <family val="2"/>
          </rPr>
          <t>ЗАМЕНИТЕ НА РЕАЛЬНЫЕ ДАННЫЕ.
Апельсин, цикл 4. 0 исключает все элементы данного цикла, а не один выброс.</t>
        </r>
      </text>
    </comment>
    <comment ref="I367" authorId="0">
      <text>
        <r>
          <rPr>
            <sz val="8"/>
            <color indexed="81"/>
            <rFont val="Tahoma"/>
            <family val="2"/>
          </rPr>
          <t>ЗАМЕНИТЕ НА РЕАЛЬНЫЕ ДАННЫЕ.
Апельсин, цикл 5. 0 исключает все элементы данного цикла, а не один выброс.</t>
        </r>
      </text>
    </comment>
    <comment ref="J367" authorId="0">
      <text>
        <r>
          <rPr>
            <sz val="8"/>
            <color indexed="81"/>
            <rFont val="Tahoma"/>
            <family val="2"/>
          </rPr>
          <t>ЗАМЕНИТЕ НА РЕАЛЬНЫЕ ДАННЫЕ.
Апельсин, цикл 6. 0 исключает все элементы данного цикла, а не один выброс.</t>
        </r>
      </text>
    </comment>
    <comment ref="K367" authorId="0">
      <text>
        <r>
          <rPr>
            <sz val="8"/>
            <color indexed="81"/>
            <rFont val="Tahoma"/>
            <family val="2"/>
          </rPr>
          <t>ЗАМЕНИТЕ НА РЕАЛЬНЫЕ ДАННЫЕ.
Апельсин, цикл 7. 0 исключает все элементы данного цикла, а не один выброс.</t>
        </r>
      </text>
    </comment>
    <comment ref="L367" authorId="0">
      <text>
        <r>
          <rPr>
            <sz val="8"/>
            <color indexed="81"/>
            <rFont val="Tahoma"/>
            <family val="2"/>
          </rPr>
          <t>ЗАМЕНИТЕ НА РЕАЛЬНЫЕ ДАННЫЕ.
Апельсин, цикл 8. 0 исключает все элементы данного цикла, а не один выброс.</t>
        </r>
      </text>
    </comment>
    <comment ref="M367" authorId="0">
      <text>
        <r>
          <rPr>
            <sz val="8"/>
            <color indexed="81"/>
            <rFont val="Tahoma"/>
            <family val="2"/>
          </rPr>
          <t>ЗАМЕНИТЕ НА РЕАЛЬНЫЕ ДАННЫЕ.
Апельсин, цикл 9. 0 исключает все элементы данного цикла, а не один выброс.</t>
        </r>
      </text>
    </comment>
    <comment ref="N367" authorId="0">
      <text>
        <r>
          <rPr>
            <sz val="8"/>
            <color indexed="81"/>
            <rFont val="Tahoma"/>
            <family val="2"/>
          </rPr>
          <t>ЗАМЕНИТЕ НА РЕАЛЬНЫЕ ДАННЫЕ.
Апельсин, цикл 10. 0 исключает все элементы данного цикла, а не один выброс.</t>
        </r>
      </text>
    </comment>
    <comment ref="E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69" authorId="0">
      <text>
        <r>
          <rPr>
            <sz val="8"/>
            <color indexed="81"/>
            <rFont val="Tahoma"/>
            <family val="2"/>
          </rPr>
          <t>ЗАМЕНИТЕ НА РЕАЛЬНЫЕ ДАННЫЕ.
ДЕМО, ДО, Апельсин,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69" authorId="0">
      <text>
        <r>
          <rPr>
            <sz val="8"/>
            <color indexed="81"/>
            <rFont val="Tahoma"/>
            <family val="2"/>
          </rPr>
          <t>ЗАМЕНИТЕ НА РЕАЛЬНЫЕ ДАННЫЕ.
ДЕМО, ДО, Апельсин,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69" authorId="0">
      <text>
        <r>
          <rPr>
            <sz val="8"/>
            <color indexed="81"/>
            <rFont val="Tahoma"/>
            <family val="2"/>
          </rPr>
          <t>ЗАМЕНИТЕ НА РЕАЛЬНЫЕ ДАННЫЕ.
ДЕМО, ДО, Апельсин,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69" authorId="0">
      <text>
        <r>
          <rPr>
            <sz val="8"/>
            <color indexed="81"/>
            <rFont val="Tahoma"/>
            <family val="2"/>
          </rPr>
          <t>ЗАМЕНИТЕ НА РЕАЛЬНЫЕ ДАННЫЕ.
ДЕМО, ДО, Апельсин,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69" authorId="0">
      <text>
        <r>
          <rPr>
            <sz val="8"/>
            <color indexed="81"/>
            <rFont val="Tahoma"/>
            <family val="2"/>
          </rPr>
          <t>ЗАМЕНИТЕ НА РЕАЛЬНЫЕ ДАННЫЕ.
ДЕМО, ДО, Апельсин,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69" authorId="0">
      <text>
        <r>
          <rPr>
            <sz val="8"/>
            <color indexed="81"/>
            <rFont val="Tahoma"/>
            <family val="2"/>
          </rPr>
          <t>ЗАМЕНИТЕ НА РЕАЛЬНЫЕ ДАННЫЕ.
ДЕМО, ДО, Апельсин,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69" authorId="0">
      <text>
        <r>
          <rPr>
            <sz val="8"/>
            <color indexed="81"/>
            <rFont val="Tahoma"/>
            <family val="2"/>
          </rPr>
          <t>ЗАМЕНИТЕ НА РЕАЛЬНЫЕ ДАННЫЕ.
ДЕМО, ДО, Апельсин,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69" authorId="0">
      <text>
        <r>
          <rPr>
            <sz val="8"/>
            <color indexed="81"/>
            <rFont val="Tahoma"/>
            <family val="2"/>
          </rPr>
          <t>ЗАМЕНИТЕ НА РЕАЛЬНЫЕ ДАННЫЕ.
ДЕМО, ДО, Апельсин,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69" authorId="0">
      <text>
        <r>
          <rPr>
            <sz val="8"/>
            <color indexed="81"/>
            <rFont val="Tahoma"/>
            <family val="2"/>
          </rPr>
          <t>ЗАМЕНИТЕ НА РЕАЛЬНЫЕ ДАННЫЕ.
ДЕМО, ДО, Апельсин,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69" authorId="0">
      <text>
        <r>
          <rPr>
            <sz val="8"/>
            <color indexed="81"/>
            <rFont val="Tahoma"/>
            <family val="2"/>
          </rPr>
          <t>ЗАМЕНИТЕ НА РЕАЛЬНЫЕ ДАННЫЕ.
ДЕМО, ДО, Апельсин,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70" authorId="0">
      <text>
        <r>
          <rPr>
            <sz val="8"/>
            <color indexed="81"/>
            <rFont val="Tahoma"/>
            <family val="2"/>
          </rPr>
          <t>ЗАМЕНИТЕ НА РЕАЛЬНЫЕ ДАННЫЕ.
ДЕМО, ДО, Апельсин,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70" authorId="0">
      <text>
        <r>
          <rPr>
            <sz val="8"/>
            <color indexed="81"/>
            <rFont val="Tahoma"/>
            <family val="2"/>
          </rPr>
          <t>ЗАМЕНИТЕ НА РЕАЛЬНЫЕ ДАННЫЕ.
ДЕМО, ДО, Апельсин,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70" authorId="0">
      <text>
        <r>
          <rPr>
            <sz val="8"/>
            <color indexed="81"/>
            <rFont val="Tahoma"/>
            <family val="2"/>
          </rPr>
          <t>ЗАМЕНИТЕ НА РЕАЛЬНЫЕ ДАННЫЕ.
ДЕМО, ДО, Апельсин,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70" authorId="0">
      <text>
        <r>
          <rPr>
            <sz val="8"/>
            <color indexed="81"/>
            <rFont val="Tahoma"/>
            <family val="2"/>
          </rPr>
          <t>ЗАМЕНИТЕ НА РЕАЛЬНЫЕ ДАННЫЕ.
ДЕМО, ДО, Апельсин,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70" authorId="0">
      <text>
        <r>
          <rPr>
            <sz val="8"/>
            <color indexed="81"/>
            <rFont val="Tahoma"/>
            <family val="2"/>
          </rPr>
          <t>ЗАМЕНИТЕ НА РЕАЛЬНЫЕ ДАННЫЕ.
ДЕМО, ДО, Апельсин,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70" authorId="0">
      <text>
        <r>
          <rPr>
            <sz val="8"/>
            <color indexed="81"/>
            <rFont val="Tahoma"/>
            <family val="2"/>
          </rPr>
          <t>ЗАМЕНИТЕ НА РЕАЛЬНЫЕ ДАННЫЕ.
ДЕМО, ДО, Апельсин,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70" authorId="0">
      <text>
        <r>
          <rPr>
            <sz val="8"/>
            <color indexed="81"/>
            <rFont val="Tahoma"/>
            <family val="2"/>
          </rPr>
          <t>ЗАМЕНИТЕ НА РЕАЛЬНЫЕ ДАННЫЕ.
ДЕМО, ДО, Апельсин,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70" authorId="0">
      <text>
        <r>
          <rPr>
            <sz val="8"/>
            <color indexed="81"/>
            <rFont val="Tahoma"/>
            <family val="2"/>
          </rPr>
          <t>ЗАМЕНИТЕ НА РЕАЛЬНЫЕ ДАННЫЕ.
ДЕМО, ДО, Апельсин,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70" authorId="0">
      <text>
        <r>
          <rPr>
            <sz val="8"/>
            <color indexed="81"/>
            <rFont val="Tahoma"/>
            <family val="2"/>
          </rPr>
          <t>ЗАМЕНИТЕ НА РЕАЛЬНЫЕ ДАННЫЕ.
ДЕМО, ДО, Апельсин,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70" authorId="0">
      <text>
        <r>
          <rPr>
            <sz val="8"/>
            <color indexed="81"/>
            <rFont val="Tahoma"/>
            <family val="2"/>
          </rPr>
          <t>ЗАМЕНИТЕ НА РЕАЛЬНЫЕ ДАННЫЕ.
ДЕМО, ДО, Апельсин,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71" authorId="0">
      <text>
        <r>
          <rPr>
            <sz val="8"/>
            <color indexed="81"/>
            <rFont val="Tahoma"/>
            <family val="2"/>
          </rPr>
          <t>ЗАМЕНИТЕ НА РЕАЛЬНЫЕ ДАННЫЕ.
ДЕМО, ДО, Апельсин,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71" authorId="0">
      <text>
        <r>
          <rPr>
            <sz val="8"/>
            <color indexed="81"/>
            <rFont val="Tahoma"/>
            <family val="2"/>
          </rPr>
          <t>ЗАМЕНИТЕ НА РЕАЛЬНЫЕ ДАННЫЕ.
ДЕМО, ДО, Апельсин,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71" authorId="0">
      <text>
        <r>
          <rPr>
            <sz val="8"/>
            <color indexed="81"/>
            <rFont val="Tahoma"/>
            <family val="2"/>
          </rPr>
          <t>ЗАМЕНИТЕ НА РЕАЛЬНЫЕ ДАННЫЕ.
ДЕМО, ДО, Апельсин,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71" authorId="0">
      <text>
        <r>
          <rPr>
            <sz val="8"/>
            <color indexed="81"/>
            <rFont val="Tahoma"/>
            <family val="2"/>
          </rPr>
          <t>ЗАМЕНИТЕ НА РЕАЛЬНЫЕ ДАННЫЕ.
ДЕМО, ДО, Апельсин,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71" authorId="0">
      <text>
        <r>
          <rPr>
            <sz val="8"/>
            <color indexed="81"/>
            <rFont val="Tahoma"/>
            <family val="2"/>
          </rPr>
          <t>ЗАМЕНИТЕ НА РЕАЛЬНЫЕ ДАННЫЕ.
ДЕМО, ДО, Апельсин,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71" authorId="0">
      <text>
        <r>
          <rPr>
            <sz val="8"/>
            <color indexed="81"/>
            <rFont val="Tahoma"/>
            <family val="2"/>
          </rPr>
          <t>ЗАМЕНИТЕ НА РЕАЛЬНЫЕ ДАННЫЕ.
ДЕМО, ДО, Апельсин,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71" authorId="0">
      <text>
        <r>
          <rPr>
            <sz val="8"/>
            <color indexed="81"/>
            <rFont val="Tahoma"/>
            <family val="2"/>
          </rPr>
          <t>ЗАМЕНИТЕ НА РЕАЛЬНЫЕ ДАННЫЕ.
ДЕМО, ДО, Апельсин,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71" authorId="0">
      <text>
        <r>
          <rPr>
            <sz val="8"/>
            <color indexed="81"/>
            <rFont val="Tahoma"/>
            <family val="2"/>
          </rPr>
          <t>ЗАМЕНИТЕ НА РЕАЛЬНЫЕ ДАННЫЕ.
ДЕМО, ДО, Апельсин,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71" authorId="0">
      <text>
        <r>
          <rPr>
            <sz val="8"/>
            <color indexed="81"/>
            <rFont val="Tahoma"/>
            <family val="2"/>
          </rPr>
          <t>ЗАМЕНИТЕ НА РЕАЛЬНЫЕ ДАННЫЕ.
ДЕМО, ДО, Апельсин,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71" authorId="0">
      <text>
        <r>
          <rPr>
            <sz val="8"/>
            <color indexed="81"/>
            <rFont val="Tahoma"/>
            <family val="2"/>
          </rPr>
          <t>ЗАМЕНИТЕ НА РЕАЛЬНЫЕ ДАННЫЕ.
ДЕМО, ДО, Апельсин,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72" authorId="0">
      <text>
        <r>
          <rPr>
            <sz val="8"/>
            <color indexed="81"/>
            <rFont val="Tahoma"/>
            <family val="2"/>
          </rPr>
          <t>ЗАМЕНИТЕ НА РЕАЛЬНЫЕ ДАННЫЕ.
ДЕМО, ДО, Апельсин,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72" authorId="0">
      <text>
        <r>
          <rPr>
            <sz val="8"/>
            <color indexed="81"/>
            <rFont val="Tahoma"/>
            <family val="2"/>
          </rPr>
          <t>ЗАМЕНИТЕ НА РЕАЛЬНЫЕ ДАННЫЕ.
ДЕМО, ДО, Апельсин,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72" authorId="0">
      <text>
        <r>
          <rPr>
            <sz val="8"/>
            <color indexed="81"/>
            <rFont val="Tahoma"/>
            <family val="2"/>
          </rPr>
          <t>ЗАМЕНИТЕ НА РЕАЛЬНЫЕ ДАННЫЕ.
ДЕМО, ДО, Апельсин,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72" authorId="0">
      <text>
        <r>
          <rPr>
            <sz val="8"/>
            <color indexed="81"/>
            <rFont val="Tahoma"/>
            <family val="2"/>
          </rPr>
          <t>ЗАМЕНИТЕ НА РЕАЛЬНЫЕ ДАННЫЕ.
ДЕМО, ДО, Апельсин,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72" authorId="0">
      <text>
        <r>
          <rPr>
            <sz val="8"/>
            <color indexed="81"/>
            <rFont val="Tahoma"/>
            <family val="2"/>
          </rPr>
          <t>ЗАМЕНИТЕ НА РЕАЛЬНЫЕ ДАННЫЕ.
ДЕМО, ДО, Апельсин,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72" authorId="0">
      <text>
        <r>
          <rPr>
            <sz val="8"/>
            <color indexed="81"/>
            <rFont val="Tahoma"/>
            <family val="2"/>
          </rPr>
          <t>ЗАМЕНИТЕ НА РЕАЛЬНЫЕ ДАННЫЕ.
ДЕМО, ДО, Апельсин,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72" authorId="0">
      <text>
        <r>
          <rPr>
            <sz val="8"/>
            <color indexed="81"/>
            <rFont val="Tahoma"/>
            <family val="2"/>
          </rPr>
          <t>ЗАМЕНИТЕ НА РЕАЛЬНЫЕ ДАННЫЕ.
ДЕМО, ДО, Апельсин,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72" authorId="0">
      <text>
        <r>
          <rPr>
            <sz val="8"/>
            <color indexed="81"/>
            <rFont val="Tahoma"/>
            <family val="2"/>
          </rPr>
          <t>ЗАМЕНИТЕ НА РЕАЛЬНЫЕ ДАННЫЕ.
ДЕМО, ДО, Апельсин,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72" authorId="0">
      <text>
        <r>
          <rPr>
            <sz val="8"/>
            <color indexed="81"/>
            <rFont val="Tahoma"/>
            <family val="2"/>
          </rPr>
          <t>ЗАМЕНИТЕ НА РЕАЛЬНЫЕ ДАННЫЕ.
ДЕМО, ДО, Апельсин,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72" authorId="0">
      <text>
        <r>
          <rPr>
            <sz val="8"/>
            <color indexed="81"/>
            <rFont val="Tahoma"/>
            <family val="2"/>
          </rPr>
          <t>ЗАМЕНИТЕ НА РЕАЛЬНЫЕ ДАННЫЕ.
ДЕМО, ДО, Апельсин,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73" authorId="0">
      <text>
        <r>
          <rPr>
            <sz val="8"/>
            <color indexed="81"/>
            <rFont val="Tahoma"/>
            <family val="2"/>
          </rPr>
          <t>ЗАМЕНИТЕ НА РЕАЛЬНЫЕ ДАННЫЕ.
ДЕМО, ДО, Апельсин,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73" authorId="0">
      <text>
        <r>
          <rPr>
            <sz val="8"/>
            <color indexed="81"/>
            <rFont val="Tahoma"/>
            <family val="2"/>
          </rPr>
          <t>ЗАМЕНИТЕ НА РЕАЛЬНЫЕ ДАННЫЕ.
ДЕМО, ДО, Апельсин,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73" authorId="0">
      <text>
        <r>
          <rPr>
            <sz val="8"/>
            <color indexed="81"/>
            <rFont val="Tahoma"/>
            <family val="2"/>
          </rPr>
          <t>ЗАМЕНИТЕ НА РЕАЛЬНЫЕ ДАННЫЕ.
ДЕМО, ДО, Апельсин,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73" authorId="0">
      <text>
        <r>
          <rPr>
            <sz val="8"/>
            <color indexed="81"/>
            <rFont val="Tahoma"/>
            <family val="2"/>
          </rPr>
          <t>ЗАМЕНИТЕ НА РЕАЛЬНЫЕ ДАННЫЕ.
ДЕМО, ДО, Апельсин,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73" authorId="0">
      <text>
        <r>
          <rPr>
            <sz val="8"/>
            <color indexed="81"/>
            <rFont val="Tahoma"/>
            <family val="2"/>
          </rPr>
          <t>ЗАМЕНИТЕ НА РЕАЛЬНЫЕ ДАННЫЕ.
ДЕМО, ДО, Апельсин,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73" authorId="0">
      <text>
        <r>
          <rPr>
            <sz val="8"/>
            <color indexed="81"/>
            <rFont val="Tahoma"/>
            <family val="2"/>
          </rPr>
          <t>ЗАМЕНИТЕ НА РЕАЛЬНЫЕ ДАННЫЕ.
ДЕМО, ДО, Апельсин,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73" authorId="0">
      <text>
        <r>
          <rPr>
            <sz val="8"/>
            <color indexed="81"/>
            <rFont val="Tahoma"/>
            <family val="2"/>
          </rPr>
          <t>ЗАМЕНИТЕ НА РЕАЛЬНЫЕ ДАННЫЕ.
ДЕМО, ДО, Апельсин,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73" authorId="0">
      <text>
        <r>
          <rPr>
            <sz val="8"/>
            <color indexed="81"/>
            <rFont val="Tahoma"/>
            <family val="2"/>
          </rPr>
          <t>ЗАМЕНИТЕ НА РЕАЛЬНЫЕ ДАННЫЕ.
ДЕМО, ДО, Апельсин,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73" authorId="0">
      <text>
        <r>
          <rPr>
            <sz val="8"/>
            <color indexed="81"/>
            <rFont val="Tahoma"/>
            <family val="2"/>
          </rPr>
          <t>ЗАМЕНИТЕ НА РЕАЛЬНЫЕ ДАННЫЕ.
ДЕМО, ДО, Апельсин,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73" authorId="0">
      <text>
        <r>
          <rPr>
            <sz val="8"/>
            <color indexed="81"/>
            <rFont val="Tahoma"/>
            <family val="2"/>
          </rPr>
          <t>ЗАМЕНИТЕ НА РЕАЛЬНЫЕ ДАННЫЕ.
ДЕМО, ДО, Апельсин,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75" authorId="0">
      <text>
        <r>
          <rPr>
            <sz val="8"/>
            <color indexed="81"/>
            <rFont val="Tahoma"/>
            <family val="2"/>
          </rPr>
          <t>ЗАМЕНИТЕ НА РЕАЛЬНЫЕ ДАННЫЕ.
ДЕМО, ДО, Апельсин,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75" authorId="0">
      <text>
        <r>
          <rPr>
            <sz val="8"/>
            <color indexed="81"/>
            <rFont val="Tahoma"/>
            <family val="2"/>
          </rPr>
          <t>ЗАМЕНИТЕ НА РЕАЛЬНЫЕ ДАННЫЕ.
ДЕМО, ДО, Апельсин,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75" authorId="0">
      <text>
        <r>
          <rPr>
            <sz val="8"/>
            <color indexed="81"/>
            <rFont val="Tahoma"/>
            <family val="2"/>
          </rPr>
          <t>ЗАМЕНИТЕ НА РЕАЛЬНЫЕ ДАННЫЕ.
ДЕМО, ДО, Апельсин,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75" authorId="0">
      <text>
        <r>
          <rPr>
            <sz val="8"/>
            <color indexed="81"/>
            <rFont val="Tahoma"/>
            <family val="2"/>
          </rPr>
          <t>ЗАМЕНИТЕ НА РЕАЛЬНЫЕ ДАННЫЕ.
ДЕМО, ДО, Апельсин,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75" authorId="0">
      <text>
        <r>
          <rPr>
            <sz val="8"/>
            <color indexed="81"/>
            <rFont val="Tahoma"/>
            <family val="2"/>
          </rPr>
          <t>ЗАМЕНИТЕ НА РЕАЛЬНЫЕ ДАННЫЕ.
ДЕМО, ДО, Апельсин,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75" authorId="0">
      <text>
        <r>
          <rPr>
            <sz val="8"/>
            <color indexed="81"/>
            <rFont val="Tahoma"/>
            <family val="2"/>
          </rPr>
          <t>ЗАМЕНИТЕ НА РЕАЛЬНЫЕ ДАННЫЕ.
ДЕМО, ДО, Апельсин,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75" authorId="0">
      <text>
        <r>
          <rPr>
            <sz val="8"/>
            <color indexed="81"/>
            <rFont val="Tahoma"/>
            <family val="2"/>
          </rPr>
          <t>ЗАМЕНИТЕ НА РЕАЛЬНЫЕ ДАННЫЕ.
ДЕМО, ДО, Апельсин,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75" authorId="0">
      <text>
        <r>
          <rPr>
            <sz val="8"/>
            <color indexed="81"/>
            <rFont val="Tahoma"/>
            <family val="2"/>
          </rPr>
          <t>ЗАМЕНИТЕ НА РЕАЛЬНЫЕ ДАННЫЕ.
ДЕМО, ДО, Апельсин,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75" authorId="0">
      <text>
        <r>
          <rPr>
            <sz val="8"/>
            <color indexed="81"/>
            <rFont val="Tahoma"/>
            <family val="2"/>
          </rPr>
          <t>ЗАМЕНИТЕ НА РЕАЛЬНЫЕ ДАННЫЕ.
ДЕМО, ДО, Апельсин,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75" authorId="0">
      <text>
        <r>
          <rPr>
            <sz val="8"/>
            <color indexed="81"/>
            <rFont val="Tahoma"/>
            <family val="2"/>
          </rPr>
          <t>ЗАМЕНИТЕ НА РЕАЛЬНЫЕ ДАННЫЕ.
ДЕМО, ДО, Апельсин,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76" authorId="0">
      <text>
        <r>
          <rPr>
            <sz val="8"/>
            <color indexed="81"/>
            <rFont val="Tahoma"/>
            <family val="2"/>
          </rPr>
          <t>ЗАМЕНИТЕ НА РЕАЛЬНЫЕ ДАННЫЕ.
ДЕМО, ДО, Апельсин,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76" authorId="0">
      <text>
        <r>
          <rPr>
            <sz val="8"/>
            <color indexed="81"/>
            <rFont val="Tahoma"/>
            <family val="2"/>
          </rPr>
          <t>ЗАМЕНИТЕ НА РЕАЛЬНЫЕ ДАННЫЕ.
ДЕМО, ДО, Апельсин,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76" authorId="0">
      <text>
        <r>
          <rPr>
            <sz val="8"/>
            <color indexed="81"/>
            <rFont val="Tahoma"/>
            <family val="2"/>
          </rPr>
          <t>ЗАМЕНИТЕ НА РЕАЛЬНЫЕ ДАННЫЕ.
ДЕМО, ДО, Апельсин,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76" authorId="0">
      <text>
        <r>
          <rPr>
            <sz val="8"/>
            <color indexed="81"/>
            <rFont val="Tahoma"/>
            <family val="2"/>
          </rPr>
          <t>ЗАМЕНИТЕ НА РЕАЛЬНЫЕ ДАННЫЕ.
ДЕМО, ДО, Апельсин,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76" authorId="0">
      <text>
        <r>
          <rPr>
            <sz val="8"/>
            <color indexed="81"/>
            <rFont val="Tahoma"/>
            <family val="2"/>
          </rPr>
          <t>ЗАМЕНИТЕ НА РЕАЛЬНЫЕ ДАННЫЕ.
ДЕМО, ДО, Апельсин,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76" authorId="0">
      <text>
        <r>
          <rPr>
            <sz val="8"/>
            <color indexed="81"/>
            <rFont val="Tahoma"/>
            <family val="2"/>
          </rPr>
          <t>ЗАМЕНИТЕ НА РЕАЛЬНЫЕ ДАННЫЕ.
ДЕМО, ДО, Апельсин,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76" authorId="0">
      <text>
        <r>
          <rPr>
            <sz val="8"/>
            <color indexed="81"/>
            <rFont val="Tahoma"/>
            <family val="2"/>
          </rPr>
          <t>ЗАМЕНИТЕ НА РЕАЛЬНЫЕ ДАННЫЕ.
ДЕМО, ДО, Апельсин,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76" authorId="0">
      <text>
        <r>
          <rPr>
            <sz val="8"/>
            <color indexed="81"/>
            <rFont val="Tahoma"/>
            <family val="2"/>
          </rPr>
          <t>ЗАМЕНИТЕ НА РЕАЛЬНЫЕ ДАННЫЕ.
ДЕМО, ДО, Апельсин,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76" authorId="0">
      <text>
        <r>
          <rPr>
            <sz val="8"/>
            <color indexed="81"/>
            <rFont val="Tahoma"/>
            <family val="2"/>
          </rPr>
          <t>ЗАМЕНИТЕ НА РЕАЛЬНЫЕ ДАННЫЕ.
ДЕМО, ДО, Апельсин,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76" authorId="0">
      <text>
        <r>
          <rPr>
            <sz val="8"/>
            <color indexed="81"/>
            <rFont val="Tahoma"/>
            <family val="2"/>
          </rPr>
          <t>ЗАМЕНИТЕ НА РЕАЛЬНЫЕ ДАННЫЕ.
ДЕМО, ДО, Апельсин,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77" authorId="0">
      <text>
        <r>
          <rPr>
            <sz val="8"/>
            <color indexed="81"/>
            <rFont val="Tahoma"/>
            <family val="2"/>
          </rPr>
          <t>ЗАМЕНИТЕ НА РЕАЛЬНЫЕ ДАННЫЕ.
ДЕМО, ДО, Апельсин,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77" authorId="0">
      <text>
        <r>
          <rPr>
            <sz val="8"/>
            <color indexed="81"/>
            <rFont val="Tahoma"/>
            <family val="2"/>
          </rPr>
          <t>ЗАМЕНИТЕ НА РЕАЛЬНЫЕ ДАННЫЕ.
ДЕМО, ДО, Апельсин,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77" authorId="0">
      <text>
        <r>
          <rPr>
            <sz val="8"/>
            <color indexed="81"/>
            <rFont val="Tahoma"/>
            <family val="2"/>
          </rPr>
          <t>ЗАМЕНИТЕ НА РЕАЛЬНЫЕ ДАННЫЕ.
ДЕМО, ДО, Апельсин,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77" authorId="0">
      <text>
        <r>
          <rPr>
            <sz val="8"/>
            <color indexed="81"/>
            <rFont val="Tahoma"/>
            <family val="2"/>
          </rPr>
          <t>ЗАМЕНИТЕ НА РЕАЛЬНЫЕ ДАННЫЕ.
ДЕМО, ДО, Апельсин,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77" authorId="0">
      <text>
        <r>
          <rPr>
            <sz val="8"/>
            <color indexed="81"/>
            <rFont val="Tahoma"/>
            <family val="2"/>
          </rPr>
          <t>ЗАМЕНИТЕ НА РЕАЛЬНЫЕ ДАННЫЕ.
ДЕМО, ДО, Апельсин,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77" authorId="0">
      <text>
        <r>
          <rPr>
            <sz val="8"/>
            <color indexed="81"/>
            <rFont val="Tahoma"/>
            <family val="2"/>
          </rPr>
          <t>ЗАМЕНИТЕ НА РЕАЛЬНЫЕ ДАННЫЕ.
ДЕМО, ДО, Апельсин,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77" authorId="0">
      <text>
        <r>
          <rPr>
            <sz val="8"/>
            <color indexed="81"/>
            <rFont val="Tahoma"/>
            <family val="2"/>
          </rPr>
          <t>ЗАМЕНИТЕ НА РЕАЛЬНЫЕ ДАННЫЕ.
ДЕМО, ДО, Апельсин,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77" authorId="0">
      <text>
        <r>
          <rPr>
            <sz val="8"/>
            <color indexed="81"/>
            <rFont val="Tahoma"/>
            <family val="2"/>
          </rPr>
          <t>ЗАМЕНИТЕ НА РЕАЛЬНЫЕ ДАННЫЕ.
ДЕМО, ДО, Апельсин,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77" authorId="0">
      <text>
        <r>
          <rPr>
            <sz val="8"/>
            <color indexed="81"/>
            <rFont val="Tahoma"/>
            <family val="2"/>
          </rPr>
          <t>ЗАМЕНИТЕ НА РЕАЛЬНЫЕ ДАННЫЕ.
ДЕМО, ДО, Апельсин,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77" authorId="0">
      <text>
        <r>
          <rPr>
            <sz val="8"/>
            <color indexed="81"/>
            <rFont val="Tahoma"/>
            <family val="2"/>
          </rPr>
          <t>ЗАМЕНИТЕ НА РЕАЛЬНЫЕ ДАННЫЕ.
ДЕМО, ДО, Апельсин,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78" authorId="0">
      <text>
        <r>
          <rPr>
            <sz val="8"/>
            <color indexed="81"/>
            <rFont val="Tahoma"/>
            <family val="2"/>
          </rPr>
          <t>ЗАМЕНИТЕ НА РЕАЛЬНЫЕ ДАННЫЕ.
ДЕМО, ДО, Апельсин,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78" authorId="0">
      <text>
        <r>
          <rPr>
            <sz val="8"/>
            <color indexed="81"/>
            <rFont val="Tahoma"/>
            <family val="2"/>
          </rPr>
          <t>ЗАМЕНИТЕ НА РЕАЛЬНЫЕ ДАННЫЕ.
ДЕМО, ДО, Апельсин,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78" authorId="0">
      <text>
        <r>
          <rPr>
            <sz val="8"/>
            <color indexed="81"/>
            <rFont val="Tahoma"/>
            <family val="2"/>
          </rPr>
          <t>ЗАМЕНИТЕ НА РЕАЛЬНЫЕ ДАННЫЕ.
ДЕМО, ДО, Апельсин,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78" authorId="0">
      <text>
        <r>
          <rPr>
            <sz val="8"/>
            <color indexed="81"/>
            <rFont val="Tahoma"/>
            <family val="2"/>
          </rPr>
          <t>ЗАМЕНИТЕ НА РЕАЛЬНЫЕ ДАННЫЕ.
ДЕМО, ДО, Апельсин,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78" authorId="0">
      <text>
        <r>
          <rPr>
            <sz val="8"/>
            <color indexed="81"/>
            <rFont val="Tahoma"/>
            <family val="2"/>
          </rPr>
          <t>ЗАМЕНИТЕ НА РЕАЛЬНЫЕ ДАННЫЕ.
ДЕМО, ДО, Апельсин,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78" authorId="0">
      <text>
        <r>
          <rPr>
            <sz val="8"/>
            <color indexed="81"/>
            <rFont val="Tahoma"/>
            <family val="2"/>
          </rPr>
          <t>ЗАМЕНИТЕ НА РЕАЛЬНЫЕ ДАННЫЕ.
ДЕМО, ДО, Апельсин,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78" authorId="0">
      <text>
        <r>
          <rPr>
            <sz val="8"/>
            <color indexed="81"/>
            <rFont val="Tahoma"/>
            <family val="2"/>
          </rPr>
          <t>ЗАМЕНИТЕ НА РЕАЛЬНЫЕ ДАННЫЕ.
ДЕМО, ДО, Апельсин,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78" authorId="0">
      <text>
        <r>
          <rPr>
            <sz val="8"/>
            <color indexed="81"/>
            <rFont val="Tahoma"/>
            <family val="2"/>
          </rPr>
          <t>ЗАМЕНИТЕ НА РЕАЛЬНЫЕ ДАННЫЕ.
ДЕМО, ДО, Апельсин,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78" authorId="0">
      <text>
        <r>
          <rPr>
            <sz val="8"/>
            <color indexed="81"/>
            <rFont val="Tahoma"/>
            <family val="2"/>
          </rPr>
          <t>ЗАМЕНИТЕ НА РЕАЛЬНЫЕ ДАННЫЕ.
ДЕМО, ДО, Апельсин,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78" authorId="0">
      <text>
        <r>
          <rPr>
            <sz val="8"/>
            <color indexed="81"/>
            <rFont val="Tahoma"/>
            <family val="2"/>
          </rPr>
          <t>ЗАМЕНИТЕ НА РЕАЛЬНЫЕ ДАННЫЕ.
ДЕМО, ДО, Апельсин,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79" authorId="0">
      <text>
        <r>
          <rPr>
            <sz val="8"/>
            <color indexed="81"/>
            <rFont val="Tahoma"/>
            <family val="2"/>
          </rPr>
          <t>ЗАМЕНИТЕ НА РЕАЛЬНЫЕ ДАННЫЕ.
ДЕМО, ДО, Апельсин,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79" authorId="0">
      <text>
        <r>
          <rPr>
            <sz val="8"/>
            <color indexed="81"/>
            <rFont val="Tahoma"/>
            <family val="2"/>
          </rPr>
          <t>ЗАМЕНИТЕ НА РЕАЛЬНЫЕ ДАННЫЕ.
ДЕМО, ДО, Апельсин,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79" authorId="0">
      <text>
        <r>
          <rPr>
            <sz val="8"/>
            <color indexed="81"/>
            <rFont val="Tahoma"/>
            <family val="2"/>
          </rPr>
          <t>ЗАМЕНИТЕ НА РЕАЛЬНЫЕ ДАННЫЕ.
ДЕМО, ДО, Апельсин,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79" authorId="0">
      <text>
        <r>
          <rPr>
            <sz val="8"/>
            <color indexed="81"/>
            <rFont val="Tahoma"/>
            <family val="2"/>
          </rPr>
          <t>ЗАМЕНИТЕ НА РЕАЛЬНЫЕ ДАННЫЕ.
ДЕМО, ДО, Апельсин,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79" authorId="0">
      <text>
        <r>
          <rPr>
            <sz val="8"/>
            <color indexed="81"/>
            <rFont val="Tahoma"/>
            <family val="2"/>
          </rPr>
          <t>ЗАМЕНИТЕ НА РЕАЛЬНЫЕ ДАННЫЕ.
ДЕМО, ДО, Апельсин,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79" authorId="0">
      <text>
        <r>
          <rPr>
            <sz val="8"/>
            <color indexed="81"/>
            <rFont val="Tahoma"/>
            <family val="2"/>
          </rPr>
          <t>ЗАМЕНИТЕ НА РЕАЛЬНЫЕ ДАННЫЕ.
ДЕМО, ДО, Апельсин,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79" authorId="0">
      <text>
        <r>
          <rPr>
            <sz val="8"/>
            <color indexed="81"/>
            <rFont val="Tahoma"/>
            <family val="2"/>
          </rPr>
          <t>ЗАМЕНИТЕ НА РЕАЛЬНЫЕ ДАННЫЕ.
ДЕМО, ДО, Апельсин,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79" authorId="0">
      <text>
        <r>
          <rPr>
            <sz val="8"/>
            <color indexed="81"/>
            <rFont val="Tahoma"/>
            <family val="2"/>
          </rPr>
          <t>ЗАМЕНИТЕ НА РЕАЛЬНЫЕ ДАННЫЕ.
ДЕМО, ДО, Апельсин,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79" authorId="0">
      <text>
        <r>
          <rPr>
            <sz val="8"/>
            <color indexed="81"/>
            <rFont val="Tahoma"/>
            <family val="2"/>
          </rPr>
          <t>ЗАМЕНИТЕ НА РЕАЛЬНЫЕ ДАННЫЕ.
ДЕМО, ДО, Апельсин,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79" authorId="0">
      <text>
        <r>
          <rPr>
            <sz val="8"/>
            <color indexed="81"/>
            <rFont val="Tahoma"/>
            <family val="2"/>
          </rPr>
          <t>ЗАМЕНИТЕ НА РЕАЛЬНЫЕ ДАННЫЕ.
ДЕМО, ДО, Апельсин,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List>
</comments>
</file>

<file path=xl/comments4.xml><?xml version="1.0" encoding="utf-8"?>
<comments xmlns="http://schemas.openxmlformats.org/spreadsheetml/2006/main">
  <authors>
    <author>Расчётная книга</author>
  </authors>
  <commentList>
    <comment ref="E10" authorId="0">
      <text>
        <r>
          <rPr>
            <sz val="8"/>
            <color indexed="81"/>
            <rFont val="Tahoma"/>
            <family val="2"/>
          </rPr>
          <t>ЗАМЕНИТЕ НА РЕАЛЬНЫЕ ДАННЫЕ.
Латук, цикл 1. 0 исключает все элементы данного цикла, а не один выброс.</t>
        </r>
      </text>
    </comment>
    <comment ref="F10" authorId="0">
      <text>
        <r>
          <rPr>
            <sz val="8"/>
            <color indexed="81"/>
            <rFont val="Tahoma"/>
            <family val="2"/>
          </rPr>
          <t>ЗАМЕНИТЕ НА РЕАЛЬНЫЕ ДАННЫЕ.
Латук, цикл 2. 0 исключает все элементы данного цикла, а не один выброс.</t>
        </r>
      </text>
    </comment>
    <comment ref="G10" authorId="0">
      <text>
        <r>
          <rPr>
            <sz val="8"/>
            <color indexed="81"/>
            <rFont val="Tahoma"/>
            <family val="2"/>
          </rPr>
          <t>ЗАМЕНИТЕ НА РЕАЛЬНЫЕ ДАННЫЕ.
Латук, цикл 3. 0 исключает все элементы данного цикла, а не один выброс.</t>
        </r>
      </text>
    </comment>
    <comment ref="H10" authorId="0">
      <text>
        <r>
          <rPr>
            <sz val="8"/>
            <color indexed="81"/>
            <rFont val="Tahoma"/>
            <family val="2"/>
          </rPr>
          <t>ЗАМЕНИТЕ НА РЕАЛЬНЫЕ ДАННЫЕ.
Латук, цикл 4. 0 исключает все элементы данного цикла, а не один выброс.</t>
        </r>
      </text>
    </comment>
    <comment ref="I10" authorId="0">
      <text>
        <r>
          <rPr>
            <sz val="8"/>
            <color indexed="81"/>
            <rFont val="Tahoma"/>
            <family val="2"/>
          </rPr>
          <t>ЗАМЕНИТЕ НА РЕАЛЬНЫЕ ДАННЫЕ.
Латук, цикл 5. 0 исключает все элементы данного цикла, а не один выброс.</t>
        </r>
      </text>
    </comment>
    <comment ref="J10" authorId="0">
      <text>
        <r>
          <rPr>
            <sz val="8"/>
            <color indexed="81"/>
            <rFont val="Tahoma"/>
            <family val="2"/>
          </rPr>
          <t>ЗАМЕНИТЕ НА РЕАЛЬНЫЕ ДАННЫЕ.
Латук, цикл 6. 0 исключает все элементы данного цикла, а не один выброс.</t>
        </r>
      </text>
    </comment>
    <comment ref="K10" authorId="0">
      <text>
        <r>
          <rPr>
            <sz val="8"/>
            <color indexed="81"/>
            <rFont val="Tahoma"/>
            <family val="2"/>
          </rPr>
          <t>ЗАМЕНИТЕ НА РЕАЛЬНЫЕ ДАННЫЕ.
Латук, цикл 7. 0 исключает все элементы данного цикла, а не один выброс.</t>
        </r>
      </text>
    </comment>
    <comment ref="L10" authorId="0">
      <text>
        <r>
          <rPr>
            <sz val="8"/>
            <color indexed="81"/>
            <rFont val="Tahoma"/>
            <family val="2"/>
          </rPr>
          <t>ЗАМЕНИТЕ НА РЕАЛЬНЫЕ ДАННЫЕ.
Латук, цикл 8. 0 исключает все элементы данного цикла, а не один выброс.</t>
        </r>
      </text>
    </comment>
    <comment ref="M10" authorId="0">
      <text>
        <r>
          <rPr>
            <sz val="8"/>
            <color indexed="81"/>
            <rFont val="Tahoma"/>
            <family val="2"/>
          </rPr>
          <t>ЗАМЕНИТЕ НА РЕАЛЬНЫЕ ДАННЫЕ.
Латук, цикл 9. 0 исключает все элементы данного цикла, а не один выброс.</t>
        </r>
      </text>
    </comment>
    <comment ref="N10" authorId="0">
      <text>
        <r>
          <rPr>
            <sz val="8"/>
            <color indexed="81"/>
            <rFont val="Tahoma"/>
            <family val="2"/>
          </rPr>
          <t>ЗАМЕНИТЕ НА РЕАЛЬНЫЕ ДАННЫЕ.
Латук, цикл 10. 0 исключает все элементы данного цикла, а не один выброс.</t>
        </r>
      </text>
    </comment>
    <comment ref="E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2" authorId="0">
      <text>
        <r>
          <rPr>
            <sz val="8"/>
            <color indexed="81"/>
            <rFont val="Tahoma"/>
            <family val="2"/>
          </rPr>
          <t>ЗАМЕНИТЕ НА РЕАЛЬНЫЕ ДАННЫЕ.
ДЕМО, ЦЕЛЬ, Латук,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2" authorId="0">
      <text>
        <r>
          <rPr>
            <sz val="8"/>
            <color indexed="81"/>
            <rFont val="Tahoma"/>
            <family val="2"/>
          </rPr>
          <t>ЗАМЕНИТЕ НА РЕАЛЬНЫЕ ДАННЫЕ.
ДЕМО, ЦЕЛЬ, Латук,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2" authorId="0">
      <text>
        <r>
          <rPr>
            <sz val="8"/>
            <color indexed="81"/>
            <rFont val="Tahoma"/>
            <family val="2"/>
          </rPr>
          <t>ЗАМЕНИТЕ НА РЕАЛЬНЫЕ ДАННЫЕ.
ДЕМО, ЦЕЛЬ, Латук,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2" authorId="0">
      <text>
        <r>
          <rPr>
            <sz val="8"/>
            <color indexed="81"/>
            <rFont val="Tahoma"/>
            <family val="2"/>
          </rPr>
          <t>ЗАМЕНИТЕ НА РЕАЛЬНЫЕ ДАННЫЕ.
ДЕМО, ЦЕЛЬ, Латук,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2" authorId="0">
      <text>
        <r>
          <rPr>
            <sz val="8"/>
            <color indexed="81"/>
            <rFont val="Tahoma"/>
            <family val="2"/>
          </rPr>
          <t>ЗАМЕНИТЕ НА РЕАЛЬНЫЕ ДАННЫЕ.
ДЕМО, ЦЕЛЬ, Латук,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2" authorId="0">
      <text>
        <r>
          <rPr>
            <sz val="8"/>
            <color indexed="81"/>
            <rFont val="Tahoma"/>
            <family val="2"/>
          </rPr>
          <t>ЗАМЕНИТЕ НА РЕАЛЬНЫЕ ДАННЫЕ.
ДЕМО, ЦЕЛЬ, Латук,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2" authorId="0">
      <text>
        <r>
          <rPr>
            <sz val="8"/>
            <color indexed="81"/>
            <rFont val="Tahoma"/>
            <family val="2"/>
          </rPr>
          <t>ЗАМЕНИТЕ НА РЕАЛЬНЫЕ ДАННЫЕ.
ДЕМО, ЦЕЛЬ, Латук,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2" authorId="0">
      <text>
        <r>
          <rPr>
            <sz val="8"/>
            <color indexed="81"/>
            <rFont val="Tahoma"/>
            <family val="2"/>
          </rPr>
          <t>ЗАМЕНИТЕ НА РЕАЛЬНЫЕ ДАННЫЕ.
ДЕМО, ЦЕЛЬ, Латук,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2" authorId="0">
      <text>
        <r>
          <rPr>
            <sz val="8"/>
            <color indexed="81"/>
            <rFont val="Tahoma"/>
            <family val="2"/>
          </rPr>
          <t>ЗАМЕНИТЕ НА РЕАЛЬНЫЕ ДАННЫЕ.
ДЕМО, ЦЕЛЬ, Латук,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2" authorId="0">
      <text>
        <r>
          <rPr>
            <sz val="8"/>
            <color indexed="81"/>
            <rFont val="Tahoma"/>
            <family val="2"/>
          </rPr>
          <t>ЗАМЕНИТЕ НА РЕАЛЬНЫЕ ДАННЫЕ.
ДЕМО, ЦЕЛЬ, Латук,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3" authorId="0">
      <text>
        <r>
          <rPr>
            <sz val="8"/>
            <color indexed="81"/>
            <rFont val="Tahoma"/>
            <family val="2"/>
          </rPr>
          <t>ЗАМЕНИТЕ НА РЕАЛЬНЫЕ ДАННЫЕ.
ДЕМО, ЦЕЛЬ, Латук,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3" authorId="0">
      <text>
        <r>
          <rPr>
            <sz val="8"/>
            <color indexed="81"/>
            <rFont val="Tahoma"/>
            <family val="2"/>
          </rPr>
          <t>ЗАМЕНИТЕ НА РЕАЛЬНЫЕ ДАННЫЕ.
ДЕМО, ЦЕЛЬ, Латук,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3" authorId="0">
      <text>
        <r>
          <rPr>
            <sz val="8"/>
            <color indexed="81"/>
            <rFont val="Tahoma"/>
            <family val="2"/>
          </rPr>
          <t>ЗАМЕНИТЕ НА РЕАЛЬНЫЕ ДАННЫЕ.
ДЕМО, ЦЕЛЬ, Латук,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3" authorId="0">
      <text>
        <r>
          <rPr>
            <sz val="8"/>
            <color indexed="81"/>
            <rFont val="Tahoma"/>
            <family val="2"/>
          </rPr>
          <t>ЗАМЕНИТЕ НА РЕАЛЬНЫЕ ДАННЫЕ.
ДЕМО, ЦЕЛЬ, Латук,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3" authorId="0">
      <text>
        <r>
          <rPr>
            <sz val="8"/>
            <color indexed="81"/>
            <rFont val="Tahoma"/>
            <family val="2"/>
          </rPr>
          <t>ЗАМЕНИТЕ НА РЕАЛЬНЫЕ ДАННЫЕ.
ДЕМО, ЦЕЛЬ, Латук,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3" authorId="0">
      <text>
        <r>
          <rPr>
            <sz val="8"/>
            <color indexed="81"/>
            <rFont val="Tahoma"/>
            <family val="2"/>
          </rPr>
          <t>ЗАМЕНИТЕ НА РЕАЛЬНЫЕ ДАННЫЕ.
ДЕМО, ЦЕЛЬ, Латук,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3" authorId="0">
      <text>
        <r>
          <rPr>
            <sz val="8"/>
            <color indexed="81"/>
            <rFont val="Tahoma"/>
            <family val="2"/>
          </rPr>
          <t>ЗАМЕНИТЕ НА РЕАЛЬНЫЕ ДАННЫЕ.
ДЕМО, ЦЕЛЬ, Латук,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3" authorId="0">
      <text>
        <r>
          <rPr>
            <sz val="8"/>
            <color indexed="81"/>
            <rFont val="Tahoma"/>
            <family val="2"/>
          </rPr>
          <t>ЗАМЕНИТЕ НА РЕАЛЬНЫЕ ДАННЫЕ.
ДЕМО, ЦЕЛЬ, Латук,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3" authorId="0">
      <text>
        <r>
          <rPr>
            <sz val="8"/>
            <color indexed="81"/>
            <rFont val="Tahoma"/>
            <family val="2"/>
          </rPr>
          <t>ЗАМЕНИТЕ НА РЕАЛЬНЫЕ ДАННЫЕ.
ДЕМО, ЦЕЛЬ, Латук,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3" authorId="0">
      <text>
        <r>
          <rPr>
            <sz val="8"/>
            <color indexed="81"/>
            <rFont val="Tahoma"/>
            <family val="2"/>
          </rPr>
          <t>ЗАМЕНИТЕ НА РЕАЛЬНЫЕ ДАННЫЕ.
ДЕМО, ЦЕЛЬ, Латук,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4" authorId="0">
      <text>
        <r>
          <rPr>
            <sz val="8"/>
            <color indexed="81"/>
            <rFont val="Tahoma"/>
            <family val="2"/>
          </rPr>
          <t>ЗАМЕНИТЕ НА РЕАЛЬНЫЕ ДАННЫЕ.
ДЕМО, ЦЕЛЬ, Латук,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4" authorId="0">
      <text>
        <r>
          <rPr>
            <sz val="8"/>
            <color indexed="81"/>
            <rFont val="Tahoma"/>
            <family val="2"/>
          </rPr>
          <t>ЗАМЕНИТЕ НА РЕАЛЬНЫЕ ДАННЫЕ.
ДЕМО, ЦЕЛЬ, Латук,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4" authorId="0">
      <text>
        <r>
          <rPr>
            <sz val="8"/>
            <color indexed="81"/>
            <rFont val="Tahoma"/>
            <family val="2"/>
          </rPr>
          <t>ЗАМЕНИТЕ НА РЕАЛЬНЫЕ ДАННЫЕ.
ДЕМО, ЦЕЛЬ, Латук,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4" authorId="0">
      <text>
        <r>
          <rPr>
            <sz val="8"/>
            <color indexed="81"/>
            <rFont val="Tahoma"/>
            <family val="2"/>
          </rPr>
          <t>ЗАМЕНИТЕ НА РЕАЛЬНЫЕ ДАННЫЕ.
ДЕМО, ЦЕЛЬ, Латук,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4" authorId="0">
      <text>
        <r>
          <rPr>
            <sz val="8"/>
            <color indexed="81"/>
            <rFont val="Tahoma"/>
            <family val="2"/>
          </rPr>
          <t>ЗАМЕНИТЕ НА РЕАЛЬНЫЕ ДАННЫЕ.
ДЕМО, ЦЕЛЬ, Латук,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4" authorId="0">
      <text>
        <r>
          <rPr>
            <sz val="8"/>
            <color indexed="81"/>
            <rFont val="Tahoma"/>
            <family val="2"/>
          </rPr>
          <t>ЗАМЕНИТЕ НА РЕАЛЬНЫЕ ДАННЫЕ.
ДЕМО, ЦЕЛЬ, Латук,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4" authorId="0">
      <text>
        <r>
          <rPr>
            <sz val="8"/>
            <color indexed="81"/>
            <rFont val="Tahoma"/>
            <family val="2"/>
          </rPr>
          <t>ЗАМЕНИТЕ НА РЕАЛЬНЫЕ ДАННЫЕ.
ДЕМО, ЦЕЛЬ, Латук,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4" authorId="0">
      <text>
        <r>
          <rPr>
            <sz val="8"/>
            <color indexed="81"/>
            <rFont val="Tahoma"/>
            <family val="2"/>
          </rPr>
          <t>ЗАМЕНИТЕ НА РЕАЛЬНЫЕ ДАННЫЕ.
ДЕМО, ЦЕЛЬ, Латук,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4" authorId="0">
      <text>
        <r>
          <rPr>
            <sz val="8"/>
            <color indexed="81"/>
            <rFont val="Tahoma"/>
            <family val="2"/>
          </rPr>
          <t>ЗАМЕНИТЕ НА РЕАЛЬНЫЕ ДАННЫЕ.
ДЕМО, ЦЕЛЬ, Латук,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4" authorId="0">
      <text>
        <r>
          <rPr>
            <sz val="8"/>
            <color indexed="81"/>
            <rFont val="Tahoma"/>
            <family val="2"/>
          </rPr>
          <t>ЗАМЕНИТЕ НА РЕАЛЬНЫЕ ДАННЫЕ.
ДЕМО, ЦЕЛЬ, Латук,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5" authorId="0">
      <text>
        <r>
          <rPr>
            <sz val="8"/>
            <color indexed="81"/>
            <rFont val="Tahoma"/>
            <family val="2"/>
          </rPr>
          <t>ЗАМЕНИТЕ НА РЕАЛЬНЫЕ ДАННЫЕ.
ДЕМО, ЦЕЛЬ, Латук,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5" authorId="0">
      <text>
        <r>
          <rPr>
            <sz val="8"/>
            <color indexed="81"/>
            <rFont val="Tahoma"/>
            <family val="2"/>
          </rPr>
          <t>ЗАМЕНИТЕ НА РЕАЛЬНЫЕ ДАННЫЕ.
ДЕМО, ЦЕЛЬ, Латук,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5" authorId="0">
      <text>
        <r>
          <rPr>
            <sz val="8"/>
            <color indexed="81"/>
            <rFont val="Tahoma"/>
            <family val="2"/>
          </rPr>
          <t>ЗАМЕНИТЕ НА РЕАЛЬНЫЕ ДАННЫЕ.
ДЕМО, ЦЕЛЬ, Латук,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5" authorId="0">
      <text>
        <r>
          <rPr>
            <sz val="8"/>
            <color indexed="81"/>
            <rFont val="Tahoma"/>
            <family val="2"/>
          </rPr>
          <t>ЗАМЕНИТЕ НА РЕАЛЬНЫЕ ДАННЫЕ.
ДЕМО, ЦЕЛЬ, Латук,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5" authorId="0">
      <text>
        <r>
          <rPr>
            <sz val="8"/>
            <color indexed="81"/>
            <rFont val="Tahoma"/>
            <family val="2"/>
          </rPr>
          <t>ЗАМЕНИТЕ НА РЕАЛЬНЫЕ ДАННЫЕ.
ДЕМО, ЦЕЛЬ, Латук,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5" authorId="0">
      <text>
        <r>
          <rPr>
            <sz val="8"/>
            <color indexed="81"/>
            <rFont val="Tahoma"/>
            <family val="2"/>
          </rPr>
          <t>ЗАМЕНИТЕ НА РЕАЛЬНЫЕ ДАННЫЕ.
ДЕМО, ЦЕЛЬ, Латук,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5" authorId="0">
      <text>
        <r>
          <rPr>
            <sz val="8"/>
            <color indexed="81"/>
            <rFont val="Tahoma"/>
            <family val="2"/>
          </rPr>
          <t>ЗАМЕНИТЕ НА РЕАЛЬНЫЕ ДАННЫЕ.
ДЕМО, ЦЕЛЬ, Латук,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5" authorId="0">
      <text>
        <r>
          <rPr>
            <sz val="8"/>
            <color indexed="81"/>
            <rFont val="Tahoma"/>
            <family val="2"/>
          </rPr>
          <t>ЗАМЕНИТЕ НА РЕАЛЬНЫЕ ДАННЫЕ.
ДЕМО, ЦЕЛЬ, Латук,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5" authorId="0">
      <text>
        <r>
          <rPr>
            <sz val="8"/>
            <color indexed="81"/>
            <rFont val="Tahoma"/>
            <family val="2"/>
          </rPr>
          <t>ЗАМЕНИТЕ НА РЕАЛЬНЫЕ ДАННЫЕ.
ДЕМО, ЦЕЛЬ, Латук,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5" authorId="0">
      <text>
        <r>
          <rPr>
            <sz val="8"/>
            <color indexed="81"/>
            <rFont val="Tahoma"/>
            <family val="2"/>
          </rPr>
          <t>ЗАМЕНИТЕ НА РЕАЛЬНЫЕ ДАННЫЕ.
ДЕМО, ЦЕЛЬ, Латук,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6" authorId="0">
      <text>
        <r>
          <rPr>
            <sz val="8"/>
            <color indexed="81"/>
            <rFont val="Tahoma"/>
            <family val="2"/>
          </rPr>
          <t>ЗАМЕНИТЕ НА РЕАЛЬНЫЕ ДАННЫЕ.
ДЕМО, ЦЕЛЬ, Латук,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6" authorId="0">
      <text>
        <r>
          <rPr>
            <sz val="8"/>
            <color indexed="81"/>
            <rFont val="Tahoma"/>
            <family val="2"/>
          </rPr>
          <t>ЗАМЕНИТЕ НА РЕАЛЬНЫЕ ДАННЫЕ.
ДЕМО, ЦЕЛЬ, Латук,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6" authorId="0">
      <text>
        <r>
          <rPr>
            <sz val="8"/>
            <color indexed="81"/>
            <rFont val="Tahoma"/>
            <family val="2"/>
          </rPr>
          <t>ЗАМЕНИТЕ НА РЕАЛЬНЫЕ ДАННЫЕ.
ДЕМО, ЦЕЛЬ, Латук,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6" authorId="0">
      <text>
        <r>
          <rPr>
            <sz val="8"/>
            <color indexed="81"/>
            <rFont val="Tahoma"/>
            <family val="2"/>
          </rPr>
          <t>ЗАМЕНИТЕ НА РЕАЛЬНЫЕ ДАННЫЕ.
ДЕМО, ЦЕЛЬ, Латук,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6" authorId="0">
      <text>
        <r>
          <rPr>
            <sz val="8"/>
            <color indexed="81"/>
            <rFont val="Tahoma"/>
            <family val="2"/>
          </rPr>
          <t>ЗАМЕНИТЕ НА РЕАЛЬНЫЕ ДАННЫЕ.
ДЕМО, ЦЕЛЬ, Латук,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6" authorId="0">
      <text>
        <r>
          <rPr>
            <sz val="8"/>
            <color indexed="81"/>
            <rFont val="Tahoma"/>
            <family val="2"/>
          </rPr>
          <t>ЗАМЕНИТЕ НА РЕАЛЬНЫЕ ДАННЫЕ.
ДЕМО, ЦЕЛЬ, Латук,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6" authorId="0">
      <text>
        <r>
          <rPr>
            <sz val="8"/>
            <color indexed="81"/>
            <rFont val="Tahoma"/>
            <family val="2"/>
          </rPr>
          <t>ЗАМЕНИТЕ НА РЕАЛЬНЫЕ ДАННЫЕ.
ДЕМО, ЦЕЛЬ, Латук,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6" authorId="0">
      <text>
        <r>
          <rPr>
            <sz val="8"/>
            <color indexed="81"/>
            <rFont val="Tahoma"/>
            <family val="2"/>
          </rPr>
          <t>ЗАМЕНИТЕ НА РЕАЛЬНЫЕ ДАННЫЕ.
ДЕМО, ЦЕЛЬ, Латук,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6" authorId="0">
      <text>
        <r>
          <rPr>
            <sz val="8"/>
            <color indexed="81"/>
            <rFont val="Tahoma"/>
            <family val="2"/>
          </rPr>
          <t>ЗАМЕНИТЕ НА РЕАЛЬНЫЕ ДАННЫЕ.
ДЕМО, ЦЕЛЬ, Латук,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6" authorId="0">
      <text>
        <r>
          <rPr>
            <sz val="8"/>
            <color indexed="81"/>
            <rFont val="Tahoma"/>
            <family val="2"/>
          </rPr>
          <t>ЗАМЕНИТЕ НА РЕАЛЬНЫЕ ДАННЫЕ.
ДЕМО, ЦЕЛЬ, Латук,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8" authorId="0">
      <text>
        <r>
          <rPr>
            <sz val="8"/>
            <color indexed="81"/>
            <rFont val="Tahoma"/>
            <family val="2"/>
          </rPr>
          <t>ЗАМЕНИТЕ НА РЕАЛЬНЫЕ ДАННЫЕ.
ДЕМО, ЦЕЛЬ, Латук,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8" authorId="0">
      <text>
        <r>
          <rPr>
            <sz val="8"/>
            <color indexed="81"/>
            <rFont val="Tahoma"/>
            <family val="2"/>
          </rPr>
          <t>ЗАМЕНИТЕ НА РЕАЛЬНЫЕ ДАННЫЕ.
ДЕМО, ЦЕЛЬ, Латук,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8" authorId="0">
      <text>
        <r>
          <rPr>
            <sz val="8"/>
            <color indexed="81"/>
            <rFont val="Tahoma"/>
            <family val="2"/>
          </rPr>
          <t>ЗАМЕНИТЕ НА РЕАЛЬНЫЕ ДАННЫЕ.
ДЕМО, ЦЕЛЬ, Латук,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8" authorId="0">
      <text>
        <r>
          <rPr>
            <sz val="8"/>
            <color indexed="81"/>
            <rFont val="Tahoma"/>
            <family val="2"/>
          </rPr>
          <t>ЗАМЕНИТЕ НА РЕАЛЬНЫЕ ДАННЫЕ.
ДЕМО, ЦЕЛЬ, Латук,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8" authorId="0">
      <text>
        <r>
          <rPr>
            <sz val="8"/>
            <color indexed="81"/>
            <rFont val="Tahoma"/>
            <family val="2"/>
          </rPr>
          <t>ЗАМЕНИТЕ НА РЕАЛЬНЫЕ ДАННЫЕ.
ДЕМО, ЦЕЛЬ, Латук,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8" authorId="0">
      <text>
        <r>
          <rPr>
            <sz val="8"/>
            <color indexed="81"/>
            <rFont val="Tahoma"/>
            <family val="2"/>
          </rPr>
          <t>ЗАМЕНИТЕ НА РЕАЛЬНЫЕ ДАННЫЕ.
ДЕМО, ЦЕЛЬ, Латук,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8" authorId="0">
      <text>
        <r>
          <rPr>
            <sz val="8"/>
            <color indexed="81"/>
            <rFont val="Tahoma"/>
            <family val="2"/>
          </rPr>
          <t>ЗАМЕНИТЕ НА РЕАЛЬНЫЕ ДАННЫЕ.
ДЕМО, ЦЕЛЬ, Латук,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8" authorId="0">
      <text>
        <r>
          <rPr>
            <sz val="8"/>
            <color indexed="81"/>
            <rFont val="Tahoma"/>
            <family val="2"/>
          </rPr>
          <t>ЗАМЕНИТЕ НА РЕАЛЬНЫЕ ДАННЫЕ.
ДЕМО, ЦЕЛЬ, Латук,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8" authorId="0">
      <text>
        <r>
          <rPr>
            <sz val="8"/>
            <color indexed="81"/>
            <rFont val="Tahoma"/>
            <family val="2"/>
          </rPr>
          <t>ЗАМЕНИТЕ НА РЕАЛЬНЫЕ ДАННЫЕ.
ДЕМО, ЦЕЛЬ, Латук,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8" authorId="0">
      <text>
        <r>
          <rPr>
            <sz val="8"/>
            <color indexed="81"/>
            <rFont val="Tahoma"/>
            <family val="2"/>
          </rPr>
          <t>ЗАМЕНИТЕ НА РЕАЛЬНЫЕ ДАННЫЕ.
ДЕМО, ЦЕЛЬ, Латук,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9" authorId="0">
      <text>
        <r>
          <rPr>
            <sz val="8"/>
            <color indexed="81"/>
            <rFont val="Tahoma"/>
            <family val="2"/>
          </rPr>
          <t>ЗАМЕНИТЕ НА РЕАЛЬНЫЕ ДАННЫЕ.
ДЕМО, ЦЕЛЬ, Латук,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9" authorId="0">
      <text>
        <r>
          <rPr>
            <sz val="8"/>
            <color indexed="81"/>
            <rFont val="Tahoma"/>
            <family val="2"/>
          </rPr>
          <t>ЗАМЕНИТЕ НА РЕАЛЬНЫЕ ДАННЫЕ.
ДЕМО, ЦЕЛЬ, Латук,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9" authorId="0">
      <text>
        <r>
          <rPr>
            <sz val="8"/>
            <color indexed="81"/>
            <rFont val="Tahoma"/>
            <family val="2"/>
          </rPr>
          <t>ЗАМЕНИТЕ НА РЕАЛЬНЫЕ ДАННЫЕ.
ДЕМО, ЦЕЛЬ, Латук,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9" authorId="0">
      <text>
        <r>
          <rPr>
            <sz val="8"/>
            <color indexed="81"/>
            <rFont val="Tahoma"/>
            <family val="2"/>
          </rPr>
          <t>ЗАМЕНИТЕ НА РЕАЛЬНЫЕ ДАННЫЕ.
ДЕМО, ЦЕЛЬ, Латук,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9" authorId="0">
      <text>
        <r>
          <rPr>
            <sz val="8"/>
            <color indexed="81"/>
            <rFont val="Tahoma"/>
            <family val="2"/>
          </rPr>
          <t>ЗАМЕНИТЕ НА РЕАЛЬНЫЕ ДАННЫЕ.
ДЕМО, ЦЕЛЬ, Латук,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9" authorId="0">
      <text>
        <r>
          <rPr>
            <sz val="8"/>
            <color indexed="81"/>
            <rFont val="Tahoma"/>
            <family val="2"/>
          </rPr>
          <t>ЗАМЕНИТЕ НА РЕАЛЬНЫЕ ДАННЫЕ.
ДЕМО, ЦЕЛЬ, Латук,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9" authorId="0">
      <text>
        <r>
          <rPr>
            <sz val="8"/>
            <color indexed="81"/>
            <rFont val="Tahoma"/>
            <family val="2"/>
          </rPr>
          <t>ЗАМЕНИТЕ НА РЕАЛЬНЫЕ ДАННЫЕ.
ДЕМО, ЦЕЛЬ, Латук,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9" authorId="0">
      <text>
        <r>
          <rPr>
            <sz val="8"/>
            <color indexed="81"/>
            <rFont val="Tahoma"/>
            <family val="2"/>
          </rPr>
          <t>ЗАМЕНИТЕ НА РЕАЛЬНЫЕ ДАННЫЕ.
ДЕМО, ЦЕЛЬ, Латук,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9" authorId="0">
      <text>
        <r>
          <rPr>
            <sz val="8"/>
            <color indexed="81"/>
            <rFont val="Tahoma"/>
            <family val="2"/>
          </rPr>
          <t>ЗАМЕНИТЕ НА РЕАЛЬНЫЕ ДАННЫЕ.
ДЕМО, ЦЕЛЬ, Латук,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9" authorId="0">
      <text>
        <r>
          <rPr>
            <sz val="8"/>
            <color indexed="81"/>
            <rFont val="Tahoma"/>
            <family val="2"/>
          </rPr>
          <t>ЗАМЕНИТЕ НА РЕАЛЬНЫЕ ДАННЫЕ.
ДЕМО, ЦЕЛЬ, Латук,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0" authorId="0">
      <text>
        <r>
          <rPr>
            <sz val="8"/>
            <color indexed="81"/>
            <rFont val="Tahoma"/>
            <family val="2"/>
          </rPr>
          <t>ЗАМЕНИТЕ НА РЕАЛЬНЫЕ ДАННЫЕ.
ДЕМО, ЦЕЛЬ, Латук,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0" authorId="0">
      <text>
        <r>
          <rPr>
            <sz val="8"/>
            <color indexed="81"/>
            <rFont val="Tahoma"/>
            <family val="2"/>
          </rPr>
          <t>ЗАМЕНИТЕ НА РЕАЛЬНЫЕ ДАННЫЕ.
ДЕМО, ЦЕЛЬ, Латук,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0" authorId="0">
      <text>
        <r>
          <rPr>
            <sz val="8"/>
            <color indexed="81"/>
            <rFont val="Tahoma"/>
            <family val="2"/>
          </rPr>
          <t>ЗАМЕНИТЕ НА РЕАЛЬНЫЕ ДАННЫЕ.
ДЕМО, ЦЕЛЬ, Латук,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0" authorId="0">
      <text>
        <r>
          <rPr>
            <sz val="8"/>
            <color indexed="81"/>
            <rFont val="Tahoma"/>
            <family val="2"/>
          </rPr>
          <t>ЗАМЕНИТЕ НА РЕАЛЬНЫЕ ДАННЫЕ.
ДЕМО, ЦЕЛЬ, Латук,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0" authorId="0">
      <text>
        <r>
          <rPr>
            <sz val="8"/>
            <color indexed="81"/>
            <rFont val="Tahoma"/>
            <family val="2"/>
          </rPr>
          <t>ЗАМЕНИТЕ НА РЕАЛЬНЫЕ ДАННЫЕ.
ДЕМО, ЦЕЛЬ, Латук,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0" authorId="0">
      <text>
        <r>
          <rPr>
            <sz val="8"/>
            <color indexed="81"/>
            <rFont val="Tahoma"/>
            <family val="2"/>
          </rPr>
          <t>ЗАМЕНИТЕ НА РЕАЛЬНЫЕ ДАННЫЕ.
ДЕМО, ЦЕЛЬ, Латук,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0" authorId="0">
      <text>
        <r>
          <rPr>
            <sz val="8"/>
            <color indexed="81"/>
            <rFont val="Tahoma"/>
            <family val="2"/>
          </rPr>
          <t>ЗАМЕНИТЕ НА РЕАЛЬНЫЕ ДАННЫЕ.
ДЕМО, ЦЕЛЬ, Латук,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0" authorId="0">
      <text>
        <r>
          <rPr>
            <sz val="8"/>
            <color indexed="81"/>
            <rFont val="Tahoma"/>
            <family val="2"/>
          </rPr>
          <t>ЗАМЕНИТЕ НА РЕАЛЬНЫЕ ДАННЫЕ.
ДЕМО, ЦЕЛЬ, Латук,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0" authorId="0">
      <text>
        <r>
          <rPr>
            <sz val="8"/>
            <color indexed="81"/>
            <rFont val="Tahoma"/>
            <family val="2"/>
          </rPr>
          <t>ЗАМЕНИТЕ НА РЕАЛЬНЫЕ ДАННЫЕ.
ДЕМО, ЦЕЛЬ, Латук,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0" authorId="0">
      <text>
        <r>
          <rPr>
            <sz val="8"/>
            <color indexed="81"/>
            <rFont val="Tahoma"/>
            <family val="2"/>
          </rPr>
          <t>ЗАМЕНИТЕ НА РЕАЛЬНЫЕ ДАННЫЕ.
ДЕМО, ЦЕЛЬ, Латук,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1" authorId="0">
      <text>
        <r>
          <rPr>
            <sz val="8"/>
            <color indexed="81"/>
            <rFont val="Tahoma"/>
            <family val="2"/>
          </rPr>
          <t>ЗАМЕНИТЕ НА РЕАЛЬНЫЕ ДАННЫЕ.
ДЕМО, ЦЕЛЬ, Латук,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1" authorId="0">
      <text>
        <r>
          <rPr>
            <sz val="8"/>
            <color indexed="81"/>
            <rFont val="Tahoma"/>
            <family val="2"/>
          </rPr>
          <t>ЗАМЕНИТЕ НА РЕАЛЬНЫЕ ДАННЫЕ.
ДЕМО, ЦЕЛЬ, Латук,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1" authorId="0">
      <text>
        <r>
          <rPr>
            <sz val="8"/>
            <color indexed="81"/>
            <rFont val="Tahoma"/>
            <family val="2"/>
          </rPr>
          <t>ЗАМЕНИТЕ НА РЕАЛЬНЫЕ ДАННЫЕ.
ДЕМО, ЦЕЛЬ, Латук,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1" authorId="0">
      <text>
        <r>
          <rPr>
            <sz val="8"/>
            <color indexed="81"/>
            <rFont val="Tahoma"/>
            <family val="2"/>
          </rPr>
          <t>ЗАМЕНИТЕ НА РЕАЛЬНЫЕ ДАННЫЕ.
ДЕМО, ЦЕЛЬ, Латук,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1" authorId="0">
      <text>
        <r>
          <rPr>
            <sz val="8"/>
            <color indexed="81"/>
            <rFont val="Tahoma"/>
            <family val="2"/>
          </rPr>
          <t>ЗАМЕНИТЕ НА РЕАЛЬНЫЕ ДАННЫЕ.
ДЕМО, ЦЕЛЬ, Латук,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1" authorId="0">
      <text>
        <r>
          <rPr>
            <sz val="8"/>
            <color indexed="81"/>
            <rFont val="Tahoma"/>
            <family val="2"/>
          </rPr>
          <t>ЗАМЕНИТЕ НА РЕАЛЬНЫЕ ДАННЫЕ.
ДЕМО, ЦЕЛЬ, Латук,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1" authorId="0">
      <text>
        <r>
          <rPr>
            <sz val="8"/>
            <color indexed="81"/>
            <rFont val="Tahoma"/>
            <family val="2"/>
          </rPr>
          <t>ЗАМЕНИТЕ НА РЕАЛЬНЫЕ ДАННЫЕ.
ДЕМО, ЦЕЛЬ, Латук,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1" authorId="0">
      <text>
        <r>
          <rPr>
            <sz val="8"/>
            <color indexed="81"/>
            <rFont val="Tahoma"/>
            <family val="2"/>
          </rPr>
          <t>ЗАМЕНИТЕ НА РЕАЛЬНЫЕ ДАННЫЕ.
ДЕМО, ЦЕЛЬ, Латук,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1" authorId="0">
      <text>
        <r>
          <rPr>
            <sz val="8"/>
            <color indexed="81"/>
            <rFont val="Tahoma"/>
            <family val="2"/>
          </rPr>
          <t>ЗАМЕНИТЕ НА РЕАЛЬНЫЕ ДАННЫЕ.
ДЕМО, ЦЕЛЬ, Латук,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1" authorId="0">
      <text>
        <r>
          <rPr>
            <sz val="8"/>
            <color indexed="81"/>
            <rFont val="Tahoma"/>
            <family val="2"/>
          </rPr>
          <t>ЗАМЕНИТЕ НА РЕАЛЬНЫЕ ДАННЫЕ.
ДЕМО, ЦЕЛЬ, Латук,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2" authorId="0">
      <text>
        <r>
          <rPr>
            <sz val="8"/>
            <color indexed="81"/>
            <rFont val="Tahoma"/>
            <family val="2"/>
          </rPr>
          <t>ЗАМЕНИТЕ НА РЕАЛЬНЫЕ ДАННЫЕ.
ДЕМО, ЦЕЛЬ, Латук,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2" authorId="0">
      <text>
        <r>
          <rPr>
            <sz val="8"/>
            <color indexed="81"/>
            <rFont val="Tahoma"/>
            <family val="2"/>
          </rPr>
          <t>ЗАМЕНИТЕ НА РЕАЛЬНЫЕ ДАННЫЕ.
ДЕМО, ЦЕЛЬ, Латук,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2" authorId="0">
      <text>
        <r>
          <rPr>
            <sz val="8"/>
            <color indexed="81"/>
            <rFont val="Tahoma"/>
            <family val="2"/>
          </rPr>
          <t>ЗАМЕНИТЕ НА РЕАЛЬНЫЕ ДАННЫЕ.
ДЕМО, ЦЕЛЬ, Латук,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2" authorId="0">
      <text>
        <r>
          <rPr>
            <sz val="8"/>
            <color indexed="81"/>
            <rFont val="Tahoma"/>
            <family val="2"/>
          </rPr>
          <t>ЗАМЕНИТЕ НА РЕАЛЬНЫЕ ДАННЫЕ.
ДЕМО, ЦЕЛЬ, Латук,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2" authorId="0">
      <text>
        <r>
          <rPr>
            <sz val="8"/>
            <color indexed="81"/>
            <rFont val="Tahoma"/>
            <family val="2"/>
          </rPr>
          <t>ЗАМЕНИТЕ НА РЕАЛЬНЫЕ ДАННЫЕ.
ДЕМО, ЦЕЛЬ, Латук,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2" authorId="0">
      <text>
        <r>
          <rPr>
            <sz val="8"/>
            <color indexed="81"/>
            <rFont val="Tahoma"/>
            <family val="2"/>
          </rPr>
          <t>ЗАМЕНИТЕ НА РЕАЛЬНЫЕ ДАННЫЕ.
ДЕМО, ЦЕЛЬ, Латук,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2" authorId="0">
      <text>
        <r>
          <rPr>
            <sz val="8"/>
            <color indexed="81"/>
            <rFont val="Tahoma"/>
            <family val="2"/>
          </rPr>
          <t>ЗАМЕНИТЕ НА РЕАЛЬНЫЕ ДАННЫЕ.
ДЕМО, ЦЕЛЬ, Латук,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2" authorId="0">
      <text>
        <r>
          <rPr>
            <sz val="8"/>
            <color indexed="81"/>
            <rFont val="Tahoma"/>
            <family val="2"/>
          </rPr>
          <t>ЗАМЕНИТЕ НА РЕАЛЬНЫЕ ДАННЫЕ.
ДЕМО, ЦЕЛЬ, Латук,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2" authorId="0">
      <text>
        <r>
          <rPr>
            <sz val="8"/>
            <color indexed="81"/>
            <rFont val="Tahoma"/>
            <family val="2"/>
          </rPr>
          <t>ЗАМЕНИТЕ НА РЕАЛЬНЫЕ ДАННЫЕ.
ДЕМО, ЦЕЛЬ, Латук,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2" authorId="0">
      <text>
        <r>
          <rPr>
            <sz val="8"/>
            <color indexed="81"/>
            <rFont val="Tahoma"/>
            <family val="2"/>
          </rPr>
          <t>ЗАМЕНИТЕ НА РЕАЛЬНЫЕ ДАННЫЕ.
ДЕМО, ЦЕЛЬ, Латук,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1" authorId="0">
      <text>
        <r>
          <rPr>
            <sz val="8"/>
            <color indexed="81"/>
            <rFont val="Tahoma"/>
            <family val="2"/>
          </rPr>
          <t>ЗАМЕНИТЕ НА РЕАЛЬНЫЕ ДАННЫЕ.
Базилик, цикл 1. 0 исключает все элементы данного цикла, а не один выброс.</t>
        </r>
      </text>
    </comment>
    <comment ref="F31" authorId="0">
      <text>
        <r>
          <rPr>
            <sz val="8"/>
            <color indexed="81"/>
            <rFont val="Tahoma"/>
            <family val="2"/>
          </rPr>
          <t>ЗАМЕНИТЕ НА РЕАЛЬНЫЕ ДАННЫЕ.
Базилик, цикл 2. 0 исключает все элементы данного цикла, а не один выброс.</t>
        </r>
      </text>
    </comment>
    <comment ref="G31" authorId="0">
      <text>
        <r>
          <rPr>
            <sz val="8"/>
            <color indexed="81"/>
            <rFont val="Tahoma"/>
            <family val="2"/>
          </rPr>
          <t>ЗАМЕНИТЕ НА РЕАЛЬНЫЕ ДАННЫЕ.
Базилик, цикл 3. 0 исключает все элементы данного цикла, а не один выброс.</t>
        </r>
      </text>
    </comment>
    <comment ref="H31" authorId="0">
      <text>
        <r>
          <rPr>
            <sz val="8"/>
            <color indexed="81"/>
            <rFont val="Tahoma"/>
            <family val="2"/>
          </rPr>
          <t>ЗАМЕНИТЕ НА РЕАЛЬНЫЕ ДАННЫЕ.
Базилик, цикл 4. 0 исключает все элементы данного цикла, а не один выброс.</t>
        </r>
      </text>
    </comment>
    <comment ref="I31" authorId="0">
      <text>
        <r>
          <rPr>
            <sz val="8"/>
            <color indexed="81"/>
            <rFont val="Tahoma"/>
            <family val="2"/>
          </rPr>
          <t>ЗАМЕНИТЕ НА РЕАЛЬНЫЕ ДАННЫЕ.
Базилик, цикл 5. 0 исключает все элементы данного цикла, а не один выброс.</t>
        </r>
      </text>
    </comment>
    <comment ref="J31" authorId="0">
      <text>
        <r>
          <rPr>
            <sz val="8"/>
            <color indexed="81"/>
            <rFont val="Tahoma"/>
            <family val="2"/>
          </rPr>
          <t>ЗАМЕНИТЕ НА РЕАЛЬНЫЕ ДАННЫЕ.
Базилик, цикл 6. 0 исключает все элементы данного цикла, а не один выброс.</t>
        </r>
      </text>
    </comment>
    <comment ref="K31" authorId="0">
      <text>
        <r>
          <rPr>
            <sz val="8"/>
            <color indexed="81"/>
            <rFont val="Tahoma"/>
            <family val="2"/>
          </rPr>
          <t>ЗАМЕНИТЕ НА РЕАЛЬНЫЕ ДАННЫЕ.
Базилик, цикл 7. 0 исключает все элементы данного цикла, а не один выброс.</t>
        </r>
      </text>
    </comment>
    <comment ref="L31" authorId="0">
      <text>
        <r>
          <rPr>
            <sz val="8"/>
            <color indexed="81"/>
            <rFont val="Tahoma"/>
            <family val="2"/>
          </rPr>
          <t>ЗАМЕНИТЕ НА РЕАЛЬНЫЕ ДАННЫЕ.
Базилик, цикл 8. 0 исключает все элементы данного цикла, а не один выброс.</t>
        </r>
      </text>
    </comment>
    <comment ref="M31" authorId="0">
      <text>
        <r>
          <rPr>
            <sz val="8"/>
            <color indexed="81"/>
            <rFont val="Tahoma"/>
            <family val="2"/>
          </rPr>
          <t>ЗАМЕНИТЕ НА РЕАЛЬНЫЕ ДАННЫЕ.
Базилик, цикл 9. 0 исключает все элементы данного цикла, а не один выброс.</t>
        </r>
      </text>
    </comment>
    <comment ref="N31" authorId="0">
      <text>
        <r>
          <rPr>
            <sz val="8"/>
            <color indexed="81"/>
            <rFont val="Tahoma"/>
            <family val="2"/>
          </rPr>
          <t>ЗАМЕНИТЕ НА РЕАЛЬНЫЕ ДАННЫЕ.
Базилик, цикл 10. 0 исключает все элементы данного цикла, а не один выброс.</t>
        </r>
      </text>
    </comment>
    <comment ref="E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3" authorId="0">
      <text>
        <r>
          <rPr>
            <sz val="8"/>
            <color indexed="81"/>
            <rFont val="Tahoma"/>
            <family val="2"/>
          </rPr>
          <t>ЗАМЕНИТЕ НА РЕАЛЬНЫЕ ДАННЫЕ.
ДЕМО, ЦЕЛЬ, Базилик,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3" authorId="0">
      <text>
        <r>
          <rPr>
            <sz val="8"/>
            <color indexed="81"/>
            <rFont val="Tahoma"/>
            <family val="2"/>
          </rPr>
          <t>ЗАМЕНИТЕ НА РЕАЛЬНЫЕ ДАННЫЕ.
ДЕМО, ЦЕЛЬ, Базилик,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3" authorId="0">
      <text>
        <r>
          <rPr>
            <sz val="8"/>
            <color indexed="81"/>
            <rFont val="Tahoma"/>
            <family val="2"/>
          </rPr>
          <t>ЗАМЕНИТЕ НА РЕАЛЬНЫЕ ДАННЫЕ.
ДЕМО, ЦЕЛЬ, Базилик,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3" authorId="0">
      <text>
        <r>
          <rPr>
            <sz val="8"/>
            <color indexed="81"/>
            <rFont val="Tahoma"/>
            <family val="2"/>
          </rPr>
          <t>ЗАМЕНИТЕ НА РЕАЛЬНЫЕ ДАННЫЕ.
ДЕМО, ЦЕЛЬ, Базилик,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3" authorId="0">
      <text>
        <r>
          <rPr>
            <sz val="8"/>
            <color indexed="81"/>
            <rFont val="Tahoma"/>
            <family val="2"/>
          </rPr>
          <t>ЗАМЕНИТЕ НА РЕАЛЬНЫЕ ДАННЫЕ.
ДЕМО, ЦЕЛЬ, Базилик,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3" authorId="0">
      <text>
        <r>
          <rPr>
            <sz val="8"/>
            <color indexed="81"/>
            <rFont val="Tahoma"/>
            <family val="2"/>
          </rPr>
          <t>ЗАМЕНИТЕ НА РЕАЛЬНЫЕ ДАННЫЕ.
ДЕМО, ЦЕЛЬ, Базилик,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3" authorId="0">
      <text>
        <r>
          <rPr>
            <sz val="8"/>
            <color indexed="81"/>
            <rFont val="Tahoma"/>
            <family val="2"/>
          </rPr>
          <t>ЗАМЕНИТЕ НА РЕАЛЬНЫЕ ДАННЫЕ.
ДЕМО, ЦЕЛЬ, Базилик,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3" authorId="0">
      <text>
        <r>
          <rPr>
            <sz val="8"/>
            <color indexed="81"/>
            <rFont val="Tahoma"/>
            <family val="2"/>
          </rPr>
          <t>ЗАМЕНИТЕ НА РЕАЛЬНЫЕ ДАННЫЕ.
ДЕМО, ЦЕЛЬ, Базилик,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3" authorId="0">
      <text>
        <r>
          <rPr>
            <sz val="8"/>
            <color indexed="81"/>
            <rFont val="Tahoma"/>
            <family val="2"/>
          </rPr>
          <t>ЗАМЕНИТЕ НА РЕАЛЬНЫЕ ДАННЫЕ.
ДЕМО, ЦЕЛЬ, Базилик,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3" authorId="0">
      <text>
        <r>
          <rPr>
            <sz val="8"/>
            <color indexed="81"/>
            <rFont val="Tahoma"/>
            <family val="2"/>
          </rPr>
          <t>ЗАМЕНИТЕ НА РЕАЛЬНЫЕ ДАННЫЕ.
ДЕМО, ЦЕЛЬ, Базилик,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4" authorId="0">
      <text>
        <r>
          <rPr>
            <sz val="8"/>
            <color indexed="81"/>
            <rFont val="Tahoma"/>
            <family val="2"/>
          </rPr>
          <t>ЗАМЕНИТЕ НА РЕАЛЬНЫЕ ДАННЫЕ.
ДЕМО, ЦЕЛЬ, Базилик,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4" authorId="0">
      <text>
        <r>
          <rPr>
            <sz val="8"/>
            <color indexed="81"/>
            <rFont val="Tahoma"/>
            <family val="2"/>
          </rPr>
          <t>ЗАМЕНИТЕ НА РЕАЛЬНЫЕ ДАННЫЕ.
ДЕМО, ЦЕЛЬ, Базилик,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4" authorId="0">
      <text>
        <r>
          <rPr>
            <sz val="8"/>
            <color indexed="81"/>
            <rFont val="Tahoma"/>
            <family val="2"/>
          </rPr>
          <t>ЗАМЕНИТЕ НА РЕАЛЬНЫЕ ДАННЫЕ.
ДЕМО, ЦЕЛЬ, Базилик,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4" authorId="0">
      <text>
        <r>
          <rPr>
            <sz val="8"/>
            <color indexed="81"/>
            <rFont val="Tahoma"/>
            <family val="2"/>
          </rPr>
          <t>ЗАМЕНИТЕ НА РЕАЛЬНЫЕ ДАННЫЕ.
ДЕМО, ЦЕЛЬ, Базилик,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4" authorId="0">
      <text>
        <r>
          <rPr>
            <sz val="8"/>
            <color indexed="81"/>
            <rFont val="Tahoma"/>
            <family val="2"/>
          </rPr>
          <t>ЗАМЕНИТЕ НА РЕАЛЬНЫЕ ДАННЫЕ.
ДЕМО, ЦЕЛЬ, Базилик,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4" authorId="0">
      <text>
        <r>
          <rPr>
            <sz val="8"/>
            <color indexed="81"/>
            <rFont val="Tahoma"/>
            <family val="2"/>
          </rPr>
          <t>ЗАМЕНИТЕ НА РЕАЛЬНЫЕ ДАННЫЕ.
ДЕМО, ЦЕЛЬ, Базилик,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4" authorId="0">
      <text>
        <r>
          <rPr>
            <sz val="8"/>
            <color indexed="81"/>
            <rFont val="Tahoma"/>
            <family val="2"/>
          </rPr>
          <t>ЗАМЕНИТЕ НА РЕАЛЬНЫЕ ДАННЫЕ.
ДЕМО, ЦЕЛЬ, Базилик,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4" authorId="0">
      <text>
        <r>
          <rPr>
            <sz val="8"/>
            <color indexed="81"/>
            <rFont val="Tahoma"/>
            <family val="2"/>
          </rPr>
          <t>ЗАМЕНИТЕ НА РЕАЛЬНЫЕ ДАННЫЕ.
ДЕМО, ЦЕЛЬ, Базилик,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4" authorId="0">
      <text>
        <r>
          <rPr>
            <sz val="8"/>
            <color indexed="81"/>
            <rFont val="Tahoma"/>
            <family val="2"/>
          </rPr>
          <t>ЗАМЕНИТЕ НА РЕАЛЬНЫЕ ДАННЫЕ.
ДЕМО, ЦЕЛЬ, Базилик,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4" authorId="0">
      <text>
        <r>
          <rPr>
            <sz val="8"/>
            <color indexed="81"/>
            <rFont val="Tahoma"/>
            <family val="2"/>
          </rPr>
          <t>ЗАМЕНИТЕ НА РЕАЛЬНЫЕ ДАННЫЕ.
ДЕМО, ЦЕЛЬ, Базилик,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5" authorId="0">
      <text>
        <r>
          <rPr>
            <sz val="8"/>
            <color indexed="81"/>
            <rFont val="Tahoma"/>
            <family val="2"/>
          </rPr>
          <t>ЗАМЕНИТЕ НА РЕАЛЬНЫЕ ДАННЫЕ.
ДЕМО, ЦЕЛЬ, Базилик,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5" authorId="0">
      <text>
        <r>
          <rPr>
            <sz val="8"/>
            <color indexed="81"/>
            <rFont val="Tahoma"/>
            <family val="2"/>
          </rPr>
          <t>ЗАМЕНИТЕ НА РЕАЛЬНЫЕ ДАННЫЕ.
ДЕМО, ЦЕЛЬ, Базилик,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5" authorId="0">
      <text>
        <r>
          <rPr>
            <sz val="8"/>
            <color indexed="81"/>
            <rFont val="Tahoma"/>
            <family val="2"/>
          </rPr>
          <t>ЗАМЕНИТЕ НА РЕАЛЬНЫЕ ДАННЫЕ.
ДЕМО, ЦЕЛЬ, Базилик,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5" authorId="0">
      <text>
        <r>
          <rPr>
            <sz val="8"/>
            <color indexed="81"/>
            <rFont val="Tahoma"/>
            <family val="2"/>
          </rPr>
          <t>ЗАМЕНИТЕ НА РЕАЛЬНЫЕ ДАННЫЕ.
ДЕМО, ЦЕЛЬ, Базилик,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5" authorId="0">
      <text>
        <r>
          <rPr>
            <sz val="8"/>
            <color indexed="81"/>
            <rFont val="Tahoma"/>
            <family val="2"/>
          </rPr>
          <t>ЗАМЕНИТЕ НА РЕАЛЬНЫЕ ДАННЫЕ.
ДЕМО, ЦЕЛЬ, Базилик,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5" authorId="0">
      <text>
        <r>
          <rPr>
            <sz val="8"/>
            <color indexed="81"/>
            <rFont val="Tahoma"/>
            <family val="2"/>
          </rPr>
          <t>ЗАМЕНИТЕ НА РЕАЛЬНЫЕ ДАННЫЕ.
ДЕМО, ЦЕЛЬ, Базилик,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5" authorId="0">
      <text>
        <r>
          <rPr>
            <sz val="8"/>
            <color indexed="81"/>
            <rFont val="Tahoma"/>
            <family val="2"/>
          </rPr>
          <t>ЗАМЕНИТЕ НА РЕАЛЬНЫЕ ДАННЫЕ.
ДЕМО, ЦЕЛЬ, Базилик,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5" authorId="0">
      <text>
        <r>
          <rPr>
            <sz val="8"/>
            <color indexed="81"/>
            <rFont val="Tahoma"/>
            <family val="2"/>
          </rPr>
          <t>ЗАМЕНИТЕ НА РЕАЛЬНЫЕ ДАННЫЕ.
ДЕМО, ЦЕЛЬ, Базилик,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5" authorId="0">
      <text>
        <r>
          <rPr>
            <sz val="8"/>
            <color indexed="81"/>
            <rFont val="Tahoma"/>
            <family val="2"/>
          </rPr>
          <t>ЗАМЕНИТЕ НА РЕАЛЬНЫЕ ДАННЫЕ.
ДЕМО, ЦЕЛЬ, Базилик,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5" authorId="0">
      <text>
        <r>
          <rPr>
            <sz val="8"/>
            <color indexed="81"/>
            <rFont val="Tahoma"/>
            <family val="2"/>
          </rPr>
          <t>ЗАМЕНИТЕ НА РЕАЛЬНЫЕ ДАННЫЕ.
ДЕМО, ЦЕЛЬ, Базилик,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6" authorId="0">
      <text>
        <r>
          <rPr>
            <sz val="8"/>
            <color indexed="81"/>
            <rFont val="Tahoma"/>
            <family val="2"/>
          </rPr>
          <t>ЗАМЕНИТЕ НА РЕАЛЬНЫЕ ДАННЫЕ.
ДЕМО, ЦЕЛЬ, Базилик,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6" authorId="0">
      <text>
        <r>
          <rPr>
            <sz val="8"/>
            <color indexed="81"/>
            <rFont val="Tahoma"/>
            <family val="2"/>
          </rPr>
          <t>ЗАМЕНИТЕ НА РЕАЛЬНЫЕ ДАННЫЕ.
ДЕМО, ЦЕЛЬ, Базилик,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6" authorId="0">
      <text>
        <r>
          <rPr>
            <sz val="8"/>
            <color indexed="81"/>
            <rFont val="Tahoma"/>
            <family val="2"/>
          </rPr>
          <t>ЗАМЕНИТЕ НА РЕАЛЬНЫЕ ДАННЫЕ.
ДЕМО, ЦЕЛЬ, Базилик,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6" authorId="0">
      <text>
        <r>
          <rPr>
            <sz val="8"/>
            <color indexed="81"/>
            <rFont val="Tahoma"/>
            <family val="2"/>
          </rPr>
          <t>ЗАМЕНИТЕ НА РЕАЛЬНЫЕ ДАННЫЕ.
ДЕМО, ЦЕЛЬ, Базилик,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6" authorId="0">
      <text>
        <r>
          <rPr>
            <sz val="8"/>
            <color indexed="81"/>
            <rFont val="Tahoma"/>
            <family val="2"/>
          </rPr>
          <t>ЗАМЕНИТЕ НА РЕАЛЬНЫЕ ДАННЫЕ.
ДЕМО, ЦЕЛЬ, Базилик,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6" authorId="0">
      <text>
        <r>
          <rPr>
            <sz val="8"/>
            <color indexed="81"/>
            <rFont val="Tahoma"/>
            <family val="2"/>
          </rPr>
          <t>ЗАМЕНИТЕ НА РЕАЛЬНЫЕ ДАННЫЕ.
ДЕМО, ЦЕЛЬ, Базилик,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6" authorId="0">
      <text>
        <r>
          <rPr>
            <sz val="8"/>
            <color indexed="81"/>
            <rFont val="Tahoma"/>
            <family val="2"/>
          </rPr>
          <t>ЗАМЕНИТЕ НА РЕАЛЬНЫЕ ДАННЫЕ.
ДЕМО, ЦЕЛЬ, Базилик,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6" authorId="0">
      <text>
        <r>
          <rPr>
            <sz val="8"/>
            <color indexed="81"/>
            <rFont val="Tahoma"/>
            <family val="2"/>
          </rPr>
          <t>ЗАМЕНИТЕ НА РЕАЛЬНЫЕ ДАННЫЕ.
ДЕМО, ЦЕЛЬ, Базилик,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6" authorId="0">
      <text>
        <r>
          <rPr>
            <sz val="8"/>
            <color indexed="81"/>
            <rFont val="Tahoma"/>
            <family val="2"/>
          </rPr>
          <t>ЗАМЕНИТЕ НА РЕАЛЬНЫЕ ДАННЫЕ.
ДЕМО, ЦЕЛЬ, Базилик,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6" authorId="0">
      <text>
        <r>
          <rPr>
            <sz val="8"/>
            <color indexed="81"/>
            <rFont val="Tahoma"/>
            <family val="2"/>
          </rPr>
          <t>ЗАМЕНИТЕ НА РЕАЛЬНЫЕ ДАННЫЕ.
ДЕМО, ЦЕЛЬ, Базилик,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7" authorId="0">
      <text>
        <r>
          <rPr>
            <sz val="8"/>
            <color indexed="81"/>
            <rFont val="Tahoma"/>
            <family val="2"/>
          </rPr>
          <t>ЗАМЕНИТЕ НА РЕАЛЬНЫЕ ДАННЫЕ.
ДЕМО, ЦЕЛЬ, Базилик,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7" authorId="0">
      <text>
        <r>
          <rPr>
            <sz val="8"/>
            <color indexed="81"/>
            <rFont val="Tahoma"/>
            <family val="2"/>
          </rPr>
          <t>ЗАМЕНИТЕ НА РЕАЛЬНЫЕ ДАННЫЕ.
ДЕМО, ЦЕЛЬ, Базилик,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7" authorId="0">
      <text>
        <r>
          <rPr>
            <sz val="8"/>
            <color indexed="81"/>
            <rFont val="Tahoma"/>
            <family val="2"/>
          </rPr>
          <t>ЗАМЕНИТЕ НА РЕАЛЬНЫЕ ДАННЫЕ.
ДЕМО, ЦЕЛЬ, Базилик,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7" authorId="0">
      <text>
        <r>
          <rPr>
            <sz val="8"/>
            <color indexed="81"/>
            <rFont val="Tahoma"/>
            <family val="2"/>
          </rPr>
          <t>ЗАМЕНИТЕ НА РЕАЛЬНЫЕ ДАННЫЕ.
ДЕМО, ЦЕЛЬ, Базилик,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7" authorId="0">
      <text>
        <r>
          <rPr>
            <sz val="8"/>
            <color indexed="81"/>
            <rFont val="Tahoma"/>
            <family val="2"/>
          </rPr>
          <t>ЗАМЕНИТЕ НА РЕАЛЬНЫЕ ДАННЫЕ.
ДЕМО, ЦЕЛЬ, Базилик,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7" authorId="0">
      <text>
        <r>
          <rPr>
            <sz val="8"/>
            <color indexed="81"/>
            <rFont val="Tahoma"/>
            <family val="2"/>
          </rPr>
          <t>ЗАМЕНИТЕ НА РЕАЛЬНЫЕ ДАННЫЕ.
ДЕМО, ЦЕЛЬ, Базилик,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7" authorId="0">
      <text>
        <r>
          <rPr>
            <sz val="8"/>
            <color indexed="81"/>
            <rFont val="Tahoma"/>
            <family val="2"/>
          </rPr>
          <t>ЗАМЕНИТЕ НА РЕАЛЬНЫЕ ДАННЫЕ.
ДЕМО, ЦЕЛЬ, Базилик,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7" authorId="0">
      <text>
        <r>
          <rPr>
            <sz val="8"/>
            <color indexed="81"/>
            <rFont val="Tahoma"/>
            <family val="2"/>
          </rPr>
          <t>ЗАМЕНИТЕ НА РЕАЛЬНЫЕ ДАННЫЕ.
ДЕМО, ЦЕЛЬ, Базилик,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7" authorId="0">
      <text>
        <r>
          <rPr>
            <sz val="8"/>
            <color indexed="81"/>
            <rFont val="Tahoma"/>
            <family val="2"/>
          </rPr>
          <t>ЗАМЕНИТЕ НА РЕАЛЬНЫЕ ДАННЫЕ.
ДЕМО, ЦЕЛЬ, Базилик,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7" authorId="0">
      <text>
        <r>
          <rPr>
            <sz val="8"/>
            <color indexed="81"/>
            <rFont val="Tahoma"/>
            <family val="2"/>
          </rPr>
          <t>ЗАМЕНИТЕ НА РЕАЛЬНЫЕ ДАННЫЕ.
ДЕМО, ЦЕЛЬ, Базилик,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9" authorId="0">
      <text>
        <r>
          <rPr>
            <sz val="8"/>
            <color indexed="81"/>
            <rFont val="Tahoma"/>
            <family val="2"/>
          </rPr>
          <t>ЗАМЕНИТЕ НА РЕАЛЬНЫЕ ДАННЫЕ.
ДЕМО, ЦЕЛЬ, Базилик,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9" authorId="0">
      <text>
        <r>
          <rPr>
            <sz val="8"/>
            <color indexed="81"/>
            <rFont val="Tahoma"/>
            <family val="2"/>
          </rPr>
          <t>ЗАМЕНИТЕ НА РЕАЛЬНЫЕ ДАННЫЕ.
ДЕМО, ЦЕЛЬ, Базилик,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9" authorId="0">
      <text>
        <r>
          <rPr>
            <sz val="8"/>
            <color indexed="81"/>
            <rFont val="Tahoma"/>
            <family val="2"/>
          </rPr>
          <t>ЗАМЕНИТЕ НА РЕАЛЬНЫЕ ДАННЫЕ.
ДЕМО, ЦЕЛЬ, Базилик,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9" authorId="0">
      <text>
        <r>
          <rPr>
            <sz val="8"/>
            <color indexed="81"/>
            <rFont val="Tahoma"/>
            <family val="2"/>
          </rPr>
          <t>ЗАМЕНИТЕ НА РЕАЛЬНЫЕ ДАННЫЕ.
ДЕМО, ЦЕЛЬ, Базилик,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9" authorId="0">
      <text>
        <r>
          <rPr>
            <sz val="8"/>
            <color indexed="81"/>
            <rFont val="Tahoma"/>
            <family val="2"/>
          </rPr>
          <t>ЗАМЕНИТЕ НА РЕАЛЬНЫЕ ДАННЫЕ.
ДЕМО, ЦЕЛЬ, Базилик,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9" authorId="0">
      <text>
        <r>
          <rPr>
            <sz val="8"/>
            <color indexed="81"/>
            <rFont val="Tahoma"/>
            <family val="2"/>
          </rPr>
          <t>ЗАМЕНИТЕ НА РЕАЛЬНЫЕ ДАННЫЕ.
ДЕМО, ЦЕЛЬ, Базилик,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9" authorId="0">
      <text>
        <r>
          <rPr>
            <sz val="8"/>
            <color indexed="81"/>
            <rFont val="Tahoma"/>
            <family val="2"/>
          </rPr>
          <t>ЗАМЕНИТЕ НА РЕАЛЬНЫЕ ДАННЫЕ.
ДЕМО, ЦЕЛЬ, Базилик,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9" authorId="0">
      <text>
        <r>
          <rPr>
            <sz val="8"/>
            <color indexed="81"/>
            <rFont val="Tahoma"/>
            <family val="2"/>
          </rPr>
          <t>ЗАМЕНИТЕ НА РЕАЛЬНЫЕ ДАННЫЕ.
ДЕМО, ЦЕЛЬ, Базилик,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9" authorId="0">
      <text>
        <r>
          <rPr>
            <sz val="8"/>
            <color indexed="81"/>
            <rFont val="Tahoma"/>
            <family val="2"/>
          </rPr>
          <t>ЗАМЕНИТЕ НА РЕАЛЬНЫЕ ДАННЫЕ.
ДЕМО, ЦЕЛЬ, Базилик,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9" authorId="0">
      <text>
        <r>
          <rPr>
            <sz val="8"/>
            <color indexed="81"/>
            <rFont val="Tahoma"/>
            <family val="2"/>
          </rPr>
          <t>ЗАМЕНИТЕ НА РЕАЛЬНЫЕ ДАННЫЕ.
ДЕМО, ЦЕЛЬ, Базилик,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40" authorId="0">
      <text>
        <r>
          <rPr>
            <sz val="8"/>
            <color indexed="81"/>
            <rFont val="Tahoma"/>
            <family val="2"/>
          </rPr>
          <t>ЗАМЕНИТЕ НА РЕАЛЬНЫЕ ДАННЫЕ.
ДЕМО, ЦЕЛЬ, Базилик,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40" authorId="0">
      <text>
        <r>
          <rPr>
            <sz val="8"/>
            <color indexed="81"/>
            <rFont val="Tahoma"/>
            <family val="2"/>
          </rPr>
          <t>ЗАМЕНИТЕ НА РЕАЛЬНЫЕ ДАННЫЕ.
ДЕМО, ЦЕЛЬ, Базилик,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40" authorId="0">
      <text>
        <r>
          <rPr>
            <sz val="8"/>
            <color indexed="81"/>
            <rFont val="Tahoma"/>
            <family val="2"/>
          </rPr>
          <t>ЗАМЕНИТЕ НА РЕАЛЬНЫЕ ДАННЫЕ.
ДЕМО, ЦЕЛЬ, Базилик,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40" authorId="0">
      <text>
        <r>
          <rPr>
            <sz val="8"/>
            <color indexed="81"/>
            <rFont val="Tahoma"/>
            <family val="2"/>
          </rPr>
          <t>ЗАМЕНИТЕ НА РЕАЛЬНЫЕ ДАННЫЕ.
ДЕМО, ЦЕЛЬ, Базилик,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40" authorId="0">
      <text>
        <r>
          <rPr>
            <sz val="8"/>
            <color indexed="81"/>
            <rFont val="Tahoma"/>
            <family val="2"/>
          </rPr>
          <t>ЗАМЕНИТЕ НА РЕАЛЬНЫЕ ДАННЫЕ.
ДЕМО, ЦЕЛЬ, Базилик,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40" authorId="0">
      <text>
        <r>
          <rPr>
            <sz val="8"/>
            <color indexed="81"/>
            <rFont val="Tahoma"/>
            <family val="2"/>
          </rPr>
          <t>ЗАМЕНИТЕ НА РЕАЛЬНЫЕ ДАННЫЕ.
ДЕМО, ЦЕЛЬ, Базилик,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40" authorId="0">
      <text>
        <r>
          <rPr>
            <sz val="8"/>
            <color indexed="81"/>
            <rFont val="Tahoma"/>
            <family val="2"/>
          </rPr>
          <t>ЗАМЕНИТЕ НА РЕАЛЬНЫЕ ДАННЫЕ.
ДЕМО, ЦЕЛЬ, Базилик,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40" authorId="0">
      <text>
        <r>
          <rPr>
            <sz val="8"/>
            <color indexed="81"/>
            <rFont val="Tahoma"/>
            <family val="2"/>
          </rPr>
          <t>ЗАМЕНИТЕ НА РЕАЛЬНЫЕ ДАННЫЕ.
ДЕМО, ЦЕЛЬ, Базилик,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40" authorId="0">
      <text>
        <r>
          <rPr>
            <sz val="8"/>
            <color indexed="81"/>
            <rFont val="Tahoma"/>
            <family val="2"/>
          </rPr>
          <t>ЗАМЕНИТЕ НА РЕАЛЬНЫЕ ДАННЫЕ.
ДЕМО, ЦЕЛЬ, Базилик,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40" authorId="0">
      <text>
        <r>
          <rPr>
            <sz val="8"/>
            <color indexed="81"/>
            <rFont val="Tahoma"/>
            <family val="2"/>
          </rPr>
          <t>ЗАМЕНИТЕ НА РЕАЛЬНЫЕ ДАННЫЕ.
ДЕМО, ЦЕЛЬ, Базилик,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41" authorId="0">
      <text>
        <r>
          <rPr>
            <sz val="8"/>
            <color indexed="81"/>
            <rFont val="Tahoma"/>
            <family val="2"/>
          </rPr>
          <t>ЗАМЕНИТЕ НА РЕАЛЬНЫЕ ДАННЫЕ.
ДЕМО, ЦЕЛЬ, Базилик,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41" authorId="0">
      <text>
        <r>
          <rPr>
            <sz val="8"/>
            <color indexed="81"/>
            <rFont val="Tahoma"/>
            <family val="2"/>
          </rPr>
          <t>ЗАМЕНИТЕ НА РЕАЛЬНЫЕ ДАННЫЕ.
ДЕМО, ЦЕЛЬ, Базилик,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41" authorId="0">
      <text>
        <r>
          <rPr>
            <sz val="8"/>
            <color indexed="81"/>
            <rFont val="Tahoma"/>
            <family val="2"/>
          </rPr>
          <t>ЗАМЕНИТЕ НА РЕАЛЬНЫЕ ДАННЫЕ.
ДЕМО, ЦЕЛЬ, Базилик,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41" authorId="0">
      <text>
        <r>
          <rPr>
            <sz val="8"/>
            <color indexed="81"/>
            <rFont val="Tahoma"/>
            <family val="2"/>
          </rPr>
          <t>ЗАМЕНИТЕ НА РЕАЛЬНЫЕ ДАННЫЕ.
ДЕМО, ЦЕЛЬ, Базилик,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41" authorId="0">
      <text>
        <r>
          <rPr>
            <sz val="8"/>
            <color indexed="81"/>
            <rFont val="Tahoma"/>
            <family val="2"/>
          </rPr>
          <t>ЗАМЕНИТЕ НА РЕАЛЬНЫЕ ДАННЫЕ.
ДЕМО, ЦЕЛЬ, Базилик,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41" authorId="0">
      <text>
        <r>
          <rPr>
            <sz val="8"/>
            <color indexed="81"/>
            <rFont val="Tahoma"/>
            <family val="2"/>
          </rPr>
          <t>ЗАМЕНИТЕ НА РЕАЛЬНЫЕ ДАННЫЕ.
ДЕМО, ЦЕЛЬ, Базилик,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41" authorId="0">
      <text>
        <r>
          <rPr>
            <sz val="8"/>
            <color indexed="81"/>
            <rFont val="Tahoma"/>
            <family val="2"/>
          </rPr>
          <t>ЗАМЕНИТЕ НА РЕАЛЬНЫЕ ДАННЫЕ.
ДЕМО, ЦЕЛЬ, Базилик,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41" authorId="0">
      <text>
        <r>
          <rPr>
            <sz val="8"/>
            <color indexed="81"/>
            <rFont val="Tahoma"/>
            <family val="2"/>
          </rPr>
          <t>ЗАМЕНИТЕ НА РЕАЛЬНЫЕ ДАННЫЕ.
ДЕМО, ЦЕЛЬ, Базилик,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41" authorId="0">
      <text>
        <r>
          <rPr>
            <sz val="8"/>
            <color indexed="81"/>
            <rFont val="Tahoma"/>
            <family val="2"/>
          </rPr>
          <t>ЗАМЕНИТЕ НА РЕАЛЬНЫЕ ДАННЫЕ.
ДЕМО, ЦЕЛЬ, Базилик,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41" authorId="0">
      <text>
        <r>
          <rPr>
            <sz val="8"/>
            <color indexed="81"/>
            <rFont val="Tahoma"/>
            <family val="2"/>
          </rPr>
          <t>ЗАМЕНИТЕ НА РЕАЛЬНЫЕ ДАННЫЕ.
ДЕМО, ЦЕЛЬ, Базилик,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42" authorId="0">
      <text>
        <r>
          <rPr>
            <sz val="8"/>
            <color indexed="81"/>
            <rFont val="Tahoma"/>
            <family val="2"/>
          </rPr>
          <t>ЗАМЕНИТЕ НА РЕАЛЬНЫЕ ДАННЫЕ.
ДЕМО, ЦЕЛЬ, Базилик,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42" authorId="0">
      <text>
        <r>
          <rPr>
            <sz val="8"/>
            <color indexed="81"/>
            <rFont val="Tahoma"/>
            <family val="2"/>
          </rPr>
          <t>ЗАМЕНИТЕ НА РЕАЛЬНЫЕ ДАННЫЕ.
ДЕМО, ЦЕЛЬ, Базилик,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42" authorId="0">
      <text>
        <r>
          <rPr>
            <sz val="8"/>
            <color indexed="81"/>
            <rFont val="Tahoma"/>
            <family val="2"/>
          </rPr>
          <t>ЗАМЕНИТЕ НА РЕАЛЬНЫЕ ДАННЫЕ.
ДЕМО, ЦЕЛЬ, Базилик,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42" authorId="0">
      <text>
        <r>
          <rPr>
            <sz val="8"/>
            <color indexed="81"/>
            <rFont val="Tahoma"/>
            <family val="2"/>
          </rPr>
          <t>ЗАМЕНИТЕ НА РЕАЛЬНЫЕ ДАННЫЕ.
ДЕМО, ЦЕЛЬ, Базилик,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42" authorId="0">
      <text>
        <r>
          <rPr>
            <sz val="8"/>
            <color indexed="81"/>
            <rFont val="Tahoma"/>
            <family val="2"/>
          </rPr>
          <t>ЗАМЕНИТЕ НА РЕАЛЬНЫЕ ДАННЫЕ.
ДЕМО, ЦЕЛЬ, Базилик,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42" authorId="0">
      <text>
        <r>
          <rPr>
            <sz val="8"/>
            <color indexed="81"/>
            <rFont val="Tahoma"/>
            <family val="2"/>
          </rPr>
          <t>ЗАМЕНИТЕ НА РЕАЛЬНЫЕ ДАННЫЕ.
ДЕМО, ЦЕЛЬ, Базилик,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42" authorId="0">
      <text>
        <r>
          <rPr>
            <sz val="8"/>
            <color indexed="81"/>
            <rFont val="Tahoma"/>
            <family val="2"/>
          </rPr>
          <t>ЗАМЕНИТЕ НА РЕАЛЬНЫЕ ДАННЫЕ.
ДЕМО, ЦЕЛЬ, Базилик,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42" authorId="0">
      <text>
        <r>
          <rPr>
            <sz val="8"/>
            <color indexed="81"/>
            <rFont val="Tahoma"/>
            <family val="2"/>
          </rPr>
          <t>ЗАМЕНИТЕ НА РЕАЛЬНЫЕ ДАННЫЕ.
ДЕМО, ЦЕЛЬ, Базилик,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42" authorId="0">
      <text>
        <r>
          <rPr>
            <sz val="8"/>
            <color indexed="81"/>
            <rFont val="Tahoma"/>
            <family val="2"/>
          </rPr>
          <t>ЗАМЕНИТЕ НА РЕАЛЬНЫЕ ДАННЫЕ.
ДЕМО, ЦЕЛЬ, Базилик,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42" authorId="0">
      <text>
        <r>
          <rPr>
            <sz val="8"/>
            <color indexed="81"/>
            <rFont val="Tahoma"/>
            <family val="2"/>
          </rPr>
          <t>ЗАМЕНИТЕ НА РЕАЛЬНЫЕ ДАННЫЕ.
ДЕМО, ЦЕЛЬ, Базилик,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43" authorId="0">
      <text>
        <r>
          <rPr>
            <sz val="8"/>
            <color indexed="81"/>
            <rFont val="Tahoma"/>
            <family val="2"/>
          </rPr>
          <t>ЗАМЕНИТЕ НА РЕАЛЬНЫЕ ДАННЫЕ.
ДЕМО, ЦЕЛЬ, Базилик,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43" authorId="0">
      <text>
        <r>
          <rPr>
            <sz val="8"/>
            <color indexed="81"/>
            <rFont val="Tahoma"/>
            <family val="2"/>
          </rPr>
          <t>ЗАМЕНИТЕ НА РЕАЛЬНЫЕ ДАННЫЕ.
ДЕМО, ЦЕЛЬ, Базилик,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43" authorId="0">
      <text>
        <r>
          <rPr>
            <sz val="8"/>
            <color indexed="81"/>
            <rFont val="Tahoma"/>
            <family val="2"/>
          </rPr>
          <t>ЗАМЕНИТЕ НА РЕАЛЬНЫЕ ДАННЫЕ.
ДЕМО, ЦЕЛЬ, Базилик,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43" authorId="0">
      <text>
        <r>
          <rPr>
            <sz val="8"/>
            <color indexed="81"/>
            <rFont val="Tahoma"/>
            <family val="2"/>
          </rPr>
          <t>ЗАМЕНИТЕ НА РЕАЛЬНЫЕ ДАННЫЕ.
ДЕМО, ЦЕЛЬ, Базилик,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43" authorId="0">
      <text>
        <r>
          <rPr>
            <sz val="8"/>
            <color indexed="81"/>
            <rFont val="Tahoma"/>
            <family val="2"/>
          </rPr>
          <t>ЗАМЕНИТЕ НА РЕАЛЬНЫЕ ДАННЫЕ.
ДЕМО, ЦЕЛЬ, Базилик,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43" authorId="0">
      <text>
        <r>
          <rPr>
            <sz val="8"/>
            <color indexed="81"/>
            <rFont val="Tahoma"/>
            <family val="2"/>
          </rPr>
          <t>ЗАМЕНИТЕ НА РЕАЛЬНЫЕ ДАННЫЕ.
ДЕМО, ЦЕЛЬ, Базилик,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43" authorId="0">
      <text>
        <r>
          <rPr>
            <sz val="8"/>
            <color indexed="81"/>
            <rFont val="Tahoma"/>
            <family val="2"/>
          </rPr>
          <t>ЗАМЕНИТЕ НА РЕАЛЬНЫЕ ДАННЫЕ.
ДЕМО, ЦЕЛЬ, Базилик,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43" authorId="0">
      <text>
        <r>
          <rPr>
            <sz val="8"/>
            <color indexed="81"/>
            <rFont val="Tahoma"/>
            <family val="2"/>
          </rPr>
          <t>ЗАМЕНИТЕ НА РЕАЛЬНЫЕ ДАННЫЕ.
ДЕМО, ЦЕЛЬ, Базилик,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43" authorId="0">
      <text>
        <r>
          <rPr>
            <sz val="8"/>
            <color indexed="81"/>
            <rFont val="Tahoma"/>
            <family val="2"/>
          </rPr>
          <t>ЗАМЕНИТЕ НА РЕАЛЬНЫЕ ДАННЫЕ.
ДЕМО, ЦЕЛЬ, Базилик,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43" authorId="0">
      <text>
        <r>
          <rPr>
            <sz val="8"/>
            <color indexed="81"/>
            <rFont val="Tahoma"/>
            <family val="2"/>
          </rPr>
          <t>ЗАМЕНИТЕ НА РЕАЛЬНЫЕ ДАННЫЕ.
ДЕМО, ЦЕЛЬ, Базилик,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52" authorId="0">
      <text>
        <r>
          <rPr>
            <sz val="8"/>
            <color indexed="81"/>
            <rFont val="Tahoma"/>
            <family val="2"/>
          </rPr>
          <t>ЗАМЕНИТЕ НА РЕАЛЬНЫЕ ДАННЫЕ.
Петрушка, цикл 1. 0 исключает все элементы данного цикла, а не один выброс.</t>
        </r>
      </text>
    </comment>
    <comment ref="F52" authorId="0">
      <text>
        <r>
          <rPr>
            <sz val="8"/>
            <color indexed="81"/>
            <rFont val="Tahoma"/>
            <family val="2"/>
          </rPr>
          <t>ЗАМЕНИТЕ НА РЕАЛЬНЫЕ ДАННЫЕ.
Петрушка, цикл 2. 0 исключает все элементы данного цикла, а не один выброс.</t>
        </r>
      </text>
    </comment>
    <comment ref="G52" authorId="0">
      <text>
        <r>
          <rPr>
            <sz val="8"/>
            <color indexed="81"/>
            <rFont val="Tahoma"/>
            <family val="2"/>
          </rPr>
          <t>ЗАМЕНИТЕ НА РЕАЛЬНЫЕ ДАННЫЕ.
Петрушка, цикл 3. 0 исключает все элементы данного цикла, а не один выброс.</t>
        </r>
      </text>
    </comment>
    <comment ref="H52" authorId="0">
      <text>
        <r>
          <rPr>
            <sz val="8"/>
            <color indexed="81"/>
            <rFont val="Tahoma"/>
            <family val="2"/>
          </rPr>
          <t>ЗАМЕНИТЕ НА РЕАЛЬНЫЕ ДАННЫЕ.
Петрушка, цикл 4. 0 исключает все элементы данного цикла, а не один выброс.</t>
        </r>
      </text>
    </comment>
    <comment ref="I52" authorId="0">
      <text>
        <r>
          <rPr>
            <sz val="8"/>
            <color indexed="81"/>
            <rFont val="Tahoma"/>
            <family val="2"/>
          </rPr>
          <t>ЗАМЕНИТЕ НА РЕАЛЬНЫЕ ДАННЫЕ.
Петрушка, цикл 5. 0 исключает все элементы данного цикла, а не один выброс.</t>
        </r>
      </text>
    </comment>
    <comment ref="J52" authorId="0">
      <text>
        <r>
          <rPr>
            <sz val="8"/>
            <color indexed="81"/>
            <rFont val="Tahoma"/>
            <family val="2"/>
          </rPr>
          <t>ЗАМЕНИТЕ НА РЕАЛЬНЫЕ ДАННЫЕ.
Петрушка, цикл 6. 0 исключает все элементы данного цикла, а не один выброс.</t>
        </r>
      </text>
    </comment>
    <comment ref="K52" authorId="0">
      <text>
        <r>
          <rPr>
            <sz val="8"/>
            <color indexed="81"/>
            <rFont val="Tahoma"/>
            <family val="2"/>
          </rPr>
          <t>ЗАМЕНИТЕ НА РЕАЛЬНЫЕ ДАННЫЕ.
Петрушка, цикл 7. 0 исключает все элементы данного цикла, а не один выброс.</t>
        </r>
      </text>
    </comment>
    <comment ref="L52" authorId="0">
      <text>
        <r>
          <rPr>
            <sz val="8"/>
            <color indexed="81"/>
            <rFont val="Tahoma"/>
            <family val="2"/>
          </rPr>
          <t>ЗАМЕНИТЕ НА РЕАЛЬНЫЕ ДАННЫЕ.
Петрушка, цикл 8. 0 исключает все элементы данного цикла, а не один выброс.</t>
        </r>
      </text>
    </comment>
    <comment ref="M52" authorId="0">
      <text>
        <r>
          <rPr>
            <sz val="8"/>
            <color indexed="81"/>
            <rFont val="Tahoma"/>
            <family val="2"/>
          </rPr>
          <t>ЗАМЕНИТЕ НА РЕАЛЬНЫЕ ДАННЫЕ.
Петрушка, цикл 9. 0 исключает все элементы данного цикла, а не один выброс.</t>
        </r>
      </text>
    </comment>
    <comment ref="N52" authorId="0">
      <text>
        <r>
          <rPr>
            <sz val="8"/>
            <color indexed="81"/>
            <rFont val="Tahoma"/>
            <family val="2"/>
          </rPr>
          <t>ЗАМЕНИТЕ НА РЕАЛЬНЫЕ ДАННЫЕ.
Петрушка, цикл 10. 0 исключает все элементы данного цикла, а не один выброс.</t>
        </r>
      </text>
    </comment>
    <comment ref="E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5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54" authorId="0">
      <text>
        <r>
          <rPr>
            <sz val="8"/>
            <color indexed="81"/>
            <rFont val="Tahoma"/>
            <family val="2"/>
          </rPr>
          <t>ЗАМЕНИТЕ НА РЕАЛЬНЫЕ ДАННЫЕ.
ДЕМО, ЦЕЛЬ, Петрушка,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54" authorId="0">
      <text>
        <r>
          <rPr>
            <sz val="8"/>
            <color indexed="81"/>
            <rFont val="Tahoma"/>
            <family val="2"/>
          </rPr>
          <t>ЗАМЕНИТЕ НА РЕАЛЬНЫЕ ДАННЫЕ.
ДЕМО, ЦЕЛЬ, Петрушка,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54" authorId="0">
      <text>
        <r>
          <rPr>
            <sz val="8"/>
            <color indexed="81"/>
            <rFont val="Tahoma"/>
            <family val="2"/>
          </rPr>
          <t>ЗАМЕНИТЕ НА РЕАЛЬНЫЕ ДАННЫЕ.
ДЕМО, ЦЕЛЬ, Петрушка,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54" authorId="0">
      <text>
        <r>
          <rPr>
            <sz val="8"/>
            <color indexed="81"/>
            <rFont val="Tahoma"/>
            <family val="2"/>
          </rPr>
          <t>ЗАМЕНИТЕ НА РЕАЛЬНЫЕ ДАННЫЕ.
ДЕМО, ЦЕЛЬ, Петрушка,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54" authorId="0">
      <text>
        <r>
          <rPr>
            <sz val="8"/>
            <color indexed="81"/>
            <rFont val="Tahoma"/>
            <family val="2"/>
          </rPr>
          <t>ЗАМЕНИТЕ НА РЕАЛЬНЫЕ ДАННЫЕ.
ДЕМО, ЦЕЛЬ, Петрушка,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54" authorId="0">
      <text>
        <r>
          <rPr>
            <sz val="8"/>
            <color indexed="81"/>
            <rFont val="Tahoma"/>
            <family val="2"/>
          </rPr>
          <t>ЗАМЕНИТЕ НА РЕАЛЬНЫЕ ДАННЫЕ.
ДЕМО, ЦЕЛЬ, Петрушка,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54" authorId="0">
      <text>
        <r>
          <rPr>
            <sz val="8"/>
            <color indexed="81"/>
            <rFont val="Tahoma"/>
            <family val="2"/>
          </rPr>
          <t>ЗАМЕНИТЕ НА РЕАЛЬНЫЕ ДАННЫЕ.
ДЕМО, ЦЕЛЬ, Петрушка,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54" authorId="0">
      <text>
        <r>
          <rPr>
            <sz val="8"/>
            <color indexed="81"/>
            <rFont val="Tahoma"/>
            <family val="2"/>
          </rPr>
          <t>ЗАМЕНИТЕ НА РЕАЛЬНЫЕ ДАННЫЕ.
ДЕМО, ЦЕЛЬ, Петрушка,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54" authorId="0">
      <text>
        <r>
          <rPr>
            <sz val="8"/>
            <color indexed="81"/>
            <rFont val="Tahoma"/>
            <family val="2"/>
          </rPr>
          <t>ЗАМЕНИТЕ НА РЕАЛЬНЫЕ ДАННЫЕ.
ДЕМО, ЦЕЛЬ, Петрушка,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54" authorId="0">
      <text>
        <r>
          <rPr>
            <sz val="8"/>
            <color indexed="81"/>
            <rFont val="Tahoma"/>
            <family val="2"/>
          </rPr>
          <t>ЗАМЕНИТЕ НА РЕАЛЬНЫЕ ДАННЫЕ.
ДЕМО, ЦЕЛЬ, Петрушка,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55" authorId="0">
      <text>
        <r>
          <rPr>
            <sz val="8"/>
            <color indexed="81"/>
            <rFont val="Tahoma"/>
            <family val="2"/>
          </rPr>
          <t>ЗАМЕНИТЕ НА РЕАЛЬНЫЕ ДАННЫЕ.
ДЕМО, ЦЕЛЬ, Петрушка,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55" authorId="0">
      <text>
        <r>
          <rPr>
            <sz val="8"/>
            <color indexed="81"/>
            <rFont val="Tahoma"/>
            <family val="2"/>
          </rPr>
          <t>ЗАМЕНИТЕ НА РЕАЛЬНЫЕ ДАННЫЕ.
ДЕМО, ЦЕЛЬ, Петрушка,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55" authorId="0">
      <text>
        <r>
          <rPr>
            <sz val="8"/>
            <color indexed="81"/>
            <rFont val="Tahoma"/>
            <family val="2"/>
          </rPr>
          <t>ЗАМЕНИТЕ НА РЕАЛЬНЫЕ ДАННЫЕ.
ДЕМО, ЦЕЛЬ, Петрушка,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55" authorId="0">
      <text>
        <r>
          <rPr>
            <sz val="8"/>
            <color indexed="81"/>
            <rFont val="Tahoma"/>
            <family val="2"/>
          </rPr>
          <t>ЗАМЕНИТЕ НА РЕАЛЬНЫЕ ДАННЫЕ.
ДЕМО, ЦЕЛЬ, Петрушка,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55" authorId="0">
      <text>
        <r>
          <rPr>
            <sz val="8"/>
            <color indexed="81"/>
            <rFont val="Tahoma"/>
            <family val="2"/>
          </rPr>
          <t>ЗАМЕНИТЕ НА РЕАЛЬНЫЕ ДАННЫЕ.
ДЕМО, ЦЕЛЬ, Петрушка,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55" authorId="0">
      <text>
        <r>
          <rPr>
            <sz val="8"/>
            <color indexed="81"/>
            <rFont val="Tahoma"/>
            <family val="2"/>
          </rPr>
          <t>ЗАМЕНИТЕ НА РЕАЛЬНЫЕ ДАННЫЕ.
ДЕМО, ЦЕЛЬ, Петрушка,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55" authorId="0">
      <text>
        <r>
          <rPr>
            <sz val="8"/>
            <color indexed="81"/>
            <rFont val="Tahoma"/>
            <family val="2"/>
          </rPr>
          <t>ЗАМЕНИТЕ НА РЕАЛЬНЫЕ ДАННЫЕ.
ДЕМО, ЦЕЛЬ, Петрушка,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55" authorId="0">
      <text>
        <r>
          <rPr>
            <sz val="8"/>
            <color indexed="81"/>
            <rFont val="Tahoma"/>
            <family val="2"/>
          </rPr>
          <t>ЗАМЕНИТЕ НА РЕАЛЬНЫЕ ДАННЫЕ.
ДЕМО, ЦЕЛЬ, Петрушка,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55" authorId="0">
      <text>
        <r>
          <rPr>
            <sz val="8"/>
            <color indexed="81"/>
            <rFont val="Tahoma"/>
            <family val="2"/>
          </rPr>
          <t>ЗАМЕНИТЕ НА РЕАЛЬНЫЕ ДАННЫЕ.
ДЕМО, ЦЕЛЬ, Петрушка,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55" authorId="0">
      <text>
        <r>
          <rPr>
            <sz val="8"/>
            <color indexed="81"/>
            <rFont val="Tahoma"/>
            <family val="2"/>
          </rPr>
          <t>ЗАМЕНИТЕ НА РЕАЛЬНЫЕ ДАННЫЕ.
ДЕМО, ЦЕЛЬ, Петрушка,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56" authorId="0">
      <text>
        <r>
          <rPr>
            <sz val="8"/>
            <color indexed="81"/>
            <rFont val="Tahoma"/>
            <family val="2"/>
          </rPr>
          <t>ЗАМЕНИТЕ НА РЕАЛЬНЫЕ ДАННЫЕ.
ДЕМО, ЦЕЛЬ, Петрушка,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56" authorId="0">
      <text>
        <r>
          <rPr>
            <sz val="8"/>
            <color indexed="81"/>
            <rFont val="Tahoma"/>
            <family val="2"/>
          </rPr>
          <t>ЗАМЕНИТЕ НА РЕАЛЬНЫЕ ДАННЫЕ.
ДЕМО, ЦЕЛЬ, Петрушка,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56" authorId="0">
      <text>
        <r>
          <rPr>
            <sz val="8"/>
            <color indexed="81"/>
            <rFont val="Tahoma"/>
            <family val="2"/>
          </rPr>
          <t>ЗАМЕНИТЕ НА РЕАЛЬНЫЕ ДАННЫЕ.
ДЕМО, ЦЕЛЬ, Петрушка,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56" authorId="0">
      <text>
        <r>
          <rPr>
            <sz val="8"/>
            <color indexed="81"/>
            <rFont val="Tahoma"/>
            <family val="2"/>
          </rPr>
          <t>ЗАМЕНИТЕ НА РЕАЛЬНЫЕ ДАННЫЕ.
ДЕМО, ЦЕЛЬ, Петрушка,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56" authorId="0">
      <text>
        <r>
          <rPr>
            <sz val="8"/>
            <color indexed="81"/>
            <rFont val="Tahoma"/>
            <family val="2"/>
          </rPr>
          <t>ЗАМЕНИТЕ НА РЕАЛЬНЫЕ ДАННЫЕ.
ДЕМО, ЦЕЛЬ, Петрушка,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56" authorId="0">
      <text>
        <r>
          <rPr>
            <sz val="8"/>
            <color indexed="81"/>
            <rFont val="Tahoma"/>
            <family val="2"/>
          </rPr>
          <t>ЗАМЕНИТЕ НА РЕАЛЬНЫЕ ДАННЫЕ.
ДЕМО, ЦЕЛЬ, Петрушка,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56" authorId="0">
      <text>
        <r>
          <rPr>
            <sz val="8"/>
            <color indexed="81"/>
            <rFont val="Tahoma"/>
            <family val="2"/>
          </rPr>
          <t>ЗАМЕНИТЕ НА РЕАЛЬНЫЕ ДАННЫЕ.
ДЕМО, ЦЕЛЬ, Петрушка,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56" authorId="0">
      <text>
        <r>
          <rPr>
            <sz val="8"/>
            <color indexed="81"/>
            <rFont val="Tahoma"/>
            <family val="2"/>
          </rPr>
          <t>ЗАМЕНИТЕ НА РЕАЛЬНЫЕ ДАННЫЕ.
ДЕМО, ЦЕЛЬ, Петрушка,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56" authorId="0">
      <text>
        <r>
          <rPr>
            <sz val="8"/>
            <color indexed="81"/>
            <rFont val="Tahoma"/>
            <family val="2"/>
          </rPr>
          <t>ЗАМЕНИТЕ НА РЕАЛЬНЫЕ ДАННЫЕ.
ДЕМО, ЦЕЛЬ, Петрушка,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56" authorId="0">
      <text>
        <r>
          <rPr>
            <sz val="8"/>
            <color indexed="81"/>
            <rFont val="Tahoma"/>
            <family val="2"/>
          </rPr>
          <t>ЗАМЕНИТЕ НА РЕАЛЬНЫЕ ДАННЫЕ.
ДЕМО, ЦЕЛЬ, Петрушка,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57" authorId="0">
      <text>
        <r>
          <rPr>
            <sz val="8"/>
            <color indexed="81"/>
            <rFont val="Tahoma"/>
            <family val="2"/>
          </rPr>
          <t>ЗАМЕНИТЕ НА РЕАЛЬНЫЕ ДАННЫЕ.
ДЕМО, ЦЕЛЬ, Петрушка,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57" authorId="0">
      <text>
        <r>
          <rPr>
            <sz val="8"/>
            <color indexed="81"/>
            <rFont val="Tahoma"/>
            <family val="2"/>
          </rPr>
          <t>ЗАМЕНИТЕ НА РЕАЛЬНЫЕ ДАННЫЕ.
ДЕМО, ЦЕЛЬ, Петрушка,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57" authorId="0">
      <text>
        <r>
          <rPr>
            <sz val="8"/>
            <color indexed="81"/>
            <rFont val="Tahoma"/>
            <family val="2"/>
          </rPr>
          <t>ЗАМЕНИТЕ НА РЕАЛЬНЫЕ ДАННЫЕ.
ДЕМО, ЦЕЛЬ, Петрушка,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57" authorId="0">
      <text>
        <r>
          <rPr>
            <sz val="8"/>
            <color indexed="81"/>
            <rFont val="Tahoma"/>
            <family val="2"/>
          </rPr>
          <t>ЗАМЕНИТЕ НА РЕАЛЬНЫЕ ДАННЫЕ.
ДЕМО, ЦЕЛЬ, Петрушка,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57" authorId="0">
      <text>
        <r>
          <rPr>
            <sz val="8"/>
            <color indexed="81"/>
            <rFont val="Tahoma"/>
            <family val="2"/>
          </rPr>
          <t>ЗАМЕНИТЕ НА РЕАЛЬНЫЕ ДАННЫЕ.
ДЕМО, ЦЕЛЬ, Петрушка,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57" authorId="0">
      <text>
        <r>
          <rPr>
            <sz val="8"/>
            <color indexed="81"/>
            <rFont val="Tahoma"/>
            <family val="2"/>
          </rPr>
          <t>ЗАМЕНИТЕ НА РЕАЛЬНЫЕ ДАННЫЕ.
ДЕМО, ЦЕЛЬ, Петрушка,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57" authorId="0">
      <text>
        <r>
          <rPr>
            <sz val="8"/>
            <color indexed="81"/>
            <rFont val="Tahoma"/>
            <family val="2"/>
          </rPr>
          <t>ЗАМЕНИТЕ НА РЕАЛЬНЫЕ ДАННЫЕ.
ДЕМО, ЦЕЛЬ, Петрушка,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57" authorId="0">
      <text>
        <r>
          <rPr>
            <sz val="8"/>
            <color indexed="81"/>
            <rFont val="Tahoma"/>
            <family val="2"/>
          </rPr>
          <t>ЗАМЕНИТЕ НА РЕАЛЬНЫЕ ДАННЫЕ.
ДЕМО, ЦЕЛЬ, Петрушка,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57" authorId="0">
      <text>
        <r>
          <rPr>
            <sz val="8"/>
            <color indexed="81"/>
            <rFont val="Tahoma"/>
            <family val="2"/>
          </rPr>
          <t>ЗАМЕНИТЕ НА РЕАЛЬНЫЕ ДАННЫЕ.
ДЕМО, ЦЕЛЬ, Петрушка,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57" authorId="0">
      <text>
        <r>
          <rPr>
            <sz val="8"/>
            <color indexed="81"/>
            <rFont val="Tahoma"/>
            <family val="2"/>
          </rPr>
          <t>ЗАМЕНИТЕ НА РЕАЛЬНЫЕ ДАННЫЕ.
ДЕМО, ЦЕЛЬ, Петрушка,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58" authorId="0">
      <text>
        <r>
          <rPr>
            <sz val="8"/>
            <color indexed="81"/>
            <rFont val="Tahoma"/>
            <family val="2"/>
          </rPr>
          <t>ЗАМЕНИТЕ НА РЕАЛЬНЫЕ ДАННЫЕ.
ДЕМО, ЦЕЛЬ, Петрушка,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58" authorId="0">
      <text>
        <r>
          <rPr>
            <sz val="8"/>
            <color indexed="81"/>
            <rFont val="Tahoma"/>
            <family val="2"/>
          </rPr>
          <t>ЗАМЕНИТЕ НА РЕАЛЬНЫЕ ДАННЫЕ.
ДЕМО, ЦЕЛЬ, Петрушка,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58" authorId="0">
      <text>
        <r>
          <rPr>
            <sz val="8"/>
            <color indexed="81"/>
            <rFont val="Tahoma"/>
            <family val="2"/>
          </rPr>
          <t>ЗАМЕНИТЕ НА РЕАЛЬНЫЕ ДАННЫЕ.
ДЕМО, ЦЕЛЬ, Петрушка,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58" authorId="0">
      <text>
        <r>
          <rPr>
            <sz val="8"/>
            <color indexed="81"/>
            <rFont val="Tahoma"/>
            <family val="2"/>
          </rPr>
          <t>ЗАМЕНИТЕ НА РЕАЛЬНЫЕ ДАННЫЕ.
ДЕМО, ЦЕЛЬ, Петрушка,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58" authorId="0">
      <text>
        <r>
          <rPr>
            <sz val="8"/>
            <color indexed="81"/>
            <rFont val="Tahoma"/>
            <family val="2"/>
          </rPr>
          <t>ЗАМЕНИТЕ НА РЕАЛЬНЫЕ ДАННЫЕ.
ДЕМО, ЦЕЛЬ, Петрушка,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58" authorId="0">
      <text>
        <r>
          <rPr>
            <sz val="8"/>
            <color indexed="81"/>
            <rFont val="Tahoma"/>
            <family val="2"/>
          </rPr>
          <t>ЗАМЕНИТЕ НА РЕАЛЬНЫЕ ДАННЫЕ.
ДЕМО, ЦЕЛЬ, Петрушка,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58" authorId="0">
      <text>
        <r>
          <rPr>
            <sz val="8"/>
            <color indexed="81"/>
            <rFont val="Tahoma"/>
            <family val="2"/>
          </rPr>
          <t>ЗАМЕНИТЕ НА РЕАЛЬНЫЕ ДАННЫЕ.
ДЕМО, ЦЕЛЬ, Петрушка,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58" authorId="0">
      <text>
        <r>
          <rPr>
            <sz val="8"/>
            <color indexed="81"/>
            <rFont val="Tahoma"/>
            <family val="2"/>
          </rPr>
          <t>ЗАМЕНИТЕ НА РЕАЛЬНЫЕ ДАННЫЕ.
ДЕМО, ЦЕЛЬ, Петрушка,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58" authorId="0">
      <text>
        <r>
          <rPr>
            <sz val="8"/>
            <color indexed="81"/>
            <rFont val="Tahoma"/>
            <family val="2"/>
          </rPr>
          <t>ЗАМЕНИТЕ НА РЕАЛЬНЫЕ ДАННЫЕ.
ДЕМО, ЦЕЛЬ, Петрушка,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58" authorId="0">
      <text>
        <r>
          <rPr>
            <sz val="8"/>
            <color indexed="81"/>
            <rFont val="Tahoma"/>
            <family val="2"/>
          </rPr>
          <t>ЗАМЕНИТЕ НА РЕАЛЬНЫЕ ДАННЫЕ.
ДЕМО, ЦЕЛЬ, Петрушка,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60" authorId="0">
      <text>
        <r>
          <rPr>
            <sz val="8"/>
            <color indexed="81"/>
            <rFont val="Tahoma"/>
            <family val="2"/>
          </rPr>
          <t>ЗАМЕНИТЕ НА РЕАЛЬНЫЕ ДАННЫЕ.
ДЕМО, ЦЕЛЬ, Петрушка,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60" authorId="0">
      <text>
        <r>
          <rPr>
            <sz val="8"/>
            <color indexed="81"/>
            <rFont val="Tahoma"/>
            <family val="2"/>
          </rPr>
          <t>ЗАМЕНИТЕ НА РЕАЛЬНЫЕ ДАННЫЕ.
ДЕМО, ЦЕЛЬ, Петрушка,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60" authorId="0">
      <text>
        <r>
          <rPr>
            <sz val="8"/>
            <color indexed="81"/>
            <rFont val="Tahoma"/>
            <family val="2"/>
          </rPr>
          <t>ЗАМЕНИТЕ НА РЕАЛЬНЫЕ ДАННЫЕ.
ДЕМО, ЦЕЛЬ, Петрушка,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60" authorId="0">
      <text>
        <r>
          <rPr>
            <sz val="8"/>
            <color indexed="81"/>
            <rFont val="Tahoma"/>
            <family val="2"/>
          </rPr>
          <t>ЗАМЕНИТЕ НА РЕАЛЬНЫЕ ДАННЫЕ.
ДЕМО, ЦЕЛЬ, Петрушка,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60" authorId="0">
      <text>
        <r>
          <rPr>
            <sz val="8"/>
            <color indexed="81"/>
            <rFont val="Tahoma"/>
            <family val="2"/>
          </rPr>
          <t>ЗАМЕНИТЕ НА РЕАЛЬНЫЕ ДАННЫЕ.
ДЕМО, ЦЕЛЬ, Петрушка,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60" authorId="0">
      <text>
        <r>
          <rPr>
            <sz val="8"/>
            <color indexed="81"/>
            <rFont val="Tahoma"/>
            <family val="2"/>
          </rPr>
          <t>ЗАМЕНИТЕ НА РЕАЛЬНЫЕ ДАННЫЕ.
ДЕМО, ЦЕЛЬ, Петрушка,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60" authorId="0">
      <text>
        <r>
          <rPr>
            <sz val="8"/>
            <color indexed="81"/>
            <rFont val="Tahoma"/>
            <family val="2"/>
          </rPr>
          <t>ЗАМЕНИТЕ НА РЕАЛЬНЫЕ ДАННЫЕ.
ДЕМО, ЦЕЛЬ, Петрушка,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60" authorId="0">
      <text>
        <r>
          <rPr>
            <sz val="8"/>
            <color indexed="81"/>
            <rFont val="Tahoma"/>
            <family val="2"/>
          </rPr>
          <t>ЗАМЕНИТЕ НА РЕАЛЬНЫЕ ДАННЫЕ.
ДЕМО, ЦЕЛЬ, Петрушка,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60" authorId="0">
      <text>
        <r>
          <rPr>
            <sz val="8"/>
            <color indexed="81"/>
            <rFont val="Tahoma"/>
            <family val="2"/>
          </rPr>
          <t>ЗАМЕНИТЕ НА РЕАЛЬНЫЕ ДАННЫЕ.
ДЕМО, ЦЕЛЬ, Петрушка,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60" authorId="0">
      <text>
        <r>
          <rPr>
            <sz val="8"/>
            <color indexed="81"/>
            <rFont val="Tahoma"/>
            <family val="2"/>
          </rPr>
          <t>ЗАМЕНИТЕ НА РЕАЛЬНЫЕ ДАННЫЕ.
ДЕМО, ЦЕЛЬ, Петрушка,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61" authorId="0">
      <text>
        <r>
          <rPr>
            <sz val="8"/>
            <color indexed="81"/>
            <rFont val="Tahoma"/>
            <family val="2"/>
          </rPr>
          <t>ЗАМЕНИТЕ НА РЕАЛЬНЫЕ ДАННЫЕ.
ДЕМО, ЦЕЛЬ, Петрушка,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61" authorId="0">
      <text>
        <r>
          <rPr>
            <sz val="8"/>
            <color indexed="81"/>
            <rFont val="Tahoma"/>
            <family val="2"/>
          </rPr>
          <t>ЗАМЕНИТЕ НА РЕАЛЬНЫЕ ДАННЫЕ.
ДЕМО, ЦЕЛЬ, Петрушка,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61" authorId="0">
      <text>
        <r>
          <rPr>
            <sz val="8"/>
            <color indexed="81"/>
            <rFont val="Tahoma"/>
            <family val="2"/>
          </rPr>
          <t>ЗАМЕНИТЕ НА РЕАЛЬНЫЕ ДАННЫЕ.
ДЕМО, ЦЕЛЬ, Петрушка,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61" authorId="0">
      <text>
        <r>
          <rPr>
            <sz val="8"/>
            <color indexed="81"/>
            <rFont val="Tahoma"/>
            <family val="2"/>
          </rPr>
          <t>ЗАМЕНИТЕ НА РЕАЛЬНЫЕ ДАННЫЕ.
ДЕМО, ЦЕЛЬ, Петрушка,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61" authorId="0">
      <text>
        <r>
          <rPr>
            <sz val="8"/>
            <color indexed="81"/>
            <rFont val="Tahoma"/>
            <family val="2"/>
          </rPr>
          <t>ЗАМЕНИТЕ НА РЕАЛЬНЫЕ ДАННЫЕ.
ДЕМО, ЦЕЛЬ, Петрушка,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61" authorId="0">
      <text>
        <r>
          <rPr>
            <sz val="8"/>
            <color indexed="81"/>
            <rFont val="Tahoma"/>
            <family val="2"/>
          </rPr>
          <t>ЗАМЕНИТЕ НА РЕАЛЬНЫЕ ДАННЫЕ.
ДЕМО, ЦЕЛЬ, Петрушка,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61" authorId="0">
      <text>
        <r>
          <rPr>
            <sz val="8"/>
            <color indexed="81"/>
            <rFont val="Tahoma"/>
            <family val="2"/>
          </rPr>
          <t>ЗАМЕНИТЕ НА РЕАЛЬНЫЕ ДАННЫЕ.
ДЕМО, ЦЕЛЬ, Петрушка,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61" authorId="0">
      <text>
        <r>
          <rPr>
            <sz val="8"/>
            <color indexed="81"/>
            <rFont val="Tahoma"/>
            <family val="2"/>
          </rPr>
          <t>ЗАМЕНИТЕ НА РЕАЛЬНЫЕ ДАННЫЕ.
ДЕМО, ЦЕЛЬ, Петрушка,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61" authorId="0">
      <text>
        <r>
          <rPr>
            <sz val="8"/>
            <color indexed="81"/>
            <rFont val="Tahoma"/>
            <family val="2"/>
          </rPr>
          <t>ЗАМЕНИТЕ НА РЕАЛЬНЫЕ ДАННЫЕ.
ДЕМО, ЦЕЛЬ, Петрушка,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61" authorId="0">
      <text>
        <r>
          <rPr>
            <sz val="8"/>
            <color indexed="81"/>
            <rFont val="Tahoma"/>
            <family val="2"/>
          </rPr>
          <t>ЗАМЕНИТЕ НА РЕАЛЬНЫЕ ДАННЫЕ.
ДЕМО, ЦЕЛЬ, Петрушка,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62" authorId="0">
      <text>
        <r>
          <rPr>
            <sz val="8"/>
            <color indexed="81"/>
            <rFont val="Tahoma"/>
            <family val="2"/>
          </rPr>
          <t>ЗАМЕНИТЕ НА РЕАЛЬНЫЕ ДАННЫЕ.
ДЕМО, ЦЕЛЬ, Петрушка,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62" authorId="0">
      <text>
        <r>
          <rPr>
            <sz val="8"/>
            <color indexed="81"/>
            <rFont val="Tahoma"/>
            <family val="2"/>
          </rPr>
          <t>ЗАМЕНИТЕ НА РЕАЛЬНЫЕ ДАННЫЕ.
ДЕМО, ЦЕЛЬ, Петрушка,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62" authorId="0">
      <text>
        <r>
          <rPr>
            <sz val="8"/>
            <color indexed="81"/>
            <rFont val="Tahoma"/>
            <family val="2"/>
          </rPr>
          <t>ЗАМЕНИТЕ НА РЕАЛЬНЫЕ ДАННЫЕ.
ДЕМО, ЦЕЛЬ, Петрушка,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62" authorId="0">
      <text>
        <r>
          <rPr>
            <sz val="8"/>
            <color indexed="81"/>
            <rFont val="Tahoma"/>
            <family val="2"/>
          </rPr>
          <t>ЗАМЕНИТЕ НА РЕАЛЬНЫЕ ДАННЫЕ.
ДЕМО, ЦЕЛЬ, Петрушка,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62" authorId="0">
      <text>
        <r>
          <rPr>
            <sz val="8"/>
            <color indexed="81"/>
            <rFont val="Tahoma"/>
            <family val="2"/>
          </rPr>
          <t>ЗАМЕНИТЕ НА РЕАЛЬНЫЕ ДАННЫЕ.
ДЕМО, ЦЕЛЬ, Петрушка,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62" authorId="0">
      <text>
        <r>
          <rPr>
            <sz val="8"/>
            <color indexed="81"/>
            <rFont val="Tahoma"/>
            <family val="2"/>
          </rPr>
          <t>ЗАМЕНИТЕ НА РЕАЛЬНЫЕ ДАННЫЕ.
ДЕМО, ЦЕЛЬ, Петрушка,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62" authorId="0">
      <text>
        <r>
          <rPr>
            <sz val="8"/>
            <color indexed="81"/>
            <rFont val="Tahoma"/>
            <family val="2"/>
          </rPr>
          <t>ЗАМЕНИТЕ НА РЕАЛЬНЫЕ ДАННЫЕ.
ДЕМО, ЦЕЛЬ, Петрушка,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62" authorId="0">
      <text>
        <r>
          <rPr>
            <sz val="8"/>
            <color indexed="81"/>
            <rFont val="Tahoma"/>
            <family val="2"/>
          </rPr>
          <t>ЗАМЕНИТЕ НА РЕАЛЬНЫЕ ДАННЫЕ.
ДЕМО, ЦЕЛЬ, Петрушка,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62" authorId="0">
      <text>
        <r>
          <rPr>
            <sz val="8"/>
            <color indexed="81"/>
            <rFont val="Tahoma"/>
            <family val="2"/>
          </rPr>
          <t>ЗАМЕНИТЕ НА РЕАЛЬНЫЕ ДАННЫЕ.
ДЕМО, ЦЕЛЬ, Петрушка,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62" authorId="0">
      <text>
        <r>
          <rPr>
            <sz val="8"/>
            <color indexed="81"/>
            <rFont val="Tahoma"/>
            <family val="2"/>
          </rPr>
          <t>ЗАМЕНИТЕ НА РЕАЛЬНЫЕ ДАННЫЕ.
ДЕМО, ЦЕЛЬ, Петрушка,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63" authorId="0">
      <text>
        <r>
          <rPr>
            <sz val="8"/>
            <color indexed="81"/>
            <rFont val="Tahoma"/>
            <family val="2"/>
          </rPr>
          <t>ЗАМЕНИТЕ НА РЕАЛЬНЫЕ ДАННЫЕ.
ДЕМО, ЦЕЛЬ, Петрушка,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63" authorId="0">
      <text>
        <r>
          <rPr>
            <sz val="8"/>
            <color indexed="81"/>
            <rFont val="Tahoma"/>
            <family val="2"/>
          </rPr>
          <t>ЗАМЕНИТЕ НА РЕАЛЬНЫЕ ДАННЫЕ.
ДЕМО, ЦЕЛЬ, Петрушка,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63" authorId="0">
      <text>
        <r>
          <rPr>
            <sz val="8"/>
            <color indexed="81"/>
            <rFont val="Tahoma"/>
            <family val="2"/>
          </rPr>
          <t>ЗАМЕНИТЕ НА РЕАЛЬНЫЕ ДАННЫЕ.
ДЕМО, ЦЕЛЬ, Петрушка,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63" authorId="0">
      <text>
        <r>
          <rPr>
            <sz val="8"/>
            <color indexed="81"/>
            <rFont val="Tahoma"/>
            <family val="2"/>
          </rPr>
          <t>ЗАМЕНИТЕ НА РЕАЛЬНЫЕ ДАННЫЕ.
ДЕМО, ЦЕЛЬ, Петрушка,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63" authorId="0">
      <text>
        <r>
          <rPr>
            <sz val="8"/>
            <color indexed="81"/>
            <rFont val="Tahoma"/>
            <family val="2"/>
          </rPr>
          <t>ЗАМЕНИТЕ НА РЕАЛЬНЫЕ ДАННЫЕ.
ДЕМО, ЦЕЛЬ, Петрушка,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63" authorId="0">
      <text>
        <r>
          <rPr>
            <sz val="8"/>
            <color indexed="81"/>
            <rFont val="Tahoma"/>
            <family val="2"/>
          </rPr>
          <t>ЗАМЕНИТЕ НА РЕАЛЬНЫЕ ДАННЫЕ.
ДЕМО, ЦЕЛЬ, Петрушка,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63" authorId="0">
      <text>
        <r>
          <rPr>
            <sz val="8"/>
            <color indexed="81"/>
            <rFont val="Tahoma"/>
            <family val="2"/>
          </rPr>
          <t>ЗАМЕНИТЕ НА РЕАЛЬНЫЕ ДАННЫЕ.
ДЕМО, ЦЕЛЬ, Петрушка,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63" authorId="0">
      <text>
        <r>
          <rPr>
            <sz val="8"/>
            <color indexed="81"/>
            <rFont val="Tahoma"/>
            <family val="2"/>
          </rPr>
          <t>ЗАМЕНИТЕ НА РЕАЛЬНЫЕ ДАННЫЕ.
ДЕМО, ЦЕЛЬ, Петрушка,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63" authorId="0">
      <text>
        <r>
          <rPr>
            <sz val="8"/>
            <color indexed="81"/>
            <rFont val="Tahoma"/>
            <family val="2"/>
          </rPr>
          <t>ЗАМЕНИТЕ НА РЕАЛЬНЫЕ ДАННЫЕ.
ДЕМО, ЦЕЛЬ, Петрушка,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63" authorId="0">
      <text>
        <r>
          <rPr>
            <sz val="8"/>
            <color indexed="81"/>
            <rFont val="Tahoma"/>
            <family val="2"/>
          </rPr>
          <t>ЗАМЕНИТЕ НА РЕАЛЬНЫЕ ДАННЫЕ.
ДЕМО, ЦЕЛЬ, Петрушка,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64" authorId="0">
      <text>
        <r>
          <rPr>
            <sz val="8"/>
            <color indexed="81"/>
            <rFont val="Tahoma"/>
            <family val="2"/>
          </rPr>
          <t>ЗАМЕНИТЕ НА РЕАЛЬНЫЕ ДАННЫЕ.
ДЕМО, ЦЕЛЬ, Петрушка,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64" authorId="0">
      <text>
        <r>
          <rPr>
            <sz val="8"/>
            <color indexed="81"/>
            <rFont val="Tahoma"/>
            <family val="2"/>
          </rPr>
          <t>ЗАМЕНИТЕ НА РЕАЛЬНЫЕ ДАННЫЕ.
ДЕМО, ЦЕЛЬ, Петрушка,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64" authorId="0">
      <text>
        <r>
          <rPr>
            <sz val="8"/>
            <color indexed="81"/>
            <rFont val="Tahoma"/>
            <family val="2"/>
          </rPr>
          <t>ЗАМЕНИТЕ НА РЕАЛЬНЫЕ ДАННЫЕ.
ДЕМО, ЦЕЛЬ, Петрушка,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64" authorId="0">
      <text>
        <r>
          <rPr>
            <sz val="8"/>
            <color indexed="81"/>
            <rFont val="Tahoma"/>
            <family val="2"/>
          </rPr>
          <t>ЗАМЕНИТЕ НА РЕАЛЬНЫЕ ДАННЫЕ.
ДЕМО, ЦЕЛЬ, Петрушка,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64" authorId="0">
      <text>
        <r>
          <rPr>
            <sz val="8"/>
            <color indexed="81"/>
            <rFont val="Tahoma"/>
            <family val="2"/>
          </rPr>
          <t>ЗАМЕНИТЕ НА РЕАЛЬНЫЕ ДАННЫЕ.
ДЕМО, ЦЕЛЬ, Петрушка,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64" authorId="0">
      <text>
        <r>
          <rPr>
            <sz val="8"/>
            <color indexed="81"/>
            <rFont val="Tahoma"/>
            <family val="2"/>
          </rPr>
          <t>ЗАМЕНИТЕ НА РЕАЛЬНЫЕ ДАННЫЕ.
ДЕМО, ЦЕЛЬ, Петрушка,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64" authorId="0">
      <text>
        <r>
          <rPr>
            <sz val="8"/>
            <color indexed="81"/>
            <rFont val="Tahoma"/>
            <family val="2"/>
          </rPr>
          <t>ЗАМЕНИТЕ НА РЕАЛЬНЫЕ ДАННЫЕ.
ДЕМО, ЦЕЛЬ, Петрушка,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64" authorId="0">
      <text>
        <r>
          <rPr>
            <sz val="8"/>
            <color indexed="81"/>
            <rFont val="Tahoma"/>
            <family val="2"/>
          </rPr>
          <t>ЗАМЕНИТЕ НА РЕАЛЬНЫЕ ДАННЫЕ.
ДЕМО, ЦЕЛЬ, Петрушка,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64" authorId="0">
      <text>
        <r>
          <rPr>
            <sz val="8"/>
            <color indexed="81"/>
            <rFont val="Tahoma"/>
            <family val="2"/>
          </rPr>
          <t>ЗАМЕНИТЕ НА РЕАЛЬНЫЕ ДАННЫЕ.
ДЕМО, ЦЕЛЬ, Петрушка,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64" authorId="0">
      <text>
        <r>
          <rPr>
            <sz val="8"/>
            <color indexed="81"/>
            <rFont val="Tahoma"/>
            <family val="2"/>
          </rPr>
          <t>ЗАМЕНИТЕ НА РЕАЛЬНЫЕ ДАННЫЕ.
ДЕМО, ЦЕЛЬ, Петрушка,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73" authorId="0">
      <text>
        <r>
          <rPr>
            <sz val="8"/>
            <color indexed="81"/>
            <rFont val="Tahoma"/>
            <family val="2"/>
          </rPr>
          <t>ЗАМЕНИТЕ НА РЕАЛЬНЫЕ ДАННЫЕ.
Томат, цикл 1. 0 исключает все элементы данного цикла, а не один выброс.</t>
        </r>
      </text>
    </comment>
    <comment ref="F73" authorId="0">
      <text>
        <r>
          <rPr>
            <sz val="8"/>
            <color indexed="81"/>
            <rFont val="Tahoma"/>
            <family val="2"/>
          </rPr>
          <t>ЗАМЕНИТЕ НА РЕАЛЬНЫЕ ДАННЫЕ.
Томат, цикл 2. 0 исключает все элементы данного цикла, а не один выброс.</t>
        </r>
      </text>
    </comment>
    <comment ref="G73" authorId="0">
      <text>
        <r>
          <rPr>
            <sz val="8"/>
            <color indexed="81"/>
            <rFont val="Tahoma"/>
            <family val="2"/>
          </rPr>
          <t>ЗАМЕНИТЕ НА РЕАЛЬНЫЕ ДАННЫЕ.
Томат, цикл 3. 0 исключает все элементы данного цикла, а не один выброс.</t>
        </r>
      </text>
    </comment>
    <comment ref="H73" authorId="0">
      <text>
        <r>
          <rPr>
            <sz val="8"/>
            <color indexed="81"/>
            <rFont val="Tahoma"/>
            <family val="2"/>
          </rPr>
          <t>ЗАМЕНИТЕ НА РЕАЛЬНЫЕ ДАННЫЕ.
Томат, цикл 4. 0 исключает все элементы данного цикла, а не один выброс.</t>
        </r>
      </text>
    </comment>
    <comment ref="I73" authorId="0">
      <text>
        <r>
          <rPr>
            <sz val="8"/>
            <color indexed="81"/>
            <rFont val="Tahoma"/>
            <family val="2"/>
          </rPr>
          <t>ЗАМЕНИТЕ НА РЕАЛЬНЫЕ ДАННЫЕ.
Томат, цикл 5. 0 исключает все элементы данного цикла, а не один выброс.</t>
        </r>
      </text>
    </comment>
    <comment ref="J73" authorId="0">
      <text>
        <r>
          <rPr>
            <sz val="8"/>
            <color indexed="81"/>
            <rFont val="Tahoma"/>
            <family val="2"/>
          </rPr>
          <t>ЗАМЕНИТЕ НА РЕАЛЬНЫЕ ДАННЫЕ.
Томат, цикл 6. 0 исключает все элементы данного цикла, а не один выброс.</t>
        </r>
      </text>
    </comment>
    <comment ref="K73" authorId="0">
      <text>
        <r>
          <rPr>
            <sz val="8"/>
            <color indexed="81"/>
            <rFont val="Tahoma"/>
            <family val="2"/>
          </rPr>
          <t>ЗАМЕНИТЕ НА РЕАЛЬНЫЕ ДАННЫЕ.
Томат, цикл 7. 0 исключает все элементы данного цикла, а не один выброс.</t>
        </r>
      </text>
    </comment>
    <comment ref="L73" authorId="0">
      <text>
        <r>
          <rPr>
            <sz val="8"/>
            <color indexed="81"/>
            <rFont val="Tahoma"/>
            <family val="2"/>
          </rPr>
          <t>ЗАМЕНИТЕ НА РЕАЛЬНЫЕ ДАННЫЕ.
Томат, цикл 8. 0 исключает все элементы данного цикла, а не один выброс.</t>
        </r>
      </text>
    </comment>
    <comment ref="M73" authorId="0">
      <text>
        <r>
          <rPr>
            <sz val="8"/>
            <color indexed="81"/>
            <rFont val="Tahoma"/>
            <family val="2"/>
          </rPr>
          <t>ЗАМЕНИТЕ НА РЕАЛЬНЫЕ ДАННЫЕ.
Томат, цикл 9. 0 исключает все элементы данного цикла, а не один выброс.</t>
        </r>
      </text>
    </comment>
    <comment ref="N73" authorId="0">
      <text>
        <r>
          <rPr>
            <sz val="8"/>
            <color indexed="81"/>
            <rFont val="Tahoma"/>
            <family val="2"/>
          </rPr>
          <t>ЗАМЕНИТЕ НА РЕАЛЬНЫЕ ДАННЫЕ.
Томат, цикл 10. 0 исключает все элементы данного цикла, а не один выброс.</t>
        </r>
      </text>
    </comment>
    <comment ref="E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7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75" authorId="0">
      <text>
        <r>
          <rPr>
            <sz val="8"/>
            <color indexed="81"/>
            <rFont val="Tahoma"/>
            <family val="2"/>
          </rPr>
          <t>ЗАМЕНИТЕ НА РЕАЛЬНЫЕ ДАННЫЕ.
ДЕМО, ЦЕЛЬ, Томат,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75" authorId="0">
      <text>
        <r>
          <rPr>
            <sz val="8"/>
            <color indexed="81"/>
            <rFont val="Tahoma"/>
            <family val="2"/>
          </rPr>
          <t>ЗАМЕНИТЕ НА РЕАЛЬНЫЕ ДАННЫЕ.
ДЕМО, ЦЕЛЬ, Томат,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75" authorId="0">
      <text>
        <r>
          <rPr>
            <sz val="8"/>
            <color indexed="81"/>
            <rFont val="Tahoma"/>
            <family val="2"/>
          </rPr>
          <t>ЗАМЕНИТЕ НА РЕАЛЬНЫЕ ДАННЫЕ.
ДЕМО, ЦЕЛЬ, Томат,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75" authorId="0">
      <text>
        <r>
          <rPr>
            <sz val="8"/>
            <color indexed="81"/>
            <rFont val="Tahoma"/>
            <family val="2"/>
          </rPr>
          <t>ЗАМЕНИТЕ НА РЕАЛЬНЫЕ ДАННЫЕ.
ДЕМО, ЦЕЛЬ, Томат,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75" authorId="0">
      <text>
        <r>
          <rPr>
            <sz val="8"/>
            <color indexed="81"/>
            <rFont val="Tahoma"/>
            <family val="2"/>
          </rPr>
          <t>ЗАМЕНИТЕ НА РЕАЛЬНЫЕ ДАННЫЕ.
ДЕМО, ЦЕЛЬ, Томат,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75" authorId="0">
      <text>
        <r>
          <rPr>
            <sz val="8"/>
            <color indexed="81"/>
            <rFont val="Tahoma"/>
            <family val="2"/>
          </rPr>
          <t>ЗАМЕНИТЕ НА РЕАЛЬНЫЕ ДАННЫЕ.
ДЕМО, ЦЕЛЬ, Томат,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75" authorId="0">
      <text>
        <r>
          <rPr>
            <sz val="8"/>
            <color indexed="81"/>
            <rFont val="Tahoma"/>
            <family val="2"/>
          </rPr>
          <t>ЗАМЕНИТЕ НА РЕАЛЬНЫЕ ДАННЫЕ.
ДЕМО, ЦЕЛЬ, Томат,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75" authorId="0">
      <text>
        <r>
          <rPr>
            <sz val="8"/>
            <color indexed="81"/>
            <rFont val="Tahoma"/>
            <family val="2"/>
          </rPr>
          <t>ЗАМЕНИТЕ НА РЕАЛЬНЫЕ ДАННЫЕ.
ДЕМО, ЦЕЛЬ, Томат,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75" authorId="0">
      <text>
        <r>
          <rPr>
            <sz val="8"/>
            <color indexed="81"/>
            <rFont val="Tahoma"/>
            <family val="2"/>
          </rPr>
          <t>ЗАМЕНИТЕ НА РЕАЛЬНЫЕ ДАННЫЕ.
ДЕМО, ЦЕЛЬ, Томат,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75" authorId="0">
      <text>
        <r>
          <rPr>
            <sz val="8"/>
            <color indexed="81"/>
            <rFont val="Tahoma"/>
            <family val="2"/>
          </rPr>
          <t>ЗАМЕНИТЕ НА РЕАЛЬНЫЕ ДАННЫЕ.
ДЕМО, ЦЕЛЬ, Томат,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76" authorId="0">
      <text>
        <r>
          <rPr>
            <sz val="8"/>
            <color indexed="81"/>
            <rFont val="Tahoma"/>
            <family val="2"/>
          </rPr>
          <t>ЗАМЕНИТЕ НА РЕАЛЬНЫЕ ДАННЫЕ.
ДЕМО, ЦЕЛЬ, Томат,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76" authorId="0">
      <text>
        <r>
          <rPr>
            <sz val="8"/>
            <color indexed="81"/>
            <rFont val="Tahoma"/>
            <family val="2"/>
          </rPr>
          <t>ЗАМЕНИТЕ НА РЕАЛЬНЫЕ ДАННЫЕ.
ДЕМО, ЦЕЛЬ, Томат,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76" authorId="0">
      <text>
        <r>
          <rPr>
            <sz val="8"/>
            <color indexed="81"/>
            <rFont val="Tahoma"/>
            <family val="2"/>
          </rPr>
          <t>ЗАМЕНИТЕ НА РЕАЛЬНЫЕ ДАННЫЕ.
ДЕМО, ЦЕЛЬ, Томат,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76" authorId="0">
      <text>
        <r>
          <rPr>
            <sz val="8"/>
            <color indexed="81"/>
            <rFont val="Tahoma"/>
            <family val="2"/>
          </rPr>
          <t>ЗАМЕНИТЕ НА РЕАЛЬНЫЕ ДАННЫЕ.
ДЕМО, ЦЕЛЬ, Томат,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76" authorId="0">
      <text>
        <r>
          <rPr>
            <sz val="8"/>
            <color indexed="81"/>
            <rFont val="Tahoma"/>
            <family val="2"/>
          </rPr>
          <t>ЗАМЕНИТЕ НА РЕАЛЬНЫЕ ДАННЫЕ.
ДЕМО, ЦЕЛЬ, Томат,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76" authorId="0">
      <text>
        <r>
          <rPr>
            <sz val="8"/>
            <color indexed="81"/>
            <rFont val="Tahoma"/>
            <family val="2"/>
          </rPr>
          <t>ЗАМЕНИТЕ НА РЕАЛЬНЫЕ ДАННЫЕ.
ДЕМО, ЦЕЛЬ, Томат,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76" authorId="0">
      <text>
        <r>
          <rPr>
            <sz val="8"/>
            <color indexed="81"/>
            <rFont val="Tahoma"/>
            <family val="2"/>
          </rPr>
          <t>ЗАМЕНИТЕ НА РЕАЛЬНЫЕ ДАННЫЕ.
ДЕМО, ЦЕЛЬ, Томат,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76" authorId="0">
      <text>
        <r>
          <rPr>
            <sz val="8"/>
            <color indexed="81"/>
            <rFont val="Tahoma"/>
            <family val="2"/>
          </rPr>
          <t>ЗАМЕНИТЕ НА РЕАЛЬНЫЕ ДАННЫЕ.
ДЕМО, ЦЕЛЬ, Томат,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76" authorId="0">
      <text>
        <r>
          <rPr>
            <sz val="8"/>
            <color indexed="81"/>
            <rFont val="Tahoma"/>
            <family val="2"/>
          </rPr>
          <t>ЗАМЕНИТЕ НА РЕАЛЬНЫЕ ДАННЫЕ.
ДЕМО, ЦЕЛЬ, Томат,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76" authorId="0">
      <text>
        <r>
          <rPr>
            <sz val="8"/>
            <color indexed="81"/>
            <rFont val="Tahoma"/>
            <family val="2"/>
          </rPr>
          <t>ЗАМЕНИТЕ НА РЕАЛЬНЫЕ ДАННЫЕ.
ДЕМО, ЦЕЛЬ, Томат,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77" authorId="0">
      <text>
        <r>
          <rPr>
            <sz val="8"/>
            <color indexed="81"/>
            <rFont val="Tahoma"/>
            <family val="2"/>
          </rPr>
          <t>ЗАМЕНИТЕ НА РЕАЛЬНЫЕ ДАННЫЕ.
ДЕМО, ЦЕЛЬ, Томат,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77" authorId="0">
      <text>
        <r>
          <rPr>
            <sz val="8"/>
            <color indexed="81"/>
            <rFont val="Tahoma"/>
            <family val="2"/>
          </rPr>
          <t>ЗАМЕНИТЕ НА РЕАЛЬНЫЕ ДАННЫЕ.
ДЕМО, ЦЕЛЬ, Томат,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77" authorId="0">
      <text>
        <r>
          <rPr>
            <sz val="8"/>
            <color indexed="81"/>
            <rFont val="Tahoma"/>
            <family val="2"/>
          </rPr>
          <t>ЗАМЕНИТЕ НА РЕАЛЬНЫЕ ДАННЫЕ.
ДЕМО, ЦЕЛЬ, Томат,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77" authorId="0">
      <text>
        <r>
          <rPr>
            <sz val="8"/>
            <color indexed="81"/>
            <rFont val="Tahoma"/>
            <family val="2"/>
          </rPr>
          <t>ЗАМЕНИТЕ НА РЕАЛЬНЫЕ ДАННЫЕ.
ДЕМО, ЦЕЛЬ, Томат,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77" authorId="0">
      <text>
        <r>
          <rPr>
            <sz val="8"/>
            <color indexed="81"/>
            <rFont val="Tahoma"/>
            <family val="2"/>
          </rPr>
          <t>ЗАМЕНИТЕ НА РЕАЛЬНЫЕ ДАННЫЕ.
ДЕМО, ЦЕЛЬ, Томат,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77" authorId="0">
      <text>
        <r>
          <rPr>
            <sz val="8"/>
            <color indexed="81"/>
            <rFont val="Tahoma"/>
            <family val="2"/>
          </rPr>
          <t>ЗАМЕНИТЕ НА РЕАЛЬНЫЕ ДАННЫЕ.
ДЕМО, ЦЕЛЬ, Томат,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77" authorId="0">
      <text>
        <r>
          <rPr>
            <sz val="8"/>
            <color indexed="81"/>
            <rFont val="Tahoma"/>
            <family val="2"/>
          </rPr>
          <t>ЗАМЕНИТЕ НА РЕАЛЬНЫЕ ДАННЫЕ.
ДЕМО, ЦЕЛЬ, Томат,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77" authorId="0">
      <text>
        <r>
          <rPr>
            <sz val="8"/>
            <color indexed="81"/>
            <rFont val="Tahoma"/>
            <family val="2"/>
          </rPr>
          <t>ЗАМЕНИТЕ НА РЕАЛЬНЫЕ ДАННЫЕ.
ДЕМО, ЦЕЛЬ, Томат,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77" authorId="0">
      <text>
        <r>
          <rPr>
            <sz val="8"/>
            <color indexed="81"/>
            <rFont val="Tahoma"/>
            <family val="2"/>
          </rPr>
          <t>ЗАМЕНИТЕ НА РЕАЛЬНЫЕ ДАННЫЕ.
ДЕМО, ЦЕЛЬ, Томат,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77" authorId="0">
      <text>
        <r>
          <rPr>
            <sz val="8"/>
            <color indexed="81"/>
            <rFont val="Tahoma"/>
            <family val="2"/>
          </rPr>
          <t>ЗАМЕНИТЕ НА РЕАЛЬНЫЕ ДАННЫЕ.
ДЕМО, ЦЕЛЬ, Томат,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78" authorId="0">
      <text>
        <r>
          <rPr>
            <sz val="8"/>
            <color indexed="81"/>
            <rFont val="Tahoma"/>
            <family val="2"/>
          </rPr>
          <t>ЗАМЕНИТЕ НА РЕАЛЬНЫЕ ДАННЫЕ.
ДЕМО, ЦЕЛЬ, Томат,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78" authorId="0">
      <text>
        <r>
          <rPr>
            <sz val="8"/>
            <color indexed="81"/>
            <rFont val="Tahoma"/>
            <family val="2"/>
          </rPr>
          <t>ЗАМЕНИТЕ НА РЕАЛЬНЫЕ ДАННЫЕ.
ДЕМО, ЦЕЛЬ, Томат,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78" authorId="0">
      <text>
        <r>
          <rPr>
            <sz val="8"/>
            <color indexed="81"/>
            <rFont val="Tahoma"/>
            <family val="2"/>
          </rPr>
          <t>ЗАМЕНИТЕ НА РЕАЛЬНЫЕ ДАННЫЕ.
ДЕМО, ЦЕЛЬ, Томат,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78" authorId="0">
      <text>
        <r>
          <rPr>
            <sz val="8"/>
            <color indexed="81"/>
            <rFont val="Tahoma"/>
            <family val="2"/>
          </rPr>
          <t>ЗАМЕНИТЕ НА РЕАЛЬНЫЕ ДАННЫЕ.
ДЕМО, ЦЕЛЬ, Томат,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78" authorId="0">
      <text>
        <r>
          <rPr>
            <sz val="8"/>
            <color indexed="81"/>
            <rFont val="Tahoma"/>
            <family val="2"/>
          </rPr>
          <t>ЗАМЕНИТЕ НА РЕАЛЬНЫЕ ДАННЫЕ.
ДЕМО, ЦЕЛЬ, Томат,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78" authorId="0">
      <text>
        <r>
          <rPr>
            <sz val="8"/>
            <color indexed="81"/>
            <rFont val="Tahoma"/>
            <family val="2"/>
          </rPr>
          <t>ЗАМЕНИТЕ НА РЕАЛЬНЫЕ ДАННЫЕ.
ДЕМО, ЦЕЛЬ, Томат,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78" authorId="0">
      <text>
        <r>
          <rPr>
            <sz val="8"/>
            <color indexed="81"/>
            <rFont val="Tahoma"/>
            <family val="2"/>
          </rPr>
          <t>ЗАМЕНИТЕ НА РЕАЛЬНЫЕ ДАННЫЕ.
ДЕМО, ЦЕЛЬ, Томат,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78" authorId="0">
      <text>
        <r>
          <rPr>
            <sz val="8"/>
            <color indexed="81"/>
            <rFont val="Tahoma"/>
            <family val="2"/>
          </rPr>
          <t>ЗАМЕНИТЕ НА РЕАЛЬНЫЕ ДАННЫЕ.
ДЕМО, ЦЕЛЬ, Томат,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78" authorId="0">
      <text>
        <r>
          <rPr>
            <sz val="8"/>
            <color indexed="81"/>
            <rFont val="Tahoma"/>
            <family val="2"/>
          </rPr>
          <t>ЗАМЕНИТЕ НА РЕАЛЬНЫЕ ДАННЫЕ.
ДЕМО, ЦЕЛЬ, Томат,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78" authorId="0">
      <text>
        <r>
          <rPr>
            <sz val="8"/>
            <color indexed="81"/>
            <rFont val="Tahoma"/>
            <family val="2"/>
          </rPr>
          <t>ЗАМЕНИТЕ НА РЕАЛЬНЫЕ ДАННЫЕ.
ДЕМО, ЦЕЛЬ, Томат,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79" authorId="0">
      <text>
        <r>
          <rPr>
            <sz val="8"/>
            <color indexed="81"/>
            <rFont val="Tahoma"/>
            <family val="2"/>
          </rPr>
          <t>ЗАМЕНИТЕ НА РЕАЛЬНЫЕ ДАННЫЕ.
ДЕМО, ЦЕЛЬ, Томат,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79" authorId="0">
      <text>
        <r>
          <rPr>
            <sz val="8"/>
            <color indexed="81"/>
            <rFont val="Tahoma"/>
            <family val="2"/>
          </rPr>
          <t>ЗАМЕНИТЕ НА РЕАЛЬНЫЕ ДАННЫЕ.
ДЕМО, ЦЕЛЬ, Томат,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79" authorId="0">
      <text>
        <r>
          <rPr>
            <sz val="8"/>
            <color indexed="81"/>
            <rFont val="Tahoma"/>
            <family val="2"/>
          </rPr>
          <t>ЗАМЕНИТЕ НА РЕАЛЬНЫЕ ДАННЫЕ.
ДЕМО, ЦЕЛЬ, Томат,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79" authorId="0">
      <text>
        <r>
          <rPr>
            <sz val="8"/>
            <color indexed="81"/>
            <rFont val="Tahoma"/>
            <family val="2"/>
          </rPr>
          <t>ЗАМЕНИТЕ НА РЕАЛЬНЫЕ ДАННЫЕ.
ДЕМО, ЦЕЛЬ, Томат,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79" authorId="0">
      <text>
        <r>
          <rPr>
            <sz val="8"/>
            <color indexed="81"/>
            <rFont val="Tahoma"/>
            <family val="2"/>
          </rPr>
          <t>ЗАМЕНИТЕ НА РЕАЛЬНЫЕ ДАННЫЕ.
ДЕМО, ЦЕЛЬ, Томат,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79" authorId="0">
      <text>
        <r>
          <rPr>
            <sz val="8"/>
            <color indexed="81"/>
            <rFont val="Tahoma"/>
            <family val="2"/>
          </rPr>
          <t>ЗАМЕНИТЕ НА РЕАЛЬНЫЕ ДАННЫЕ.
ДЕМО, ЦЕЛЬ, Томат,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79" authorId="0">
      <text>
        <r>
          <rPr>
            <sz val="8"/>
            <color indexed="81"/>
            <rFont val="Tahoma"/>
            <family val="2"/>
          </rPr>
          <t>ЗАМЕНИТЕ НА РЕАЛЬНЫЕ ДАННЫЕ.
ДЕМО, ЦЕЛЬ, Томат,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79" authorId="0">
      <text>
        <r>
          <rPr>
            <sz val="8"/>
            <color indexed="81"/>
            <rFont val="Tahoma"/>
            <family val="2"/>
          </rPr>
          <t>ЗАМЕНИТЕ НА РЕАЛЬНЫЕ ДАННЫЕ.
ДЕМО, ЦЕЛЬ, Томат,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79" authorId="0">
      <text>
        <r>
          <rPr>
            <sz val="8"/>
            <color indexed="81"/>
            <rFont val="Tahoma"/>
            <family val="2"/>
          </rPr>
          <t>ЗАМЕНИТЕ НА РЕАЛЬНЫЕ ДАННЫЕ.
ДЕМО, ЦЕЛЬ, Томат,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79" authorId="0">
      <text>
        <r>
          <rPr>
            <sz val="8"/>
            <color indexed="81"/>
            <rFont val="Tahoma"/>
            <family val="2"/>
          </rPr>
          <t>ЗАМЕНИТЕ НА РЕАЛЬНЫЕ ДАННЫЕ.
ДЕМО, ЦЕЛЬ, Томат,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81" authorId="0">
      <text>
        <r>
          <rPr>
            <sz val="8"/>
            <color indexed="81"/>
            <rFont val="Tahoma"/>
            <family val="2"/>
          </rPr>
          <t>ЗАМЕНИТЕ НА РЕАЛЬНЫЕ ДАННЫЕ.
ДЕМО, ЦЕЛЬ, Томат,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81" authorId="0">
      <text>
        <r>
          <rPr>
            <sz val="8"/>
            <color indexed="81"/>
            <rFont val="Tahoma"/>
            <family val="2"/>
          </rPr>
          <t>ЗАМЕНИТЕ НА РЕАЛЬНЫЕ ДАННЫЕ.
ДЕМО, ЦЕЛЬ, Томат,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81" authorId="0">
      <text>
        <r>
          <rPr>
            <sz val="8"/>
            <color indexed="81"/>
            <rFont val="Tahoma"/>
            <family val="2"/>
          </rPr>
          <t>ЗАМЕНИТЕ НА РЕАЛЬНЫЕ ДАННЫЕ.
ДЕМО, ЦЕЛЬ, Томат,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81" authorId="0">
      <text>
        <r>
          <rPr>
            <sz val="8"/>
            <color indexed="81"/>
            <rFont val="Tahoma"/>
            <family val="2"/>
          </rPr>
          <t>ЗАМЕНИТЕ НА РЕАЛЬНЫЕ ДАННЫЕ.
ДЕМО, ЦЕЛЬ, Томат,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81" authorId="0">
      <text>
        <r>
          <rPr>
            <sz val="8"/>
            <color indexed="81"/>
            <rFont val="Tahoma"/>
            <family val="2"/>
          </rPr>
          <t>ЗАМЕНИТЕ НА РЕАЛЬНЫЕ ДАННЫЕ.
ДЕМО, ЦЕЛЬ, Томат,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81" authorId="0">
      <text>
        <r>
          <rPr>
            <sz val="8"/>
            <color indexed="81"/>
            <rFont val="Tahoma"/>
            <family val="2"/>
          </rPr>
          <t>ЗАМЕНИТЕ НА РЕАЛЬНЫЕ ДАННЫЕ.
ДЕМО, ЦЕЛЬ, Томат,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81" authorId="0">
      <text>
        <r>
          <rPr>
            <sz val="8"/>
            <color indexed="81"/>
            <rFont val="Tahoma"/>
            <family val="2"/>
          </rPr>
          <t>ЗАМЕНИТЕ НА РЕАЛЬНЫЕ ДАННЫЕ.
ДЕМО, ЦЕЛЬ, Томат,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81" authorId="0">
      <text>
        <r>
          <rPr>
            <sz val="8"/>
            <color indexed="81"/>
            <rFont val="Tahoma"/>
            <family val="2"/>
          </rPr>
          <t>ЗАМЕНИТЕ НА РЕАЛЬНЫЕ ДАННЫЕ.
ДЕМО, ЦЕЛЬ, Томат,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81" authorId="0">
      <text>
        <r>
          <rPr>
            <sz val="8"/>
            <color indexed="81"/>
            <rFont val="Tahoma"/>
            <family val="2"/>
          </rPr>
          <t>ЗАМЕНИТЕ НА РЕАЛЬНЫЕ ДАННЫЕ.
ДЕМО, ЦЕЛЬ, Томат,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81" authorId="0">
      <text>
        <r>
          <rPr>
            <sz val="8"/>
            <color indexed="81"/>
            <rFont val="Tahoma"/>
            <family val="2"/>
          </rPr>
          <t>ЗАМЕНИТЕ НА РЕАЛЬНЫЕ ДАННЫЕ.
ДЕМО, ЦЕЛЬ, Томат,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82" authorId="0">
      <text>
        <r>
          <rPr>
            <sz val="8"/>
            <color indexed="81"/>
            <rFont val="Tahoma"/>
            <family val="2"/>
          </rPr>
          <t>ЗАМЕНИТЕ НА РЕАЛЬНЫЕ ДАННЫЕ.
ДЕМО, ЦЕЛЬ, Томат,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82" authorId="0">
      <text>
        <r>
          <rPr>
            <sz val="8"/>
            <color indexed="81"/>
            <rFont val="Tahoma"/>
            <family val="2"/>
          </rPr>
          <t>ЗАМЕНИТЕ НА РЕАЛЬНЫЕ ДАННЫЕ.
ДЕМО, ЦЕЛЬ, Томат,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82" authorId="0">
      <text>
        <r>
          <rPr>
            <sz val="8"/>
            <color indexed="81"/>
            <rFont val="Tahoma"/>
            <family val="2"/>
          </rPr>
          <t>ЗАМЕНИТЕ НА РЕАЛЬНЫЕ ДАННЫЕ.
ДЕМО, ЦЕЛЬ, Томат,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82" authorId="0">
      <text>
        <r>
          <rPr>
            <sz val="8"/>
            <color indexed="81"/>
            <rFont val="Tahoma"/>
            <family val="2"/>
          </rPr>
          <t>ЗАМЕНИТЕ НА РЕАЛЬНЫЕ ДАННЫЕ.
ДЕМО, ЦЕЛЬ, Томат,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82" authorId="0">
      <text>
        <r>
          <rPr>
            <sz val="8"/>
            <color indexed="81"/>
            <rFont val="Tahoma"/>
            <family val="2"/>
          </rPr>
          <t>ЗАМЕНИТЕ НА РЕАЛЬНЫЕ ДАННЫЕ.
ДЕМО, ЦЕЛЬ, Томат,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82" authorId="0">
      <text>
        <r>
          <rPr>
            <sz val="8"/>
            <color indexed="81"/>
            <rFont val="Tahoma"/>
            <family val="2"/>
          </rPr>
          <t>ЗАМЕНИТЕ НА РЕАЛЬНЫЕ ДАННЫЕ.
ДЕМО, ЦЕЛЬ, Томат,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82" authorId="0">
      <text>
        <r>
          <rPr>
            <sz val="8"/>
            <color indexed="81"/>
            <rFont val="Tahoma"/>
            <family val="2"/>
          </rPr>
          <t>ЗАМЕНИТЕ НА РЕАЛЬНЫЕ ДАННЫЕ.
ДЕМО, ЦЕЛЬ, Томат,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82" authorId="0">
      <text>
        <r>
          <rPr>
            <sz val="8"/>
            <color indexed="81"/>
            <rFont val="Tahoma"/>
            <family val="2"/>
          </rPr>
          <t>ЗАМЕНИТЕ НА РЕАЛЬНЫЕ ДАННЫЕ.
ДЕМО, ЦЕЛЬ, Томат,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82" authorId="0">
      <text>
        <r>
          <rPr>
            <sz val="8"/>
            <color indexed="81"/>
            <rFont val="Tahoma"/>
            <family val="2"/>
          </rPr>
          <t>ЗАМЕНИТЕ НА РЕАЛЬНЫЕ ДАННЫЕ.
ДЕМО, ЦЕЛЬ, Томат,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82" authorId="0">
      <text>
        <r>
          <rPr>
            <sz val="8"/>
            <color indexed="81"/>
            <rFont val="Tahoma"/>
            <family val="2"/>
          </rPr>
          <t>ЗАМЕНИТЕ НА РЕАЛЬНЫЕ ДАННЫЕ.
ДЕМО, ЦЕЛЬ, Томат,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83" authorId="0">
      <text>
        <r>
          <rPr>
            <sz val="8"/>
            <color indexed="81"/>
            <rFont val="Tahoma"/>
            <family val="2"/>
          </rPr>
          <t>ЗАМЕНИТЕ НА РЕАЛЬНЫЕ ДАННЫЕ.
ДЕМО, ЦЕЛЬ, Томат,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83" authorId="0">
      <text>
        <r>
          <rPr>
            <sz val="8"/>
            <color indexed="81"/>
            <rFont val="Tahoma"/>
            <family val="2"/>
          </rPr>
          <t>ЗАМЕНИТЕ НА РЕАЛЬНЫЕ ДАННЫЕ.
ДЕМО, ЦЕЛЬ, Томат,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83" authorId="0">
      <text>
        <r>
          <rPr>
            <sz val="8"/>
            <color indexed="81"/>
            <rFont val="Tahoma"/>
            <family val="2"/>
          </rPr>
          <t>ЗАМЕНИТЕ НА РЕАЛЬНЫЕ ДАННЫЕ.
ДЕМО, ЦЕЛЬ, Томат,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83" authorId="0">
      <text>
        <r>
          <rPr>
            <sz val="8"/>
            <color indexed="81"/>
            <rFont val="Tahoma"/>
            <family val="2"/>
          </rPr>
          <t>ЗАМЕНИТЕ НА РЕАЛЬНЫЕ ДАННЫЕ.
ДЕМО, ЦЕЛЬ, Томат,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83" authorId="0">
      <text>
        <r>
          <rPr>
            <sz val="8"/>
            <color indexed="81"/>
            <rFont val="Tahoma"/>
            <family val="2"/>
          </rPr>
          <t>ЗАМЕНИТЕ НА РЕАЛЬНЫЕ ДАННЫЕ.
ДЕМО, ЦЕЛЬ, Томат,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83" authorId="0">
      <text>
        <r>
          <rPr>
            <sz val="8"/>
            <color indexed="81"/>
            <rFont val="Tahoma"/>
            <family val="2"/>
          </rPr>
          <t>ЗАМЕНИТЕ НА РЕАЛЬНЫЕ ДАННЫЕ.
ДЕМО, ЦЕЛЬ, Томат,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83" authorId="0">
      <text>
        <r>
          <rPr>
            <sz val="8"/>
            <color indexed="81"/>
            <rFont val="Tahoma"/>
            <family val="2"/>
          </rPr>
          <t>ЗАМЕНИТЕ НА РЕАЛЬНЫЕ ДАННЫЕ.
ДЕМО, ЦЕЛЬ, Томат,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83" authorId="0">
      <text>
        <r>
          <rPr>
            <sz val="8"/>
            <color indexed="81"/>
            <rFont val="Tahoma"/>
            <family val="2"/>
          </rPr>
          <t>ЗАМЕНИТЕ НА РЕАЛЬНЫЕ ДАННЫЕ.
ДЕМО, ЦЕЛЬ, Томат,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83" authorId="0">
      <text>
        <r>
          <rPr>
            <sz val="8"/>
            <color indexed="81"/>
            <rFont val="Tahoma"/>
            <family val="2"/>
          </rPr>
          <t>ЗАМЕНИТЕ НА РЕАЛЬНЫЕ ДАННЫЕ.
ДЕМО, ЦЕЛЬ, Томат,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83" authorId="0">
      <text>
        <r>
          <rPr>
            <sz val="8"/>
            <color indexed="81"/>
            <rFont val="Tahoma"/>
            <family val="2"/>
          </rPr>
          <t>ЗАМЕНИТЕ НА РЕАЛЬНЫЕ ДАННЫЕ.
ДЕМО, ЦЕЛЬ, Томат,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84" authorId="0">
      <text>
        <r>
          <rPr>
            <sz val="8"/>
            <color indexed="81"/>
            <rFont val="Tahoma"/>
            <family val="2"/>
          </rPr>
          <t>ЗАМЕНИТЕ НА РЕАЛЬНЫЕ ДАННЫЕ.
ДЕМО, ЦЕЛЬ, Томат,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84" authorId="0">
      <text>
        <r>
          <rPr>
            <sz val="8"/>
            <color indexed="81"/>
            <rFont val="Tahoma"/>
            <family val="2"/>
          </rPr>
          <t>ЗАМЕНИТЕ НА РЕАЛЬНЫЕ ДАННЫЕ.
ДЕМО, ЦЕЛЬ, Томат,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84" authorId="0">
      <text>
        <r>
          <rPr>
            <sz val="8"/>
            <color indexed="81"/>
            <rFont val="Tahoma"/>
            <family val="2"/>
          </rPr>
          <t>ЗАМЕНИТЕ НА РЕАЛЬНЫЕ ДАННЫЕ.
ДЕМО, ЦЕЛЬ, Томат,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84" authorId="0">
      <text>
        <r>
          <rPr>
            <sz val="8"/>
            <color indexed="81"/>
            <rFont val="Tahoma"/>
            <family val="2"/>
          </rPr>
          <t>ЗАМЕНИТЕ НА РЕАЛЬНЫЕ ДАННЫЕ.
ДЕМО, ЦЕЛЬ, Томат,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84" authorId="0">
      <text>
        <r>
          <rPr>
            <sz val="8"/>
            <color indexed="81"/>
            <rFont val="Tahoma"/>
            <family val="2"/>
          </rPr>
          <t>ЗАМЕНИТЕ НА РЕАЛЬНЫЕ ДАННЫЕ.
ДЕМО, ЦЕЛЬ, Томат,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84" authorId="0">
      <text>
        <r>
          <rPr>
            <sz val="8"/>
            <color indexed="81"/>
            <rFont val="Tahoma"/>
            <family val="2"/>
          </rPr>
          <t>ЗАМЕНИТЕ НА РЕАЛЬНЫЕ ДАННЫЕ.
ДЕМО, ЦЕЛЬ, Томат,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84" authorId="0">
      <text>
        <r>
          <rPr>
            <sz val="8"/>
            <color indexed="81"/>
            <rFont val="Tahoma"/>
            <family val="2"/>
          </rPr>
          <t>ЗАМЕНИТЕ НА РЕАЛЬНЫЕ ДАННЫЕ.
ДЕМО, ЦЕЛЬ, Томат,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84" authorId="0">
      <text>
        <r>
          <rPr>
            <sz val="8"/>
            <color indexed="81"/>
            <rFont val="Tahoma"/>
            <family val="2"/>
          </rPr>
          <t>ЗАМЕНИТЕ НА РЕАЛЬНЫЕ ДАННЫЕ.
ДЕМО, ЦЕЛЬ, Томат,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84" authorId="0">
      <text>
        <r>
          <rPr>
            <sz val="8"/>
            <color indexed="81"/>
            <rFont val="Tahoma"/>
            <family val="2"/>
          </rPr>
          <t>ЗАМЕНИТЕ НА РЕАЛЬНЫЕ ДАННЫЕ.
ДЕМО, ЦЕЛЬ, Томат,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84" authorId="0">
      <text>
        <r>
          <rPr>
            <sz val="8"/>
            <color indexed="81"/>
            <rFont val="Tahoma"/>
            <family val="2"/>
          </rPr>
          <t>ЗАМЕНИТЕ НА РЕАЛЬНЫЕ ДАННЫЕ.
ДЕМО, ЦЕЛЬ, Томат,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85" authorId="0">
      <text>
        <r>
          <rPr>
            <sz val="8"/>
            <color indexed="81"/>
            <rFont val="Tahoma"/>
            <family val="2"/>
          </rPr>
          <t>ЗАМЕНИТЕ НА РЕАЛЬНЫЕ ДАННЫЕ.
ДЕМО, ЦЕЛЬ, Томат,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85" authorId="0">
      <text>
        <r>
          <rPr>
            <sz val="8"/>
            <color indexed="81"/>
            <rFont val="Tahoma"/>
            <family val="2"/>
          </rPr>
          <t>ЗАМЕНИТЕ НА РЕАЛЬНЫЕ ДАННЫЕ.
ДЕМО, ЦЕЛЬ, Томат,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85" authorId="0">
      <text>
        <r>
          <rPr>
            <sz val="8"/>
            <color indexed="81"/>
            <rFont val="Tahoma"/>
            <family val="2"/>
          </rPr>
          <t>ЗАМЕНИТЕ НА РЕАЛЬНЫЕ ДАННЫЕ.
ДЕМО, ЦЕЛЬ, Томат,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85" authorId="0">
      <text>
        <r>
          <rPr>
            <sz val="8"/>
            <color indexed="81"/>
            <rFont val="Tahoma"/>
            <family val="2"/>
          </rPr>
          <t>ЗАМЕНИТЕ НА РЕАЛЬНЫЕ ДАННЫЕ.
ДЕМО, ЦЕЛЬ, Томат,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85" authorId="0">
      <text>
        <r>
          <rPr>
            <sz val="8"/>
            <color indexed="81"/>
            <rFont val="Tahoma"/>
            <family val="2"/>
          </rPr>
          <t>ЗАМЕНИТЕ НА РЕАЛЬНЫЕ ДАННЫЕ.
ДЕМО, ЦЕЛЬ, Томат,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85" authorId="0">
      <text>
        <r>
          <rPr>
            <sz val="8"/>
            <color indexed="81"/>
            <rFont val="Tahoma"/>
            <family val="2"/>
          </rPr>
          <t>ЗАМЕНИТЕ НА РЕАЛЬНЫЕ ДАННЫЕ.
ДЕМО, ЦЕЛЬ, Томат,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85" authorId="0">
      <text>
        <r>
          <rPr>
            <sz val="8"/>
            <color indexed="81"/>
            <rFont val="Tahoma"/>
            <family val="2"/>
          </rPr>
          <t>ЗАМЕНИТЕ НА РЕАЛЬНЫЕ ДАННЫЕ.
ДЕМО, ЦЕЛЬ, Томат,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85" authorId="0">
      <text>
        <r>
          <rPr>
            <sz val="8"/>
            <color indexed="81"/>
            <rFont val="Tahoma"/>
            <family val="2"/>
          </rPr>
          <t>ЗАМЕНИТЕ НА РЕАЛЬНЫЕ ДАННЫЕ.
ДЕМО, ЦЕЛЬ, Томат,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85" authorId="0">
      <text>
        <r>
          <rPr>
            <sz val="8"/>
            <color indexed="81"/>
            <rFont val="Tahoma"/>
            <family val="2"/>
          </rPr>
          <t>ЗАМЕНИТЕ НА РЕАЛЬНЫЕ ДАННЫЕ.
ДЕМО, ЦЕЛЬ, Томат,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85" authorId="0">
      <text>
        <r>
          <rPr>
            <sz val="8"/>
            <color indexed="81"/>
            <rFont val="Tahoma"/>
            <family val="2"/>
          </rPr>
          <t>ЗАМЕНИТЕ НА РЕАЛЬНЫЕ ДАННЫЕ.
ДЕМО, ЦЕЛЬ, Томат,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94" authorId="0">
      <text>
        <r>
          <rPr>
            <sz val="8"/>
            <color indexed="81"/>
            <rFont val="Tahoma"/>
            <family val="2"/>
          </rPr>
          <t>ЗАМЕНИТЕ НА РЕАЛЬНЫЕ ДАННЫЕ.
Белокочанная капуста, цикл 1. 0 исключает все элементы данного цикла, а не один выброс.</t>
        </r>
      </text>
    </comment>
    <comment ref="F94" authorId="0">
      <text>
        <r>
          <rPr>
            <sz val="8"/>
            <color indexed="81"/>
            <rFont val="Tahoma"/>
            <family val="2"/>
          </rPr>
          <t>ЗАМЕНИТЕ НА РЕАЛЬНЫЕ ДАННЫЕ.
Белокочанная капуста, цикл 2. 0 исключает все элементы данного цикла, а не один выброс.</t>
        </r>
      </text>
    </comment>
    <comment ref="G94" authorId="0">
      <text>
        <r>
          <rPr>
            <sz val="8"/>
            <color indexed="81"/>
            <rFont val="Tahoma"/>
            <family val="2"/>
          </rPr>
          <t>ЗАМЕНИТЕ НА РЕАЛЬНЫЕ ДАННЫЕ.
Белокочанная капуста, цикл 3. 0 исключает все элементы данного цикла, а не один выброс.</t>
        </r>
      </text>
    </comment>
    <comment ref="H94" authorId="0">
      <text>
        <r>
          <rPr>
            <sz val="8"/>
            <color indexed="81"/>
            <rFont val="Tahoma"/>
            <family val="2"/>
          </rPr>
          <t>ЗАМЕНИТЕ НА РЕАЛЬНЫЕ ДАННЫЕ.
Белокочанная капуста, цикл 4. 0 исключает все элементы данного цикла, а не один выброс.</t>
        </r>
      </text>
    </comment>
    <comment ref="I94" authorId="0">
      <text>
        <r>
          <rPr>
            <sz val="8"/>
            <color indexed="81"/>
            <rFont val="Tahoma"/>
            <family val="2"/>
          </rPr>
          <t>ЗАМЕНИТЕ НА РЕАЛЬНЫЕ ДАННЫЕ.
Белокочанная капуста, цикл 5. 0 исключает все элементы данного цикла, а не один выброс.</t>
        </r>
      </text>
    </comment>
    <comment ref="J94" authorId="0">
      <text>
        <r>
          <rPr>
            <sz val="8"/>
            <color indexed="81"/>
            <rFont val="Tahoma"/>
            <family val="2"/>
          </rPr>
          <t>ЗАМЕНИТЕ НА РЕАЛЬНЫЕ ДАННЫЕ.
Белокочанная капуста, цикл 6. 0 исключает все элементы данного цикла, а не один выброс.</t>
        </r>
      </text>
    </comment>
    <comment ref="K94" authorId="0">
      <text>
        <r>
          <rPr>
            <sz val="8"/>
            <color indexed="81"/>
            <rFont val="Tahoma"/>
            <family val="2"/>
          </rPr>
          <t>ЗАМЕНИТЕ НА РЕАЛЬНЫЕ ДАННЫЕ.
Белокочанная капуста, цикл 7. 0 исключает все элементы данного цикла, а не один выброс.</t>
        </r>
      </text>
    </comment>
    <comment ref="L94" authorId="0">
      <text>
        <r>
          <rPr>
            <sz val="8"/>
            <color indexed="81"/>
            <rFont val="Tahoma"/>
            <family val="2"/>
          </rPr>
          <t>ЗАМЕНИТЕ НА РЕАЛЬНЫЕ ДАННЫЕ.
Белокочанная капуста, цикл 8. 0 исключает все элементы данного цикла, а не один выброс.</t>
        </r>
      </text>
    </comment>
    <comment ref="M94" authorId="0">
      <text>
        <r>
          <rPr>
            <sz val="8"/>
            <color indexed="81"/>
            <rFont val="Tahoma"/>
            <family val="2"/>
          </rPr>
          <t>ЗАМЕНИТЕ НА РЕАЛЬНЫЕ ДАННЫЕ.
Белокочанная капуста, цикл 9. 0 исключает все элементы данного цикла, а не один выброс.</t>
        </r>
      </text>
    </comment>
    <comment ref="N94" authorId="0">
      <text>
        <r>
          <rPr>
            <sz val="8"/>
            <color indexed="81"/>
            <rFont val="Tahoma"/>
            <family val="2"/>
          </rPr>
          <t>ЗАМЕНИТЕ НА РЕАЛЬНЫЕ ДАННЫЕ.
Белокочанная капуста, цикл 10. 0 исключает все элементы данного цикла, а не один выброс.</t>
        </r>
      </text>
    </comment>
    <comment ref="E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9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96" authorId="0">
      <text>
        <r>
          <rPr>
            <sz val="8"/>
            <color indexed="81"/>
            <rFont val="Tahoma"/>
            <family val="2"/>
          </rPr>
          <t>ЗАМЕНИТЕ НА РЕАЛЬНЫЕ ДАННЫЕ.
ДЕМО, ЦЕЛЬ, Белокочанная капуста,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96" authorId="0">
      <text>
        <r>
          <rPr>
            <sz val="8"/>
            <color indexed="81"/>
            <rFont val="Tahoma"/>
            <family val="2"/>
          </rPr>
          <t>ЗАМЕНИТЕ НА РЕАЛЬНЫЕ ДАННЫЕ.
ДЕМО, ЦЕЛЬ, Белокочанная капуста,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96" authorId="0">
      <text>
        <r>
          <rPr>
            <sz val="8"/>
            <color indexed="81"/>
            <rFont val="Tahoma"/>
            <family val="2"/>
          </rPr>
          <t>ЗАМЕНИТЕ НА РЕАЛЬНЫЕ ДАННЫЕ.
ДЕМО, ЦЕЛЬ, Белокочанная капуста,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96" authorId="0">
      <text>
        <r>
          <rPr>
            <sz val="8"/>
            <color indexed="81"/>
            <rFont val="Tahoma"/>
            <family val="2"/>
          </rPr>
          <t>ЗАМЕНИТЕ НА РЕАЛЬНЫЕ ДАННЫЕ.
ДЕМО, ЦЕЛЬ, Белокочанная капуста,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96" authorId="0">
      <text>
        <r>
          <rPr>
            <sz val="8"/>
            <color indexed="81"/>
            <rFont val="Tahoma"/>
            <family val="2"/>
          </rPr>
          <t>ЗАМЕНИТЕ НА РЕАЛЬНЫЕ ДАННЫЕ.
ДЕМО, ЦЕЛЬ, Белокочанная капуста,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96" authorId="0">
      <text>
        <r>
          <rPr>
            <sz val="8"/>
            <color indexed="81"/>
            <rFont val="Tahoma"/>
            <family val="2"/>
          </rPr>
          <t>ЗАМЕНИТЕ НА РЕАЛЬНЫЕ ДАННЫЕ.
ДЕМО, ЦЕЛЬ, Белокочанная капуста,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96" authorId="0">
      <text>
        <r>
          <rPr>
            <sz val="8"/>
            <color indexed="81"/>
            <rFont val="Tahoma"/>
            <family val="2"/>
          </rPr>
          <t>ЗАМЕНИТЕ НА РЕАЛЬНЫЕ ДАННЫЕ.
ДЕМО, ЦЕЛЬ, Белокочанная капуста,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96" authorId="0">
      <text>
        <r>
          <rPr>
            <sz val="8"/>
            <color indexed="81"/>
            <rFont val="Tahoma"/>
            <family val="2"/>
          </rPr>
          <t>ЗАМЕНИТЕ НА РЕАЛЬНЫЕ ДАННЫЕ.
ДЕМО, ЦЕЛЬ, Белокочанная капуста,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96" authorId="0">
      <text>
        <r>
          <rPr>
            <sz val="8"/>
            <color indexed="81"/>
            <rFont val="Tahoma"/>
            <family val="2"/>
          </rPr>
          <t>ЗАМЕНИТЕ НА РЕАЛЬНЫЕ ДАННЫЕ.
ДЕМО, ЦЕЛЬ, Белокочанная капуста,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96" authorId="0">
      <text>
        <r>
          <rPr>
            <sz val="8"/>
            <color indexed="81"/>
            <rFont val="Tahoma"/>
            <family val="2"/>
          </rPr>
          <t>ЗАМЕНИТЕ НА РЕАЛЬНЫЕ ДАННЫЕ.
ДЕМО, ЦЕЛЬ, Белокочанная капуста,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97" authorId="0">
      <text>
        <r>
          <rPr>
            <sz val="8"/>
            <color indexed="81"/>
            <rFont val="Tahoma"/>
            <family val="2"/>
          </rPr>
          <t>ЗАМЕНИТЕ НА РЕАЛЬНЫЕ ДАННЫЕ.
ДЕМО, ЦЕЛЬ, Белокочанная капуста,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97" authorId="0">
      <text>
        <r>
          <rPr>
            <sz val="8"/>
            <color indexed="81"/>
            <rFont val="Tahoma"/>
            <family val="2"/>
          </rPr>
          <t>ЗАМЕНИТЕ НА РЕАЛЬНЫЕ ДАННЫЕ.
ДЕМО, ЦЕЛЬ, Белокочанная капуста,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97" authorId="0">
      <text>
        <r>
          <rPr>
            <sz val="8"/>
            <color indexed="81"/>
            <rFont val="Tahoma"/>
            <family val="2"/>
          </rPr>
          <t>ЗАМЕНИТЕ НА РЕАЛЬНЫЕ ДАННЫЕ.
ДЕМО, ЦЕЛЬ, Белокочанная капуста,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97" authorId="0">
      <text>
        <r>
          <rPr>
            <sz val="8"/>
            <color indexed="81"/>
            <rFont val="Tahoma"/>
            <family val="2"/>
          </rPr>
          <t>ЗАМЕНИТЕ НА РЕАЛЬНЫЕ ДАННЫЕ.
ДЕМО, ЦЕЛЬ, Белокочанная капуста,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97" authorId="0">
      <text>
        <r>
          <rPr>
            <sz val="8"/>
            <color indexed="81"/>
            <rFont val="Tahoma"/>
            <family val="2"/>
          </rPr>
          <t>ЗАМЕНИТЕ НА РЕАЛЬНЫЕ ДАННЫЕ.
ДЕМО, ЦЕЛЬ, Белокочанная капуста,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97" authorId="0">
      <text>
        <r>
          <rPr>
            <sz val="8"/>
            <color indexed="81"/>
            <rFont val="Tahoma"/>
            <family val="2"/>
          </rPr>
          <t>ЗАМЕНИТЕ НА РЕАЛЬНЫЕ ДАННЫЕ.
ДЕМО, ЦЕЛЬ, Белокочанная капуста,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97" authorId="0">
      <text>
        <r>
          <rPr>
            <sz val="8"/>
            <color indexed="81"/>
            <rFont val="Tahoma"/>
            <family val="2"/>
          </rPr>
          <t>ЗАМЕНИТЕ НА РЕАЛЬНЫЕ ДАННЫЕ.
ДЕМО, ЦЕЛЬ, Белокочанная капуста,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97" authorId="0">
      <text>
        <r>
          <rPr>
            <sz val="8"/>
            <color indexed="81"/>
            <rFont val="Tahoma"/>
            <family val="2"/>
          </rPr>
          <t>ЗАМЕНИТЕ НА РЕАЛЬНЫЕ ДАННЫЕ.
ДЕМО, ЦЕЛЬ, Белокочанная капуста,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97" authorId="0">
      <text>
        <r>
          <rPr>
            <sz val="8"/>
            <color indexed="81"/>
            <rFont val="Tahoma"/>
            <family val="2"/>
          </rPr>
          <t>ЗАМЕНИТЕ НА РЕАЛЬНЫЕ ДАННЫЕ.
ДЕМО, ЦЕЛЬ, Белокочанная капуста,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97" authorId="0">
      <text>
        <r>
          <rPr>
            <sz val="8"/>
            <color indexed="81"/>
            <rFont val="Tahoma"/>
            <family val="2"/>
          </rPr>
          <t>ЗАМЕНИТЕ НА РЕАЛЬНЫЕ ДАННЫЕ.
ДЕМО, ЦЕЛЬ, Белокочанная капуста,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98" authorId="0">
      <text>
        <r>
          <rPr>
            <sz val="8"/>
            <color indexed="81"/>
            <rFont val="Tahoma"/>
            <family val="2"/>
          </rPr>
          <t>ЗАМЕНИТЕ НА РЕАЛЬНЫЕ ДАННЫЕ.
ДЕМО, ЦЕЛЬ, Белокочанная капуста,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98" authorId="0">
      <text>
        <r>
          <rPr>
            <sz val="8"/>
            <color indexed="81"/>
            <rFont val="Tahoma"/>
            <family val="2"/>
          </rPr>
          <t>ЗАМЕНИТЕ НА РЕАЛЬНЫЕ ДАННЫЕ.
ДЕМО, ЦЕЛЬ, Белокочанная капуста,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98" authorId="0">
      <text>
        <r>
          <rPr>
            <sz val="8"/>
            <color indexed="81"/>
            <rFont val="Tahoma"/>
            <family val="2"/>
          </rPr>
          <t>ЗАМЕНИТЕ НА РЕАЛЬНЫЕ ДАННЫЕ.
ДЕМО, ЦЕЛЬ, Белокочанная капуста,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98" authorId="0">
      <text>
        <r>
          <rPr>
            <sz val="8"/>
            <color indexed="81"/>
            <rFont val="Tahoma"/>
            <family val="2"/>
          </rPr>
          <t>ЗАМЕНИТЕ НА РЕАЛЬНЫЕ ДАННЫЕ.
ДЕМО, ЦЕЛЬ, Белокочанная капуста,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98" authorId="0">
      <text>
        <r>
          <rPr>
            <sz val="8"/>
            <color indexed="81"/>
            <rFont val="Tahoma"/>
            <family val="2"/>
          </rPr>
          <t>ЗАМЕНИТЕ НА РЕАЛЬНЫЕ ДАННЫЕ.
ДЕМО, ЦЕЛЬ, Белокочанная капуста,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98" authorId="0">
      <text>
        <r>
          <rPr>
            <sz val="8"/>
            <color indexed="81"/>
            <rFont val="Tahoma"/>
            <family val="2"/>
          </rPr>
          <t>ЗАМЕНИТЕ НА РЕАЛЬНЫЕ ДАННЫЕ.
ДЕМО, ЦЕЛЬ, Белокочанная капуста,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98" authorId="0">
      <text>
        <r>
          <rPr>
            <sz val="8"/>
            <color indexed="81"/>
            <rFont val="Tahoma"/>
            <family val="2"/>
          </rPr>
          <t>ЗАМЕНИТЕ НА РЕАЛЬНЫЕ ДАННЫЕ.
ДЕМО, ЦЕЛЬ, Белокочанная капуста,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98" authorId="0">
      <text>
        <r>
          <rPr>
            <sz val="8"/>
            <color indexed="81"/>
            <rFont val="Tahoma"/>
            <family val="2"/>
          </rPr>
          <t>ЗАМЕНИТЕ НА РЕАЛЬНЫЕ ДАННЫЕ.
ДЕМО, ЦЕЛЬ, Белокочанная капуста,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98" authorId="0">
      <text>
        <r>
          <rPr>
            <sz val="8"/>
            <color indexed="81"/>
            <rFont val="Tahoma"/>
            <family val="2"/>
          </rPr>
          <t>ЗАМЕНИТЕ НА РЕАЛЬНЫЕ ДАННЫЕ.
ДЕМО, ЦЕЛЬ, Белокочанная капуста,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98" authorId="0">
      <text>
        <r>
          <rPr>
            <sz val="8"/>
            <color indexed="81"/>
            <rFont val="Tahoma"/>
            <family val="2"/>
          </rPr>
          <t>ЗАМЕНИТЕ НА РЕАЛЬНЫЕ ДАННЫЕ.
ДЕМО, ЦЕЛЬ, Белокочанная капуста,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99" authorId="0">
      <text>
        <r>
          <rPr>
            <sz val="8"/>
            <color indexed="81"/>
            <rFont val="Tahoma"/>
            <family val="2"/>
          </rPr>
          <t>ЗАМЕНИТЕ НА РЕАЛЬНЫЕ ДАННЫЕ.
ДЕМО, ЦЕЛЬ, Белокочанная капуста,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99" authorId="0">
      <text>
        <r>
          <rPr>
            <sz val="8"/>
            <color indexed="81"/>
            <rFont val="Tahoma"/>
            <family val="2"/>
          </rPr>
          <t>ЗАМЕНИТЕ НА РЕАЛЬНЫЕ ДАННЫЕ.
ДЕМО, ЦЕЛЬ, Белокочанная капуста,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99" authorId="0">
      <text>
        <r>
          <rPr>
            <sz val="8"/>
            <color indexed="81"/>
            <rFont val="Tahoma"/>
            <family val="2"/>
          </rPr>
          <t>ЗАМЕНИТЕ НА РЕАЛЬНЫЕ ДАННЫЕ.
ДЕМО, ЦЕЛЬ, Белокочанная капуста,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99" authorId="0">
      <text>
        <r>
          <rPr>
            <sz val="8"/>
            <color indexed="81"/>
            <rFont val="Tahoma"/>
            <family val="2"/>
          </rPr>
          <t>ЗАМЕНИТЕ НА РЕАЛЬНЫЕ ДАННЫЕ.
ДЕМО, ЦЕЛЬ, Белокочанная капуста,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99" authorId="0">
      <text>
        <r>
          <rPr>
            <sz val="8"/>
            <color indexed="81"/>
            <rFont val="Tahoma"/>
            <family val="2"/>
          </rPr>
          <t>ЗАМЕНИТЕ НА РЕАЛЬНЫЕ ДАННЫЕ.
ДЕМО, ЦЕЛЬ, Белокочанная капуста,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99" authorId="0">
      <text>
        <r>
          <rPr>
            <sz val="8"/>
            <color indexed="81"/>
            <rFont val="Tahoma"/>
            <family val="2"/>
          </rPr>
          <t>ЗАМЕНИТЕ НА РЕАЛЬНЫЕ ДАННЫЕ.
ДЕМО, ЦЕЛЬ, Белокочанная капуста,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99" authorId="0">
      <text>
        <r>
          <rPr>
            <sz val="8"/>
            <color indexed="81"/>
            <rFont val="Tahoma"/>
            <family val="2"/>
          </rPr>
          <t>ЗАМЕНИТЕ НА РЕАЛЬНЫЕ ДАННЫЕ.
ДЕМО, ЦЕЛЬ, Белокочанная капуста,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99" authorId="0">
      <text>
        <r>
          <rPr>
            <sz val="8"/>
            <color indexed="81"/>
            <rFont val="Tahoma"/>
            <family val="2"/>
          </rPr>
          <t>ЗАМЕНИТЕ НА РЕАЛЬНЫЕ ДАННЫЕ.
ДЕМО, ЦЕЛЬ, Белокочанная капуста,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99" authorId="0">
      <text>
        <r>
          <rPr>
            <sz val="8"/>
            <color indexed="81"/>
            <rFont val="Tahoma"/>
            <family val="2"/>
          </rPr>
          <t>ЗАМЕНИТЕ НА РЕАЛЬНЫЕ ДАННЫЕ.
ДЕМО, ЦЕЛЬ, Белокочанная капуста,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99" authorId="0">
      <text>
        <r>
          <rPr>
            <sz val="8"/>
            <color indexed="81"/>
            <rFont val="Tahoma"/>
            <family val="2"/>
          </rPr>
          <t>ЗАМЕНИТЕ НА РЕАЛЬНЫЕ ДАННЫЕ.
ДЕМО, ЦЕЛЬ, Белокочанная капуста,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00" authorId="0">
      <text>
        <r>
          <rPr>
            <sz val="8"/>
            <color indexed="81"/>
            <rFont val="Tahoma"/>
            <family val="2"/>
          </rPr>
          <t>ЗАМЕНИТЕ НА РЕАЛЬНЫЕ ДАННЫЕ.
ДЕМО, ЦЕЛЬ, Белокочанная капуста,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00" authorId="0">
      <text>
        <r>
          <rPr>
            <sz val="8"/>
            <color indexed="81"/>
            <rFont val="Tahoma"/>
            <family val="2"/>
          </rPr>
          <t>ЗАМЕНИТЕ НА РЕАЛЬНЫЕ ДАННЫЕ.
ДЕМО, ЦЕЛЬ, Белокочанная капуста,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00" authorId="0">
      <text>
        <r>
          <rPr>
            <sz val="8"/>
            <color indexed="81"/>
            <rFont val="Tahoma"/>
            <family val="2"/>
          </rPr>
          <t>ЗАМЕНИТЕ НА РЕАЛЬНЫЕ ДАННЫЕ.
ДЕМО, ЦЕЛЬ, Белокочанная капуста,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00" authorId="0">
      <text>
        <r>
          <rPr>
            <sz val="8"/>
            <color indexed="81"/>
            <rFont val="Tahoma"/>
            <family val="2"/>
          </rPr>
          <t>ЗАМЕНИТЕ НА РЕАЛЬНЫЕ ДАННЫЕ.
ДЕМО, ЦЕЛЬ, Белокочанная капуста,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00" authorId="0">
      <text>
        <r>
          <rPr>
            <sz val="8"/>
            <color indexed="81"/>
            <rFont val="Tahoma"/>
            <family val="2"/>
          </rPr>
          <t>ЗАМЕНИТЕ НА РЕАЛЬНЫЕ ДАННЫЕ.
ДЕМО, ЦЕЛЬ, Белокочанная капуста,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00" authorId="0">
      <text>
        <r>
          <rPr>
            <sz val="8"/>
            <color indexed="81"/>
            <rFont val="Tahoma"/>
            <family val="2"/>
          </rPr>
          <t>ЗАМЕНИТЕ НА РЕАЛЬНЫЕ ДАННЫЕ.
ДЕМО, ЦЕЛЬ, Белокочанная капуста,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00" authorId="0">
      <text>
        <r>
          <rPr>
            <sz val="8"/>
            <color indexed="81"/>
            <rFont val="Tahoma"/>
            <family val="2"/>
          </rPr>
          <t>ЗАМЕНИТЕ НА РЕАЛЬНЫЕ ДАННЫЕ.
ДЕМО, ЦЕЛЬ, Белокочанная капуста,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00" authorId="0">
      <text>
        <r>
          <rPr>
            <sz val="8"/>
            <color indexed="81"/>
            <rFont val="Tahoma"/>
            <family val="2"/>
          </rPr>
          <t>ЗАМЕНИТЕ НА РЕАЛЬНЫЕ ДАННЫЕ.
ДЕМО, ЦЕЛЬ, Белокочанная капуста,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00" authorId="0">
      <text>
        <r>
          <rPr>
            <sz val="8"/>
            <color indexed="81"/>
            <rFont val="Tahoma"/>
            <family val="2"/>
          </rPr>
          <t>ЗАМЕНИТЕ НА РЕАЛЬНЫЕ ДАННЫЕ.
ДЕМО, ЦЕЛЬ, Белокочанная капуста,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00" authorId="0">
      <text>
        <r>
          <rPr>
            <sz val="8"/>
            <color indexed="81"/>
            <rFont val="Tahoma"/>
            <family val="2"/>
          </rPr>
          <t>ЗАМЕНИТЕ НА РЕАЛЬНЫЕ ДАННЫЕ.
ДЕМО, ЦЕЛЬ, Белокочанная капуста,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02" authorId="0">
      <text>
        <r>
          <rPr>
            <sz val="8"/>
            <color indexed="81"/>
            <rFont val="Tahoma"/>
            <family val="2"/>
          </rPr>
          <t>ЗАМЕНИТЕ НА РЕАЛЬНЫЕ ДАННЫЕ.
ДЕМО, ЦЕЛЬ, Белокочанная капуста,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02" authorId="0">
      <text>
        <r>
          <rPr>
            <sz val="8"/>
            <color indexed="81"/>
            <rFont val="Tahoma"/>
            <family val="2"/>
          </rPr>
          <t>ЗАМЕНИТЕ НА РЕАЛЬНЫЕ ДАННЫЕ.
ДЕМО, ЦЕЛЬ, Белокочанная капуста,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02" authorId="0">
      <text>
        <r>
          <rPr>
            <sz val="8"/>
            <color indexed="81"/>
            <rFont val="Tahoma"/>
            <family val="2"/>
          </rPr>
          <t>ЗАМЕНИТЕ НА РЕАЛЬНЫЕ ДАННЫЕ.
ДЕМО, ЦЕЛЬ, Белокочанная капуста,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02" authorId="0">
      <text>
        <r>
          <rPr>
            <sz val="8"/>
            <color indexed="81"/>
            <rFont val="Tahoma"/>
            <family val="2"/>
          </rPr>
          <t>ЗАМЕНИТЕ НА РЕАЛЬНЫЕ ДАННЫЕ.
ДЕМО, ЦЕЛЬ, Белокочанная капуста,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02" authorId="0">
      <text>
        <r>
          <rPr>
            <sz val="8"/>
            <color indexed="81"/>
            <rFont val="Tahoma"/>
            <family val="2"/>
          </rPr>
          <t>ЗАМЕНИТЕ НА РЕАЛЬНЫЕ ДАННЫЕ.
ДЕМО, ЦЕЛЬ, Белокочанная капуста,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02" authorId="0">
      <text>
        <r>
          <rPr>
            <sz val="8"/>
            <color indexed="81"/>
            <rFont val="Tahoma"/>
            <family val="2"/>
          </rPr>
          <t>ЗАМЕНИТЕ НА РЕАЛЬНЫЕ ДАННЫЕ.
ДЕМО, ЦЕЛЬ, Белокочанная капуста,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02" authorId="0">
      <text>
        <r>
          <rPr>
            <sz val="8"/>
            <color indexed="81"/>
            <rFont val="Tahoma"/>
            <family val="2"/>
          </rPr>
          <t>ЗАМЕНИТЕ НА РЕАЛЬНЫЕ ДАННЫЕ.
ДЕМО, ЦЕЛЬ, Белокочанная капуста,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02" authorId="0">
      <text>
        <r>
          <rPr>
            <sz val="8"/>
            <color indexed="81"/>
            <rFont val="Tahoma"/>
            <family val="2"/>
          </rPr>
          <t>ЗАМЕНИТЕ НА РЕАЛЬНЫЕ ДАННЫЕ.
ДЕМО, ЦЕЛЬ, Белокочанная капуста,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02" authorId="0">
      <text>
        <r>
          <rPr>
            <sz val="8"/>
            <color indexed="81"/>
            <rFont val="Tahoma"/>
            <family val="2"/>
          </rPr>
          <t>ЗАМЕНИТЕ НА РЕАЛЬНЫЕ ДАННЫЕ.
ДЕМО, ЦЕЛЬ, Белокочанная капуста,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02" authorId="0">
      <text>
        <r>
          <rPr>
            <sz val="8"/>
            <color indexed="81"/>
            <rFont val="Tahoma"/>
            <family val="2"/>
          </rPr>
          <t>ЗАМЕНИТЕ НА РЕАЛЬНЫЕ ДАННЫЕ.
ДЕМО, ЦЕЛЬ, Белокочанная капуста,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03" authorId="0">
      <text>
        <r>
          <rPr>
            <sz val="8"/>
            <color indexed="81"/>
            <rFont val="Tahoma"/>
            <family val="2"/>
          </rPr>
          <t>ЗАМЕНИТЕ НА РЕАЛЬНЫЕ ДАННЫЕ.
ДЕМО, ЦЕЛЬ, Белокочанная капуста,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03" authorId="0">
      <text>
        <r>
          <rPr>
            <sz val="8"/>
            <color indexed="81"/>
            <rFont val="Tahoma"/>
            <family val="2"/>
          </rPr>
          <t>ЗАМЕНИТЕ НА РЕАЛЬНЫЕ ДАННЫЕ.
ДЕМО, ЦЕЛЬ, Белокочанная капуста,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03" authorId="0">
      <text>
        <r>
          <rPr>
            <sz val="8"/>
            <color indexed="81"/>
            <rFont val="Tahoma"/>
            <family val="2"/>
          </rPr>
          <t>ЗАМЕНИТЕ НА РЕАЛЬНЫЕ ДАННЫЕ.
ДЕМО, ЦЕЛЬ, Белокочанная капуста,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03" authorId="0">
      <text>
        <r>
          <rPr>
            <sz val="8"/>
            <color indexed="81"/>
            <rFont val="Tahoma"/>
            <family val="2"/>
          </rPr>
          <t>ЗАМЕНИТЕ НА РЕАЛЬНЫЕ ДАННЫЕ.
ДЕМО, ЦЕЛЬ, Белокочанная капуста,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03" authorId="0">
      <text>
        <r>
          <rPr>
            <sz val="8"/>
            <color indexed="81"/>
            <rFont val="Tahoma"/>
            <family val="2"/>
          </rPr>
          <t>ЗАМЕНИТЕ НА РЕАЛЬНЫЕ ДАННЫЕ.
ДЕМО, ЦЕЛЬ, Белокочанная капуста,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03" authorId="0">
      <text>
        <r>
          <rPr>
            <sz val="8"/>
            <color indexed="81"/>
            <rFont val="Tahoma"/>
            <family val="2"/>
          </rPr>
          <t>ЗАМЕНИТЕ НА РЕАЛЬНЫЕ ДАННЫЕ.
ДЕМО, ЦЕЛЬ, Белокочанная капуста,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03" authorId="0">
      <text>
        <r>
          <rPr>
            <sz val="8"/>
            <color indexed="81"/>
            <rFont val="Tahoma"/>
            <family val="2"/>
          </rPr>
          <t>ЗАМЕНИТЕ НА РЕАЛЬНЫЕ ДАННЫЕ.
ДЕМО, ЦЕЛЬ, Белокочанная капуста,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03" authorId="0">
      <text>
        <r>
          <rPr>
            <sz val="8"/>
            <color indexed="81"/>
            <rFont val="Tahoma"/>
            <family val="2"/>
          </rPr>
          <t>ЗАМЕНИТЕ НА РЕАЛЬНЫЕ ДАННЫЕ.
ДЕМО, ЦЕЛЬ, Белокочанная капуста,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03" authorId="0">
      <text>
        <r>
          <rPr>
            <sz val="8"/>
            <color indexed="81"/>
            <rFont val="Tahoma"/>
            <family val="2"/>
          </rPr>
          <t>ЗАМЕНИТЕ НА РЕАЛЬНЫЕ ДАННЫЕ.
ДЕМО, ЦЕЛЬ, Белокочанная капуста,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03" authorId="0">
      <text>
        <r>
          <rPr>
            <sz val="8"/>
            <color indexed="81"/>
            <rFont val="Tahoma"/>
            <family val="2"/>
          </rPr>
          <t>ЗАМЕНИТЕ НА РЕАЛЬНЫЕ ДАННЫЕ.
ДЕМО, ЦЕЛЬ, Белокочанная капуста,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04" authorId="0">
      <text>
        <r>
          <rPr>
            <sz val="8"/>
            <color indexed="81"/>
            <rFont val="Tahoma"/>
            <family val="2"/>
          </rPr>
          <t>ЗАМЕНИТЕ НА РЕАЛЬНЫЕ ДАННЫЕ.
ДЕМО, ЦЕЛЬ, Белокочанная капуста,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04" authorId="0">
      <text>
        <r>
          <rPr>
            <sz val="8"/>
            <color indexed="81"/>
            <rFont val="Tahoma"/>
            <family val="2"/>
          </rPr>
          <t>ЗАМЕНИТЕ НА РЕАЛЬНЫЕ ДАННЫЕ.
ДЕМО, ЦЕЛЬ, Белокочанная капуста,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04" authorId="0">
      <text>
        <r>
          <rPr>
            <sz val="8"/>
            <color indexed="81"/>
            <rFont val="Tahoma"/>
            <family val="2"/>
          </rPr>
          <t>ЗАМЕНИТЕ НА РЕАЛЬНЫЕ ДАННЫЕ.
ДЕМО, ЦЕЛЬ, Белокочанная капуста,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04" authorId="0">
      <text>
        <r>
          <rPr>
            <sz val="8"/>
            <color indexed="81"/>
            <rFont val="Tahoma"/>
            <family val="2"/>
          </rPr>
          <t>ЗАМЕНИТЕ НА РЕАЛЬНЫЕ ДАННЫЕ.
ДЕМО, ЦЕЛЬ, Белокочанная капуста,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04" authorId="0">
      <text>
        <r>
          <rPr>
            <sz val="8"/>
            <color indexed="81"/>
            <rFont val="Tahoma"/>
            <family val="2"/>
          </rPr>
          <t>ЗАМЕНИТЕ НА РЕАЛЬНЫЕ ДАННЫЕ.
ДЕМО, ЦЕЛЬ, Белокочанная капуста,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04" authorId="0">
      <text>
        <r>
          <rPr>
            <sz val="8"/>
            <color indexed="81"/>
            <rFont val="Tahoma"/>
            <family val="2"/>
          </rPr>
          <t>ЗАМЕНИТЕ НА РЕАЛЬНЫЕ ДАННЫЕ.
ДЕМО, ЦЕЛЬ, Белокочанная капуста,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04" authorId="0">
      <text>
        <r>
          <rPr>
            <sz val="8"/>
            <color indexed="81"/>
            <rFont val="Tahoma"/>
            <family val="2"/>
          </rPr>
          <t>ЗАМЕНИТЕ НА РЕАЛЬНЫЕ ДАННЫЕ.
ДЕМО, ЦЕЛЬ, Белокочанная капуста,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04" authorId="0">
      <text>
        <r>
          <rPr>
            <sz val="8"/>
            <color indexed="81"/>
            <rFont val="Tahoma"/>
            <family val="2"/>
          </rPr>
          <t>ЗАМЕНИТЕ НА РЕАЛЬНЫЕ ДАННЫЕ.
ДЕМО, ЦЕЛЬ, Белокочанная капуста,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04" authorId="0">
      <text>
        <r>
          <rPr>
            <sz val="8"/>
            <color indexed="81"/>
            <rFont val="Tahoma"/>
            <family val="2"/>
          </rPr>
          <t>ЗАМЕНИТЕ НА РЕАЛЬНЫЕ ДАННЫЕ.
ДЕМО, ЦЕЛЬ, Белокочанная капуста,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04" authorId="0">
      <text>
        <r>
          <rPr>
            <sz val="8"/>
            <color indexed="81"/>
            <rFont val="Tahoma"/>
            <family val="2"/>
          </rPr>
          <t>ЗАМЕНИТЕ НА РЕАЛЬНЫЕ ДАННЫЕ.
ДЕМО, ЦЕЛЬ, Белокочанная капуста,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05" authorId="0">
      <text>
        <r>
          <rPr>
            <sz val="8"/>
            <color indexed="81"/>
            <rFont val="Tahoma"/>
            <family val="2"/>
          </rPr>
          <t>ЗАМЕНИТЕ НА РЕАЛЬНЫЕ ДАННЫЕ.
ДЕМО, ЦЕЛЬ, Белокочанная капуста,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05" authorId="0">
      <text>
        <r>
          <rPr>
            <sz val="8"/>
            <color indexed="81"/>
            <rFont val="Tahoma"/>
            <family val="2"/>
          </rPr>
          <t>ЗАМЕНИТЕ НА РЕАЛЬНЫЕ ДАННЫЕ.
ДЕМО, ЦЕЛЬ, Белокочанная капуста,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05" authorId="0">
      <text>
        <r>
          <rPr>
            <sz val="8"/>
            <color indexed="81"/>
            <rFont val="Tahoma"/>
            <family val="2"/>
          </rPr>
          <t>ЗАМЕНИТЕ НА РЕАЛЬНЫЕ ДАННЫЕ.
ДЕМО, ЦЕЛЬ, Белокочанная капуста,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05" authorId="0">
      <text>
        <r>
          <rPr>
            <sz val="8"/>
            <color indexed="81"/>
            <rFont val="Tahoma"/>
            <family val="2"/>
          </rPr>
          <t>ЗАМЕНИТЕ НА РЕАЛЬНЫЕ ДАННЫЕ.
ДЕМО, ЦЕЛЬ, Белокочанная капуста,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05" authorId="0">
      <text>
        <r>
          <rPr>
            <sz val="8"/>
            <color indexed="81"/>
            <rFont val="Tahoma"/>
            <family val="2"/>
          </rPr>
          <t>ЗАМЕНИТЕ НА РЕАЛЬНЫЕ ДАННЫЕ.
ДЕМО, ЦЕЛЬ, Белокочанная капуста,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05" authorId="0">
      <text>
        <r>
          <rPr>
            <sz val="8"/>
            <color indexed="81"/>
            <rFont val="Tahoma"/>
            <family val="2"/>
          </rPr>
          <t>ЗАМЕНИТЕ НА РЕАЛЬНЫЕ ДАННЫЕ.
ДЕМО, ЦЕЛЬ, Белокочанная капуста,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05" authorId="0">
      <text>
        <r>
          <rPr>
            <sz val="8"/>
            <color indexed="81"/>
            <rFont val="Tahoma"/>
            <family val="2"/>
          </rPr>
          <t>ЗАМЕНИТЕ НА РЕАЛЬНЫЕ ДАННЫЕ.
ДЕМО, ЦЕЛЬ, Белокочанная капуста,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05" authorId="0">
      <text>
        <r>
          <rPr>
            <sz val="8"/>
            <color indexed="81"/>
            <rFont val="Tahoma"/>
            <family val="2"/>
          </rPr>
          <t>ЗАМЕНИТЕ НА РЕАЛЬНЫЕ ДАННЫЕ.
ДЕМО, ЦЕЛЬ, Белокочанная капуста,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05" authorId="0">
      <text>
        <r>
          <rPr>
            <sz val="8"/>
            <color indexed="81"/>
            <rFont val="Tahoma"/>
            <family val="2"/>
          </rPr>
          <t>ЗАМЕНИТЕ НА РЕАЛЬНЫЕ ДАННЫЕ.
ДЕМО, ЦЕЛЬ, Белокочанная капуста,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05" authorId="0">
      <text>
        <r>
          <rPr>
            <sz val="8"/>
            <color indexed="81"/>
            <rFont val="Tahoma"/>
            <family val="2"/>
          </rPr>
          <t>ЗАМЕНИТЕ НА РЕАЛЬНЫЕ ДАННЫЕ.
ДЕМО, ЦЕЛЬ, Белокочанная капуста,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06" authorId="0">
      <text>
        <r>
          <rPr>
            <sz val="8"/>
            <color indexed="81"/>
            <rFont val="Tahoma"/>
            <family val="2"/>
          </rPr>
          <t>ЗАМЕНИТЕ НА РЕАЛЬНЫЕ ДАННЫЕ.
ДЕМО, ЦЕЛЬ, Белокочанная капуста,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06" authorId="0">
      <text>
        <r>
          <rPr>
            <sz val="8"/>
            <color indexed="81"/>
            <rFont val="Tahoma"/>
            <family val="2"/>
          </rPr>
          <t>ЗАМЕНИТЕ НА РЕАЛЬНЫЕ ДАННЫЕ.
ДЕМО, ЦЕЛЬ, Белокочанная капуста,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06" authorId="0">
      <text>
        <r>
          <rPr>
            <sz val="8"/>
            <color indexed="81"/>
            <rFont val="Tahoma"/>
            <family val="2"/>
          </rPr>
          <t>ЗАМЕНИТЕ НА РЕАЛЬНЫЕ ДАННЫЕ.
ДЕМО, ЦЕЛЬ, Белокочанная капуста,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06" authorId="0">
      <text>
        <r>
          <rPr>
            <sz val="8"/>
            <color indexed="81"/>
            <rFont val="Tahoma"/>
            <family val="2"/>
          </rPr>
          <t>ЗАМЕНИТЕ НА РЕАЛЬНЫЕ ДАННЫЕ.
ДЕМО, ЦЕЛЬ, Белокочанная капуста,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06" authorId="0">
      <text>
        <r>
          <rPr>
            <sz val="8"/>
            <color indexed="81"/>
            <rFont val="Tahoma"/>
            <family val="2"/>
          </rPr>
          <t>ЗАМЕНИТЕ НА РЕАЛЬНЫЕ ДАННЫЕ.
ДЕМО, ЦЕЛЬ, Белокочанная капуста,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06" authorId="0">
      <text>
        <r>
          <rPr>
            <sz val="8"/>
            <color indexed="81"/>
            <rFont val="Tahoma"/>
            <family val="2"/>
          </rPr>
          <t>ЗАМЕНИТЕ НА РЕАЛЬНЫЕ ДАННЫЕ.
ДЕМО, ЦЕЛЬ, Белокочанная капуста,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06" authorId="0">
      <text>
        <r>
          <rPr>
            <sz val="8"/>
            <color indexed="81"/>
            <rFont val="Tahoma"/>
            <family val="2"/>
          </rPr>
          <t>ЗАМЕНИТЕ НА РЕАЛЬНЫЕ ДАННЫЕ.
ДЕМО, ЦЕЛЬ, Белокочанная капуста,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06" authorId="0">
      <text>
        <r>
          <rPr>
            <sz val="8"/>
            <color indexed="81"/>
            <rFont val="Tahoma"/>
            <family val="2"/>
          </rPr>
          <t>ЗАМЕНИТЕ НА РЕАЛЬНЫЕ ДАННЫЕ.
ДЕМО, ЦЕЛЬ, Белокочанная капуста,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06" authorId="0">
      <text>
        <r>
          <rPr>
            <sz val="8"/>
            <color indexed="81"/>
            <rFont val="Tahoma"/>
            <family val="2"/>
          </rPr>
          <t>ЗАМЕНИТЕ НА РЕАЛЬНЫЕ ДАННЫЕ.
ДЕМО, ЦЕЛЬ, Белокочанная капуста,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06" authorId="0">
      <text>
        <r>
          <rPr>
            <sz val="8"/>
            <color indexed="81"/>
            <rFont val="Tahoma"/>
            <family val="2"/>
          </rPr>
          <t>ЗАМЕНИТЕ НА РЕАЛЬНЫЕ ДАННЫЕ.
ДЕМО, ЦЕЛЬ, Белокочанная капуста,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15" authorId="0">
      <text>
        <r>
          <rPr>
            <sz val="8"/>
            <color indexed="81"/>
            <rFont val="Tahoma"/>
            <family val="2"/>
          </rPr>
          <t>ЗАМЕНИТЕ НА РЕАЛЬНЫЕ ДАННЫЕ.
Укроп, цикл 1. 0 исключает все элементы данного цикла, а не один выброс.</t>
        </r>
      </text>
    </comment>
    <comment ref="F115" authorId="0">
      <text>
        <r>
          <rPr>
            <sz val="8"/>
            <color indexed="81"/>
            <rFont val="Tahoma"/>
            <family val="2"/>
          </rPr>
          <t>ЗАМЕНИТЕ НА РЕАЛЬНЫЕ ДАННЫЕ.
Укроп, цикл 2. 0 исключает все элементы данного цикла, а не один выброс.</t>
        </r>
      </text>
    </comment>
    <comment ref="G115" authorId="0">
      <text>
        <r>
          <rPr>
            <sz val="8"/>
            <color indexed="81"/>
            <rFont val="Tahoma"/>
            <family val="2"/>
          </rPr>
          <t>ЗАМЕНИТЕ НА РЕАЛЬНЫЕ ДАННЫЕ.
Укроп, цикл 3. 0 исключает все элементы данного цикла, а не один выброс.</t>
        </r>
      </text>
    </comment>
    <comment ref="H115" authorId="0">
      <text>
        <r>
          <rPr>
            <sz val="8"/>
            <color indexed="81"/>
            <rFont val="Tahoma"/>
            <family val="2"/>
          </rPr>
          <t>ЗАМЕНИТЕ НА РЕАЛЬНЫЕ ДАННЫЕ.
Укроп, цикл 4. 0 исключает все элементы данного цикла, а не один выброс.</t>
        </r>
      </text>
    </comment>
    <comment ref="I115" authorId="0">
      <text>
        <r>
          <rPr>
            <sz val="8"/>
            <color indexed="81"/>
            <rFont val="Tahoma"/>
            <family val="2"/>
          </rPr>
          <t>ЗАМЕНИТЕ НА РЕАЛЬНЫЕ ДАННЫЕ.
Укроп, цикл 5. 0 исключает все элементы данного цикла, а не один выброс.</t>
        </r>
      </text>
    </comment>
    <comment ref="J115" authorId="0">
      <text>
        <r>
          <rPr>
            <sz val="8"/>
            <color indexed="81"/>
            <rFont val="Tahoma"/>
            <family val="2"/>
          </rPr>
          <t>ЗАМЕНИТЕ НА РЕАЛЬНЫЕ ДАННЫЕ.
Укроп, цикл 6. 0 исключает все элементы данного цикла, а не один выброс.</t>
        </r>
      </text>
    </comment>
    <comment ref="K115" authorId="0">
      <text>
        <r>
          <rPr>
            <sz val="8"/>
            <color indexed="81"/>
            <rFont val="Tahoma"/>
            <family val="2"/>
          </rPr>
          <t>ЗАМЕНИТЕ НА РЕАЛЬНЫЕ ДАННЫЕ.
Укроп, цикл 7. 0 исключает все элементы данного цикла, а не один выброс.</t>
        </r>
      </text>
    </comment>
    <comment ref="L115" authorId="0">
      <text>
        <r>
          <rPr>
            <sz val="8"/>
            <color indexed="81"/>
            <rFont val="Tahoma"/>
            <family val="2"/>
          </rPr>
          <t>ЗАМЕНИТЕ НА РЕАЛЬНЫЕ ДАННЫЕ.
Укроп, цикл 8. 0 исключает все элементы данного цикла, а не один выброс.</t>
        </r>
      </text>
    </comment>
    <comment ref="M115" authorId="0">
      <text>
        <r>
          <rPr>
            <sz val="8"/>
            <color indexed="81"/>
            <rFont val="Tahoma"/>
            <family val="2"/>
          </rPr>
          <t>ЗАМЕНИТЕ НА РЕАЛЬНЫЕ ДАННЫЕ.
Укроп, цикл 9. 0 исключает все элементы данного цикла, а не один выброс.</t>
        </r>
      </text>
    </comment>
    <comment ref="N115" authorId="0">
      <text>
        <r>
          <rPr>
            <sz val="8"/>
            <color indexed="81"/>
            <rFont val="Tahoma"/>
            <family val="2"/>
          </rPr>
          <t>ЗАМЕНИТЕ НА РЕАЛЬНЫЕ ДАННЫЕ.
Укроп, цикл 10. 0 исключает все элементы данного цикла, а не один выброс.</t>
        </r>
      </text>
    </comment>
    <comment ref="E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1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17" authorId="0">
      <text>
        <r>
          <rPr>
            <sz val="8"/>
            <color indexed="81"/>
            <rFont val="Tahoma"/>
            <family val="2"/>
          </rPr>
          <t>ЗАМЕНИТЕ НА РЕАЛЬНЫЕ ДАННЫЕ.
ДЕМО, ЦЕЛЬ, Укроп,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17" authorId="0">
      <text>
        <r>
          <rPr>
            <sz val="8"/>
            <color indexed="81"/>
            <rFont val="Tahoma"/>
            <family val="2"/>
          </rPr>
          <t>ЗАМЕНИТЕ НА РЕАЛЬНЫЕ ДАННЫЕ.
ДЕМО, ЦЕЛЬ, Укроп,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17" authorId="0">
      <text>
        <r>
          <rPr>
            <sz val="8"/>
            <color indexed="81"/>
            <rFont val="Tahoma"/>
            <family val="2"/>
          </rPr>
          <t>ЗАМЕНИТЕ НА РЕАЛЬНЫЕ ДАННЫЕ.
ДЕМО, ЦЕЛЬ, Укроп,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17" authorId="0">
      <text>
        <r>
          <rPr>
            <sz val="8"/>
            <color indexed="81"/>
            <rFont val="Tahoma"/>
            <family val="2"/>
          </rPr>
          <t>ЗАМЕНИТЕ НА РЕАЛЬНЫЕ ДАННЫЕ.
ДЕМО, ЦЕЛЬ, Укроп,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17" authorId="0">
      <text>
        <r>
          <rPr>
            <sz val="8"/>
            <color indexed="81"/>
            <rFont val="Tahoma"/>
            <family val="2"/>
          </rPr>
          <t>ЗАМЕНИТЕ НА РЕАЛЬНЫЕ ДАННЫЕ.
ДЕМО, ЦЕЛЬ, Укроп,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17" authorId="0">
      <text>
        <r>
          <rPr>
            <sz val="8"/>
            <color indexed="81"/>
            <rFont val="Tahoma"/>
            <family val="2"/>
          </rPr>
          <t>ЗАМЕНИТЕ НА РЕАЛЬНЫЕ ДАННЫЕ.
ДЕМО, ЦЕЛЬ, Укроп,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17" authorId="0">
      <text>
        <r>
          <rPr>
            <sz val="8"/>
            <color indexed="81"/>
            <rFont val="Tahoma"/>
            <family val="2"/>
          </rPr>
          <t>ЗАМЕНИТЕ НА РЕАЛЬНЫЕ ДАННЫЕ.
ДЕМО, ЦЕЛЬ, Укроп,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17" authorId="0">
      <text>
        <r>
          <rPr>
            <sz val="8"/>
            <color indexed="81"/>
            <rFont val="Tahoma"/>
            <family val="2"/>
          </rPr>
          <t>ЗАМЕНИТЕ НА РЕАЛЬНЫЕ ДАННЫЕ.
ДЕМО, ЦЕЛЬ, Укроп,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17" authorId="0">
      <text>
        <r>
          <rPr>
            <sz val="8"/>
            <color indexed="81"/>
            <rFont val="Tahoma"/>
            <family val="2"/>
          </rPr>
          <t>ЗАМЕНИТЕ НА РЕАЛЬНЫЕ ДАННЫЕ.
ДЕМО, ЦЕЛЬ, Укроп,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17" authorId="0">
      <text>
        <r>
          <rPr>
            <sz val="8"/>
            <color indexed="81"/>
            <rFont val="Tahoma"/>
            <family val="2"/>
          </rPr>
          <t>ЗАМЕНИТЕ НА РЕАЛЬНЫЕ ДАННЫЕ.
ДЕМО, ЦЕЛЬ, Укроп,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18" authorId="0">
      <text>
        <r>
          <rPr>
            <sz val="8"/>
            <color indexed="81"/>
            <rFont val="Tahoma"/>
            <family val="2"/>
          </rPr>
          <t>ЗАМЕНИТЕ НА РЕАЛЬНЫЕ ДАННЫЕ.
ДЕМО, ЦЕЛЬ, Укроп,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18" authorId="0">
      <text>
        <r>
          <rPr>
            <sz val="8"/>
            <color indexed="81"/>
            <rFont val="Tahoma"/>
            <family val="2"/>
          </rPr>
          <t>ЗАМЕНИТЕ НА РЕАЛЬНЫЕ ДАННЫЕ.
ДЕМО, ЦЕЛЬ, Укроп,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18" authorId="0">
      <text>
        <r>
          <rPr>
            <sz val="8"/>
            <color indexed="81"/>
            <rFont val="Tahoma"/>
            <family val="2"/>
          </rPr>
          <t>ЗАМЕНИТЕ НА РЕАЛЬНЫЕ ДАННЫЕ.
ДЕМО, ЦЕЛЬ, Укроп,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18" authorId="0">
      <text>
        <r>
          <rPr>
            <sz val="8"/>
            <color indexed="81"/>
            <rFont val="Tahoma"/>
            <family val="2"/>
          </rPr>
          <t>ЗАМЕНИТЕ НА РЕАЛЬНЫЕ ДАННЫЕ.
ДЕМО, ЦЕЛЬ, Укроп,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18" authorId="0">
      <text>
        <r>
          <rPr>
            <sz val="8"/>
            <color indexed="81"/>
            <rFont val="Tahoma"/>
            <family val="2"/>
          </rPr>
          <t>ЗАМЕНИТЕ НА РЕАЛЬНЫЕ ДАННЫЕ.
ДЕМО, ЦЕЛЬ, Укроп,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18" authorId="0">
      <text>
        <r>
          <rPr>
            <sz val="8"/>
            <color indexed="81"/>
            <rFont val="Tahoma"/>
            <family val="2"/>
          </rPr>
          <t>ЗАМЕНИТЕ НА РЕАЛЬНЫЕ ДАННЫЕ.
ДЕМО, ЦЕЛЬ, Укроп,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18" authorId="0">
      <text>
        <r>
          <rPr>
            <sz val="8"/>
            <color indexed="81"/>
            <rFont val="Tahoma"/>
            <family val="2"/>
          </rPr>
          <t>ЗАМЕНИТЕ НА РЕАЛЬНЫЕ ДАННЫЕ.
ДЕМО, ЦЕЛЬ, Укроп,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18" authorId="0">
      <text>
        <r>
          <rPr>
            <sz val="8"/>
            <color indexed="81"/>
            <rFont val="Tahoma"/>
            <family val="2"/>
          </rPr>
          <t>ЗАМЕНИТЕ НА РЕАЛЬНЫЕ ДАННЫЕ.
ДЕМО, ЦЕЛЬ, Укроп,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18" authorId="0">
      <text>
        <r>
          <rPr>
            <sz val="8"/>
            <color indexed="81"/>
            <rFont val="Tahoma"/>
            <family val="2"/>
          </rPr>
          <t>ЗАМЕНИТЕ НА РЕАЛЬНЫЕ ДАННЫЕ.
ДЕМО, ЦЕЛЬ, Укроп,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18" authorId="0">
      <text>
        <r>
          <rPr>
            <sz val="8"/>
            <color indexed="81"/>
            <rFont val="Tahoma"/>
            <family val="2"/>
          </rPr>
          <t>ЗАМЕНИТЕ НА РЕАЛЬНЫЕ ДАННЫЕ.
ДЕМО, ЦЕЛЬ, Укроп,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19" authorId="0">
      <text>
        <r>
          <rPr>
            <sz val="8"/>
            <color indexed="81"/>
            <rFont val="Tahoma"/>
            <family val="2"/>
          </rPr>
          <t>ЗАМЕНИТЕ НА РЕАЛЬНЫЕ ДАННЫЕ.
ДЕМО, ЦЕЛЬ, Укроп,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19" authorId="0">
      <text>
        <r>
          <rPr>
            <sz val="8"/>
            <color indexed="81"/>
            <rFont val="Tahoma"/>
            <family val="2"/>
          </rPr>
          <t>ЗАМЕНИТЕ НА РЕАЛЬНЫЕ ДАННЫЕ.
ДЕМО, ЦЕЛЬ, Укроп,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19" authorId="0">
      <text>
        <r>
          <rPr>
            <sz val="8"/>
            <color indexed="81"/>
            <rFont val="Tahoma"/>
            <family val="2"/>
          </rPr>
          <t>ЗАМЕНИТЕ НА РЕАЛЬНЫЕ ДАННЫЕ.
ДЕМО, ЦЕЛЬ, Укроп,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19" authorId="0">
      <text>
        <r>
          <rPr>
            <sz val="8"/>
            <color indexed="81"/>
            <rFont val="Tahoma"/>
            <family val="2"/>
          </rPr>
          <t>ЗАМЕНИТЕ НА РЕАЛЬНЫЕ ДАННЫЕ.
ДЕМО, ЦЕЛЬ, Укроп,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19" authorId="0">
      <text>
        <r>
          <rPr>
            <sz val="8"/>
            <color indexed="81"/>
            <rFont val="Tahoma"/>
            <family val="2"/>
          </rPr>
          <t>ЗАМЕНИТЕ НА РЕАЛЬНЫЕ ДАННЫЕ.
ДЕМО, ЦЕЛЬ, Укроп,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19" authorId="0">
      <text>
        <r>
          <rPr>
            <sz val="8"/>
            <color indexed="81"/>
            <rFont val="Tahoma"/>
            <family val="2"/>
          </rPr>
          <t>ЗАМЕНИТЕ НА РЕАЛЬНЫЕ ДАННЫЕ.
ДЕМО, ЦЕЛЬ, Укроп,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19" authorId="0">
      <text>
        <r>
          <rPr>
            <sz val="8"/>
            <color indexed="81"/>
            <rFont val="Tahoma"/>
            <family val="2"/>
          </rPr>
          <t>ЗАМЕНИТЕ НА РЕАЛЬНЫЕ ДАННЫЕ.
ДЕМО, ЦЕЛЬ, Укроп,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19" authorId="0">
      <text>
        <r>
          <rPr>
            <sz val="8"/>
            <color indexed="81"/>
            <rFont val="Tahoma"/>
            <family val="2"/>
          </rPr>
          <t>ЗАМЕНИТЕ НА РЕАЛЬНЫЕ ДАННЫЕ.
ДЕМО, ЦЕЛЬ, Укроп,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19" authorId="0">
      <text>
        <r>
          <rPr>
            <sz val="8"/>
            <color indexed="81"/>
            <rFont val="Tahoma"/>
            <family val="2"/>
          </rPr>
          <t>ЗАМЕНИТЕ НА РЕАЛЬНЫЕ ДАННЫЕ.
ДЕМО, ЦЕЛЬ, Укроп,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19" authorId="0">
      <text>
        <r>
          <rPr>
            <sz val="8"/>
            <color indexed="81"/>
            <rFont val="Tahoma"/>
            <family val="2"/>
          </rPr>
          <t>ЗАМЕНИТЕ НА РЕАЛЬНЫЕ ДАННЫЕ.
ДЕМО, ЦЕЛЬ, Укроп,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20" authorId="0">
      <text>
        <r>
          <rPr>
            <sz val="8"/>
            <color indexed="81"/>
            <rFont val="Tahoma"/>
            <family val="2"/>
          </rPr>
          <t>ЗАМЕНИТЕ НА РЕАЛЬНЫЕ ДАННЫЕ.
ДЕМО, ЦЕЛЬ, Укроп,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20" authorId="0">
      <text>
        <r>
          <rPr>
            <sz val="8"/>
            <color indexed="81"/>
            <rFont val="Tahoma"/>
            <family val="2"/>
          </rPr>
          <t>ЗАМЕНИТЕ НА РЕАЛЬНЫЕ ДАННЫЕ.
ДЕМО, ЦЕЛЬ, Укроп,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20" authorId="0">
      <text>
        <r>
          <rPr>
            <sz val="8"/>
            <color indexed="81"/>
            <rFont val="Tahoma"/>
            <family val="2"/>
          </rPr>
          <t>ЗАМЕНИТЕ НА РЕАЛЬНЫЕ ДАННЫЕ.
ДЕМО, ЦЕЛЬ, Укроп,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20" authorId="0">
      <text>
        <r>
          <rPr>
            <sz val="8"/>
            <color indexed="81"/>
            <rFont val="Tahoma"/>
            <family val="2"/>
          </rPr>
          <t>ЗАМЕНИТЕ НА РЕАЛЬНЫЕ ДАННЫЕ.
ДЕМО, ЦЕЛЬ, Укроп,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20" authorId="0">
      <text>
        <r>
          <rPr>
            <sz val="8"/>
            <color indexed="81"/>
            <rFont val="Tahoma"/>
            <family val="2"/>
          </rPr>
          <t>ЗАМЕНИТЕ НА РЕАЛЬНЫЕ ДАННЫЕ.
ДЕМО, ЦЕЛЬ, Укроп,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20" authorId="0">
      <text>
        <r>
          <rPr>
            <sz val="8"/>
            <color indexed="81"/>
            <rFont val="Tahoma"/>
            <family val="2"/>
          </rPr>
          <t>ЗАМЕНИТЕ НА РЕАЛЬНЫЕ ДАННЫЕ.
ДЕМО, ЦЕЛЬ, Укроп,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20" authorId="0">
      <text>
        <r>
          <rPr>
            <sz val="8"/>
            <color indexed="81"/>
            <rFont val="Tahoma"/>
            <family val="2"/>
          </rPr>
          <t>ЗАМЕНИТЕ НА РЕАЛЬНЫЕ ДАННЫЕ.
ДЕМО, ЦЕЛЬ, Укроп,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20" authorId="0">
      <text>
        <r>
          <rPr>
            <sz val="8"/>
            <color indexed="81"/>
            <rFont val="Tahoma"/>
            <family val="2"/>
          </rPr>
          <t>ЗАМЕНИТЕ НА РЕАЛЬНЫЕ ДАННЫЕ.
ДЕМО, ЦЕЛЬ, Укроп,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20" authorId="0">
      <text>
        <r>
          <rPr>
            <sz val="8"/>
            <color indexed="81"/>
            <rFont val="Tahoma"/>
            <family val="2"/>
          </rPr>
          <t>ЗАМЕНИТЕ НА РЕАЛЬНЫЕ ДАННЫЕ.
ДЕМО, ЦЕЛЬ, Укроп,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20" authorId="0">
      <text>
        <r>
          <rPr>
            <sz val="8"/>
            <color indexed="81"/>
            <rFont val="Tahoma"/>
            <family val="2"/>
          </rPr>
          <t>ЗАМЕНИТЕ НА РЕАЛЬНЫЕ ДАННЫЕ.
ДЕМО, ЦЕЛЬ, Укроп,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21" authorId="0">
      <text>
        <r>
          <rPr>
            <sz val="8"/>
            <color indexed="81"/>
            <rFont val="Tahoma"/>
            <family val="2"/>
          </rPr>
          <t>ЗАМЕНИТЕ НА РЕАЛЬНЫЕ ДАННЫЕ.
ДЕМО, ЦЕЛЬ, Укроп,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21" authorId="0">
      <text>
        <r>
          <rPr>
            <sz val="8"/>
            <color indexed="81"/>
            <rFont val="Tahoma"/>
            <family val="2"/>
          </rPr>
          <t>ЗАМЕНИТЕ НА РЕАЛЬНЫЕ ДАННЫЕ.
ДЕМО, ЦЕЛЬ, Укроп,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21" authorId="0">
      <text>
        <r>
          <rPr>
            <sz val="8"/>
            <color indexed="81"/>
            <rFont val="Tahoma"/>
            <family val="2"/>
          </rPr>
          <t>ЗАМЕНИТЕ НА РЕАЛЬНЫЕ ДАННЫЕ.
ДЕМО, ЦЕЛЬ, Укроп,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21" authorId="0">
      <text>
        <r>
          <rPr>
            <sz val="8"/>
            <color indexed="81"/>
            <rFont val="Tahoma"/>
            <family val="2"/>
          </rPr>
          <t>ЗАМЕНИТЕ НА РЕАЛЬНЫЕ ДАННЫЕ.
ДЕМО, ЦЕЛЬ, Укроп,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21" authorId="0">
      <text>
        <r>
          <rPr>
            <sz val="8"/>
            <color indexed="81"/>
            <rFont val="Tahoma"/>
            <family val="2"/>
          </rPr>
          <t>ЗАМЕНИТЕ НА РЕАЛЬНЫЕ ДАННЫЕ.
ДЕМО, ЦЕЛЬ, Укроп,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21" authorId="0">
      <text>
        <r>
          <rPr>
            <sz val="8"/>
            <color indexed="81"/>
            <rFont val="Tahoma"/>
            <family val="2"/>
          </rPr>
          <t>ЗАМЕНИТЕ НА РЕАЛЬНЫЕ ДАННЫЕ.
ДЕМО, ЦЕЛЬ, Укроп,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21" authorId="0">
      <text>
        <r>
          <rPr>
            <sz val="8"/>
            <color indexed="81"/>
            <rFont val="Tahoma"/>
            <family val="2"/>
          </rPr>
          <t>ЗАМЕНИТЕ НА РЕАЛЬНЫЕ ДАННЫЕ.
ДЕМО, ЦЕЛЬ, Укроп,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21" authorId="0">
      <text>
        <r>
          <rPr>
            <sz val="8"/>
            <color indexed="81"/>
            <rFont val="Tahoma"/>
            <family val="2"/>
          </rPr>
          <t>ЗАМЕНИТЕ НА РЕАЛЬНЫЕ ДАННЫЕ.
ДЕМО, ЦЕЛЬ, Укроп,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21" authorId="0">
      <text>
        <r>
          <rPr>
            <sz val="8"/>
            <color indexed="81"/>
            <rFont val="Tahoma"/>
            <family val="2"/>
          </rPr>
          <t>ЗАМЕНИТЕ НА РЕАЛЬНЫЕ ДАННЫЕ.
ДЕМО, ЦЕЛЬ, Укроп,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21" authorId="0">
      <text>
        <r>
          <rPr>
            <sz val="8"/>
            <color indexed="81"/>
            <rFont val="Tahoma"/>
            <family val="2"/>
          </rPr>
          <t>ЗАМЕНИТЕ НА РЕАЛЬНЫЕ ДАННЫЕ.
ДЕМО, ЦЕЛЬ, Укроп,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23" authorId="0">
      <text>
        <r>
          <rPr>
            <sz val="8"/>
            <color indexed="81"/>
            <rFont val="Tahoma"/>
            <family val="2"/>
          </rPr>
          <t>ЗАМЕНИТЕ НА РЕАЛЬНЫЕ ДАННЫЕ.
ДЕМО, ЦЕЛЬ, Укроп,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23" authorId="0">
      <text>
        <r>
          <rPr>
            <sz val="8"/>
            <color indexed="81"/>
            <rFont val="Tahoma"/>
            <family val="2"/>
          </rPr>
          <t>ЗАМЕНИТЕ НА РЕАЛЬНЫЕ ДАННЫЕ.
ДЕМО, ЦЕЛЬ, Укроп,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23" authorId="0">
      <text>
        <r>
          <rPr>
            <sz val="8"/>
            <color indexed="81"/>
            <rFont val="Tahoma"/>
            <family val="2"/>
          </rPr>
          <t>ЗАМЕНИТЕ НА РЕАЛЬНЫЕ ДАННЫЕ.
ДЕМО, ЦЕЛЬ, Укроп,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23" authorId="0">
      <text>
        <r>
          <rPr>
            <sz val="8"/>
            <color indexed="81"/>
            <rFont val="Tahoma"/>
            <family val="2"/>
          </rPr>
          <t>ЗАМЕНИТЕ НА РЕАЛЬНЫЕ ДАННЫЕ.
ДЕМО, ЦЕЛЬ, Укроп,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23" authorId="0">
      <text>
        <r>
          <rPr>
            <sz val="8"/>
            <color indexed="81"/>
            <rFont val="Tahoma"/>
            <family val="2"/>
          </rPr>
          <t>ЗАМЕНИТЕ НА РЕАЛЬНЫЕ ДАННЫЕ.
ДЕМО, ЦЕЛЬ, Укроп,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23" authorId="0">
      <text>
        <r>
          <rPr>
            <sz val="8"/>
            <color indexed="81"/>
            <rFont val="Tahoma"/>
            <family val="2"/>
          </rPr>
          <t>ЗАМЕНИТЕ НА РЕАЛЬНЫЕ ДАННЫЕ.
ДЕМО, ЦЕЛЬ, Укроп,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23" authorId="0">
      <text>
        <r>
          <rPr>
            <sz val="8"/>
            <color indexed="81"/>
            <rFont val="Tahoma"/>
            <family val="2"/>
          </rPr>
          <t>ЗАМЕНИТЕ НА РЕАЛЬНЫЕ ДАННЫЕ.
ДЕМО, ЦЕЛЬ, Укроп,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23" authorId="0">
      <text>
        <r>
          <rPr>
            <sz val="8"/>
            <color indexed="81"/>
            <rFont val="Tahoma"/>
            <family val="2"/>
          </rPr>
          <t>ЗАМЕНИТЕ НА РЕАЛЬНЫЕ ДАННЫЕ.
ДЕМО, ЦЕЛЬ, Укроп,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23" authorId="0">
      <text>
        <r>
          <rPr>
            <sz val="8"/>
            <color indexed="81"/>
            <rFont val="Tahoma"/>
            <family val="2"/>
          </rPr>
          <t>ЗАМЕНИТЕ НА РЕАЛЬНЫЕ ДАННЫЕ.
ДЕМО, ЦЕЛЬ, Укроп,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23" authorId="0">
      <text>
        <r>
          <rPr>
            <sz val="8"/>
            <color indexed="81"/>
            <rFont val="Tahoma"/>
            <family val="2"/>
          </rPr>
          <t>ЗАМЕНИТЕ НА РЕАЛЬНЫЕ ДАННЫЕ.
ДЕМО, ЦЕЛЬ, Укроп,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24" authorId="0">
      <text>
        <r>
          <rPr>
            <sz val="8"/>
            <color indexed="81"/>
            <rFont val="Tahoma"/>
            <family val="2"/>
          </rPr>
          <t>ЗАМЕНИТЕ НА РЕАЛЬНЫЕ ДАННЫЕ.
ДЕМО, ЦЕЛЬ, Укроп,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24" authorId="0">
      <text>
        <r>
          <rPr>
            <sz val="8"/>
            <color indexed="81"/>
            <rFont val="Tahoma"/>
            <family val="2"/>
          </rPr>
          <t>ЗАМЕНИТЕ НА РЕАЛЬНЫЕ ДАННЫЕ.
ДЕМО, ЦЕЛЬ, Укроп,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24" authorId="0">
      <text>
        <r>
          <rPr>
            <sz val="8"/>
            <color indexed="81"/>
            <rFont val="Tahoma"/>
            <family val="2"/>
          </rPr>
          <t>ЗАМЕНИТЕ НА РЕАЛЬНЫЕ ДАННЫЕ.
ДЕМО, ЦЕЛЬ, Укроп,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24" authorId="0">
      <text>
        <r>
          <rPr>
            <sz val="8"/>
            <color indexed="81"/>
            <rFont val="Tahoma"/>
            <family val="2"/>
          </rPr>
          <t>ЗАМЕНИТЕ НА РЕАЛЬНЫЕ ДАННЫЕ.
ДЕМО, ЦЕЛЬ, Укроп,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24" authorId="0">
      <text>
        <r>
          <rPr>
            <sz val="8"/>
            <color indexed="81"/>
            <rFont val="Tahoma"/>
            <family val="2"/>
          </rPr>
          <t>ЗАМЕНИТЕ НА РЕАЛЬНЫЕ ДАННЫЕ.
ДЕМО, ЦЕЛЬ, Укроп,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24" authorId="0">
      <text>
        <r>
          <rPr>
            <sz val="8"/>
            <color indexed="81"/>
            <rFont val="Tahoma"/>
            <family val="2"/>
          </rPr>
          <t>ЗАМЕНИТЕ НА РЕАЛЬНЫЕ ДАННЫЕ.
ДЕМО, ЦЕЛЬ, Укроп,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24" authorId="0">
      <text>
        <r>
          <rPr>
            <sz val="8"/>
            <color indexed="81"/>
            <rFont val="Tahoma"/>
            <family val="2"/>
          </rPr>
          <t>ЗАМЕНИТЕ НА РЕАЛЬНЫЕ ДАННЫЕ.
ДЕМО, ЦЕЛЬ, Укроп,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24" authorId="0">
      <text>
        <r>
          <rPr>
            <sz val="8"/>
            <color indexed="81"/>
            <rFont val="Tahoma"/>
            <family val="2"/>
          </rPr>
          <t>ЗАМЕНИТЕ НА РЕАЛЬНЫЕ ДАННЫЕ.
ДЕМО, ЦЕЛЬ, Укроп,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24" authorId="0">
      <text>
        <r>
          <rPr>
            <sz val="8"/>
            <color indexed="81"/>
            <rFont val="Tahoma"/>
            <family val="2"/>
          </rPr>
          <t>ЗАМЕНИТЕ НА РЕАЛЬНЫЕ ДАННЫЕ.
ДЕМО, ЦЕЛЬ, Укроп,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24" authorId="0">
      <text>
        <r>
          <rPr>
            <sz val="8"/>
            <color indexed="81"/>
            <rFont val="Tahoma"/>
            <family val="2"/>
          </rPr>
          <t>ЗАМЕНИТЕ НА РЕАЛЬНЫЕ ДАННЫЕ.
ДЕМО, ЦЕЛЬ, Укроп,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25" authorId="0">
      <text>
        <r>
          <rPr>
            <sz val="8"/>
            <color indexed="81"/>
            <rFont val="Tahoma"/>
            <family val="2"/>
          </rPr>
          <t>ЗАМЕНИТЕ НА РЕАЛЬНЫЕ ДАННЫЕ.
ДЕМО, ЦЕЛЬ, Укроп,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25" authorId="0">
      <text>
        <r>
          <rPr>
            <sz val="8"/>
            <color indexed="81"/>
            <rFont val="Tahoma"/>
            <family val="2"/>
          </rPr>
          <t>ЗАМЕНИТЕ НА РЕАЛЬНЫЕ ДАННЫЕ.
ДЕМО, ЦЕЛЬ, Укроп,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25" authorId="0">
      <text>
        <r>
          <rPr>
            <sz val="8"/>
            <color indexed="81"/>
            <rFont val="Tahoma"/>
            <family val="2"/>
          </rPr>
          <t>ЗАМЕНИТЕ НА РЕАЛЬНЫЕ ДАННЫЕ.
ДЕМО, ЦЕЛЬ, Укроп,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25" authorId="0">
      <text>
        <r>
          <rPr>
            <sz val="8"/>
            <color indexed="81"/>
            <rFont val="Tahoma"/>
            <family val="2"/>
          </rPr>
          <t>ЗАМЕНИТЕ НА РЕАЛЬНЫЕ ДАННЫЕ.
ДЕМО, ЦЕЛЬ, Укроп,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25" authorId="0">
      <text>
        <r>
          <rPr>
            <sz val="8"/>
            <color indexed="81"/>
            <rFont val="Tahoma"/>
            <family val="2"/>
          </rPr>
          <t>ЗАМЕНИТЕ НА РЕАЛЬНЫЕ ДАННЫЕ.
ДЕМО, ЦЕЛЬ, Укроп,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25" authorId="0">
      <text>
        <r>
          <rPr>
            <sz val="8"/>
            <color indexed="81"/>
            <rFont val="Tahoma"/>
            <family val="2"/>
          </rPr>
          <t>ЗАМЕНИТЕ НА РЕАЛЬНЫЕ ДАННЫЕ.
ДЕМО, ЦЕЛЬ, Укроп,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25" authorId="0">
      <text>
        <r>
          <rPr>
            <sz val="8"/>
            <color indexed="81"/>
            <rFont val="Tahoma"/>
            <family val="2"/>
          </rPr>
          <t>ЗАМЕНИТЕ НА РЕАЛЬНЫЕ ДАННЫЕ.
ДЕМО, ЦЕЛЬ, Укроп,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25" authorId="0">
      <text>
        <r>
          <rPr>
            <sz val="8"/>
            <color indexed="81"/>
            <rFont val="Tahoma"/>
            <family val="2"/>
          </rPr>
          <t>ЗАМЕНИТЕ НА РЕАЛЬНЫЕ ДАННЫЕ.
ДЕМО, ЦЕЛЬ, Укроп,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25" authorId="0">
      <text>
        <r>
          <rPr>
            <sz val="8"/>
            <color indexed="81"/>
            <rFont val="Tahoma"/>
            <family val="2"/>
          </rPr>
          <t>ЗАМЕНИТЕ НА РЕАЛЬНЫЕ ДАННЫЕ.
ДЕМО, ЦЕЛЬ, Укроп,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25" authorId="0">
      <text>
        <r>
          <rPr>
            <sz val="8"/>
            <color indexed="81"/>
            <rFont val="Tahoma"/>
            <family val="2"/>
          </rPr>
          <t>ЗАМЕНИТЕ НА РЕАЛЬНЫЕ ДАННЫЕ.
ДЕМО, ЦЕЛЬ, Укроп,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26" authorId="0">
      <text>
        <r>
          <rPr>
            <sz val="8"/>
            <color indexed="81"/>
            <rFont val="Tahoma"/>
            <family val="2"/>
          </rPr>
          <t>ЗАМЕНИТЕ НА РЕАЛЬНЫЕ ДАННЫЕ.
ДЕМО, ЦЕЛЬ, Укроп,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26" authorId="0">
      <text>
        <r>
          <rPr>
            <sz val="8"/>
            <color indexed="81"/>
            <rFont val="Tahoma"/>
            <family val="2"/>
          </rPr>
          <t>ЗАМЕНИТЕ НА РЕАЛЬНЫЕ ДАННЫЕ.
ДЕМО, ЦЕЛЬ, Укроп,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26" authorId="0">
      <text>
        <r>
          <rPr>
            <sz val="8"/>
            <color indexed="81"/>
            <rFont val="Tahoma"/>
            <family val="2"/>
          </rPr>
          <t>ЗАМЕНИТЕ НА РЕАЛЬНЫЕ ДАННЫЕ.
ДЕМО, ЦЕЛЬ, Укроп,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26" authorId="0">
      <text>
        <r>
          <rPr>
            <sz val="8"/>
            <color indexed="81"/>
            <rFont val="Tahoma"/>
            <family val="2"/>
          </rPr>
          <t>ЗАМЕНИТЕ НА РЕАЛЬНЫЕ ДАННЫЕ.
ДЕМО, ЦЕЛЬ, Укроп,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26" authorId="0">
      <text>
        <r>
          <rPr>
            <sz val="8"/>
            <color indexed="81"/>
            <rFont val="Tahoma"/>
            <family val="2"/>
          </rPr>
          <t>ЗАМЕНИТЕ НА РЕАЛЬНЫЕ ДАННЫЕ.
ДЕМО, ЦЕЛЬ, Укроп,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26" authorId="0">
      <text>
        <r>
          <rPr>
            <sz val="8"/>
            <color indexed="81"/>
            <rFont val="Tahoma"/>
            <family val="2"/>
          </rPr>
          <t>ЗАМЕНИТЕ НА РЕАЛЬНЫЕ ДАННЫЕ.
ДЕМО, ЦЕЛЬ, Укроп,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26" authorId="0">
      <text>
        <r>
          <rPr>
            <sz val="8"/>
            <color indexed="81"/>
            <rFont val="Tahoma"/>
            <family val="2"/>
          </rPr>
          <t>ЗАМЕНИТЕ НА РЕАЛЬНЫЕ ДАННЫЕ.
ДЕМО, ЦЕЛЬ, Укроп,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26" authorId="0">
      <text>
        <r>
          <rPr>
            <sz val="8"/>
            <color indexed="81"/>
            <rFont val="Tahoma"/>
            <family val="2"/>
          </rPr>
          <t>ЗАМЕНИТЕ НА РЕАЛЬНЫЕ ДАННЫЕ.
ДЕМО, ЦЕЛЬ, Укроп,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26" authorId="0">
      <text>
        <r>
          <rPr>
            <sz val="8"/>
            <color indexed="81"/>
            <rFont val="Tahoma"/>
            <family val="2"/>
          </rPr>
          <t>ЗАМЕНИТЕ НА РЕАЛЬНЫЕ ДАННЫЕ.
ДЕМО, ЦЕЛЬ, Укроп,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26" authorId="0">
      <text>
        <r>
          <rPr>
            <sz val="8"/>
            <color indexed="81"/>
            <rFont val="Tahoma"/>
            <family val="2"/>
          </rPr>
          <t>ЗАМЕНИТЕ НА РЕАЛЬНЫЕ ДАННЫЕ.
ДЕМО, ЦЕЛЬ, Укроп,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27" authorId="0">
      <text>
        <r>
          <rPr>
            <sz val="8"/>
            <color indexed="81"/>
            <rFont val="Tahoma"/>
            <family val="2"/>
          </rPr>
          <t>ЗАМЕНИТЕ НА РЕАЛЬНЫЕ ДАННЫЕ.
ДЕМО, ЦЕЛЬ, Укроп,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27" authorId="0">
      <text>
        <r>
          <rPr>
            <sz val="8"/>
            <color indexed="81"/>
            <rFont val="Tahoma"/>
            <family val="2"/>
          </rPr>
          <t>ЗАМЕНИТЕ НА РЕАЛЬНЫЕ ДАННЫЕ.
ДЕМО, ЦЕЛЬ, Укроп,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27" authorId="0">
      <text>
        <r>
          <rPr>
            <sz val="8"/>
            <color indexed="81"/>
            <rFont val="Tahoma"/>
            <family val="2"/>
          </rPr>
          <t>ЗАМЕНИТЕ НА РЕАЛЬНЫЕ ДАННЫЕ.
ДЕМО, ЦЕЛЬ, Укроп,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27" authorId="0">
      <text>
        <r>
          <rPr>
            <sz val="8"/>
            <color indexed="81"/>
            <rFont val="Tahoma"/>
            <family val="2"/>
          </rPr>
          <t>ЗАМЕНИТЕ НА РЕАЛЬНЫЕ ДАННЫЕ.
ДЕМО, ЦЕЛЬ, Укроп,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27" authorId="0">
      <text>
        <r>
          <rPr>
            <sz val="8"/>
            <color indexed="81"/>
            <rFont val="Tahoma"/>
            <family val="2"/>
          </rPr>
          <t>ЗАМЕНИТЕ НА РЕАЛЬНЫЕ ДАННЫЕ.
ДЕМО, ЦЕЛЬ, Укроп,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27" authorId="0">
      <text>
        <r>
          <rPr>
            <sz val="8"/>
            <color indexed="81"/>
            <rFont val="Tahoma"/>
            <family val="2"/>
          </rPr>
          <t>ЗАМЕНИТЕ НА РЕАЛЬНЫЕ ДАННЫЕ.
ДЕМО, ЦЕЛЬ, Укроп,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27" authorId="0">
      <text>
        <r>
          <rPr>
            <sz val="8"/>
            <color indexed="81"/>
            <rFont val="Tahoma"/>
            <family val="2"/>
          </rPr>
          <t>ЗАМЕНИТЕ НА РЕАЛЬНЫЕ ДАННЫЕ.
ДЕМО, ЦЕЛЬ, Укроп,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27" authorId="0">
      <text>
        <r>
          <rPr>
            <sz val="8"/>
            <color indexed="81"/>
            <rFont val="Tahoma"/>
            <family val="2"/>
          </rPr>
          <t>ЗАМЕНИТЕ НА РЕАЛЬНЫЕ ДАННЫЕ.
ДЕМО, ЦЕЛЬ, Укроп,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27" authorId="0">
      <text>
        <r>
          <rPr>
            <sz val="8"/>
            <color indexed="81"/>
            <rFont val="Tahoma"/>
            <family val="2"/>
          </rPr>
          <t>ЗАМЕНИТЕ НА РЕАЛЬНЫЕ ДАННЫЕ.
ДЕМО, ЦЕЛЬ, Укроп,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27" authorId="0">
      <text>
        <r>
          <rPr>
            <sz val="8"/>
            <color indexed="81"/>
            <rFont val="Tahoma"/>
            <family val="2"/>
          </rPr>
          <t>ЗАМЕНИТЕ НА РЕАЛЬНЫЕ ДАННЫЕ.
ДЕМО, ЦЕЛЬ, Укроп,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36" authorId="0">
      <text>
        <r>
          <rPr>
            <sz val="8"/>
            <color indexed="81"/>
            <rFont val="Tahoma"/>
            <family val="2"/>
          </rPr>
          <t>ЗАМЕНИТЕ НА РЕАЛЬНЫЕ ДАННЫЕ.
Зеленый лук, цикл 1. 0 исключает все элементы данного цикла, а не один выброс.</t>
        </r>
      </text>
    </comment>
    <comment ref="F136" authorId="0">
      <text>
        <r>
          <rPr>
            <sz val="8"/>
            <color indexed="81"/>
            <rFont val="Tahoma"/>
            <family val="2"/>
          </rPr>
          <t>ЗАМЕНИТЕ НА РЕАЛЬНЫЕ ДАННЫЕ.
Зеленый лук, цикл 2. 0 исключает все элементы данного цикла, а не один выброс.</t>
        </r>
      </text>
    </comment>
    <comment ref="G136" authorId="0">
      <text>
        <r>
          <rPr>
            <sz val="8"/>
            <color indexed="81"/>
            <rFont val="Tahoma"/>
            <family val="2"/>
          </rPr>
          <t>ЗАМЕНИТЕ НА РЕАЛЬНЫЕ ДАННЫЕ.
Зеленый лук, цикл 3. 0 исключает все элементы данного цикла, а не один выброс.</t>
        </r>
      </text>
    </comment>
    <comment ref="H136" authorId="0">
      <text>
        <r>
          <rPr>
            <sz val="8"/>
            <color indexed="81"/>
            <rFont val="Tahoma"/>
            <family val="2"/>
          </rPr>
          <t>ЗАМЕНИТЕ НА РЕАЛЬНЫЕ ДАННЫЕ.
Зеленый лук, цикл 4. 0 исключает все элементы данного цикла, а не один выброс.</t>
        </r>
      </text>
    </comment>
    <comment ref="I136" authorId="0">
      <text>
        <r>
          <rPr>
            <sz val="8"/>
            <color indexed="81"/>
            <rFont val="Tahoma"/>
            <family val="2"/>
          </rPr>
          <t>ЗАМЕНИТЕ НА РЕАЛЬНЫЕ ДАННЫЕ.
Зеленый лук, цикл 5. 0 исключает все элементы данного цикла, а не один выброс.</t>
        </r>
      </text>
    </comment>
    <comment ref="J136" authorId="0">
      <text>
        <r>
          <rPr>
            <sz val="8"/>
            <color indexed="81"/>
            <rFont val="Tahoma"/>
            <family val="2"/>
          </rPr>
          <t>ЗАМЕНИТЕ НА РЕАЛЬНЫЕ ДАННЫЕ.
Зеленый лук, цикл 6. 0 исключает все элементы данного цикла, а не один выброс.</t>
        </r>
      </text>
    </comment>
    <comment ref="K136" authorId="0">
      <text>
        <r>
          <rPr>
            <sz val="8"/>
            <color indexed="81"/>
            <rFont val="Tahoma"/>
            <family val="2"/>
          </rPr>
          <t>ЗАМЕНИТЕ НА РЕАЛЬНЫЕ ДАННЫЕ.
Зеленый лук, цикл 7. 0 исключает все элементы данного цикла, а не один выброс.</t>
        </r>
      </text>
    </comment>
    <comment ref="L136" authorId="0">
      <text>
        <r>
          <rPr>
            <sz val="8"/>
            <color indexed="81"/>
            <rFont val="Tahoma"/>
            <family val="2"/>
          </rPr>
          <t>ЗАМЕНИТЕ НА РЕАЛЬНЫЕ ДАННЫЕ.
Зеленый лук, цикл 8. 0 исключает все элементы данного цикла, а не один выброс.</t>
        </r>
      </text>
    </comment>
    <comment ref="M136" authorId="0">
      <text>
        <r>
          <rPr>
            <sz val="8"/>
            <color indexed="81"/>
            <rFont val="Tahoma"/>
            <family val="2"/>
          </rPr>
          <t>ЗАМЕНИТЕ НА РЕАЛЬНЫЕ ДАННЫЕ.
Зеленый лук, цикл 9. 0 исключает все элементы данного цикла, а не один выброс.</t>
        </r>
      </text>
    </comment>
    <comment ref="N136" authorId="0">
      <text>
        <r>
          <rPr>
            <sz val="8"/>
            <color indexed="81"/>
            <rFont val="Tahoma"/>
            <family val="2"/>
          </rPr>
          <t>ЗАМЕНИТЕ НА РЕАЛЬНЫЕ ДАННЫЕ.
Зеленый лук, цикл 10. 0 исключает все элементы данного цикла, а не один выброс.</t>
        </r>
      </text>
    </comment>
    <comment ref="E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3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38" authorId="0">
      <text>
        <r>
          <rPr>
            <sz val="8"/>
            <color indexed="81"/>
            <rFont val="Tahoma"/>
            <family val="2"/>
          </rPr>
          <t>ЗАМЕНИТЕ НА РЕАЛЬНЫЕ ДАННЫЕ.
ДЕМО, ЦЕЛЬ, Зеленый лук,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38" authorId="0">
      <text>
        <r>
          <rPr>
            <sz val="8"/>
            <color indexed="81"/>
            <rFont val="Tahoma"/>
            <family val="2"/>
          </rPr>
          <t>ЗАМЕНИТЕ НА РЕАЛЬНЫЕ ДАННЫЕ.
ДЕМО, ЦЕЛЬ, Зеленый лук,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38" authorId="0">
      <text>
        <r>
          <rPr>
            <sz val="8"/>
            <color indexed="81"/>
            <rFont val="Tahoma"/>
            <family val="2"/>
          </rPr>
          <t>ЗАМЕНИТЕ НА РЕАЛЬНЫЕ ДАННЫЕ.
ДЕМО, ЦЕЛЬ, Зеленый лук,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38" authorId="0">
      <text>
        <r>
          <rPr>
            <sz val="8"/>
            <color indexed="81"/>
            <rFont val="Tahoma"/>
            <family val="2"/>
          </rPr>
          <t>ЗАМЕНИТЕ НА РЕАЛЬНЫЕ ДАННЫЕ.
ДЕМО, ЦЕЛЬ, Зеленый лук,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38" authorId="0">
      <text>
        <r>
          <rPr>
            <sz val="8"/>
            <color indexed="81"/>
            <rFont val="Tahoma"/>
            <family val="2"/>
          </rPr>
          <t>ЗАМЕНИТЕ НА РЕАЛЬНЫЕ ДАННЫЕ.
ДЕМО, ЦЕЛЬ, Зеленый лук,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38" authorId="0">
      <text>
        <r>
          <rPr>
            <sz val="8"/>
            <color indexed="81"/>
            <rFont val="Tahoma"/>
            <family val="2"/>
          </rPr>
          <t>ЗАМЕНИТЕ НА РЕАЛЬНЫЕ ДАННЫЕ.
ДЕМО, ЦЕЛЬ, Зеленый лук,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38" authorId="0">
      <text>
        <r>
          <rPr>
            <sz val="8"/>
            <color indexed="81"/>
            <rFont val="Tahoma"/>
            <family val="2"/>
          </rPr>
          <t>ЗАМЕНИТЕ НА РЕАЛЬНЫЕ ДАННЫЕ.
ДЕМО, ЦЕЛЬ, Зеленый лук,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38" authorId="0">
      <text>
        <r>
          <rPr>
            <sz val="8"/>
            <color indexed="81"/>
            <rFont val="Tahoma"/>
            <family val="2"/>
          </rPr>
          <t>ЗАМЕНИТЕ НА РЕАЛЬНЫЕ ДАННЫЕ.
ДЕМО, ЦЕЛЬ, Зеленый лук,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38" authorId="0">
      <text>
        <r>
          <rPr>
            <sz val="8"/>
            <color indexed="81"/>
            <rFont val="Tahoma"/>
            <family val="2"/>
          </rPr>
          <t>ЗАМЕНИТЕ НА РЕАЛЬНЫЕ ДАННЫЕ.
ДЕМО, ЦЕЛЬ, Зеленый лук,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38" authorId="0">
      <text>
        <r>
          <rPr>
            <sz val="8"/>
            <color indexed="81"/>
            <rFont val="Tahoma"/>
            <family val="2"/>
          </rPr>
          <t>ЗАМЕНИТЕ НА РЕАЛЬНЫЕ ДАННЫЕ.
ДЕМО, ЦЕЛЬ, Зеленый лук,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39" authorId="0">
      <text>
        <r>
          <rPr>
            <sz val="8"/>
            <color indexed="81"/>
            <rFont val="Tahoma"/>
            <family val="2"/>
          </rPr>
          <t>ЗАМЕНИТЕ НА РЕАЛЬНЫЕ ДАННЫЕ.
ДЕМО, ЦЕЛЬ, Зеленый лук,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39" authorId="0">
      <text>
        <r>
          <rPr>
            <sz val="8"/>
            <color indexed="81"/>
            <rFont val="Tahoma"/>
            <family val="2"/>
          </rPr>
          <t>ЗАМЕНИТЕ НА РЕАЛЬНЫЕ ДАННЫЕ.
ДЕМО, ЦЕЛЬ, Зеленый лук,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39" authorId="0">
      <text>
        <r>
          <rPr>
            <sz val="8"/>
            <color indexed="81"/>
            <rFont val="Tahoma"/>
            <family val="2"/>
          </rPr>
          <t>ЗАМЕНИТЕ НА РЕАЛЬНЫЕ ДАННЫЕ.
ДЕМО, ЦЕЛЬ, Зеленый лук,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39" authorId="0">
      <text>
        <r>
          <rPr>
            <sz val="8"/>
            <color indexed="81"/>
            <rFont val="Tahoma"/>
            <family val="2"/>
          </rPr>
          <t>ЗАМЕНИТЕ НА РЕАЛЬНЫЕ ДАННЫЕ.
ДЕМО, ЦЕЛЬ, Зеленый лук,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39" authorId="0">
      <text>
        <r>
          <rPr>
            <sz val="8"/>
            <color indexed="81"/>
            <rFont val="Tahoma"/>
            <family val="2"/>
          </rPr>
          <t>ЗАМЕНИТЕ НА РЕАЛЬНЫЕ ДАННЫЕ.
ДЕМО, ЦЕЛЬ, Зеленый лук,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39" authorId="0">
      <text>
        <r>
          <rPr>
            <sz val="8"/>
            <color indexed="81"/>
            <rFont val="Tahoma"/>
            <family val="2"/>
          </rPr>
          <t>ЗАМЕНИТЕ НА РЕАЛЬНЫЕ ДАННЫЕ.
ДЕМО, ЦЕЛЬ, Зеленый лук,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39" authorId="0">
      <text>
        <r>
          <rPr>
            <sz val="8"/>
            <color indexed="81"/>
            <rFont val="Tahoma"/>
            <family val="2"/>
          </rPr>
          <t>ЗАМЕНИТЕ НА РЕАЛЬНЫЕ ДАННЫЕ.
ДЕМО, ЦЕЛЬ, Зеленый лук,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39" authorId="0">
      <text>
        <r>
          <rPr>
            <sz val="8"/>
            <color indexed="81"/>
            <rFont val="Tahoma"/>
            <family val="2"/>
          </rPr>
          <t>ЗАМЕНИТЕ НА РЕАЛЬНЫЕ ДАННЫЕ.
ДЕМО, ЦЕЛЬ, Зеленый лук,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39" authorId="0">
      <text>
        <r>
          <rPr>
            <sz val="8"/>
            <color indexed="81"/>
            <rFont val="Tahoma"/>
            <family val="2"/>
          </rPr>
          <t>ЗАМЕНИТЕ НА РЕАЛЬНЫЕ ДАННЫЕ.
ДЕМО, ЦЕЛЬ, Зеленый лук,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39" authorId="0">
      <text>
        <r>
          <rPr>
            <sz val="8"/>
            <color indexed="81"/>
            <rFont val="Tahoma"/>
            <family val="2"/>
          </rPr>
          <t>ЗАМЕНИТЕ НА РЕАЛЬНЫЕ ДАННЫЕ.
ДЕМО, ЦЕЛЬ, Зеленый лук,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40" authorId="0">
      <text>
        <r>
          <rPr>
            <sz val="8"/>
            <color indexed="81"/>
            <rFont val="Tahoma"/>
            <family val="2"/>
          </rPr>
          <t>ЗАМЕНИТЕ НА РЕАЛЬНЫЕ ДАННЫЕ.
ДЕМО, ЦЕЛЬ, Зеленый лук,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40" authorId="0">
      <text>
        <r>
          <rPr>
            <sz val="8"/>
            <color indexed="81"/>
            <rFont val="Tahoma"/>
            <family val="2"/>
          </rPr>
          <t>ЗАМЕНИТЕ НА РЕАЛЬНЫЕ ДАННЫЕ.
ДЕМО, ЦЕЛЬ, Зеленый лук,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40" authorId="0">
      <text>
        <r>
          <rPr>
            <sz val="8"/>
            <color indexed="81"/>
            <rFont val="Tahoma"/>
            <family val="2"/>
          </rPr>
          <t>ЗАМЕНИТЕ НА РЕАЛЬНЫЕ ДАННЫЕ.
ДЕМО, ЦЕЛЬ, Зеленый лук,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40" authorId="0">
      <text>
        <r>
          <rPr>
            <sz val="8"/>
            <color indexed="81"/>
            <rFont val="Tahoma"/>
            <family val="2"/>
          </rPr>
          <t>ЗАМЕНИТЕ НА РЕАЛЬНЫЕ ДАННЫЕ.
ДЕМО, ЦЕЛЬ, Зеленый лук,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40" authorId="0">
      <text>
        <r>
          <rPr>
            <sz val="8"/>
            <color indexed="81"/>
            <rFont val="Tahoma"/>
            <family val="2"/>
          </rPr>
          <t>ЗАМЕНИТЕ НА РЕАЛЬНЫЕ ДАННЫЕ.
ДЕМО, ЦЕЛЬ, Зеленый лук,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40" authorId="0">
      <text>
        <r>
          <rPr>
            <sz val="8"/>
            <color indexed="81"/>
            <rFont val="Tahoma"/>
            <family val="2"/>
          </rPr>
          <t>ЗАМЕНИТЕ НА РЕАЛЬНЫЕ ДАННЫЕ.
ДЕМО, ЦЕЛЬ, Зеленый лук,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40" authorId="0">
      <text>
        <r>
          <rPr>
            <sz val="8"/>
            <color indexed="81"/>
            <rFont val="Tahoma"/>
            <family val="2"/>
          </rPr>
          <t>ЗАМЕНИТЕ НА РЕАЛЬНЫЕ ДАННЫЕ.
ДЕМО, ЦЕЛЬ, Зеленый лук,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40" authorId="0">
      <text>
        <r>
          <rPr>
            <sz val="8"/>
            <color indexed="81"/>
            <rFont val="Tahoma"/>
            <family val="2"/>
          </rPr>
          <t>ЗАМЕНИТЕ НА РЕАЛЬНЫЕ ДАННЫЕ.
ДЕМО, ЦЕЛЬ, Зеленый лук,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40" authorId="0">
      <text>
        <r>
          <rPr>
            <sz val="8"/>
            <color indexed="81"/>
            <rFont val="Tahoma"/>
            <family val="2"/>
          </rPr>
          <t>ЗАМЕНИТЕ НА РЕАЛЬНЫЕ ДАННЫЕ.
ДЕМО, ЦЕЛЬ, Зеленый лук,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40" authorId="0">
      <text>
        <r>
          <rPr>
            <sz val="8"/>
            <color indexed="81"/>
            <rFont val="Tahoma"/>
            <family val="2"/>
          </rPr>
          <t>ЗАМЕНИТЕ НА РЕАЛЬНЫЕ ДАННЫЕ.
ДЕМО, ЦЕЛЬ, Зеленый лук,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41" authorId="0">
      <text>
        <r>
          <rPr>
            <sz val="8"/>
            <color indexed="81"/>
            <rFont val="Tahoma"/>
            <family val="2"/>
          </rPr>
          <t>ЗАМЕНИТЕ НА РЕАЛЬНЫЕ ДАННЫЕ.
ДЕМО, ЦЕЛЬ, Зеленый лук,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41" authorId="0">
      <text>
        <r>
          <rPr>
            <sz val="8"/>
            <color indexed="81"/>
            <rFont val="Tahoma"/>
            <family val="2"/>
          </rPr>
          <t>ЗАМЕНИТЕ НА РЕАЛЬНЫЕ ДАННЫЕ.
ДЕМО, ЦЕЛЬ, Зеленый лук,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41" authorId="0">
      <text>
        <r>
          <rPr>
            <sz val="8"/>
            <color indexed="81"/>
            <rFont val="Tahoma"/>
            <family val="2"/>
          </rPr>
          <t>ЗАМЕНИТЕ НА РЕАЛЬНЫЕ ДАННЫЕ.
ДЕМО, ЦЕЛЬ, Зеленый лук,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41" authorId="0">
      <text>
        <r>
          <rPr>
            <sz val="8"/>
            <color indexed="81"/>
            <rFont val="Tahoma"/>
            <family val="2"/>
          </rPr>
          <t>ЗАМЕНИТЕ НА РЕАЛЬНЫЕ ДАННЫЕ.
ДЕМО, ЦЕЛЬ, Зеленый лук,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41" authorId="0">
      <text>
        <r>
          <rPr>
            <sz val="8"/>
            <color indexed="81"/>
            <rFont val="Tahoma"/>
            <family val="2"/>
          </rPr>
          <t>ЗАМЕНИТЕ НА РЕАЛЬНЫЕ ДАННЫЕ.
ДЕМО, ЦЕЛЬ, Зеленый лук,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41" authorId="0">
      <text>
        <r>
          <rPr>
            <sz val="8"/>
            <color indexed="81"/>
            <rFont val="Tahoma"/>
            <family val="2"/>
          </rPr>
          <t>ЗАМЕНИТЕ НА РЕАЛЬНЫЕ ДАННЫЕ.
ДЕМО, ЦЕЛЬ, Зеленый лук,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41" authorId="0">
      <text>
        <r>
          <rPr>
            <sz val="8"/>
            <color indexed="81"/>
            <rFont val="Tahoma"/>
            <family val="2"/>
          </rPr>
          <t>ЗАМЕНИТЕ НА РЕАЛЬНЫЕ ДАННЫЕ.
ДЕМО, ЦЕЛЬ, Зеленый лук,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41" authorId="0">
      <text>
        <r>
          <rPr>
            <sz val="8"/>
            <color indexed="81"/>
            <rFont val="Tahoma"/>
            <family val="2"/>
          </rPr>
          <t>ЗАМЕНИТЕ НА РЕАЛЬНЫЕ ДАННЫЕ.
ДЕМО, ЦЕЛЬ, Зеленый лук,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41" authorId="0">
      <text>
        <r>
          <rPr>
            <sz val="8"/>
            <color indexed="81"/>
            <rFont val="Tahoma"/>
            <family val="2"/>
          </rPr>
          <t>ЗАМЕНИТЕ НА РЕАЛЬНЫЕ ДАННЫЕ.
ДЕМО, ЦЕЛЬ, Зеленый лук,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41" authorId="0">
      <text>
        <r>
          <rPr>
            <sz val="8"/>
            <color indexed="81"/>
            <rFont val="Tahoma"/>
            <family val="2"/>
          </rPr>
          <t>ЗАМЕНИТЕ НА РЕАЛЬНЫЕ ДАННЫЕ.
ДЕМО, ЦЕЛЬ, Зеленый лук,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42" authorId="0">
      <text>
        <r>
          <rPr>
            <sz val="8"/>
            <color indexed="81"/>
            <rFont val="Tahoma"/>
            <family val="2"/>
          </rPr>
          <t>ЗАМЕНИТЕ НА РЕАЛЬНЫЕ ДАННЫЕ.
ДЕМО, ЦЕЛЬ, Зеленый лук,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42" authorId="0">
      <text>
        <r>
          <rPr>
            <sz val="8"/>
            <color indexed="81"/>
            <rFont val="Tahoma"/>
            <family val="2"/>
          </rPr>
          <t>ЗАМЕНИТЕ НА РЕАЛЬНЫЕ ДАННЫЕ.
ДЕМО, ЦЕЛЬ, Зеленый лук,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42" authorId="0">
      <text>
        <r>
          <rPr>
            <sz val="8"/>
            <color indexed="81"/>
            <rFont val="Tahoma"/>
            <family val="2"/>
          </rPr>
          <t>ЗАМЕНИТЕ НА РЕАЛЬНЫЕ ДАННЫЕ.
ДЕМО, ЦЕЛЬ, Зеленый лук,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42" authorId="0">
      <text>
        <r>
          <rPr>
            <sz val="8"/>
            <color indexed="81"/>
            <rFont val="Tahoma"/>
            <family val="2"/>
          </rPr>
          <t>ЗАМЕНИТЕ НА РЕАЛЬНЫЕ ДАННЫЕ.
ДЕМО, ЦЕЛЬ, Зеленый лук,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42" authorId="0">
      <text>
        <r>
          <rPr>
            <sz val="8"/>
            <color indexed="81"/>
            <rFont val="Tahoma"/>
            <family val="2"/>
          </rPr>
          <t>ЗАМЕНИТЕ НА РЕАЛЬНЫЕ ДАННЫЕ.
ДЕМО, ЦЕЛЬ, Зеленый лук,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42" authorId="0">
      <text>
        <r>
          <rPr>
            <sz val="8"/>
            <color indexed="81"/>
            <rFont val="Tahoma"/>
            <family val="2"/>
          </rPr>
          <t>ЗАМЕНИТЕ НА РЕАЛЬНЫЕ ДАННЫЕ.
ДЕМО, ЦЕЛЬ, Зеленый лук,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42" authorId="0">
      <text>
        <r>
          <rPr>
            <sz val="8"/>
            <color indexed="81"/>
            <rFont val="Tahoma"/>
            <family val="2"/>
          </rPr>
          <t>ЗАМЕНИТЕ НА РЕАЛЬНЫЕ ДАННЫЕ.
ДЕМО, ЦЕЛЬ, Зеленый лук,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42" authorId="0">
      <text>
        <r>
          <rPr>
            <sz val="8"/>
            <color indexed="81"/>
            <rFont val="Tahoma"/>
            <family val="2"/>
          </rPr>
          <t>ЗАМЕНИТЕ НА РЕАЛЬНЫЕ ДАННЫЕ.
ДЕМО, ЦЕЛЬ, Зеленый лук,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42" authorId="0">
      <text>
        <r>
          <rPr>
            <sz val="8"/>
            <color indexed="81"/>
            <rFont val="Tahoma"/>
            <family val="2"/>
          </rPr>
          <t>ЗАМЕНИТЕ НА РЕАЛЬНЫЕ ДАННЫЕ.
ДЕМО, ЦЕЛЬ, Зеленый лук,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42" authorId="0">
      <text>
        <r>
          <rPr>
            <sz val="8"/>
            <color indexed="81"/>
            <rFont val="Tahoma"/>
            <family val="2"/>
          </rPr>
          <t>ЗАМЕНИТЕ НА РЕАЛЬНЫЕ ДАННЫЕ.
ДЕМО, ЦЕЛЬ, Зеленый лук,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44" authorId="0">
      <text>
        <r>
          <rPr>
            <sz val="8"/>
            <color indexed="81"/>
            <rFont val="Tahoma"/>
            <family val="2"/>
          </rPr>
          <t>ЗАМЕНИТЕ НА РЕАЛЬНЫЕ ДАННЫЕ.
ДЕМО, ЦЕЛЬ, Зеленый лук,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44" authorId="0">
      <text>
        <r>
          <rPr>
            <sz val="8"/>
            <color indexed="81"/>
            <rFont val="Tahoma"/>
            <family val="2"/>
          </rPr>
          <t>ЗАМЕНИТЕ НА РЕАЛЬНЫЕ ДАННЫЕ.
ДЕМО, ЦЕЛЬ, Зеленый лук,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44" authorId="0">
      <text>
        <r>
          <rPr>
            <sz val="8"/>
            <color indexed="81"/>
            <rFont val="Tahoma"/>
            <family val="2"/>
          </rPr>
          <t>ЗАМЕНИТЕ НА РЕАЛЬНЫЕ ДАННЫЕ.
ДЕМО, ЦЕЛЬ, Зеленый лук,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44" authorId="0">
      <text>
        <r>
          <rPr>
            <sz val="8"/>
            <color indexed="81"/>
            <rFont val="Tahoma"/>
            <family val="2"/>
          </rPr>
          <t>ЗАМЕНИТЕ НА РЕАЛЬНЫЕ ДАННЫЕ.
ДЕМО, ЦЕЛЬ, Зеленый лук,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44" authorId="0">
      <text>
        <r>
          <rPr>
            <sz val="8"/>
            <color indexed="81"/>
            <rFont val="Tahoma"/>
            <family val="2"/>
          </rPr>
          <t>ЗАМЕНИТЕ НА РЕАЛЬНЫЕ ДАННЫЕ.
ДЕМО, ЦЕЛЬ, Зеленый лук,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44" authorId="0">
      <text>
        <r>
          <rPr>
            <sz val="8"/>
            <color indexed="81"/>
            <rFont val="Tahoma"/>
            <family val="2"/>
          </rPr>
          <t>ЗАМЕНИТЕ НА РЕАЛЬНЫЕ ДАННЫЕ.
ДЕМО, ЦЕЛЬ, Зеленый лук,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44" authorId="0">
      <text>
        <r>
          <rPr>
            <sz val="8"/>
            <color indexed="81"/>
            <rFont val="Tahoma"/>
            <family val="2"/>
          </rPr>
          <t>ЗАМЕНИТЕ НА РЕАЛЬНЫЕ ДАННЫЕ.
ДЕМО, ЦЕЛЬ, Зеленый лук,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44" authorId="0">
      <text>
        <r>
          <rPr>
            <sz val="8"/>
            <color indexed="81"/>
            <rFont val="Tahoma"/>
            <family val="2"/>
          </rPr>
          <t>ЗАМЕНИТЕ НА РЕАЛЬНЫЕ ДАННЫЕ.
ДЕМО, ЦЕЛЬ, Зеленый лук,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44" authorId="0">
      <text>
        <r>
          <rPr>
            <sz val="8"/>
            <color indexed="81"/>
            <rFont val="Tahoma"/>
            <family val="2"/>
          </rPr>
          <t>ЗАМЕНИТЕ НА РЕАЛЬНЫЕ ДАННЫЕ.
ДЕМО, ЦЕЛЬ, Зеленый лук,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44" authorId="0">
      <text>
        <r>
          <rPr>
            <sz val="8"/>
            <color indexed="81"/>
            <rFont val="Tahoma"/>
            <family val="2"/>
          </rPr>
          <t>ЗАМЕНИТЕ НА РЕАЛЬНЫЕ ДАННЫЕ.
ДЕМО, ЦЕЛЬ, Зеленый лук,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45" authorId="0">
      <text>
        <r>
          <rPr>
            <sz val="8"/>
            <color indexed="81"/>
            <rFont val="Tahoma"/>
            <family val="2"/>
          </rPr>
          <t>ЗАМЕНИТЕ НА РЕАЛЬНЫЕ ДАННЫЕ.
ДЕМО, ЦЕЛЬ, Зеленый лук,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45" authorId="0">
      <text>
        <r>
          <rPr>
            <sz val="8"/>
            <color indexed="81"/>
            <rFont val="Tahoma"/>
            <family val="2"/>
          </rPr>
          <t>ЗАМЕНИТЕ НА РЕАЛЬНЫЕ ДАННЫЕ.
ДЕМО, ЦЕЛЬ, Зеленый лук,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45" authorId="0">
      <text>
        <r>
          <rPr>
            <sz val="8"/>
            <color indexed="81"/>
            <rFont val="Tahoma"/>
            <family val="2"/>
          </rPr>
          <t>ЗАМЕНИТЕ НА РЕАЛЬНЫЕ ДАННЫЕ.
ДЕМО, ЦЕЛЬ, Зеленый лук,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45" authorId="0">
      <text>
        <r>
          <rPr>
            <sz val="8"/>
            <color indexed="81"/>
            <rFont val="Tahoma"/>
            <family val="2"/>
          </rPr>
          <t>ЗАМЕНИТЕ НА РЕАЛЬНЫЕ ДАННЫЕ.
ДЕМО, ЦЕЛЬ, Зеленый лук,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45" authorId="0">
      <text>
        <r>
          <rPr>
            <sz val="8"/>
            <color indexed="81"/>
            <rFont val="Tahoma"/>
            <family val="2"/>
          </rPr>
          <t>ЗАМЕНИТЕ НА РЕАЛЬНЫЕ ДАННЫЕ.
ДЕМО, ЦЕЛЬ, Зеленый лук,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45" authorId="0">
      <text>
        <r>
          <rPr>
            <sz val="8"/>
            <color indexed="81"/>
            <rFont val="Tahoma"/>
            <family val="2"/>
          </rPr>
          <t>ЗАМЕНИТЕ НА РЕАЛЬНЫЕ ДАННЫЕ.
ДЕМО, ЦЕЛЬ, Зеленый лук,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45" authorId="0">
      <text>
        <r>
          <rPr>
            <sz val="8"/>
            <color indexed="81"/>
            <rFont val="Tahoma"/>
            <family val="2"/>
          </rPr>
          <t>ЗАМЕНИТЕ НА РЕАЛЬНЫЕ ДАННЫЕ.
ДЕМО, ЦЕЛЬ, Зеленый лук,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45" authorId="0">
      <text>
        <r>
          <rPr>
            <sz val="8"/>
            <color indexed="81"/>
            <rFont val="Tahoma"/>
            <family val="2"/>
          </rPr>
          <t>ЗАМЕНИТЕ НА РЕАЛЬНЫЕ ДАННЫЕ.
ДЕМО, ЦЕЛЬ, Зеленый лук,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45" authorId="0">
      <text>
        <r>
          <rPr>
            <sz val="8"/>
            <color indexed="81"/>
            <rFont val="Tahoma"/>
            <family val="2"/>
          </rPr>
          <t>ЗАМЕНИТЕ НА РЕАЛЬНЫЕ ДАННЫЕ.
ДЕМО, ЦЕЛЬ, Зеленый лук,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45" authorId="0">
      <text>
        <r>
          <rPr>
            <sz val="8"/>
            <color indexed="81"/>
            <rFont val="Tahoma"/>
            <family val="2"/>
          </rPr>
          <t>ЗАМЕНИТЕ НА РЕАЛЬНЫЕ ДАННЫЕ.
ДЕМО, ЦЕЛЬ, Зеленый лук,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46" authorId="0">
      <text>
        <r>
          <rPr>
            <sz val="8"/>
            <color indexed="81"/>
            <rFont val="Tahoma"/>
            <family val="2"/>
          </rPr>
          <t>ЗАМЕНИТЕ НА РЕАЛЬНЫЕ ДАННЫЕ.
ДЕМО, ЦЕЛЬ, Зеленый лук,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46" authorId="0">
      <text>
        <r>
          <rPr>
            <sz val="8"/>
            <color indexed="81"/>
            <rFont val="Tahoma"/>
            <family val="2"/>
          </rPr>
          <t>ЗАМЕНИТЕ НА РЕАЛЬНЫЕ ДАННЫЕ.
ДЕМО, ЦЕЛЬ, Зеленый лук,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46" authorId="0">
      <text>
        <r>
          <rPr>
            <sz val="8"/>
            <color indexed="81"/>
            <rFont val="Tahoma"/>
            <family val="2"/>
          </rPr>
          <t>ЗАМЕНИТЕ НА РЕАЛЬНЫЕ ДАННЫЕ.
ДЕМО, ЦЕЛЬ, Зеленый лук,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46" authorId="0">
      <text>
        <r>
          <rPr>
            <sz val="8"/>
            <color indexed="81"/>
            <rFont val="Tahoma"/>
            <family val="2"/>
          </rPr>
          <t>ЗАМЕНИТЕ НА РЕАЛЬНЫЕ ДАННЫЕ.
ДЕМО, ЦЕЛЬ, Зеленый лук,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46" authorId="0">
      <text>
        <r>
          <rPr>
            <sz val="8"/>
            <color indexed="81"/>
            <rFont val="Tahoma"/>
            <family val="2"/>
          </rPr>
          <t>ЗАМЕНИТЕ НА РЕАЛЬНЫЕ ДАННЫЕ.
ДЕМО, ЦЕЛЬ, Зеленый лук,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46" authorId="0">
      <text>
        <r>
          <rPr>
            <sz val="8"/>
            <color indexed="81"/>
            <rFont val="Tahoma"/>
            <family val="2"/>
          </rPr>
          <t>ЗАМЕНИТЕ НА РЕАЛЬНЫЕ ДАННЫЕ.
ДЕМО, ЦЕЛЬ, Зеленый лук,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46" authorId="0">
      <text>
        <r>
          <rPr>
            <sz val="8"/>
            <color indexed="81"/>
            <rFont val="Tahoma"/>
            <family val="2"/>
          </rPr>
          <t>ЗАМЕНИТЕ НА РЕАЛЬНЫЕ ДАННЫЕ.
ДЕМО, ЦЕЛЬ, Зеленый лук,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46" authorId="0">
      <text>
        <r>
          <rPr>
            <sz val="8"/>
            <color indexed="81"/>
            <rFont val="Tahoma"/>
            <family val="2"/>
          </rPr>
          <t>ЗАМЕНИТЕ НА РЕАЛЬНЫЕ ДАННЫЕ.
ДЕМО, ЦЕЛЬ, Зеленый лук,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46" authorId="0">
      <text>
        <r>
          <rPr>
            <sz val="8"/>
            <color indexed="81"/>
            <rFont val="Tahoma"/>
            <family val="2"/>
          </rPr>
          <t>ЗАМЕНИТЕ НА РЕАЛЬНЫЕ ДАННЫЕ.
ДЕМО, ЦЕЛЬ, Зеленый лук,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46" authorId="0">
      <text>
        <r>
          <rPr>
            <sz val="8"/>
            <color indexed="81"/>
            <rFont val="Tahoma"/>
            <family val="2"/>
          </rPr>
          <t>ЗАМЕНИТЕ НА РЕАЛЬНЫЕ ДАННЫЕ.
ДЕМО, ЦЕЛЬ, Зеленый лук,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47" authorId="0">
      <text>
        <r>
          <rPr>
            <sz val="8"/>
            <color indexed="81"/>
            <rFont val="Tahoma"/>
            <family val="2"/>
          </rPr>
          <t>ЗАМЕНИТЕ НА РЕАЛЬНЫЕ ДАННЫЕ.
ДЕМО, ЦЕЛЬ, Зеленый лук,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47" authorId="0">
      <text>
        <r>
          <rPr>
            <sz val="8"/>
            <color indexed="81"/>
            <rFont val="Tahoma"/>
            <family val="2"/>
          </rPr>
          <t>ЗАМЕНИТЕ НА РЕАЛЬНЫЕ ДАННЫЕ.
ДЕМО, ЦЕЛЬ, Зеленый лук,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47" authorId="0">
      <text>
        <r>
          <rPr>
            <sz val="8"/>
            <color indexed="81"/>
            <rFont val="Tahoma"/>
            <family val="2"/>
          </rPr>
          <t>ЗАМЕНИТЕ НА РЕАЛЬНЫЕ ДАННЫЕ.
ДЕМО, ЦЕЛЬ, Зеленый лук,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47" authorId="0">
      <text>
        <r>
          <rPr>
            <sz val="8"/>
            <color indexed="81"/>
            <rFont val="Tahoma"/>
            <family val="2"/>
          </rPr>
          <t>ЗАМЕНИТЕ НА РЕАЛЬНЫЕ ДАННЫЕ.
ДЕМО, ЦЕЛЬ, Зеленый лук,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47" authorId="0">
      <text>
        <r>
          <rPr>
            <sz val="8"/>
            <color indexed="81"/>
            <rFont val="Tahoma"/>
            <family val="2"/>
          </rPr>
          <t>ЗАМЕНИТЕ НА РЕАЛЬНЫЕ ДАННЫЕ.
ДЕМО, ЦЕЛЬ, Зеленый лук,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47" authorId="0">
      <text>
        <r>
          <rPr>
            <sz val="8"/>
            <color indexed="81"/>
            <rFont val="Tahoma"/>
            <family val="2"/>
          </rPr>
          <t>ЗАМЕНИТЕ НА РЕАЛЬНЫЕ ДАННЫЕ.
ДЕМО, ЦЕЛЬ, Зеленый лук,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47" authorId="0">
      <text>
        <r>
          <rPr>
            <sz val="8"/>
            <color indexed="81"/>
            <rFont val="Tahoma"/>
            <family val="2"/>
          </rPr>
          <t>ЗАМЕНИТЕ НА РЕАЛЬНЫЕ ДАННЫЕ.
ДЕМО, ЦЕЛЬ, Зеленый лук,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47" authorId="0">
      <text>
        <r>
          <rPr>
            <sz val="8"/>
            <color indexed="81"/>
            <rFont val="Tahoma"/>
            <family val="2"/>
          </rPr>
          <t>ЗАМЕНИТЕ НА РЕАЛЬНЫЕ ДАННЫЕ.
ДЕМО, ЦЕЛЬ, Зеленый лук,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47" authorId="0">
      <text>
        <r>
          <rPr>
            <sz val="8"/>
            <color indexed="81"/>
            <rFont val="Tahoma"/>
            <family val="2"/>
          </rPr>
          <t>ЗАМЕНИТЕ НА РЕАЛЬНЫЕ ДАННЫЕ.
ДЕМО, ЦЕЛЬ, Зеленый лук,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47" authorId="0">
      <text>
        <r>
          <rPr>
            <sz val="8"/>
            <color indexed="81"/>
            <rFont val="Tahoma"/>
            <family val="2"/>
          </rPr>
          <t>ЗАМЕНИТЕ НА РЕАЛЬНЫЕ ДАННЫЕ.
ДЕМО, ЦЕЛЬ, Зеленый лук,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48" authorId="0">
      <text>
        <r>
          <rPr>
            <sz val="8"/>
            <color indexed="81"/>
            <rFont val="Tahoma"/>
            <family val="2"/>
          </rPr>
          <t>ЗАМЕНИТЕ НА РЕАЛЬНЫЕ ДАННЫЕ.
ДЕМО, ЦЕЛЬ, Зеленый лук,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48" authorId="0">
      <text>
        <r>
          <rPr>
            <sz val="8"/>
            <color indexed="81"/>
            <rFont val="Tahoma"/>
            <family val="2"/>
          </rPr>
          <t>ЗАМЕНИТЕ НА РЕАЛЬНЫЕ ДАННЫЕ.
ДЕМО, ЦЕЛЬ, Зеленый лук,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48" authorId="0">
      <text>
        <r>
          <rPr>
            <sz val="8"/>
            <color indexed="81"/>
            <rFont val="Tahoma"/>
            <family val="2"/>
          </rPr>
          <t>ЗАМЕНИТЕ НА РЕАЛЬНЫЕ ДАННЫЕ.
ДЕМО, ЦЕЛЬ, Зеленый лук,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48" authorId="0">
      <text>
        <r>
          <rPr>
            <sz val="8"/>
            <color indexed="81"/>
            <rFont val="Tahoma"/>
            <family val="2"/>
          </rPr>
          <t>ЗАМЕНИТЕ НА РЕАЛЬНЫЕ ДАННЫЕ.
ДЕМО, ЦЕЛЬ, Зеленый лук,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48" authorId="0">
      <text>
        <r>
          <rPr>
            <sz val="8"/>
            <color indexed="81"/>
            <rFont val="Tahoma"/>
            <family val="2"/>
          </rPr>
          <t>ЗАМЕНИТЕ НА РЕАЛЬНЫЕ ДАННЫЕ.
ДЕМО, ЦЕЛЬ, Зеленый лук,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48" authorId="0">
      <text>
        <r>
          <rPr>
            <sz val="8"/>
            <color indexed="81"/>
            <rFont val="Tahoma"/>
            <family val="2"/>
          </rPr>
          <t>ЗАМЕНИТЕ НА РЕАЛЬНЫЕ ДАННЫЕ.
ДЕМО, ЦЕЛЬ, Зеленый лук,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48" authorId="0">
      <text>
        <r>
          <rPr>
            <sz val="8"/>
            <color indexed="81"/>
            <rFont val="Tahoma"/>
            <family val="2"/>
          </rPr>
          <t>ЗАМЕНИТЕ НА РЕАЛЬНЫЕ ДАННЫЕ.
ДЕМО, ЦЕЛЬ, Зеленый лук,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48" authorId="0">
      <text>
        <r>
          <rPr>
            <sz val="8"/>
            <color indexed="81"/>
            <rFont val="Tahoma"/>
            <family val="2"/>
          </rPr>
          <t>ЗАМЕНИТЕ НА РЕАЛЬНЫЕ ДАННЫЕ.
ДЕМО, ЦЕЛЬ, Зеленый лук,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48" authorId="0">
      <text>
        <r>
          <rPr>
            <sz val="8"/>
            <color indexed="81"/>
            <rFont val="Tahoma"/>
            <family val="2"/>
          </rPr>
          <t>ЗАМЕНИТЕ НА РЕАЛЬНЫЕ ДАННЫЕ.
ДЕМО, ЦЕЛЬ, Зеленый лук,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48" authorId="0">
      <text>
        <r>
          <rPr>
            <sz val="8"/>
            <color indexed="81"/>
            <rFont val="Tahoma"/>
            <family val="2"/>
          </rPr>
          <t>ЗАМЕНИТЕ НА РЕАЛЬНЫЕ ДАННЫЕ.
ДЕМО, ЦЕЛЬ, Зеленый лук,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57" authorId="0">
      <text>
        <r>
          <rPr>
            <sz val="8"/>
            <color indexed="81"/>
            <rFont val="Tahoma"/>
            <family val="2"/>
          </rPr>
          <t>ЗАМЕНИТЕ НА РЕАЛЬНЫЕ ДАННЫЕ.
Кинза, цикл 1. 0 исключает все элементы данного цикла, а не один выброс.</t>
        </r>
      </text>
    </comment>
    <comment ref="F157" authorId="0">
      <text>
        <r>
          <rPr>
            <sz val="8"/>
            <color indexed="81"/>
            <rFont val="Tahoma"/>
            <family val="2"/>
          </rPr>
          <t>ЗАМЕНИТЕ НА РЕАЛЬНЫЕ ДАННЫЕ.
Кинза, цикл 2. 0 исключает все элементы данного цикла, а не один выброс.</t>
        </r>
      </text>
    </comment>
    <comment ref="G157" authorId="0">
      <text>
        <r>
          <rPr>
            <sz val="8"/>
            <color indexed="81"/>
            <rFont val="Tahoma"/>
            <family val="2"/>
          </rPr>
          <t>ЗАМЕНИТЕ НА РЕАЛЬНЫЕ ДАННЫЕ.
Кинза, цикл 3. 0 исключает все элементы данного цикла, а не один выброс.</t>
        </r>
      </text>
    </comment>
    <comment ref="H157" authorId="0">
      <text>
        <r>
          <rPr>
            <sz val="8"/>
            <color indexed="81"/>
            <rFont val="Tahoma"/>
            <family val="2"/>
          </rPr>
          <t>ЗАМЕНИТЕ НА РЕАЛЬНЫЕ ДАННЫЕ.
Кинза, цикл 4. 0 исключает все элементы данного цикла, а не один выброс.</t>
        </r>
      </text>
    </comment>
    <comment ref="I157" authorId="0">
      <text>
        <r>
          <rPr>
            <sz val="8"/>
            <color indexed="81"/>
            <rFont val="Tahoma"/>
            <family val="2"/>
          </rPr>
          <t>ЗАМЕНИТЕ НА РЕАЛЬНЫЕ ДАННЫЕ.
Кинза, цикл 5. 0 исключает все элементы данного цикла, а не один выброс.</t>
        </r>
      </text>
    </comment>
    <comment ref="J157" authorId="0">
      <text>
        <r>
          <rPr>
            <sz val="8"/>
            <color indexed="81"/>
            <rFont val="Tahoma"/>
            <family val="2"/>
          </rPr>
          <t>ЗАМЕНИТЕ НА РЕАЛЬНЫЕ ДАННЫЕ.
Кинза, цикл 6. 0 исключает все элементы данного цикла, а не один выброс.</t>
        </r>
      </text>
    </comment>
    <comment ref="K157" authorId="0">
      <text>
        <r>
          <rPr>
            <sz val="8"/>
            <color indexed="81"/>
            <rFont val="Tahoma"/>
            <family val="2"/>
          </rPr>
          <t>ЗАМЕНИТЕ НА РЕАЛЬНЫЕ ДАННЫЕ.
Кинза, цикл 7. 0 исключает все элементы данного цикла, а не один выброс.</t>
        </r>
      </text>
    </comment>
    <comment ref="L157" authorId="0">
      <text>
        <r>
          <rPr>
            <sz val="8"/>
            <color indexed="81"/>
            <rFont val="Tahoma"/>
            <family val="2"/>
          </rPr>
          <t>ЗАМЕНИТЕ НА РЕАЛЬНЫЕ ДАННЫЕ.
Кинза, цикл 8. 0 исключает все элементы данного цикла, а не один выброс.</t>
        </r>
      </text>
    </comment>
    <comment ref="M157" authorId="0">
      <text>
        <r>
          <rPr>
            <sz val="8"/>
            <color indexed="81"/>
            <rFont val="Tahoma"/>
            <family val="2"/>
          </rPr>
          <t>ЗАМЕНИТЕ НА РЕАЛЬНЫЕ ДАННЫЕ.
Кинза, цикл 9. 0 исключает все элементы данного цикла, а не один выброс.</t>
        </r>
      </text>
    </comment>
    <comment ref="N157" authorId="0">
      <text>
        <r>
          <rPr>
            <sz val="8"/>
            <color indexed="81"/>
            <rFont val="Tahoma"/>
            <family val="2"/>
          </rPr>
          <t>ЗАМЕНИТЕ НА РЕАЛЬНЫЕ ДАННЫЕ.
Кинза, цикл 10. 0 исключает все элементы данного цикла, а не один выброс.</t>
        </r>
      </text>
    </comment>
    <comment ref="E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5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59" authorId="0">
      <text>
        <r>
          <rPr>
            <sz val="8"/>
            <color indexed="81"/>
            <rFont val="Tahoma"/>
            <family val="2"/>
          </rPr>
          <t>ЗАМЕНИТЕ НА РЕАЛЬНЫЕ ДАННЫЕ.
ДЕМО, ЦЕЛЬ, Кинза,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59" authorId="0">
      <text>
        <r>
          <rPr>
            <sz val="8"/>
            <color indexed="81"/>
            <rFont val="Tahoma"/>
            <family val="2"/>
          </rPr>
          <t>ЗАМЕНИТЕ НА РЕАЛЬНЫЕ ДАННЫЕ.
ДЕМО, ЦЕЛЬ, Кинза,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59" authorId="0">
      <text>
        <r>
          <rPr>
            <sz val="8"/>
            <color indexed="81"/>
            <rFont val="Tahoma"/>
            <family val="2"/>
          </rPr>
          <t>ЗАМЕНИТЕ НА РЕАЛЬНЫЕ ДАННЫЕ.
ДЕМО, ЦЕЛЬ, Кинза,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59" authorId="0">
      <text>
        <r>
          <rPr>
            <sz val="8"/>
            <color indexed="81"/>
            <rFont val="Tahoma"/>
            <family val="2"/>
          </rPr>
          <t>ЗАМЕНИТЕ НА РЕАЛЬНЫЕ ДАННЫЕ.
ДЕМО, ЦЕЛЬ, Кинза,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59" authorId="0">
      <text>
        <r>
          <rPr>
            <sz val="8"/>
            <color indexed="81"/>
            <rFont val="Tahoma"/>
            <family val="2"/>
          </rPr>
          <t>ЗАМЕНИТЕ НА РЕАЛЬНЫЕ ДАННЫЕ.
ДЕМО, ЦЕЛЬ, Кинза,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59" authorId="0">
      <text>
        <r>
          <rPr>
            <sz val="8"/>
            <color indexed="81"/>
            <rFont val="Tahoma"/>
            <family val="2"/>
          </rPr>
          <t>ЗАМЕНИТЕ НА РЕАЛЬНЫЕ ДАННЫЕ.
ДЕМО, ЦЕЛЬ, Кинза,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59" authorId="0">
      <text>
        <r>
          <rPr>
            <sz val="8"/>
            <color indexed="81"/>
            <rFont val="Tahoma"/>
            <family val="2"/>
          </rPr>
          <t>ЗАМЕНИТЕ НА РЕАЛЬНЫЕ ДАННЫЕ.
ДЕМО, ЦЕЛЬ, Кинза,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59" authorId="0">
      <text>
        <r>
          <rPr>
            <sz val="8"/>
            <color indexed="81"/>
            <rFont val="Tahoma"/>
            <family val="2"/>
          </rPr>
          <t>ЗАМЕНИТЕ НА РЕАЛЬНЫЕ ДАННЫЕ.
ДЕМО, ЦЕЛЬ, Кинза,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59" authorId="0">
      <text>
        <r>
          <rPr>
            <sz val="8"/>
            <color indexed="81"/>
            <rFont val="Tahoma"/>
            <family val="2"/>
          </rPr>
          <t>ЗАМЕНИТЕ НА РЕАЛЬНЫЕ ДАННЫЕ.
ДЕМО, ЦЕЛЬ, Кинза,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59" authorId="0">
      <text>
        <r>
          <rPr>
            <sz val="8"/>
            <color indexed="81"/>
            <rFont val="Tahoma"/>
            <family val="2"/>
          </rPr>
          <t>ЗАМЕНИТЕ НА РЕАЛЬНЫЕ ДАННЫЕ.
ДЕМО, ЦЕЛЬ, Кинза,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60" authorId="0">
      <text>
        <r>
          <rPr>
            <sz val="8"/>
            <color indexed="81"/>
            <rFont val="Tahoma"/>
            <family val="2"/>
          </rPr>
          <t>ЗАМЕНИТЕ НА РЕАЛЬНЫЕ ДАННЫЕ.
ДЕМО, ЦЕЛЬ, Кинза,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60" authorId="0">
      <text>
        <r>
          <rPr>
            <sz val="8"/>
            <color indexed="81"/>
            <rFont val="Tahoma"/>
            <family val="2"/>
          </rPr>
          <t>ЗАМЕНИТЕ НА РЕАЛЬНЫЕ ДАННЫЕ.
ДЕМО, ЦЕЛЬ, Кинза,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60" authorId="0">
      <text>
        <r>
          <rPr>
            <sz val="8"/>
            <color indexed="81"/>
            <rFont val="Tahoma"/>
            <family val="2"/>
          </rPr>
          <t>ЗАМЕНИТЕ НА РЕАЛЬНЫЕ ДАННЫЕ.
ДЕМО, ЦЕЛЬ, Кинза,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60" authorId="0">
      <text>
        <r>
          <rPr>
            <sz val="8"/>
            <color indexed="81"/>
            <rFont val="Tahoma"/>
            <family val="2"/>
          </rPr>
          <t>ЗАМЕНИТЕ НА РЕАЛЬНЫЕ ДАННЫЕ.
ДЕМО, ЦЕЛЬ, Кинза,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60" authorId="0">
      <text>
        <r>
          <rPr>
            <sz val="8"/>
            <color indexed="81"/>
            <rFont val="Tahoma"/>
            <family val="2"/>
          </rPr>
          <t>ЗАМЕНИТЕ НА РЕАЛЬНЫЕ ДАННЫЕ.
ДЕМО, ЦЕЛЬ, Кинза,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60" authorId="0">
      <text>
        <r>
          <rPr>
            <sz val="8"/>
            <color indexed="81"/>
            <rFont val="Tahoma"/>
            <family val="2"/>
          </rPr>
          <t>ЗАМЕНИТЕ НА РЕАЛЬНЫЕ ДАННЫЕ.
ДЕМО, ЦЕЛЬ, Кинза,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60" authorId="0">
      <text>
        <r>
          <rPr>
            <sz val="8"/>
            <color indexed="81"/>
            <rFont val="Tahoma"/>
            <family val="2"/>
          </rPr>
          <t>ЗАМЕНИТЕ НА РЕАЛЬНЫЕ ДАННЫЕ.
ДЕМО, ЦЕЛЬ, Кинза,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60" authorId="0">
      <text>
        <r>
          <rPr>
            <sz val="8"/>
            <color indexed="81"/>
            <rFont val="Tahoma"/>
            <family val="2"/>
          </rPr>
          <t>ЗАМЕНИТЕ НА РЕАЛЬНЫЕ ДАННЫЕ.
ДЕМО, ЦЕЛЬ, Кинза,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60" authorId="0">
      <text>
        <r>
          <rPr>
            <sz val="8"/>
            <color indexed="81"/>
            <rFont val="Tahoma"/>
            <family val="2"/>
          </rPr>
          <t>ЗАМЕНИТЕ НА РЕАЛЬНЫЕ ДАННЫЕ.
ДЕМО, ЦЕЛЬ, Кинза,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60" authorId="0">
      <text>
        <r>
          <rPr>
            <sz val="8"/>
            <color indexed="81"/>
            <rFont val="Tahoma"/>
            <family val="2"/>
          </rPr>
          <t>ЗАМЕНИТЕ НА РЕАЛЬНЫЕ ДАННЫЕ.
ДЕМО, ЦЕЛЬ, Кинза,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61" authorId="0">
      <text>
        <r>
          <rPr>
            <sz val="8"/>
            <color indexed="81"/>
            <rFont val="Tahoma"/>
            <family val="2"/>
          </rPr>
          <t>ЗАМЕНИТЕ НА РЕАЛЬНЫЕ ДАННЫЕ.
ДЕМО, ЦЕЛЬ, Кинза,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61" authorId="0">
      <text>
        <r>
          <rPr>
            <sz val="8"/>
            <color indexed="81"/>
            <rFont val="Tahoma"/>
            <family val="2"/>
          </rPr>
          <t>ЗАМЕНИТЕ НА РЕАЛЬНЫЕ ДАННЫЕ.
ДЕМО, ЦЕЛЬ, Кинза,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61" authorId="0">
      <text>
        <r>
          <rPr>
            <sz val="8"/>
            <color indexed="81"/>
            <rFont val="Tahoma"/>
            <family val="2"/>
          </rPr>
          <t>ЗАМЕНИТЕ НА РЕАЛЬНЫЕ ДАННЫЕ.
ДЕМО, ЦЕЛЬ, Кинза,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61" authorId="0">
      <text>
        <r>
          <rPr>
            <sz val="8"/>
            <color indexed="81"/>
            <rFont val="Tahoma"/>
            <family val="2"/>
          </rPr>
          <t>ЗАМЕНИТЕ НА РЕАЛЬНЫЕ ДАННЫЕ.
ДЕМО, ЦЕЛЬ, Кинза,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61" authorId="0">
      <text>
        <r>
          <rPr>
            <sz val="8"/>
            <color indexed="81"/>
            <rFont val="Tahoma"/>
            <family val="2"/>
          </rPr>
          <t>ЗАМЕНИТЕ НА РЕАЛЬНЫЕ ДАННЫЕ.
ДЕМО, ЦЕЛЬ, Кинза,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61" authorId="0">
      <text>
        <r>
          <rPr>
            <sz val="8"/>
            <color indexed="81"/>
            <rFont val="Tahoma"/>
            <family val="2"/>
          </rPr>
          <t>ЗАМЕНИТЕ НА РЕАЛЬНЫЕ ДАННЫЕ.
ДЕМО, ЦЕЛЬ, Кинза,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61" authorId="0">
      <text>
        <r>
          <rPr>
            <sz val="8"/>
            <color indexed="81"/>
            <rFont val="Tahoma"/>
            <family val="2"/>
          </rPr>
          <t>ЗАМЕНИТЕ НА РЕАЛЬНЫЕ ДАННЫЕ.
ДЕМО, ЦЕЛЬ, Кинза,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61" authorId="0">
      <text>
        <r>
          <rPr>
            <sz val="8"/>
            <color indexed="81"/>
            <rFont val="Tahoma"/>
            <family val="2"/>
          </rPr>
          <t>ЗАМЕНИТЕ НА РЕАЛЬНЫЕ ДАННЫЕ.
ДЕМО, ЦЕЛЬ, Кинза,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61" authorId="0">
      <text>
        <r>
          <rPr>
            <sz val="8"/>
            <color indexed="81"/>
            <rFont val="Tahoma"/>
            <family val="2"/>
          </rPr>
          <t>ЗАМЕНИТЕ НА РЕАЛЬНЫЕ ДАННЫЕ.
ДЕМО, ЦЕЛЬ, Кинза,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61" authorId="0">
      <text>
        <r>
          <rPr>
            <sz val="8"/>
            <color indexed="81"/>
            <rFont val="Tahoma"/>
            <family val="2"/>
          </rPr>
          <t>ЗАМЕНИТЕ НА РЕАЛЬНЫЕ ДАННЫЕ.
ДЕМО, ЦЕЛЬ, Кинза,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62" authorId="0">
      <text>
        <r>
          <rPr>
            <sz val="8"/>
            <color indexed="81"/>
            <rFont val="Tahoma"/>
            <family val="2"/>
          </rPr>
          <t>ЗАМЕНИТЕ НА РЕАЛЬНЫЕ ДАННЫЕ.
ДЕМО, ЦЕЛЬ, Кинза,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62" authorId="0">
      <text>
        <r>
          <rPr>
            <sz val="8"/>
            <color indexed="81"/>
            <rFont val="Tahoma"/>
            <family val="2"/>
          </rPr>
          <t>ЗАМЕНИТЕ НА РЕАЛЬНЫЕ ДАННЫЕ.
ДЕМО, ЦЕЛЬ, Кинза,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62" authorId="0">
      <text>
        <r>
          <rPr>
            <sz val="8"/>
            <color indexed="81"/>
            <rFont val="Tahoma"/>
            <family val="2"/>
          </rPr>
          <t>ЗАМЕНИТЕ НА РЕАЛЬНЫЕ ДАННЫЕ.
ДЕМО, ЦЕЛЬ, Кинза,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62" authorId="0">
      <text>
        <r>
          <rPr>
            <sz val="8"/>
            <color indexed="81"/>
            <rFont val="Tahoma"/>
            <family val="2"/>
          </rPr>
          <t>ЗАМЕНИТЕ НА РЕАЛЬНЫЕ ДАННЫЕ.
ДЕМО, ЦЕЛЬ, Кинза,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62" authorId="0">
      <text>
        <r>
          <rPr>
            <sz val="8"/>
            <color indexed="81"/>
            <rFont val="Tahoma"/>
            <family val="2"/>
          </rPr>
          <t>ЗАМЕНИТЕ НА РЕАЛЬНЫЕ ДАННЫЕ.
ДЕМО, ЦЕЛЬ, Кинза,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62" authorId="0">
      <text>
        <r>
          <rPr>
            <sz val="8"/>
            <color indexed="81"/>
            <rFont val="Tahoma"/>
            <family val="2"/>
          </rPr>
          <t>ЗАМЕНИТЕ НА РЕАЛЬНЫЕ ДАННЫЕ.
ДЕМО, ЦЕЛЬ, Кинза,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62" authorId="0">
      <text>
        <r>
          <rPr>
            <sz val="8"/>
            <color indexed="81"/>
            <rFont val="Tahoma"/>
            <family val="2"/>
          </rPr>
          <t>ЗАМЕНИТЕ НА РЕАЛЬНЫЕ ДАННЫЕ.
ДЕМО, ЦЕЛЬ, Кинза,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62" authorId="0">
      <text>
        <r>
          <rPr>
            <sz val="8"/>
            <color indexed="81"/>
            <rFont val="Tahoma"/>
            <family val="2"/>
          </rPr>
          <t>ЗАМЕНИТЕ НА РЕАЛЬНЫЕ ДАННЫЕ.
ДЕМО, ЦЕЛЬ, Кинза,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62" authorId="0">
      <text>
        <r>
          <rPr>
            <sz val="8"/>
            <color indexed="81"/>
            <rFont val="Tahoma"/>
            <family val="2"/>
          </rPr>
          <t>ЗАМЕНИТЕ НА РЕАЛЬНЫЕ ДАННЫЕ.
ДЕМО, ЦЕЛЬ, Кинза,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62" authorId="0">
      <text>
        <r>
          <rPr>
            <sz val="8"/>
            <color indexed="81"/>
            <rFont val="Tahoma"/>
            <family val="2"/>
          </rPr>
          <t>ЗАМЕНИТЕ НА РЕАЛЬНЫЕ ДАННЫЕ.
ДЕМО, ЦЕЛЬ, Кинза,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63" authorId="0">
      <text>
        <r>
          <rPr>
            <sz val="8"/>
            <color indexed="81"/>
            <rFont val="Tahoma"/>
            <family val="2"/>
          </rPr>
          <t>ЗАМЕНИТЕ НА РЕАЛЬНЫЕ ДАННЫЕ.
ДЕМО, ЦЕЛЬ, Кинза,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63" authorId="0">
      <text>
        <r>
          <rPr>
            <sz val="8"/>
            <color indexed="81"/>
            <rFont val="Tahoma"/>
            <family val="2"/>
          </rPr>
          <t>ЗАМЕНИТЕ НА РЕАЛЬНЫЕ ДАННЫЕ.
ДЕМО, ЦЕЛЬ, Кинза,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63" authorId="0">
      <text>
        <r>
          <rPr>
            <sz val="8"/>
            <color indexed="81"/>
            <rFont val="Tahoma"/>
            <family val="2"/>
          </rPr>
          <t>ЗАМЕНИТЕ НА РЕАЛЬНЫЕ ДАННЫЕ.
ДЕМО, ЦЕЛЬ, Кинза,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63" authorId="0">
      <text>
        <r>
          <rPr>
            <sz val="8"/>
            <color indexed="81"/>
            <rFont val="Tahoma"/>
            <family val="2"/>
          </rPr>
          <t>ЗАМЕНИТЕ НА РЕАЛЬНЫЕ ДАННЫЕ.
ДЕМО, ЦЕЛЬ, Кинза,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63" authorId="0">
      <text>
        <r>
          <rPr>
            <sz val="8"/>
            <color indexed="81"/>
            <rFont val="Tahoma"/>
            <family val="2"/>
          </rPr>
          <t>ЗАМЕНИТЕ НА РЕАЛЬНЫЕ ДАННЫЕ.
ДЕМО, ЦЕЛЬ, Кинза,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63" authorId="0">
      <text>
        <r>
          <rPr>
            <sz val="8"/>
            <color indexed="81"/>
            <rFont val="Tahoma"/>
            <family val="2"/>
          </rPr>
          <t>ЗАМЕНИТЕ НА РЕАЛЬНЫЕ ДАННЫЕ.
ДЕМО, ЦЕЛЬ, Кинза,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63" authorId="0">
      <text>
        <r>
          <rPr>
            <sz val="8"/>
            <color indexed="81"/>
            <rFont val="Tahoma"/>
            <family val="2"/>
          </rPr>
          <t>ЗАМЕНИТЕ НА РЕАЛЬНЫЕ ДАННЫЕ.
ДЕМО, ЦЕЛЬ, Кинза,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63" authorId="0">
      <text>
        <r>
          <rPr>
            <sz val="8"/>
            <color indexed="81"/>
            <rFont val="Tahoma"/>
            <family val="2"/>
          </rPr>
          <t>ЗАМЕНИТЕ НА РЕАЛЬНЫЕ ДАННЫЕ.
ДЕМО, ЦЕЛЬ, Кинза,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63" authorId="0">
      <text>
        <r>
          <rPr>
            <sz val="8"/>
            <color indexed="81"/>
            <rFont val="Tahoma"/>
            <family val="2"/>
          </rPr>
          <t>ЗАМЕНИТЕ НА РЕАЛЬНЫЕ ДАННЫЕ.
ДЕМО, ЦЕЛЬ, Кинза,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63" authorId="0">
      <text>
        <r>
          <rPr>
            <sz val="8"/>
            <color indexed="81"/>
            <rFont val="Tahoma"/>
            <family val="2"/>
          </rPr>
          <t>ЗАМЕНИТЕ НА РЕАЛЬНЫЕ ДАННЫЕ.
ДЕМО, ЦЕЛЬ, Кинза,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65" authorId="0">
      <text>
        <r>
          <rPr>
            <sz val="8"/>
            <color indexed="81"/>
            <rFont val="Tahoma"/>
            <family val="2"/>
          </rPr>
          <t>ЗАМЕНИТЕ НА РЕАЛЬНЫЕ ДАННЫЕ.
ДЕМО, ЦЕЛЬ, Кинза,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65" authorId="0">
      <text>
        <r>
          <rPr>
            <sz val="8"/>
            <color indexed="81"/>
            <rFont val="Tahoma"/>
            <family val="2"/>
          </rPr>
          <t>ЗАМЕНИТЕ НА РЕАЛЬНЫЕ ДАННЫЕ.
ДЕМО, ЦЕЛЬ, Кинза,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65" authorId="0">
      <text>
        <r>
          <rPr>
            <sz val="8"/>
            <color indexed="81"/>
            <rFont val="Tahoma"/>
            <family val="2"/>
          </rPr>
          <t>ЗАМЕНИТЕ НА РЕАЛЬНЫЕ ДАННЫЕ.
ДЕМО, ЦЕЛЬ, Кинза,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65" authorId="0">
      <text>
        <r>
          <rPr>
            <sz val="8"/>
            <color indexed="81"/>
            <rFont val="Tahoma"/>
            <family val="2"/>
          </rPr>
          <t>ЗАМЕНИТЕ НА РЕАЛЬНЫЕ ДАННЫЕ.
ДЕМО, ЦЕЛЬ, Кинза,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65" authorId="0">
      <text>
        <r>
          <rPr>
            <sz val="8"/>
            <color indexed="81"/>
            <rFont val="Tahoma"/>
            <family val="2"/>
          </rPr>
          <t>ЗАМЕНИТЕ НА РЕАЛЬНЫЕ ДАННЫЕ.
ДЕМО, ЦЕЛЬ, Кинза,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65" authorId="0">
      <text>
        <r>
          <rPr>
            <sz val="8"/>
            <color indexed="81"/>
            <rFont val="Tahoma"/>
            <family val="2"/>
          </rPr>
          <t>ЗАМЕНИТЕ НА РЕАЛЬНЫЕ ДАННЫЕ.
ДЕМО, ЦЕЛЬ, Кинза,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65" authorId="0">
      <text>
        <r>
          <rPr>
            <sz val="8"/>
            <color indexed="81"/>
            <rFont val="Tahoma"/>
            <family val="2"/>
          </rPr>
          <t>ЗАМЕНИТЕ НА РЕАЛЬНЫЕ ДАННЫЕ.
ДЕМО, ЦЕЛЬ, Кинза,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65" authorId="0">
      <text>
        <r>
          <rPr>
            <sz val="8"/>
            <color indexed="81"/>
            <rFont val="Tahoma"/>
            <family val="2"/>
          </rPr>
          <t>ЗАМЕНИТЕ НА РЕАЛЬНЫЕ ДАННЫЕ.
ДЕМО, ЦЕЛЬ, Кинза,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65" authorId="0">
      <text>
        <r>
          <rPr>
            <sz val="8"/>
            <color indexed="81"/>
            <rFont val="Tahoma"/>
            <family val="2"/>
          </rPr>
          <t>ЗАМЕНИТЕ НА РЕАЛЬНЫЕ ДАННЫЕ.
ДЕМО, ЦЕЛЬ, Кинза,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65" authorId="0">
      <text>
        <r>
          <rPr>
            <sz val="8"/>
            <color indexed="81"/>
            <rFont val="Tahoma"/>
            <family val="2"/>
          </rPr>
          <t>ЗАМЕНИТЕ НА РЕАЛЬНЫЕ ДАННЫЕ.
ДЕМО, ЦЕЛЬ, Кинза,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66" authorId="0">
      <text>
        <r>
          <rPr>
            <sz val="8"/>
            <color indexed="81"/>
            <rFont val="Tahoma"/>
            <family val="2"/>
          </rPr>
          <t>ЗАМЕНИТЕ НА РЕАЛЬНЫЕ ДАННЫЕ.
ДЕМО, ЦЕЛЬ, Кинза,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66" authorId="0">
      <text>
        <r>
          <rPr>
            <sz val="8"/>
            <color indexed="81"/>
            <rFont val="Tahoma"/>
            <family val="2"/>
          </rPr>
          <t>ЗАМЕНИТЕ НА РЕАЛЬНЫЕ ДАННЫЕ.
ДЕМО, ЦЕЛЬ, Кинза,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66" authorId="0">
      <text>
        <r>
          <rPr>
            <sz val="8"/>
            <color indexed="81"/>
            <rFont val="Tahoma"/>
            <family val="2"/>
          </rPr>
          <t>ЗАМЕНИТЕ НА РЕАЛЬНЫЕ ДАННЫЕ.
ДЕМО, ЦЕЛЬ, Кинза,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66" authorId="0">
      <text>
        <r>
          <rPr>
            <sz val="8"/>
            <color indexed="81"/>
            <rFont val="Tahoma"/>
            <family val="2"/>
          </rPr>
          <t>ЗАМЕНИТЕ НА РЕАЛЬНЫЕ ДАННЫЕ.
ДЕМО, ЦЕЛЬ, Кинза,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66" authorId="0">
      <text>
        <r>
          <rPr>
            <sz val="8"/>
            <color indexed="81"/>
            <rFont val="Tahoma"/>
            <family val="2"/>
          </rPr>
          <t>ЗАМЕНИТЕ НА РЕАЛЬНЫЕ ДАННЫЕ.
ДЕМО, ЦЕЛЬ, Кинза,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66" authorId="0">
      <text>
        <r>
          <rPr>
            <sz val="8"/>
            <color indexed="81"/>
            <rFont val="Tahoma"/>
            <family val="2"/>
          </rPr>
          <t>ЗАМЕНИТЕ НА РЕАЛЬНЫЕ ДАННЫЕ.
ДЕМО, ЦЕЛЬ, Кинза,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66" authorId="0">
      <text>
        <r>
          <rPr>
            <sz val="8"/>
            <color indexed="81"/>
            <rFont val="Tahoma"/>
            <family val="2"/>
          </rPr>
          <t>ЗАМЕНИТЕ НА РЕАЛЬНЫЕ ДАННЫЕ.
ДЕМО, ЦЕЛЬ, Кинза,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66" authorId="0">
      <text>
        <r>
          <rPr>
            <sz val="8"/>
            <color indexed="81"/>
            <rFont val="Tahoma"/>
            <family val="2"/>
          </rPr>
          <t>ЗАМЕНИТЕ НА РЕАЛЬНЫЕ ДАННЫЕ.
ДЕМО, ЦЕЛЬ, Кинза,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66" authorId="0">
      <text>
        <r>
          <rPr>
            <sz val="8"/>
            <color indexed="81"/>
            <rFont val="Tahoma"/>
            <family val="2"/>
          </rPr>
          <t>ЗАМЕНИТЕ НА РЕАЛЬНЫЕ ДАННЫЕ.
ДЕМО, ЦЕЛЬ, Кинза,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66" authorId="0">
      <text>
        <r>
          <rPr>
            <sz val="8"/>
            <color indexed="81"/>
            <rFont val="Tahoma"/>
            <family val="2"/>
          </rPr>
          <t>ЗАМЕНИТЕ НА РЕАЛЬНЫЕ ДАННЫЕ.
ДЕМО, ЦЕЛЬ, Кинза,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67" authorId="0">
      <text>
        <r>
          <rPr>
            <sz val="8"/>
            <color indexed="81"/>
            <rFont val="Tahoma"/>
            <family val="2"/>
          </rPr>
          <t>ЗАМЕНИТЕ НА РЕАЛЬНЫЕ ДАННЫЕ.
ДЕМО, ЦЕЛЬ, Кинза,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67" authorId="0">
      <text>
        <r>
          <rPr>
            <sz val="8"/>
            <color indexed="81"/>
            <rFont val="Tahoma"/>
            <family val="2"/>
          </rPr>
          <t>ЗАМЕНИТЕ НА РЕАЛЬНЫЕ ДАННЫЕ.
ДЕМО, ЦЕЛЬ, Кинза,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67" authorId="0">
      <text>
        <r>
          <rPr>
            <sz val="8"/>
            <color indexed="81"/>
            <rFont val="Tahoma"/>
            <family val="2"/>
          </rPr>
          <t>ЗАМЕНИТЕ НА РЕАЛЬНЫЕ ДАННЫЕ.
ДЕМО, ЦЕЛЬ, Кинза,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67" authorId="0">
      <text>
        <r>
          <rPr>
            <sz val="8"/>
            <color indexed="81"/>
            <rFont val="Tahoma"/>
            <family val="2"/>
          </rPr>
          <t>ЗАМЕНИТЕ НА РЕАЛЬНЫЕ ДАННЫЕ.
ДЕМО, ЦЕЛЬ, Кинза,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67" authorId="0">
      <text>
        <r>
          <rPr>
            <sz val="8"/>
            <color indexed="81"/>
            <rFont val="Tahoma"/>
            <family val="2"/>
          </rPr>
          <t>ЗАМЕНИТЕ НА РЕАЛЬНЫЕ ДАННЫЕ.
ДЕМО, ЦЕЛЬ, Кинза,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67" authorId="0">
      <text>
        <r>
          <rPr>
            <sz val="8"/>
            <color indexed="81"/>
            <rFont val="Tahoma"/>
            <family val="2"/>
          </rPr>
          <t>ЗАМЕНИТЕ НА РЕАЛЬНЫЕ ДАННЫЕ.
ДЕМО, ЦЕЛЬ, Кинза,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67" authorId="0">
      <text>
        <r>
          <rPr>
            <sz val="8"/>
            <color indexed="81"/>
            <rFont val="Tahoma"/>
            <family val="2"/>
          </rPr>
          <t>ЗАМЕНИТЕ НА РЕАЛЬНЫЕ ДАННЫЕ.
ДЕМО, ЦЕЛЬ, Кинза,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67" authorId="0">
      <text>
        <r>
          <rPr>
            <sz val="8"/>
            <color indexed="81"/>
            <rFont val="Tahoma"/>
            <family val="2"/>
          </rPr>
          <t>ЗАМЕНИТЕ НА РЕАЛЬНЫЕ ДАННЫЕ.
ДЕМО, ЦЕЛЬ, Кинза,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67" authorId="0">
      <text>
        <r>
          <rPr>
            <sz val="8"/>
            <color indexed="81"/>
            <rFont val="Tahoma"/>
            <family val="2"/>
          </rPr>
          <t>ЗАМЕНИТЕ НА РЕАЛЬНЫЕ ДАННЫЕ.
ДЕМО, ЦЕЛЬ, Кинза,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67" authorId="0">
      <text>
        <r>
          <rPr>
            <sz val="8"/>
            <color indexed="81"/>
            <rFont val="Tahoma"/>
            <family val="2"/>
          </rPr>
          <t>ЗАМЕНИТЕ НА РЕАЛЬНЫЕ ДАННЫЕ.
ДЕМО, ЦЕЛЬ, Кинза,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68" authorId="0">
      <text>
        <r>
          <rPr>
            <sz val="8"/>
            <color indexed="81"/>
            <rFont val="Tahoma"/>
            <family val="2"/>
          </rPr>
          <t>ЗАМЕНИТЕ НА РЕАЛЬНЫЕ ДАННЫЕ.
ДЕМО, ЦЕЛЬ, Кинза,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68" authorId="0">
      <text>
        <r>
          <rPr>
            <sz val="8"/>
            <color indexed="81"/>
            <rFont val="Tahoma"/>
            <family val="2"/>
          </rPr>
          <t>ЗАМЕНИТЕ НА РЕАЛЬНЫЕ ДАННЫЕ.
ДЕМО, ЦЕЛЬ, Кинза,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68" authorId="0">
      <text>
        <r>
          <rPr>
            <sz val="8"/>
            <color indexed="81"/>
            <rFont val="Tahoma"/>
            <family val="2"/>
          </rPr>
          <t>ЗАМЕНИТЕ НА РЕАЛЬНЫЕ ДАННЫЕ.
ДЕМО, ЦЕЛЬ, Кинза,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68" authorId="0">
      <text>
        <r>
          <rPr>
            <sz val="8"/>
            <color indexed="81"/>
            <rFont val="Tahoma"/>
            <family val="2"/>
          </rPr>
          <t>ЗАМЕНИТЕ НА РЕАЛЬНЫЕ ДАННЫЕ.
ДЕМО, ЦЕЛЬ, Кинза,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68" authorId="0">
      <text>
        <r>
          <rPr>
            <sz val="8"/>
            <color indexed="81"/>
            <rFont val="Tahoma"/>
            <family val="2"/>
          </rPr>
          <t>ЗАМЕНИТЕ НА РЕАЛЬНЫЕ ДАННЫЕ.
ДЕМО, ЦЕЛЬ, Кинза,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68" authorId="0">
      <text>
        <r>
          <rPr>
            <sz val="8"/>
            <color indexed="81"/>
            <rFont val="Tahoma"/>
            <family val="2"/>
          </rPr>
          <t>ЗАМЕНИТЕ НА РЕАЛЬНЫЕ ДАННЫЕ.
ДЕМО, ЦЕЛЬ, Кинза,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68" authorId="0">
      <text>
        <r>
          <rPr>
            <sz val="8"/>
            <color indexed="81"/>
            <rFont val="Tahoma"/>
            <family val="2"/>
          </rPr>
          <t>ЗАМЕНИТЕ НА РЕАЛЬНЫЕ ДАННЫЕ.
ДЕМО, ЦЕЛЬ, Кинза,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68" authorId="0">
      <text>
        <r>
          <rPr>
            <sz val="8"/>
            <color indexed="81"/>
            <rFont val="Tahoma"/>
            <family val="2"/>
          </rPr>
          <t>ЗАМЕНИТЕ НА РЕАЛЬНЫЕ ДАННЫЕ.
ДЕМО, ЦЕЛЬ, Кинза,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68" authorId="0">
      <text>
        <r>
          <rPr>
            <sz val="8"/>
            <color indexed="81"/>
            <rFont val="Tahoma"/>
            <family val="2"/>
          </rPr>
          <t>ЗАМЕНИТЕ НА РЕАЛЬНЫЕ ДАННЫЕ.
ДЕМО, ЦЕЛЬ, Кинза,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68" authorId="0">
      <text>
        <r>
          <rPr>
            <sz val="8"/>
            <color indexed="81"/>
            <rFont val="Tahoma"/>
            <family val="2"/>
          </rPr>
          <t>ЗАМЕНИТЕ НА РЕАЛЬНЫЕ ДАННЫЕ.
ДЕМО, ЦЕЛЬ, Кинза,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69" authorId="0">
      <text>
        <r>
          <rPr>
            <sz val="8"/>
            <color indexed="81"/>
            <rFont val="Tahoma"/>
            <family val="2"/>
          </rPr>
          <t>ЗАМЕНИТЕ НА РЕАЛЬНЫЕ ДАННЫЕ.
ДЕМО, ЦЕЛЬ, Кинза,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69" authorId="0">
      <text>
        <r>
          <rPr>
            <sz val="8"/>
            <color indexed="81"/>
            <rFont val="Tahoma"/>
            <family val="2"/>
          </rPr>
          <t>ЗАМЕНИТЕ НА РЕАЛЬНЫЕ ДАННЫЕ.
ДЕМО, ЦЕЛЬ, Кинза,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69" authorId="0">
      <text>
        <r>
          <rPr>
            <sz val="8"/>
            <color indexed="81"/>
            <rFont val="Tahoma"/>
            <family val="2"/>
          </rPr>
          <t>ЗАМЕНИТЕ НА РЕАЛЬНЫЕ ДАННЫЕ.
ДЕМО, ЦЕЛЬ, Кинза,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69" authorId="0">
      <text>
        <r>
          <rPr>
            <sz val="8"/>
            <color indexed="81"/>
            <rFont val="Tahoma"/>
            <family val="2"/>
          </rPr>
          <t>ЗАМЕНИТЕ НА РЕАЛЬНЫЕ ДАННЫЕ.
ДЕМО, ЦЕЛЬ, Кинза,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69" authorId="0">
      <text>
        <r>
          <rPr>
            <sz val="8"/>
            <color indexed="81"/>
            <rFont val="Tahoma"/>
            <family val="2"/>
          </rPr>
          <t>ЗАМЕНИТЕ НА РЕАЛЬНЫЕ ДАННЫЕ.
ДЕМО, ЦЕЛЬ, Кинза,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69" authorId="0">
      <text>
        <r>
          <rPr>
            <sz val="8"/>
            <color indexed="81"/>
            <rFont val="Tahoma"/>
            <family val="2"/>
          </rPr>
          <t>ЗАМЕНИТЕ НА РЕАЛЬНЫЕ ДАННЫЕ.
ДЕМО, ЦЕЛЬ, Кинза,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69" authorId="0">
      <text>
        <r>
          <rPr>
            <sz val="8"/>
            <color indexed="81"/>
            <rFont val="Tahoma"/>
            <family val="2"/>
          </rPr>
          <t>ЗАМЕНИТЕ НА РЕАЛЬНЫЕ ДАННЫЕ.
ДЕМО, ЦЕЛЬ, Кинза,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69" authorId="0">
      <text>
        <r>
          <rPr>
            <sz val="8"/>
            <color indexed="81"/>
            <rFont val="Tahoma"/>
            <family val="2"/>
          </rPr>
          <t>ЗАМЕНИТЕ НА РЕАЛЬНЫЕ ДАННЫЕ.
ДЕМО, ЦЕЛЬ, Кинза,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69" authorId="0">
      <text>
        <r>
          <rPr>
            <sz val="8"/>
            <color indexed="81"/>
            <rFont val="Tahoma"/>
            <family val="2"/>
          </rPr>
          <t>ЗАМЕНИТЕ НА РЕАЛЬНЫЕ ДАННЫЕ.
ДЕМО, ЦЕЛЬ, Кинза,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69" authorId="0">
      <text>
        <r>
          <rPr>
            <sz val="8"/>
            <color indexed="81"/>
            <rFont val="Tahoma"/>
            <family val="2"/>
          </rPr>
          <t>ЗАМЕНИТЕ НА РЕАЛЬНЫЕ ДАННЫЕ.
ДЕМО, ЦЕЛЬ, Кинза,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78" authorId="0">
      <text>
        <r>
          <rPr>
            <sz val="8"/>
            <color indexed="81"/>
            <rFont val="Tahoma"/>
            <family val="2"/>
          </rPr>
          <t>ЗАМЕНИТЕ НА РЕАЛЬНЫЕ ДАННЫЕ.
Шампиньоны, цикл 1. 0 исключает все элементы данного цикла, а не один выброс.</t>
        </r>
      </text>
    </comment>
    <comment ref="F178" authorId="0">
      <text>
        <r>
          <rPr>
            <sz val="8"/>
            <color indexed="81"/>
            <rFont val="Tahoma"/>
            <family val="2"/>
          </rPr>
          <t>ЗАМЕНИТЕ НА РЕАЛЬНЫЕ ДАННЫЕ.
Шампиньоны, цикл 2. 0 исключает все элементы данного цикла, а не один выброс.</t>
        </r>
      </text>
    </comment>
    <comment ref="G178" authorId="0">
      <text>
        <r>
          <rPr>
            <sz val="8"/>
            <color indexed="81"/>
            <rFont val="Tahoma"/>
            <family val="2"/>
          </rPr>
          <t>ЗАМЕНИТЕ НА РЕАЛЬНЫЕ ДАННЫЕ.
Шампиньоны, цикл 3. 0 исключает все элементы данного цикла, а не один выброс.</t>
        </r>
      </text>
    </comment>
    <comment ref="H178" authorId="0">
      <text>
        <r>
          <rPr>
            <sz val="8"/>
            <color indexed="81"/>
            <rFont val="Tahoma"/>
            <family val="2"/>
          </rPr>
          <t>ЗАМЕНИТЕ НА РЕАЛЬНЫЕ ДАННЫЕ.
Шампиньоны, цикл 4. 0 исключает все элементы данного цикла, а не один выброс.</t>
        </r>
      </text>
    </comment>
    <comment ref="I178" authorId="0">
      <text>
        <r>
          <rPr>
            <sz val="8"/>
            <color indexed="81"/>
            <rFont val="Tahoma"/>
            <family val="2"/>
          </rPr>
          <t>ЗАМЕНИТЕ НА РЕАЛЬНЫЕ ДАННЫЕ.
Шампиньоны, цикл 5. 0 исключает все элементы данного цикла, а не один выброс.</t>
        </r>
      </text>
    </comment>
    <comment ref="J178" authorId="0">
      <text>
        <r>
          <rPr>
            <sz val="8"/>
            <color indexed="81"/>
            <rFont val="Tahoma"/>
            <family val="2"/>
          </rPr>
          <t>ЗАМЕНИТЕ НА РЕАЛЬНЫЕ ДАННЫЕ.
Шампиньоны, цикл 6. 0 исключает все элементы данного цикла, а не один выброс.</t>
        </r>
      </text>
    </comment>
    <comment ref="K178" authorId="0">
      <text>
        <r>
          <rPr>
            <sz val="8"/>
            <color indexed="81"/>
            <rFont val="Tahoma"/>
            <family val="2"/>
          </rPr>
          <t>ЗАМЕНИТЕ НА РЕАЛЬНЫЕ ДАННЫЕ.
Шампиньоны, цикл 7. 0 исключает все элементы данного цикла, а не один выброс.</t>
        </r>
      </text>
    </comment>
    <comment ref="L178" authorId="0">
      <text>
        <r>
          <rPr>
            <sz val="8"/>
            <color indexed="81"/>
            <rFont val="Tahoma"/>
            <family val="2"/>
          </rPr>
          <t>ЗАМЕНИТЕ НА РЕАЛЬНЫЕ ДАННЫЕ.
Шампиньоны, цикл 8. 0 исключает все элементы данного цикла, а не один выброс.</t>
        </r>
      </text>
    </comment>
    <comment ref="M178" authorId="0">
      <text>
        <r>
          <rPr>
            <sz val="8"/>
            <color indexed="81"/>
            <rFont val="Tahoma"/>
            <family val="2"/>
          </rPr>
          <t>ЗАМЕНИТЕ НА РЕАЛЬНЫЕ ДАННЫЕ.
Шампиньоны, цикл 9. 0 исключает все элементы данного цикла, а не один выброс.</t>
        </r>
      </text>
    </comment>
    <comment ref="N178" authorId="0">
      <text>
        <r>
          <rPr>
            <sz val="8"/>
            <color indexed="81"/>
            <rFont val="Tahoma"/>
            <family val="2"/>
          </rPr>
          <t>ЗАМЕНИТЕ НА РЕАЛЬНЫЕ ДАННЫЕ.
Шампиньоны, цикл 10. 0 исключает все элементы данного цикла, а не один выброс.</t>
        </r>
      </text>
    </comment>
    <comment ref="E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179"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180" authorId="0">
      <text>
        <r>
          <rPr>
            <sz val="8"/>
            <color indexed="81"/>
            <rFont val="Tahoma"/>
            <family val="2"/>
          </rPr>
          <t>ЗАМЕНИТЕ НА РЕАЛЬНЫЕ ДАННЫЕ.
ДЕМО, ЦЕЛЬ, Шампиньоны,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180" authorId="0">
      <text>
        <r>
          <rPr>
            <sz val="8"/>
            <color indexed="81"/>
            <rFont val="Tahoma"/>
            <family val="2"/>
          </rPr>
          <t>ЗАМЕНИТЕ НА РЕАЛЬНЫЕ ДАННЫЕ.
ДЕМО, ЦЕЛЬ, Шампиньоны,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180" authorId="0">
      <text>
        <r>
          <rPr>
            <sz val="8"/>
            <color indexed="81"/>
            <rFont val="Tahoma"/>
            <family val="2"/>
          </rPr>
          <t>ЗАМЕНИТЕ НА РЕАЛЬНЫЕ ДАННЫЕ.
ДЕМО, ЦЕЛЬ, Шампиньоны,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180" authorId="0">
      <text>
        <r>
          <rPr>
            <sz val="8"/>
            <color indexed="81"/>
            <rFont val="Tahoma"/>
            <family val="2"/>
          </rPr>
          <t>ЗАМЕНИТЕ НА РЕАЛЬНЫЕ ДАННЫЕ.
ДЕМО, ЦЕЛЬ, Шампиньоны,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180" authorId="0">
      <text>
        <r>
          <rPr>
            <sz val="8"/>
            <color indexed="81"/>
            <rFont val="Tahoma"/>
            <family val="2"/>
          </rPr>
          <t>ЗАМЕНИТЕ НА РЕАЛЬНЫЕ ДАННЫЕ.
ДЕМО, ЦЕЛЬ, Шампиньоны,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180" authorId="0">
      <text>
        <r>
          <rPr>
            <sz val="8"/>
            <color indexed="81"/>
            <rFont val="Tahoma"/>
            <family val="2"/>
          </rPr>
          <t>ЗАМЕНИТЕ НА РЕАЛЬНЫЕ ДАННЫЕ.
ДЕМО, ЦЕЛЬ, Шампиньоны,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180" authorId="0">
      <text>
        <r>
          <rPr>
            <sz val="8"/>
            <color indexed="81"/>
            <rFont val="Tahoma"/>
            <family val="2"/>
          </rPr>
          <t>ЗАМЕНИТЕ НА РЕАЛЬНЫЕ ДАННЫЕ.
ДЕМО, ЦЕЛЬ, Шампиньоны,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180" authorId="0">
      <text>
        <r>
          <rPr>
            <sz val="8"/>
            <color indexed="81"/>
            <rFont val="Tahoma"/>
            <family val="2"/>
          </rPr>
          <t>ЗАМЕНИТЕ НА РЕАЛЬНЫЕ ДАННЫЕ.
ДЕМО, ЦЕЛЬ, Шампиньоны,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180" authorId="0">
      <text>
        <r>
          <rPr>
            <sz val="8"/>
            <color indexed="81"/>
            <rFont val="Tahoma"/>
            <family val="2"/>
          </rPr>
          <t>ЗАМЕНИТЕ НА РЕАЛЬНЫЕ ДАННЫЕ.
ДЕМО, ЦЕЛЬ, Шампиньоны,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180" authorId="0">
      <text>
        <r>
          <rPr>
            <sz val="8"/>
            <color indexed="81"/>
            <rFont val="Tahoma"/>
            <family val="2"/>
          </rPr>
          <t>ЗАМЕНИТЕ НА РЕАЛЬНЫЕ ДАННЫЕ.
ДЕМО, ЦЕЛЬ, Шампиньоны,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181" authorId="0">
      <text>
        <r>
          <rPr>
            <sz val="8"/>
            <color indexed="81"/>
            <rFont val="Tahoma"/>
            <family val="2"/>
          </rPr>
          <t>ЗАМЕНИТЕ НА РЕАЛЬНЫЕ ДАННЫЕ.
ДЕМО, ЦЕЛЬ, Шампиньоны,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181" authorId="0">
      <text>
        <r>
          <rPr>
            <sz val="8"/>
            <color indexed="81"/>
            <rFont val="Tahoma"/>
            <family val="2"/>
          </rPr>
          <t>ЗАМЕНИТЕ НА РЕАЛЬНЫЕ ДАННЫЕ.
ДЕМО, ЦЕЛЬ, Шампиньоны,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181" authorId="0">
      <text>
        <r>
          <rPr>
            <sz val="8"/>
            <color indexed="81"/>
            <rFont val="Tahoma"/>
            <family val="2"/>
          </rPr>
          <t>ЗАМЕНИТЕ НА РЕАЛЬНЫЕ ДАННЫЕ.
ДЕМО, ЦЕЛЬ, Шампиньоны,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181" authorId="0">
      <text>
        <r>
          <rPr>
            <sz val="8"/>
            <color indexed="81"/>
            <rFont val="Tahoma"/>
            <family val="2"/>
          </rPr>
          <t>ЗАМЕНИТЕ НА РЕАЛЬНЫЕ ДАННЫЕ.
ДЕМО, ЦЕЛЬ, Шампиньоны,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181" authorId="0">
      <text>
        <r>
          <rPr>
            <sz val="8"/>
            <color indexed="81"/>
            <rFont val="Tahoma"/>
            <family val="2"/>
          </rPr>
          <t>ЗАМЕНИТЕ НА РЕАЛЬНЫЕ ДАННЫЕ.
ДЕМО, ЦЕЛЬ, Шампиньоны,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181" authorId="0">
      <text>
        <r>
          <rPr>
            <sz val="8"/>
            <color indexed="81"/>
            <rFont val="Tahoma"/>
            <family val="2"/>
          </rPr>
          <t>ЗАМЕНИТЕ НА РЕАЛЬНЫЕ ДАННЫЕ.
ДЕМО, ЦЕЛЬ, Шампиньоны,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181" authorId="0">
      <text>
        <r>
          <rPr>
            <sz val="8"/>
            <color indexed="81"/>
            <rFont val="Tahoma"/>
            <family val="2"/>
          </rPr>
          <t>ЗАМЕНИТЕ НА РЕАЛЬНЫЕ ДАННЫЕ.
ДЕМО, ЦЕЛЬ, Шампиньоны,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181" authorId="0">
      <text>
        <r>
          <rPr>
            <sz val="8"/>
            <color indexed="81"/>
            <rFont val="Tahoma"/>
            <family val="2"/>
          </rPr>
          <t>ЗАМЕНИТЕ НА РЕАЛЬНЫЕ ДАННЫЕ.
ДЕМО, ЦЕЛЬ, Шампиньоны,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181" authorId="0">
      <text>
        <r>
          <rPr>
            <sz val="8"/>
            <color indexed="81"/>
            <rFont val="Tahoma"/>
            <family val="2"/>
          </rPr>
          <t>ЗАМЕНИТЕ НА РЕАЛЬНЫЕ ДАННЫЕ.
ДЕМО, ЦЕЛЬ, Шампиньоны,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181" authorId="0">
      <text>
        <r>
          <rPr>
            <sz val="8"/>
            <color indexed="81"/>
            <rFont val="Tahoma"/>
            <family val="2"/>
          </rPr>
          <t>ЗАМЕНИТЕ НА РЕАЛЬНЫЕ ДАННЫЕ.
ДЕМО, ЦЕЛЬ, Шампиньоны,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182" authorId="0">
      <text>
        <r>
          <rPr>
            <sz val="8"/>
            <color indexed="81"/>
            <rFont val="Tahoma"/>
            <family val="2"/>
          </rPr>
          <t>ЗАМЕНИТЕ НА РЕАЛЬНЫЕ ДАННЫЕ.
ДЕМО, ЦЕЛЬ, Шампиньоны,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182" authorId="0">
      <text>
        <r>
          <rPr>
            <sz val="8"/>
            <color indexed="81"/>
            <rFont val="Tahoma"/>
            <family val="2"/>
          </rPr>
          <t>ЗАМЕНИТЕ НА РЕАЛЬНЫЕ ДАННЫЕ.
ДЕМО, ЦЕЛЬ, Шампиньоны,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182" authorId="0">
      <text>
        <r>
          <rPr>
            <sz val="8"/>
            <color indexed="81"/>
            <rFont val="Tahoma"/>
            <family val="2"/>
          </rPr>
          <t>ЗАМЕНИТЕ НА РЕАЛЬНЫЕ ДАННЫЕ.
ДЕМО, ЦЕЛЬ, Шампиньоны,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182" authorId="0">
      <text>
        <r>
          <rPr>
            <sz val="8"/>
            <color indexed="81"/>
            <rFont val="Tahoma"/>
            <family val="2"/>
          </rPr>
          <t>ЗАМЕНИТЕ НА РЕАЛЬНЫЕ ДАННЫЕ.
ДЕМО, ЦЕЛЬ, Шампиньоны,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182" authorId="0">
      <text>
        <r>
          <rPr>
            <sz val="8"/>
            <color indexed="81"/>
            <rFont val="Tahoma"/>
            <family val="2"/>
          </rPr>
          <t>ЗАМЕНИТЕ НА РЕАЛЬНЫЕ ДАННЫЕ.
ДЕМО, ЦЕЛЬ, Шампиньоны,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182" authorId="0">
      <text>
        <r>
          <rPr>
            <sz val="8"/>
            <color indexed="81"/>
            <rFont val="Tahoma"/>
            <family val="2"/>
          </rPr>
          <t>ЗАМЕНИТЕ НА РЕАЛЬНЫЕ ДАННЫЕ.
ДЕМО, ЦЕЛЬ, Шампиньоны,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182" authorId="0">
      <text>
        <r>
          <rPr>
            <sz val="8"/>
            <color indexed="81"/>
            <rFont val="Tahoma"/>
            <family val="2"/>
          </rPr>
          <t>ЗАМЕНИТЕ НА РЕАЛЬНЫЕ ДАННЫЕ.
ДЕМО, ЦЕЛЬ, Шампиньоны,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182" authorId="0">
      <text>
        <r>
          <rPr>
            <sz val="8"/>
            <color indexed="81"/>
            <rFont val="Tahoma"/>
            <family val="2"/>
          </rPr>
          <t>ЗАМЕНИТЕ НА РЕАЛЬНЫЕ ДАННЫЕ.
ДЕМО, ЦЕЛЬ, Шампиньоны,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182" authorId="0">
      <text>
        <r>
          <rPr>
            <sz val="8"/>
            <color indexed="81"/>
            <rFont val="Tahoma"/>
            <family val="2"/>
          </rPr>
          <t>ЗАМЕНИТЕ НА РЕАЛЬНЫЕ ДАННЫЕ.
ДЕМО, ЦЕЛЬ, Шампиньоны,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182" authorId="0">
      <text>
        <r>
          <rPr>
            <sz val="8"/>
            <color indexed="81"/>
            <rFont val="Tahoma"/>
            <family val="2"/>
          </rPr>
          <t>ЗАМЕНИТЕ НА РЕАЛЬНЫЕ ДАННЫЕ.
ДЕМО, ЦЕЛЬ, Шампиньоны,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183" authorId="0">
      <text>
        <r>
          <rPr>
            <sz val="8"/>
            <color indexed="81"/>
            <rFont val="Tahoma"/>
            <family val="2"/>
          </rPr>
          <t>ЗАМЕНИТЕ НА РЕАЛЬНЫЕ ДАННЫЕ.
ДЕМО, ЦЕЛЬ, Шампиньоны,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183" authorId="0">
      <text>
        <r>
          <rPr>
            <sz val="8"/>
            <color indexed="81"/>
            <rFont val="Tahoma"/>
            <family val="2"/>
          </rPr>
          <t>ЗАМЕНИТЕ НА РЕАЛЬНЫЕ ДАННЫЕ.
ДЕМО, ЦЕЛЬ, Шампиньоны,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183" authorId="0">
      <text>
        <r>
          <rPr>
            <sz val="8"/>
            <color indexed="81"/>
            <rFont val="Tahoma"/>
            <family val="2"/>
          </rPr>
          <t>ЗАМЕНИТЕ НА РЕАЛЬНЫЕ ДАННЫЕ.
ДЕМО, ЦЕЛЬ, Шампиньоны,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183" authorId="0">
      <text>
        <r>
          <rPr>
            <sz val="8"/>
            <color indexed="81"/>
            <rFont val="Tahoma"/>
            <family val="2"/>
          </rPr>
          <t>ЗАМЕНИТЕ НА РЕАЛЬНЫЕ ДАННЫЕ.
ДЕМО, ЦЕЛЬ, Шампиньоны,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183" authorId="0">
      <text>
        <r>
          <rPr>
            <sz val="8"/>
            <color indexed="81"/>
            <rFont val="Tahoma"/>
            <family val="2"/>
          </rPr>
          <t>ЗАМЕНИТЕ НА РЕАЛЬНЫЕ ДАННЫЕ.
ДЕМО, ЦЕЛЬ, Шампиньоны,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183" authorId="0">
      <text>
        <r>
          <rPr>
            <sz val="8"/>
            <color indexed="81"/>
            <rFont val="Tahoma"/>
            <family val="2"/>
          </rPr>
          <t>ЗАМЕНИТЕ НА РЕАЛЬНЫЕ ДАННЫЕ.
ДЕМО, ЦЕЛЬ, Шампиньоны,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183" authorId="0">
      <text>
        <r>
          <rPr>
            <sz val="8"/>
            <color indexed="81"/>
            <rFont val="Tahoma"/>
            <family val="2"/>
          </rPr>
          <t>ЗАМЕНИТЕ НА РЕАЛЬНЫЕ ДАННЫЕ.
ДЕМО, ЦЕЛЬ, Шампиньоны,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183" authorId="0">
      <text>
        <r>
          <rPr>
            <sz val="8"/>
            <color indexed="81"/>
            <rFont val="Tahoma"/>
            <family val="2"/>
          </rPr>
          <t>ЗАМЕНИТЕ НА РЕАЛЬНЫЕ ДАННЫЕ.
ДЕМО, ЦЕЛЬ, Шампиньоны,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183" authorId="0">
      <text>
        <r>
          <rPr>
            <sz val="8"/>
            <color indexed="81"/>
            <rFont val="Tahoma"/>
            <family val="2"/>
          </rPr>
          <t>ЗАМЕНИТЕ НА РЕАЛЬНЫЕ ДАННЫЕ.
ДЕМО, ЦЕЛЬ, Шампиньоны,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183" authorId="0">
      <text>
        <r>
          <rPr>
            <sz val="8"/>
            <color indexed="81"/>
            <rFont val="Tahoma"/>
            <family val="2"/>
          </rPr>
          <t>ЗАМЕНИТЕ НА РЕАЛЬНЫЕ ДАННЫЕ.
ДЕМО, ЦЕЛЬ, Шампиньоны,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184" authorId="0">
      <text>
        <r>
          <rPr>
            <sz val="8"/>
            <color indexed="81"/>
            <rFont val="Tahoma"/>
            <family val="2"/>
          </rPr>
          <t>ЗАМЕНИТЕ НА РЕАЛЬНЫЕ ДАННЫЕ.
ДЕМО, ЦЕЛЬ, Шампиньоны,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184" authorId="0">
      <text>
        <r>
          <rPr>
            <sz val="8"/>
            <color indexed="81"/>
            <rFont val="Tahoma"/>
            <family val="2"/>
          </rPr>
          <t>ЗАМЕНИТЕ НА РЕАЛЬНЫЕ ДАННЫЕ.
ДЕМО, ЦЕЛЬ, Шампиньоны,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184" authorId="0">
      <text>
        <r>
          <rPr>
            <sz val="8"/>
            <color indexed="81"/>
            <rFont val="Tahoma"/>
            <family val="2"/>
          </rPr>
          <t>ЗАМЕНИТЕ НА РЕАЛЬНЫЕ ДАННЫЕ.
ДЕМО, ЦЕЛЬ, Шампиньоны,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184" authorId="0">
      <text>
        <r>
          <rPr>
            <sz val="8"/>
            <color indexed="81"/>
            <rFont val="Tahoma"/>
            <family val="2"/>
          </rPr>
          <t>ЗАМЕНИТЕ НА РЕАЛЬНЫЕ ДАННЫЕ.
ДЕМО, ЦЕЛЬ, Шампиньоны,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184" authorId="0">
      <text>
        <r>
          <rPr>
            <sz val="8"/>
            <color indexed="81"/>
            <rFont val="Tahoma"/>
            <family val="2"/>
          </rPr>
          <t>ЗАМЕНИТЕ НА РЕАЛЬНЫЕ ДАННЫЕ.
ДЕМО, ЦЕЛЬ, Шампиньоны,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184" authorId="0">
      <text>
        <r>
          <rPr>
            <sz val="8"/>
            <color indexed="81"/>
            <rFont val="Tahoma"/>
            <family val="2"/>
          </rPr>
          <t>ЗАМЕНИТЕ НА РЕАЛЬНЫЕ ДАННЫЕ.
ДЕМО, ЦЕЛЬ, Шампиньоны,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184" authorId="0">
      <text>
        <r>
          <rPr>
            <sz val="8"/>
            <color indexed="81"/>
            <rFont val="Tahoma"/>
            <family val="2"/>
          </rPr>
          <t>ЗАМЕНИТЕ НА РЕАЛЬНЫЕ ДАННЫЕ.
ДЕМО, ЦЕЛЬ, Шампиньоны,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184" authorId="0">
      <text>
        <r>
          <rPr>
            <sz val="8"/>
            <color indexed="81"/>
            <rFont val="Tahoma"/>
            <family val="2"/>
          </rPr>
          <t>ЗАМЕНИТЕ НА РЕАЛЬНЫЕ ДАННЫЕ.
ДЕМО, ЦЕЛЬ, Шампиньоны,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184" authorId="0">
      <text>
        <r>
          <rPr>
            <sz val="8"/>
            <color indexed="81"/>
            <rFont val="Tahoma"/>
            <family val="2"/>
          </rPr>
          <t>ЗАМЕНИТЕ НА РЕАЛЬНЫЕ ДАННЫЕ.
ДЕМО, ЦЕЛЬ, Шампиньоны,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184" authorId="0">
      <text>
        <r>
          <rPr>
            <sz val="8"/>
            <color indexed="81"/>
            <rFont val="Tahoma"/>
            <family val="2"/>
          </rPr>
          <t>ЗАМЕНИТЕ НА РЕАЛЬНЫЕ ДАННЫЕ.
ДЕМО, ЦЕЛЬ, Шампиньоны,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186" authorId="0">
      <text>
        <r>
          <rPr>
            <sz val="8"/>
            <color indexed="81"/>
            <rFont val="Tahoma"/>
            <family val="2"/>
          </rPr>
          <t>ЗАМЕНИТЕ НА РЕАЛЬНЫЕ ДАННЫЕ.
ДЕМО, ЦЕЛЬ, Шампиньоны,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186" authorId="0">
      <text>
        <r>
          <rPr>
            <sz val="8"/>
            <color indexed="81"/>
            <rFont val="Tahoma"/>
            <family val="2"/>
          </rPr>
          <t>ЗАМЕНИТЕ НА РЕАЛЬНЫЕ ДАННЫЕ.
ДЕМО, ЦЕЛЬ, Шампиньоны,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186" authorId="0">
      <text>
        <r>
          <rPr>
            <sz val="8"/>
            <color indexed="81"/>
            <rFont val="Tahoma"/>
            <family val="2"/>
          </rPr>
          <t>ЗАМЕНИТЕ НА РЕАЛЬНЫЕ ДАННЫЕ.
ДЕМО, ЦЕЛЬ, Шампиньоны,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186" authorId="0">
      <text>
        <r>
          <rPr>
            <sz val="8"/>
            <color indexed="81"/>
            <rFont val="Tahoma"/>
            <family val="2"/>
          </rPr>
          <t>ЗАМЕНИТЕ НА РЕАЛЬНЫЕ ДАННЫЕ.
ДЕМО, ЦЕЛЬ, Шампиньоны,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186" authorId="0">
      <text>
        <r>
          <rPr>
            <sz val="8"/>
            <color indexed="81"/>
            <rFont val="Tahoma"/>
            <family val="2"/>
          </rPr>
          <t>ЗАМЕНИТЕ НА РЕАЛЬНЫЕ ДАННЫЕ.
ДЕМО, ЦЕЛЬ, Шампиньоны,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186" authorId="0">
      <text>
        <r>
          <rPr>
            <sz val="8"/>
            <color indexed="81"/>
            <rFont val="Tahoma"/>
            <family val="2"/>
          </rPr>
          <t>ЗАМЕНИТЕ НА РЕАЛЬНЫЕ ДАННЫЕ.
ДЕМО, ЦЕЛЬ, Шампиньоны,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186" authorId="0">
      <text>
        <r>
          <rPr>
            <sz val="8"/>
            <color indexed="81"/>
            <rFont val="Tahoma"/>
            <family val="2"/>
          </rPr>
          <t>ЗАМЕНИТЕ НА РЕАЛЬНЫЕ ДАННЫЕ.
ДЕМО, ЦЕЛЬ, Шампиньоны,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186" authorId="0">
      <text>
        <r>
          <rPr>
            <sz val="8"/>
            <color indexed="81"/>
            <rFont val="Tahoma"/>
            <family val="2"/>
          </rPr>
          <t>ЗАМЕНИТЕ НА РЕАЛЬНЫЕ ДАННЫЕ.
ДЕМО, ЦЕЛЬ, Шампиньоны,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186" authorId="0">
      <text>
        <r>
          <rPr>
            <sz val="8"/>
            <color indexed="81"/>
            <rFont val="Tahoma"/>
            <family val="2"/>
          </rPr>
          <t>ЗАМЕНИТЕ НА РЕАЛЬНЫЕ ДАННЫЕ.
ДЕМО, ЦЕЛЬ, Шампиньоны,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186" authorId="0">
      <text>
        <r>
          <rPr>
            <sz val="8"/>
            <color indexed="81"/>
            <rFont val="Tahoma"/>
            <family val="2"/>
          </rPr>
          <t>ЗАМЕНИТЕ НА РЕАЛЬНЫЕ ДАННЫЕ.
ДЕМО, ЦЕЛЬ, Шампиньоны,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187" authorId="0">
      <text>
        <r>
          <rPr>
            <sz val="8"/>
            <color indexed="81"/>
            <rFont val="Tahoma"/>
            <family val="2"/>
          </rPr>
          <t>ЗАМЕНИТЕ НА РЕАЛЬНЫЕ ДАННЫЕ.
ДЕМО, ЦЕЛЬ, Шампиньоны,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187" authorId="0">
      <text>
        <r>
          <rPr>
            <sz val="8"/>
            <color indexed="81"/>
            <rFont val="Tahoma"/>
            <family val="2"/>
          </rPr>
          <t>ЗАМЕНИТЕ НА РЕАЛЬНЫЕ ДАННЫЕ.
ДЕМО, ЦЕЛЬ, Шампиньоны,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187" authorId="0">
      <text>
        <r>
          <rPr>
            <sz val="8"/>
            <color indexed="81"/>
            <rFont val="Tahoma"/>
            <family val="2"/>
          </rPr>
          <t>ЗАМЕНИТЕ НА РЕАЛЬНЫЕ ДАННЫЕ.
ДЕМО, ЦЕЛЬ, Шампиньоны,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187" authorId="0">
      <text>
        <r>
          <rPr>
            <sz val="8"/>
            <color indexed="81"/>
            <rFont val="Tahoma"/>
            <family val="2"/>
          </rPr>
          <t>ЗАМЕНИТЕ НА РЕАЛЬНЫЕ ДАННЫЕ.
ДЕМО, ЦЕЛЬ, Шампиньоны,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187" authorId="0">
      <text>
        <r>
          <rPr>
            <sz val="8"/>
            <color indexed="81"/>
            <rFont val="Tahoma"/>
            <family val="2"/>
          </rPr>
          <t>ЗАМЕНИТЕ НА РЕАЛЬНЫЕ ДАННЫЕ.
ДЕМО, ЦЕЛЬ, Шампиньоны,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187" authorId="0">
      <text>
        <r>
          <rPr>
            <sz val="8"/>
            <color indexed="81"/>
            <rFont val="Tahoma"/>
            <family val="2"/>
          </rPr>
          <t>ЗАМЕНИТЕ НА РЕАЛЬНЫЕ ДАННЫЕ.
ДЕМО, ЦЕЛЬ, Шампиньоны,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187" authorId="0">
      <text>
        <r>
          <rPr>
            <sz val="8"/>
            <color indexed="81"/>
            <rFont val="Tahoma"/>
            <family val="2"/>
          </rPr>
          <t>ЗАМЕНИТЕ НА РЕАЛЬНЫЕ ДАННЫЕ.
ДЕМО, ЦЕЛЬ, Шампиньоны,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187" authorId="0">
      <text>
        <r>
          <rPr>
            <sz val="8"/>
            <color indexed="81"/>
            <rFont val="Tahoma"/>
            <family val="2"/>
          </rPr>
          <t>ЗАМЕНИТЕ НА РЕАЛЬНЫЕ ДАННЫЕ.
ДЕМО, ЦЕЛЬ, Шампиньоны,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187" authorId="0">
      <text>
        <r>
          <rPr>
            <sz val="8"/>
            <color indexed="81"/>
            <rFont val="Tahoma"/>
            <family val="2"/>
          </rPr>
          <t>ЗАМЕНИТЕ НА РЕАЛЬНЫЕ ДАННЫЕ.
ДЕМО, ЦЕЛЬ, Шампиньоны,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187" authorId="0">
      <text>
        <r>
          <rPr>
            <sz val="8"/>
            <color indexed="81"/>
            <rFont val="Tahoma"/>
            <family val="2"/>
          </rPr>
          <t>ЗАМЕНИТЕ НА РЕАЛЬНЫЕ ДАННЫЕ.
ДЕМО, ЦЕЛЬ, Шампиньоны,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188" authorId="0">
      <text>
        <r>
          <rPr>
            <sz val="8"/>
            <color indexed="81"/>
            <rFont val="Tahoma"/>
            <family val="2"/>
          </rPr>
          <t>ЗАМЕНИТЕ НА РЕАЛЬНЫЕ ДАННЫЕ.
ДЕМО, ЦЕЛЬ, Шампиньоны,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188" authorId="0">
      <text>
        <r>
          <rPr>
            <sz val="8"/>
            <color indexed="81"/>
            <rFont val="Tahoma"/>
            <family val="2"/>
          </rPr>
          <t>ЗАМЕНИТЕ НА РЕАЛЬНЫЕ ДАННЫЕ.
ДЕМО, ЦЕЛЬ, Шампиньоны,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188" authorId="0">
      <text>
        <r>
          <rPr>
            <sz val="8"/>
            <color indexed="81"/>
            <rFont val="Tahoma"/>
            <family val="2"/>
          </rPr>
          <t>ЗАМЕНИТЕ НА РЕАЛЬНЫЕ ДАННЫЕ.
ДЕМО, ЦЕЛЬ, Шампиньоны,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188" authorId="0">
      <text>
        <r>
          <rPr>
            <sz val="8"/>
            <color indexed="81"/>
            <rFont val="Tahoma"/>
            <family val="2"/>
          </rPr>
          <t>ЗАМЕНИТЕ НА РЕАЛЬНЫЕ ДАННЫЕ.
ДЕМО, ЦЕЛЬ, Шампиньоны,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188" authorId="0">
      <text>
        <r>
          <rPr>
            <sz val="8"/>
            <color indexed="81"/>
            <rFont val="Tahoma"/>
            <family val="2"/>
          </rPr>
          <t>ЗАМЕНИТЕ НА РЕАЛЬНЫЕ ДАННЫЕ.
ДЕМО, ЦЕЛЬ, Шампиньоны,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188" authorId="0">
      <text>
        <r>
          <rPr>
            <sz val="8"/>
            <color indexed="81"/>
            <rFont val="Tahoma"/>
            <family val="2"/>
          </rPr>
          <t>ЗАМЕНИТЕ НА РЕАЛЬНЫЕ ДАННЫЕ.
ДЕМО, ЦЕЛЬ, Шампиньоны,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188" authorId="0">
      <text>
        <r>
          <rPr>
            <sz val="8"/>
            <color indexed="81"/>
            <rFont val="Tahoma"/>
            <family val="2"/>
          </rPr>
          <t>ЗАМЕНИТЕ НА РЕАЛЬНЫЕ ДАННЫЕ.
ДЕМО, ЦЕЛЬ, Шампиньоны,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188" authorId="0">
      <text>
        <r>
          <rPr>
            <sz val="8"/>
            <color indexed="81"/>
            <rFont val="Tahoma"/>
            <family val="2"/>
          </rPr>
          <t>ЗАМЕНИТЕ НА РЕАЛЬНЫЕ ДАННЫЕ.
ДЕМО, ЦЕЛЬ, Шампиньоны,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188" authorId="0">
      <text>
        <r>
          <rPr>
            <sz val="8"/>
            <color indexed="81"/>
            <rFont val="Tahoma"/>
            <family val="2"/>
          </rPr>
          <t>ЗАМЕНИТЕ НА РЕАЛЬНЫЕ ДАННЫЕ.
ДЕМО, ЦЕЛЬ, Шампиньоны,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188" authorId="0">
      <text>
        <r>
          <rPr>
            <sz val="8"/>
            <color indexed="81"/>
            <rFont val="Tahoma"/>
            <family val="2"/>
          </rPr>
          <t>ЗАМЕНИТЕ НА РЕАЛЬНЫЕ ДАННЫЕ.
ДЕМО, ЦЕЛЬ, Шампиньоны,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189" authorId="0">
      <text>
        <r>
          <rPr>
            <sz val="8"/>
            <color indexed="81"/>
            <rFont val="Tahoma"/>
            <family val="2"/>
          </rPr>
          <t>ЗАМЕНИТЕ НА РЕАЛЬНЫЕ ДАННЫЕ.
ДЕМО, ЦЕЛЬ, Шампиньоны,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189" authorId="0">
      <text>
        <r>
          <rPr>
            <sz val="8"/>
            <color indexed="81"/>
            <rFont val="Tahoma"/>
            <family val="2"/>
          </rPr>
          <t>ЗАМЕНИТЕ НА РЕАЛЬНЫЕ ДАННЫЕ.
ДЕМО, ЦЕЛЬ, Шампиньоны,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189" authorId="0">
      <text>
        <r>
          <rPr>
            <sz val="8"/>
            <color indexed="81"/>
            <rFont val="Tahoma"/>
            <family val="2"/>
          </rPr>
          <t>ЗАМЕНИТЕ НА РЕАЛЬНЫЕ ДАННЫЕ.
ДЕМО, ЦЕЛЬ, Шампиньоны,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189" authorId="0">
      <text>
        <r>
          <rPr>
            <sz val="8"/>
            <color indexed="81"/>
            <rFont val="Tahoma"/>
            <family val="2"/>
          </rPr>
          <t>ЗАМЕНИТЕ НА РЕАЛЬНЫЕ ДАННЫЕ.
ДЕМО, ЦЕЛЬ, Шампиньоны,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189" authorId="0">
      <text>
        <r>
          <rPr>
            <sz val="8"/>
            <color indexed="81"/>
            <rFont val="Tahoma"/>
            <family val="2"/>
          </rPr>
          <t>ЗАМЕНИТЕ НА РЕАЛЬНЫЕ ДАННЫЕ.
ДЕМО, ЦЕЛЬ, Шампиньоны,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189" authorId="0">
      <text>
        <r>
          <rPr>
            <sz val="8"/>
            <color indexed="81"/>
            <rFont val="Tahoma"/>
            <family val="2"/>
          </rPr>
          <t>ЗАМЕНИТЕ НА РЕАЛЬНЫЕ ДАННЫЕ.
ДЕМО, ЦЕЛЬ, Шампиньоны,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189" authorId="0">
      <text>
        <r>
          <rPr>
            <sz val="8"/>
            <color indexed="81"/>
            <rFont val="Tahoma"/>
            <family val="2"/>
          </rPr>
          <t>ЗАМЕНИТЕ НА РЕАЛЬНЫЕ ДАННЫЕ.
ДЕМО, ЦЕЛЬ, Шампиньоны,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189" authorId="0">
      <text>
        <r>
          <rPr>
            <sz val="8"/>
            <color indexed="81"/>
            <rFont val="Tahoma"/>
            <family val="2"/>
          </rPr>
          <t>ЗАМЕНИТЕ НА РЕАЛЬНЫЕ ДАННЫЕ.
ДЕМО, ЦЕЛЬ, Шампиньоны,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189" authorId="0">
      <text>
        <r>
          <rPr>
            <sz val="8"/>
            <color indexed="81"/>
            <rFont val="Tahoma"/>
            <family val="2"/>
          </rPr>
          <t>ЗАМЕНИТЕ НА РЕАЛЬНЫЕ ДАННЫЕ.
ДЕМО, ЦЕЛЬ, Шампиньоны,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189" authorId="0">
      <text>
        <r>
          <rPr>
            <sz val="8"/>
            <color indexed="81"/>
            <rFont val="Tahoma"/>
            <family val="2"/>
          </rPr>
          <t>ЗАМЕНИТЕ НА РЕАЛЬНЫЕ ДАННЫЕ.
ДЕМО, ЦЕЛЬ, Шампиньоны,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190" authorId="0">
      <text>
        <r>
          <rPr>
            <sz val="8"/>
            <color indexed="81"/>
            <rFont val="Tahoma"/>
            <family val="2"/>
          </rPr>
          <t>ЗАМЕНИТЕ НА РЕАЛЬНЫЕ ДАННЫЕ.
ДЕМО, ЦЕЛЬ, Шампиньоны,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190" authorId="0">
      <text>
        <r>
          <rPr>
            <sz val="8"/>
            <color indexed="81"/>
            <rFont val="Tahoma"/>
            <family val="2"/>
          </rPr>
          <t>ЗАМЕНИТЕ НА РЕАЛЬНЫЕ ДАННЫЕ.
ДЕМО, ЦЕЛЬ, Шампиньоны,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190" authorId="0">
      <text>
        <r>
          <rPr>
            <sz val="8"/>
            <color indexed="81"/>
            <rFont val="Tahoma"/>
            <family val="2"/>
          </rPr>
          <t>ЗАМЕНИТЕ НА РЕАЛЬНЫЕ ДАННЫЕ.
ДЕМО, ЦЕЛЬ, Шампиньоны,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190" authorId="0">
      <text>
        <r>
          <rPr>
            <sz val="8"/>
            <color indexed="81"/>
            <rFont val="Tahoma"/>
            <family val="2"/>
          </rPr>
          <t>ЗАМЕНИТЕ НА РЕАЛЬНЫЕ ДАННЫЕ.
ДЕМО, ЦЕЛЬ, Шампиньоны,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190" authorId="0">
      <text>
        <r>
          <rPr>
            <sz val="8"/>
            <color indexed="81"/>
            <rFont val="Tahoma"/>
            <family val="2"/>
          </rPr>
          <t>ЗАМЕНИТЕ НА РЕАЛЬНЫЕ ДАННЫЕ.
ДЕМО, ЦЕЛЬ, Шампиньоны,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190" authorId="0">
      <text>
        <r>
          <rPr>
            <sz val="8"/>
            <color indexed="81"/>
            <rFont val="Tahoma"/>
            <family val="2"/>
          </rPr>
          <t>ЗАМЕНИТЕ НА РЕАЛЬНЫЕ ДАННЫЕ.
ДЕМО, ЦЕЛЬ, Шампиньоны,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190" authorId="0">
      <text>
        <r>
          <rPr>
            <sz val="8"/>
            <color indexed="81"/>
            <rFont val="Tahoma"/>
            <family val="2"/>
          </rPr>
          <t>ЗАМЕНИТЕ НА РЕАЛЬНЫЕ ДАННЫЕ.
ДЕМО, ЦЕЛЬ, Шампиньоны,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190" authorId="0">
      <text>
        <r>
          <rPr>
            <sz val="8"/>
            <color indexed="81"/>
            <rFont val="Tahoma"/>
            <family val="2"/>
          </rPr>
          <t>ЗАМЕНИТЕ НА РЕАЛЬНЫЕ ДАННЫЕ.
ДЕМО, ЦЕЛЬ, Шампиньоны,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190" authorId="0">
      <text>
        <r>
          <rPr>
            <sz val="8"/>
            <color indexed="81"/>
            <rFont val="Tahoma"/>
            <family val="2"/>
          </rPr>
          <t>ЗАМЕНИТЕ НА РЕАЛЬНЫЕ ДАННЫЕ.
ДЕМО, ЦЕЛЬ, Шампиньоны,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190" authorId="0">
      <text>
        <r>
          <rPr>
            <sz val="8"/>
            <color indexed="81"/>
            <rFont val="Tahoma"/>
            <family val="2"/>
          </rPr>
          <t>ЗАМЕНИТЕ НА РЕАЛЬНЫЕ ДАННЫЕ.
ДЕМО, ЦЕЛЬ, Шампиньоны,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199" authorId="0">
      <text>
        <r>
          <rPr>
            <sz val="8"/>
            <color indexed="81"/>
            <rFont val="Tahoma"/>
            <family val="2"/>
          </rPr>
          <t>ЗАМЕНИТЕ НА РЕАЛЬНЫЕ ДАННЫЕ.
Перец болгарский красный, цикл 1. 0 исключает все элементы данного цикла, а не один выброс.</t>
        </r>
      </text>
    </comment>
    <comment ref="F199" authorId="0">
      <text>
        <r>
          <rPr>
            <sz val="8"/>
            <color indexed="81"/>
            <rFont val="Tahoma"/>
            <family val="2"/>
          </rPr>
          <t>ЗАМЕНИТЕ НА РЕАЛЬНЫЕ ДАННЫЕ.
Перец болгарский красный, цикл 2. 0 исключает все элементы данного цикла, а не один выброс.</t>
        </r>
      </text>
    </comment>
    <comment ref="G199" authorId="0">
      <text>
        <r>
          <rPr>
            <sz val="8"/>
            <color indexed="81"/>
            <rFont val="Tahoma"/>
            <family val="2"/>
          </rPr>
          <t>ЗАМЕНИТЕ НА РЕАЛЬНЫЕ ДАННЫЕ.
Перец болгарский красный, цикл 3. 0 исключает все элементы данного цикла, а не один выброс.</t>
        </r>
      </text>
    </comment>
    <comment ref="H199" authorId="0">
      <text>
        <r>
          <rPr>
            <sz val="8"/>
            <color indexed="81"/>
            <rFont val="Tahoma"/>
            <family val="2"/>
          </rPr>
          <t>ЗАМЕНИТЕ НА РЕАЛЬНЫЕ ДАННЫЕ.
Перец болгарский красный, цикл 4. 0 исключает все элементы данного цикла, а не один выброс.</t>
        </r>
      </text>
    </comment>
    <comment ref="I199" authorId="0">
      <text>
        <r>
          <rPr>
            <sz val="8"/>
            <color indexed="81"/>
            <rFont val="Tahoma"/>
            <family val="2"/>
          </rPr>
          <t>ЗАМЕНИТЕ НА РЕАЛЬНЫЕ ДАННЫЕ.
Перец болгарский красный, цикл 5. 0 исключает все элементы данного цикла, а не один выброс.</t>
        </r>
      </text>
    </comment>
    <comment ref="J199" authorId="0">
      <text>
        <r>
          <rPr>
            <sz val="8"/>
            <color indexed="81"/>
            <rFont val="Tahoma"/>
            <family val="2"/>
          </rPr>
          <t>ЗАМЕНИТЕ НА РЕАЛЬНЫЕ ДАННЫЕ.
Перец болгарский красный, цикл 6. 0 исключает все элементы данного цикла, а не один выброс.</t>
        </r>
      </text>
    </comment>
    <comment ref="K199" authorId="0">
      <text>
        <r>
          <rPr>
            <sz val="8"/>
            <color indexed="81"/>
            <rFont val="Tahoma"/>
            <family val="2"/>
          </rPr>
          <t>ЗАМЕНИТЕ НА РЕАЛЬНЫЕ ДАННЫЕ.
Перец болгарский красный, цикл 7. 0 исключает все элементы данного цикла, а не один выброс.</t>
        </r>
      </text>
    </comment>
    <comment ref="L199" authorId="0">
      <text>
        <r>
          <rPr>
            <sz val="8"/>
            <color indexed="81"/>
            <rFont val="Tahoma"/>
            <family val="2"/>
          </rPr>
          <t>ЗАМЕНИТЕ НА РЕАЛЬНЫЕ ДАННЫЕ.
Перец болгарский красный, цикл 8. 0 исключает все элементы данного цикла, а не один выброс.</t>
        </r>
      </text>
    </comment>
    <comment ref="M199" authorId="0">
      <text>
        <r>
          <rPr>
            <sz val="8"/>
            <color indexed="81"/>
            <rFont val="Tahoma"/>
            <family val="2"/>
          </rPr>
          <t>ЗАМЕНИТЕ НА РЕАЛЬНЫЕ ДАННЫЕ.
Перец болгарский красный, цикл 9. 0 исключает все элементы данного цикла, а не один выброс.</t>
        </r>
      </text>
    </comment>
    <comment ref="N199" authorId="0">
      <text>
        <r>
          <rPr>
            <sz val="8"/>
            <color indexed="81"/>
            <rFont val="Tahoma"/>
            <family val="2"/>
          </rPr>
          <t>ЗАМЕНИТЕ НА РЕАЛЬНЫЕ ДАННЫЕ.
Перец болгарский красный, цикл 10. 0 исключает все элементы данного цикла, а не один выброс.</t>
        </r>
      </text>
    </comment>
    <comment ref="E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00"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01" authorId="0">
      <text>
        <r>
          <rPr>
            <sz val="8"/>
            <color indexed="81"/>
            <rFont val="Tahoma"/>
            <family val="2"/>
          </rPr>
          <t>ЗАМЕНИТЕ НА РЕАЛЬНЫЕ ДАННЫЕ.
ДЕМО, ЦЕЛЬ, Перец болгарский красный,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01" authorId="0">
      <text>
        <r>
          <rPr>
            <sz val="8"/>
            <color indexed="81"/>
            <rFont val="Tahoma"/>
            <family val="2"/>
          </rPr>
          <t>ЗАМЕНИТЕ НА РЕАЛЬНЫЕ ДАННЫЕ.
ДЕМО, ЦЕЛЬ, Перец болгарский красный,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01" authorId="0">
      <text>
        <r>
          <rPr>
            <sz val="8"/>
            <color indexed="81"/>
            <rFont val="Tahoma"/>
            <family val="2"/>
          </rPr>
          <t>ЗАМЕНИТЕ НА РЕАЛЬНЫЕ ДАННЫЕ.
ДЕМО, ЦЕЛЬ, Перец болгарский красный,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01" authorId="0">
      <text>
        <r>
          <rPr>
            <sz val="8"/>
            <color indexed="81"/>
            <rFont val="Tahoma"/>
            <family val="2"/>
          </rPr>
          <t>ЗАМЕНИТЕ НА РЕАЛЬНЫЕ ДАННЫЕ.
ДЕМО, ЦЕЛЬ, Перец болгарский красный,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01" authorId="0">
      <text>
        <r>
          <rPr>
            <sz val="8"/>
            <color indexed="81"/>
            <rFont val="Tahoma"/>
            <family val="2"/>
          </rPr>
          <t>ЗАМЕНИТЕ НА РЕАЛЬНЫЕ ДАННЫЕ.
ДЕМО, ЦЕЛЬ, Перец болгарский красный,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01" authorId="0">
      <text>
        <r>
          <rPr>
            <sz val="8"/>
            <color indexed="81"/>
            <rFont val="Tahoma"/>
            <family val="2"/>
          </rPr>
          <t>ЗАМЕНИТЕ НА РЕАЛЬНЫЕ ДАННЫЕ.
ДЕМО, ЦЕЛЬ, Перец болгарский красный,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01" authorId="0">
      <text>
        <r>
          <rPr>
            <sz val="8"/>
            <color indexed="81"/>
            <rFont val="Tahoma"/>
            <family val="2"/>
          </rPr>
          <t>ЗАМЕНИТЕ НА РЕАЛЬНЫЕ ДАННЫЕ.
ДЕМО, ЦЕЛЬ, Перец болгарский красный,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01" authorId="0">
      <text>
        <r>
          <rPr>
            <sz val="8"/>
            <color indexed="81"/>
            <rFont val="Tahoma"/>
            <family val="2"/>
          </rPr>
          <t>ЗАМЕНИТЕ НА РЕАЛЬНЫЕ ДАННЫЕ.
ДЕМО, ЦЕЛЬ, Перец болгарский красный,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01" authorId="0">
      <text>
        <r>
          <rPr>
            <sz val="8"/>
            <color indexed="81"/>
            <rFont val="Tahoma"/>
            <family val="2"/>
          </rPr>
          <t>ЗАМЕНИТЕ НА РЕАЛЬНЫЕ ДАННЫЕ.
ДЕМО, ЦЕЛЬ, Перец болгарский красный,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01" authorId="0">
      <text>
        <r>
          <rPr>
            <sz val="8"/>
            <color indexed="81"/>
            <rFont val="Tahoma"/>
            <family val="2"/>
          </rPr>
          <t>ЗАМЕНИТЕ НА РЕАЛЬНЫЕ ДАННЫЕ.
ДЕМО, ЦЕЛЬ, Перец болгарский красный,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02" authorId="0">
      <text>
        <r>
          <rPr>
            <sz val="8"/>
            <color indexed="81"/>
            <rFont val="Tahoma"/>
            <family val="2"/>
          </rPr>
          <t>ЗАМЕНИТЕ НА РЕАЛЬНЫЕ ДАННЫЕ.
ДЕМО, ЦЕЛЬ, Перец болгарский красный,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02" authorId="0">
      <text>
        <r>
          <rPr>
            <sz val="8"/>
            <color indexed="81"/>
            <rFont val="Tahoma"/>
            <family val="2"/>
          </rPr>
          <t>ЗАМЕНИТЕ НА РЕАЛЬНЫЕ ДАННЫЕ.
ДЕМО, ЦЕЛЬ, Перец болгарский красный,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02" authorId="0">
      <text>
        <r>
          <rPr>
            <sz val="8"/>
            <color indexed="81"/>
            <rFont val="Tahoma"/>
            <family val="2"/>
          </rPr>
          <t>ЗАМЕНИТЕ НА РЕАЛЬНЫЕ ДАННЫЕ.
ДЕМО, ЦЕЛЬ, Перец болгарский красный,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02" authorId="0">
      <text>
        <r>
          <rPr>
            <sz val="8"/>
            <color indexed="81"/>
            <rFont val="Tahoma"/>
            <family val="2"/>
          </rPr>
          <t>ЗАМЕНИТЕ НА РЕАЛЬНЫЕ ДАННЫЕ.
ДЕМО, ЦЕЛЬ, Перец болгарский красный,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02" authorId="0">
      <text>
        <r>
          <rPr>
            <sz val="8"/>
            <color indexed="81"/>
            <rFont val="Tahoma"/>
            <family val="2"/>
          </rPr>
          <t>ЗАМЕНИТЕ НА РЕАЛЬНЫЕ ДАННЫЕ.
ДЕМО, ЦЕЛЬ, Перец болгарский красный,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02" authorId="0">
      <text>
        <r>
          <rPr>
            <sz val="8"/>
            <color indexed="81"/>
            <rFont val="Tahoma"/>
            <family val="2"/>
          </rPr>
          <t>ЗАМЕНИТЕ НА РЕАЛЬНЫЕ ДАННЫЕ.
ДЕМО, ЦЕЛЬ, Перец болгарский красный,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02" authorId="0">
      <text>
        <r>
          <rPr>
            <sz val="8"/>
            <color indexed="81"/>
            <rFont val="Tahoma"/>
            <family val="2"/>
          </rPr>
          <t>ЗАМЕНИТЕ НА РЕАЛЬНЫЕ ДАННЫЕ.
ДЕМО, ЦЕЛЬ, Перец болгарский красный,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02" authorId="0">
      <text>
        <r>
          <rPr>
            <sz val="8"/>
            <color indexed="81"/>
            <rFont val="Tahoma"/>
            <family val="2"/>
          </rPr>
          <t>ЗАМЕНИТЕ НА РЕАЛЬНЫЕ ДАННЫЕ.
ДЕМО, ЦЕЛЬ, Перец болгарский красный,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02" authorId="0">
      <text>
        <r>
          <rPr>
            <sz val="8"/>
            <color indexed="81"/>
            <rFont val="Tahoma"/>
            <family val="2"/>
          </rPr>
          <t>ЗАМЕНИТЕ НА РЕАЛЬНЫЕ ДАННЫЕ.
ДЕМО, ЦЕЛЬ, Перец болгарский красный,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02" authorId="0">
      <text>
        <r>
          <rPr>
            <sz val="8"/>
            <color indexed="81"/>
            <rFont val="Tahoma"/>
            <family val="2"/>
          </rPr>
          <t>ЗАМЕНИТЕ НА РЕАЛЬНЫЕ ДАННЫЕ.
ДЕМО, ЦЕЛЬ, Перец болгарский красный,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03" authorId="0">
      <text>
        <r>
          <rPr>
            <sz val="8"/>
            <color indexed="81"/>
            <rFont val="Tahoma"/>
            <family val="2"/>
          </rPr>
          <t>ЗАМЕНИТЕ НА РЕАЛЬНЫЕ ДАННЫЕ.
ДЕМО, ЦЕЛЬ, Перец болгарский красный,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03" authorId="0">
      <text>
        <r>
          <rPr>
            <sz val="8"/>
            <color indexed="81"/>
            <rFont val="Tahoma"/>
            <family val="2"/>
          </rPr>
          <t>ЗАМЕНИТЕ НА РЕАЛЬНЫЕ ДАННЫЕ.
ДЕМО, ЦЕЛЬ, Перец болгарский красный,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03" authorId="0">
      <text>
        <r>
          <rPr>
            <sz val="8"/>
            <color indexed="81"/>
            <rFont val="Tahoma"/>
            <family val="2"/>
          </rPr>
          <t>ЗАМЕНИТЕ НА РЕАЛЬНЫЕ ДАННЫЕ.
ДЕМО, ЦЕЛЬ, Перец болгарский красный,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03" authorId="0">
      <text>
        <r>
          <rPr>
            <sz val="8"/>
            <color indexed="81"/>
            <rFont val="Tahoma"/>
            <family val="2"/>
          </rPr>
          <t>ЗАМЕНИТЕ НА РЕАЛЬНЫЕ ДАННЫЕ.
ДЕМО, ЦЕЛЬ, Перец болгарский красный,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03" authorId="0">
      <text>
        <r>
          <rPr>
            <sz val="8"/>
            <color indexed="81"/>
            <rFont val="Tahoma"/>
            <family val="2"/>
          </rPr>
          <t>ЗАМЕНИТЕ НА РЕАЛЬНЫЕ ДАННЫЕ.
ДЕМО, ЦЕЛЬ, Перец болгарский красный,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03" authorId="0">
      <text>
        <r>
          <rPr>
            <sz val="8"/>
            <color indexed="81"/>
            <rFont val="Tahoma"/>
            <family val="2"/>
          </rPr>
          <t>ЗАМЕНИТЕ НА РЕАЛЬНЫЕ ДАННЫЕ.
ДЕМО, ЦЕЛЬ, Перец болгарский красный,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03" authorId="0">
      <text>
        <r>
          <rPr>
            <sz val="8"/>
            <color indexed="81"/>
            <rFont val="Tahoma"/>
            <family val="2"/>
          </rPr>
          <t>ЗАМЕНИТЕ НА РЕАЛЬНЫЕ ДАННЫЕ.
ДЕМО, ЦЕЛЬ, Перец болгарский красный,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03" authorId="0">
      <text>
        <r>
          <rPr>
            <sz val="8"/>
            <color indexed="81"/>
            <rFont val="Tahoma"/>
            <family val="2"/>
          </rPr>
          <t>ЗАМЕНИТЕ НА РЕАЛЬНЫЕ ДАННЫЕ.
ДЕМО, ЦЕЛЬ, Перец болгарский красный,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03" authorId="0">
      <text>
        <r>
          <rPr>
            <sz val="8"/>
            <color indexed="81"/>
            <rFont val="Tahoma"/>
            <family val="2"/>
          </rPr>
          <t>ЗАМЕНИТЕ НА РЕАЛЬНЫЕ ДАННЫЕ.
ДЕМО, ЦЕЛЬ, Перец болгарский красный,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03" authorId="0">
      <text>
        <r>
          <rPr>
            <sz val="8"/>
            <color indexed="81"/>
            <rFont val="Tahoma"/>
            <family val="2"/>
          </rPr>
          <t>ЗАМЕНИТЕ НА РЕАЛЬНЫЕ ДАННЫЕ.
ДЕМО, ЦЕЛЬ, Перец болгарский красный,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04" authorId="0">
      <text>
        <r>
          <rPr>
            <sz val="8"/>
            <color indexed="81"/>
            <rFont val="Tahoma"/>
            <family val="2"/>
          </rPr>
          <t>ЗАМЕНИТЕ НА РЕАЛЬНЫЕ ДАННЫЕ.
ДЕМО, ЦЕЛЬ, Перец болгарский красный,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04" authorId="0">
      <text>
        <r>
          <rPr>
            <sz val="8"/>
            <color indexed="81"/>
            <rFont val="Tahoma"/>
            <family val="2"/>
          </rPr>
          <t>ЗАМЕНИТЕ НА РЕАЛЬНЫЕ ДАННЫЕ.
ДЕМО, ЦЕЛЬ, Перец болгарский красный,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04" authorId="0">
      <text>
        <r>
          <rPr>
            <sz val="8"/>
            <color indexed="81"/>
            <rFont val="Tahoma"/>
            <family val="2"/>
          </rPr>
          <t>ЗАМЕНИТЕ НА РЕАЛЬНЫЕ ДАННЫЕ.
ДЕМО, ЦЕЛЬ, Перец болгарский красный,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04" authorId="0">
      <text>
        <r>
          <rPr>
            <sz val="8"/>
            <color indexed="81"/>
            <rFont val="Tahoma"/>
            <family val="2"/>
          </rPr>
          <t>ЗАМЕНИТЕ НА РЕАЛЬНЫЕ ДАННЫЕ.
ДЕМО, ЦЕЛЬ, Перец болгарский красный,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04" authorId="0">
      <text>
        <r>
          <rPr>
            <sz val="8"/>
            <color indexed="81"/>
            <rFont val="Tahoma"/>
            <family val="2"/>
          </rPr>
          <t>ЗАМЕНИТЕ НА РЕАЛЬНЫЕ ДАННЫЕ.
ДЕМО, ЦЕЛЬ, Перец болгарский красный,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04" authorId="0">
      <text>
        <r>
          <rPr>
            <sz val="8"/>
            <color indexed="81"/>
            <rFont val="Tahoma"/>
            <family val="2"/>
          </rPr>
          <t>ЗАМЕНИТЕ НА РЕАЛЬНЫЕ ДАННЫЕ.
ДЕМО, ЦЕЛЬ, Перец болгарский красный,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04" authorId="0">
      <text>
        <r>
          <rPr>
            <sz val="8"/>
            <color indexed="81"/>
            <rFont val="Tahoma"/>
            <family val="2"/>
          </rPr>
          <t>ЗАМЕНИТЕ НА РЕАЛЬНЫЕ ДАННЫЕ.
ДЕМО, ЦЕЛЬ, Перец болгарский красный,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04" authorId="0">
      <text>
        <r>
          <rPr>
            <sz val="8"/>
            <color indexed="81"/>
            <rFont val="Tahoma"/>
            <family val="2"/>
          </rPr>
          <t>ЗАМЕНИТЕ НА РЕАЛЬНЫЕ ДАННЫЕ.
ДЕМО, ЦЕЛЬ, Перец болгарский красный,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04" authorId="0">
      <text>
        <r>
          <rPr>
            <sz val="8"/>
            <color indexed="81"/>
            <rFont val="Tahoma"/>
            <family val="2"/>
          </rPr>
          <t>ЗАМЕНИТЕ НА РЕАЛЬНЫЕ ДАННЫЕ.
ДЕМО, ЦЕЛЬ, Перец болгарский красный,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04" authorId="0">
      <text>
        <r>
          <rPr>
            <sz val="8"/>
            <color indexed="81"/>
            <rFont val="Tahoma"/>
            <family val="2"/>
          </rPr>
          <t>ЗАМЕНИТЕ НА РЕАЛЬНЫЕ ДАННЫЕ.
ДЕМО, ЦЕЛЬ, Перец болгарский красный,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05" authorId="0">
      <text>
        <r>
          <rPr>
            <sz val="8"/>
            <color indexed="81"/>
            <rFont val="Tahoma"/>
            <family val="2"/>
          </rPr>
          <t>ЗАМЕНИТЕ НА РЕАЛЬНЫЕ ДАННЫЕ.
ДЕМО, ЦЕЛЬ, Перец болгарский красный,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05" authorId="0">
      <text>
        <r>
          <rPr>
            <sz val="8"/>
            <color indexed="81"/>
            <rFont val="Tahoma"/>
            <family val="2"/>
          </rPr>
          <t>ЗАМЕНИТЕ НА РЕАЛЬНЫЕ ДАННЫЕ.
ДЕМО, ЦЕЛЬ, Перец болгарский красный,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05" authorId="0">
      <text>
        <r>
          <rPr>
            <sz val="8"/>
            <color indexed="81"/>
            <rFont val="Tahoma"/>
            <family val="2"/>
          </rPr>
          <t>ЗАМЕНИТЕ НА РЕАЛЬНЫЕ ДАННЫЕ.
ДЕМО, ЦЕЛЬ, Перец болгарский красный,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05" authorId="0">
      <text>
        <r>
          <rPr>
            <sz val="8"/>
            <color indexed="81"/>
            <rFont val="Tahoma"/>
            <family val="2"/>
          </rPr>
          <t>ЗАМЕНИТЕ НА РЕАЛЬНЫЕ ДАННЫЕ.
ДЕМО, ЦЕЛЬ, Перец болгарский красный,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05" authorId="0">
      <text>
        <r>
          <rPr>
            <sz val="8"/>
            <color indexed="81"/>
            <rFont val="Tahoma"/>
            <family val="2"/>
          </rPr>
          <t>ЗАМЕНИТЕ НА РЕАЛЬНЫЕ ДАННЫЕ.
ДЕМО, ЦЕЛЬ, Перец болгарский красный,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05" authorId="0">
      <text>
        <r>
          <rPr>
            <sz val="8"/>
            <color indexed="81"/>
            <rFont val="Tahoma"/>
            <family val="2"/>
          </rPr>
          <t>ЗАМЕНИТЕ НА РЕАЛЬНЫЕ ДАННЫЕ.
ДЕМО, ЦЕЛЬ, Перец болгарский красный,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05" authorId="0">
      <text>
        <r>
          <rPr>
            <sz val="8"/>
            <color indexed="81"/>
            <rFont val="Tahoma"/>
            <family val="2"/>
          </rPr>
          <t>ЗАМЕНИТЕ НА РЕАЛЬНЫЕ ДАННЫЕ.
ДЕМО, ЦЕЛЬ, Перец болгарский красный,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05" authorId="0">
      <text>
        <r>
          <rPr>
            <sz val="8"/>
            <color indexed="81"/>
            <rFont val="Tahoma"/>
            <family val="2"/>
          </rPr>
          <t>ЗАМЕНИТЕ НА РЕАЛЬНЫЕ ДАННЫЕ.
ДЕМО, ЦЕЛЬ, Перец болгарский красный,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05" authorId="0">
      <text>
        <r>
          <rPr>
            <sz val="8"/>
            <color indexed="81"/>
            <rFont val="Tahoma"/>
            <family val="2"/>
          </rPr>
          <t>ЗАМЕНИТЕ НА РЕАЛЬНЫЕ ДАННЫЕ.
ДЕМО, ЦЕЛЬ, Перец болгарский красный,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05" authorId="0">
      <text>
        <r>
          <rPr>
            <sz val="8"/>
            <color indexed="81"/>
            <rFont val="Tahoma"/>
            <family val="2"/>
          </rPr>
          <t>ЗАМЕНИТЕ НА РЕАЛЬНЫЕ ДАННЫЕ.
ДЕМО, ЦЕЛЬ, Перец болгарский красный,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07" authorId="0">
      <text>
        <r>
          <rPr>
            <sz val="8"/>
            <color indexed="81"/>
            <rFont val="Tahoma"/>
            <family val="2"/>
          </rPr>
          <t>ЗАМЕНИТЕ НА РЕАЛЬНЫЕ ДАННЫЕ.
ДЕМО, ЦЕЛЬ, Перец болгарский красный,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07" authorId="0">
      <text>
        <r>
          <rPr>
            <sz val="8"/>
            <color indexed="81"/>
            <rFont val="Tahoma"/>
            <family val="2"/>
          </rPr>
          <t>ЗАМЕНИТЕ НА РЕАЛЬНЫЕ ДАННЫЕ.
ДЕМО, ЦЕЛЬ, Перец болгарский красный,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07" authorId="0">
      <text>
        <r>
          <rPr>
            <sz val="8"/>
            <color indexed="81"/>
            <rFont val="Tahoma"/>
            <family val="2"/>
          </rPr>
          <t>ЗАМЕНИТЕ НА РЕАЛЬНЫЕ ДАННЫЕ.
ДЕМО, ЦЕЛЬ, Перец болгарский красный,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07" authorId="0">
      <text>
        <r>
          <rPr>
            <sz val="8"/>
            <color indexed="81"/>
            <rFont val="Tahoma"/>
            <family val="2"/>
          </rPr>
          <t>ЗАМЕНИТЕ НА РЕАЛЬНЫЕ ДАННЫЕ.
ДЕМО, ЦЕЛЬ, Перец болгарский красный,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07" authorId="0">
      <text>
        <r>
          <rPr>
            <sz val="8"/>
            <color indexed="81"/>
            <rFont val="Tahoma"/>
            <family val="2"/>
          </rPr>
          <t>ЗАМЕНИТЕ НА РЕАЛЬНЫЕ ДАННЫЕ.
ДЕМО, ЦЕЛЬ, Перец болгарский красный,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07" authorId="0">
      <text>
        <r>
          <rPr>
            <sz val="8"/>
            <color indexed="81"/>
            <rFont val="Tahoma"/>
            <family val="2"/>
          </rPr>
          <t>ЗАМЕНИТЕ НА РЕАЛЬНЫЕ ДАННЫЕ.
ДЕМО, ЦЕЛЬ, Перец болгарский красный,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07" authorId="0">
      <text>
        <r>
          <rPr>
            <sz val="8"/>
            <color indexed="81"/>
            <rFont val="Tahoma"/>
            <family val="2"/>
          </rPr>
          <t>ЗАМЕНИТЕ НА РЕАЛЬНЫЕ ДАННЫЕ.
ДЕМО, ЦЕЛЬ, Перец болгарский красный,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07" authorId="0">
      <text>
        <r>
          <rPr>
            <sz val="8"/>
            <color indexed="81"/>
            <rFont val="Tahoma"/>
            <family val="2"/>
          </rPr>
          <t>ЗАМЕНИТЕ НА РЕАЛЬНЫЕ ДАННЫЕ.
ДЕМО, ЦЕЛЬ, Перец болгарский красный,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07" authorId="0">
      <text>
        <r>
          <rPr>
            <sz val="8"/>
            <color indexed="81"/>
            <rFont val="Tahoma"/>
            <family val="2"/>
          </rPr>
          <t>ЗАМЕНИТЕ НА РЕАЛЬНЫЕ ДАННЫЕ.
ДЕМО, ЦЕЛЬ, Перец болгарский красный,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07" authorId="0">
      <text>
        <r>
          <rPr>
            <sz val="8"/>
            <color indexed="81"/>
            <rFont val="Tahoma"/>
            <family val="2"/>
          </rPr>
          <t>ЗАМЕНИТЕ НА РЕАЛЬНЫЕ ДАННЫЕ.
ДЕМО, ЦЕЛЬ, Перец болгарский красный,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08" authorId="0">
      <text>
        <r>
          <rPr>
            <sz val="8"/>
            <color indexed="81"/>
            <rFont val="Tahoma"/>
            <family val="2"/>
          </rPr>
          <t>ЗАМЕНИТЕ НА РЕАЛЬНЫЕ ДАННЫЕ.
ДЕМО, ЦЕЛЬ, Перец болгарский красный,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08" authorId="0">
      <text>
        <r>
          <rPr>
            <sz val="8"/>
            <color indexed="81"/>
            <rFont val="Tahoma"/>
            <family val="2"/>
          </rPr>
          <t>ЗАМЕНИТЕ НА РЕАЛЬНЫЕ ДАННЫЕ.
ДЕМО, ЦЕЛЬ, Перец болгарский красный,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08" authorId="0">
      <text>
        <r>
          <rPr>
            <sz val="8"/>
            <color indexed="81"/>
            <rFont val="Tahoma"/>
            <family val="2"/>
          </rPr>
          <t>ЗАМЕНИТЕ НА РЕАЛЬНЫЕ ДАННЫЕ.
ДЕМО, ЦЕЛЬ, Перец болгарский красный,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08" authorId="0">
      <text>
        <r>
          <rPr>
            <sz val="8"/>
            <color indexed="81"/>
            <rFont val="Tahoma"/>
            <family val="2"/>
          </rPr>
          <t>ЗАМЕНИТЕ НА РЕАЛЬНЫЕ ДАННЫЕ.
ДЕМО, ЦЕЛЬ, Перец болгарский красный,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08" authorId="0">
      <text>
        <r>
          <rPr>
            <sz val="8"/>
            <color indexed="81"/>
            <rFont val="Tahoma"/>
            <family val="2"/>
          </rPr>
          <t>ЗАМЕНИТЕ НА РЕАЛЬНЫЕ ДАННЫЕ.
ДЕМО, ЦЕЛЬ, Перец болгарский красный,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08" authorId="0">
      <text>
        <r>
          <rPr>
            <sz val="8"/>
            <color indexed="81"/>
            <rFont val="Tahoma"/>
            <family val="2"/>
          </rPr>
          <t>ЗАМЕНИТЕ НА РЕАЛЬНЫЕ ДАННЫЕ.
ДЕМО, ЦЕЛЬ, Перец болгарский красный,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08" authorId="0">
      <text>
        <r>
          <rPr>
            <sz val="8"/>
            <color indexed="81"/>
            <rFont val="Tahoma"/>
            <family val="2"/>
          </rPr>
          <t>ЗАМЕНИТЕ НА РЕАЛЬНЫЕ ДАННЫЕ.
ДЕМО, ЦЕЛЬ, Перец болгарский красный,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08" authorId="0">
      <text>
        <r>
          <rPr>
            <sz val="8"/>
            <color indexed="81"/>
            <rFont val="Tahoma"/>
            <family val="2"/>
          </rPr>
          <t>ЗАМЕНИТЕ НА РЕАЛЬНЫЕ ДАННЫЕ.
ДЕМО, ЦЕЛЬ, Перец болгарский красный,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08" authorId="0">
      <text>
        <r>
          <rPr>
            <sz val="8"/>
            <color indexed="81"/>
            <rFont val="Tahoma"/>
            <family val="2"/>
          </rPr>
          <t>ЗАМЕНИТЕ НА РЕАЛЬНЫЕ ДАННЫЕ.
ДЕМО, ЦЕЛЬ, Перец болгарский красный,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08" authorId="0">
      <text>
        <r>
          <rPr>
            <sz val="8"/>
            <color indexed="81"/>
            <rFont val="Tahoma"/>
            <family val="2"/>
          </rPr>
          <t>ЗАМЕНИТЕ НА РЕАЛЬНЫЕ ДАННЫЕ.
ДЕМО, ЦЕЛЬ, Перец болгарский красный,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09" authorId="0">
      <text>
        <r>
          <rPr>
            <sz val="8"/>
            <color indexed="81"/>
            <rFont val="Tahoma"/>
            <family val="2"/>
          </rPr>
          <t>ЗАМЕНИТЕ НА РЕАЛЬНЫЕ ДАННЫЕ.
ДЕМО, ЦЕЛЬ, Перец болгарский красный,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09" authorId="0">
      <text>
        <r>
          <rPr>
            <sz val="8"/>
            <color indexed="81"/>
            <rFont val="Tahoma"/>
            <family val="2"/>
          </rPr>
          <t>ЗАМЕНИТЕ НА РЕАЛЬНЫЕ ДАННЫЕ.
ДЕМО, ЦЕЛЬ, Перец болгарский красный,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09" authorId="0">
      <text>
        <r>
          <rPr>
            <sz val="8"/>
            <color indexed="81"/>
            <rFont val="Tahoma"/>
            <family val="2"/>
          </rPr>
          <t>ЗАМЕНИТЕ НА РЕАЛЬНЫЕ ДАННЫЕ.
ДЕМО, ЦЕЛЬ, Перец болгарский красный,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09" authorId="0">
      <text>
        <r>
          <rPr>
            <sz val="8"/>
            <color indexed="81"/>
            <rFont val="Tahoma"/>
            <family val="2"/>
          </rPr>
          <t>ЗАМЕНИТЕ НА РЕАЛЬНЫЕ ДАННЫЕ.
ДЕМО, ЦЕЛЬ, Перец болгарский красный,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09" authorId="0">
      <text>
        <r>
          <rPr>
            <sz val="8"/>
            <color indexed="81"/>
            <rFont val="Tahoma"/>
            <family val="2"/>
          </rPr>
          <t>ЗАМЕНИТЕ НА РЕАЛЬНЫЕ ДАННЫЕ.
ДЕМО, ЦЕЛЬ, Перец болгарский красный,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09" authorId="0">
      <text>
        <r>
          <rPr>
            <sz val="8"/>
            <color indexed="81"/>
            <rFont val="Tahoma"/>
            <family val="2"/>
          </rPr>
          <t>ЗАМЕНИТЕ НА РЕАЛЬНЫЕ ДАННЫЕ.
ДЕМО, ЦЕЛЬ, Перец болгарский красный,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09" authorId="0">
      <text>
        <r>
          <rPr>
            <sz val="8"/>
            <color indexed="81"/>
            <rFont val="Tahoma"/>
            <family val="2"/>
          </rPr>
          <t>ЗАМЕНИТЕ НА РЕАЛЬНЫЕ ДАННЫЕ.
ДЕМО, ЦЕЛЬ, Перец болгарский красный,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09" authorId="0">
      <text>
        <r>
          <rPr>
            <sz val="8"/>
            <color indexed="81"/>
            <rFont val="Tahoma"/>
            <family val="2"/>
          </rPr>
          <t>ЗАМЕНИТЕ НА РЕАЛЬНЫЕ ДАННЫЕ.
ДЕМО, ЦЕЛЬ, Перец болгарский красный,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09" authorId="0">
      <text>
        <r>
          <rPr>
            <sz val="8"/>
            <color indexed="81"/>
            <rFont val="Tahoma"/>
            <family val="2"/>
          </rPr>
          <t>ЗАМЕНИТЕ НА РЕАЛЬНЫЕ ДАННЫЕ.
ДЕМО, ЦЕЛЬ, Перец болгарский красный,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09" authorId="0">
      <text>
        <r>
          <rPr>
            <sz val="8"/>
            <color indexed="81"/>
            <rFont val="Tahoma"/>
            <family val="2"/>
          </rPr>
          <t>ЗАМЕНИТЕ НА РЕАЛЬНЫЕ ДАННЫЕ.
ДЕМО, ЦЕЛЬ, Перец болгарский красный,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10" authorId="0">
      <text>
        <r>
          <rPr>
            <sz val="8"/>
            <color indexed="81"/>
            <rFont val="Tahoma"/>
            <family val="2"/>
          </rPr>
          <t>ЗАМЕНИТЕ НА РЕАЛЬНЫЕ ДАННЫЕ.
ДЕМО, ЦЕЛЬ, Перец болгарский красный,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10" authorId="0">
      <text>
        <r>
          <rPr>
            <sz val="8"/>
            <color indexed="81"/>
            <rFont val="Tahoma"/>
            <family val="2"/>
          </rPr>
          <t>ЗАМЕНИТЕ НА РЕАЛЬНЫЕ ДАННЫЕ.
ДЕМО, ЦЕЛЬ, Перец болгарский красный,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10" authorId="0">
      <text>
        <r>
          <rPr>
            <sz val="8"/>
            <color indexed="81"/>
            <rFont val="Tahoma"/>
            <family val="2"/>
          </rPr>
          <t>ЗАМЕНИТЕ НА РЕАЛЬНЫЕ ДАННЫЕ.
ДЕМО, ЦЕЛЬ, Перец болгарский красный,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10" authorId="0">
      <text>
        <r>
          <rPr>
            <sz val="8"/>
            <color indexed="81"/>
            <rFont val="Tahoma"/>
            <family val="2"/>
          </rPr>
          <t>ЗАМЕНИТЕ НА РЕАЛЬНЫЕ ДАННЫЕ.
ДЕМО, ЦЕЛЬ, Перец болгарский красный,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10" authorId="0">
      <text>
        <r>
          <rPr>
            <sz val="8"/>
            <color indexed="81"/>
            <rFont val="Tahoma"/>
            <family val="2"/>
          </rPr>
          <t>ЗАМЕНИТЕ НА РЕАЛЬНЫЕ ДАННЫЕ.
ДЕМО, ЦЕЛЬ, Перец болгарский красный,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10" authorId="0">
      <text>
        <r>
          <rPr>
            <sz val="8"/>
            <color indexed="81"/>
            <rFont val="Tahoma"/>
            <family val="2"/>
          </rPr>
          <t>ЗАМЕНИТЕ НА РЕАЛЬНЫЕ ДАННЫЕ.
ДЕМО, ЦЕЛЬ, Перец болгарский красный,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10" authorId="0">
      <text>
        <r>
          <rPr>
            <sz val="8"/>
            <color indexed="81"/>
            <rFont val="Tahoma"/>
            <family val="2"/>
          </rPr>
          <t>ЗАМЕНИТЕ НА РЕАЛЬНЫЕ ДАННЫЕ.
ДЕМО, ЦЕЛЬ, Перец болгарский красный,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10" authorId="0">
      <text>
        <r>
          <rPr>
            <sz val="8"/>
            <color indexed="81"/>
            <rFont val="Tahoma"/>
            <family val="2"/>
          </rPr>
          <t>ЗАМЕНИТЕ НА РЕАЛЬНЫЕ ДАННЫЕ.
ДЕМО, ЦЕЛЬ, Перец болгарский красный,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10" authorId="0">
      <text>
        <r>
          <rPr>
            <sz val="8"/>
            <color indexed="81"/>
            <rFont val="Tahoma"/>
            <family val="2"/>
          </rPr>
          <t>ЗАМЕНИТЕ НА РЕАЛЬНЫЕ ДАННЫЕ.
ДЕМО, ЦЕЛЬ, Перец болгарский красный,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10" authorId="0">
      <text>
        <r>
          <rPr>
            <sz val="8"/>
            <color indexed="81"/>
            <rFont val="Tahoma"/>
            <family val="2"/>
          </rPr>
          <t>ЗАМЕНИТЕ НА РЕАЛЬНЫЕ ДАННЫЕ.
ДЕМО, ЦЕЛЬ, Перец болгарский красный,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11" authorId="0">
      <text>
        <r>
          <rPr>
            <sz val="8"/>
            <color indexed="81"/>
            <rFont val="Tahoma"/>
            <family val="2"/>
          </rPr>
          <t>ЗАМЕНИТЕ НА РЕАЛЬНЫЕ ДАННЫЕ.
ДЕМО, ЦЕЛЬ, Перец болгарский красный,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11" authorId="0">
      <text>
        <r>
          <rPr>
            <sz val="8"/>
            <color indexed="81"/>
            <rFont val="Tahoma"/>
            <family val="2"/>
          </rPr>
          <t>ЗАМЕНИТЕ НА РЕАЛЬНЫЕ ДАННЫЕ.
ДЕМО, ЦЕЛЬ, Перец болгарский красный,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11" authorId="0">
      <text>
        <r>
          <rPr>
            <sz val="8"/>
            <color indexed="81"/>
            <rFont val="Tahoma"/>
            <family val="2"/>
          </rPr>
          <t>ЗАМЕНИТЕ НА РЕАЛЬНЫЕ ДАННЫЕ.
ДЕМО, ЦЕЛЬ, Перец болгарский красный,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11" authorId="0">
      <text>
        <r>
          <rPr>
            <sz val="8"/>
            <color indexed="81"/>
            <rFont val="Tahoma"/>
            <family val="2"/>
          </rPr>
          <t>ЗАМЕНИТЕ НА РЕАЛЬНЫЕ ДАННЫЕ.
ДЕМО, ЦЕЛЬ, Перец болгарский красный,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11" authorId="0">
      <text>
        <r>
          <rPr>
            <sz val="8"/>
            <color indexed="81"/>
            <rFont val="Tahoma"/>
            <family val="2"/>
          </rPr>
          <t>ЗАМЕНИТЕ НА РЕАЛЬНЫЕ ДАННЫЕ.
ДЕМО, ЦЕЛЬ, Перец болгарский красный,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11" authorId="0">
      <text>
        <r>
          <rPr>
            <sz val="8"/>
            <color indexed="81"/>
            <rFont val="Tahoma"/>
            <family val="2"/>
          </rPr>
          <t>ЗАМЕНИТЕ НА РЕАЛЬНЫЕ ДАННЫЕ.
ДЕМО, ЦЕЛЬ, Перец болгарский красный,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11" authorId="0">
      <text>
        <r>
          <rPr>
            <sz val="8"/>
            <color indexed="81"/>
            <rFont val="Tahoma"/>
            <family val="2"/>
          </rPr>
          <t>ЗАМЕНИТЕ НА РЕАЛЬНЫЕ ДАННЫЕ.
ДЕМО, ЦЕЛЬ, Перец болгарский красный,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11" authorId="0">
      <text>
        <r>
          <rPr>
            <sz val="8"/>
            <color indexed="81"/>
            <rFont val="Tahoma"/>
            <family val="2"/>
          </rPr>
          <t>ЗАМЕНИТЕ НА РЕАЛЬНЫЕ ДАННЫЕ.
ДЕМО, ЦЕЛЬ, Перец болгарский красный,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11" authorId="0">
      <text>
        <r>
          <rPr>
            <sz val="8"/>
            <color indexed="81"/>
            <rFont val="Tahoma"/>
            <family val="2"/>
          </rPr>
          <t>ЗАМЕНИТЕ НА РЕАЛЬНЫЕ ДАННЫЕ.
ДЕМО, ЦЕЛЬ, Перец болгарский красный,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11" authorId="0">
      <text>
        <r>
          <rPr>
            <sz val="8"/>
            <color indexed="81"/>
            <rFont val="Tahoma"/>
            <family val="2"/>
          </rPr>
          <t>ЗАМЕНИТЕ НА РЕАЛЬНЫЕ ДАННЫЕ.
ДЕМО, ЦЕЛЬ, Перец болгарский красный,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20" authorId="0">
      <text>
        <r>
          <rPr>
            <sz val="8"/>
            <color indexed="81"/>
            <rFont val="Tahoma"/>
            <family val="2"/>
          </rPr>
          <t>ЗАМЕНИТЕ НА РЕАЛЬНЫЕ ДАННЫЕ.
Огурец, цикл 1. 0 исключает все элементы данного цикла, а не один выброс.</t>
        </r>
      </text>
    </comment>
    <comment ref="F220" authorId="0">
      <text>
        <r>
          <rPr>
            <sz val="8"/>
            <color indexed="81"/>
            <rFont val="Tahoma"/>
            <family val="2"/>
          </rPr>
          <t>ЗАМЕНИТЕ НА РЕАЛЬНЫЕ ДАННЫЕ.
Огурец, цикл 2. 0 исключает все элементы данного цикла, а не один выброс.</t>
        </r>
      </text>
    </comment>
    <comment ref="G220" authorId="0">
      <text>
        <r>
          <rPr>
            <sz val="8"/>
            <color indexed="81"/>
            <rFont val="Tahoma"/>
            <family val="2"/>
          </rPr>
          <t>ЗАМЕНИТЕ НА РЕАЛЬНЫЕ ДАННЫЕ.
Огурец, цикл 3. 0 исключает все элементы данного цикла, а не один выброс.</t>
        </r>
      </text>
    </comment>
    <comment ref="H220" authorId="0">
      <text>
        <r>
          <rPr>
            <sz val="8"/>
            <color indexed="81"/>
            <rFont val="Tahoma"/>
            <family val="2"/>
          </rPr>
          <t>ЗАМЕНИТЕ НА РЕАЛЬНЫЕ ДАННЫЕ.
Огурец, цикл 4. 0 исключает все элементы данного цикла, а не один выброс.</t>
        </r>
      </text>
    </comment>
    <comment ref="I220" authorId="0">
      <text>
        <r>
          <rPr>
            <sz val="8"/>
            <color indexed="81"/>
            <rFont val="Tahoma"/>
            <family val="2"/>
          </rPr>
          <t>ЗАМЕНИТЕ НА РЕАЛЬНЫЕ ДАННЫЕ.
Огурец, цикл 5. 0 исключает все элементы данного цикла, а не один выброс.</t>
        </r>
      </text>
    </comment>
    <comment ref="J220" authorId="0">
      <text>
        <r>
          <rPr>
            <sz val="8"/>
            <color indexed="81"/>
            <rFont val="Tahoma"/>
            <family val="2"/>
          </rPr>
          <t>ЗАМЕНИТЕ НА РЕАЛЬНЫЕ ДАННЫЕ.
Огурец, цикл 6. 0 исключает все элементы данного цикла, а не один выброс.</t>
        </r>
      </text>
    </comment>
    <comment ref="K220" authorId="0">
      <text>
        <r>
          <rPr>
            <sz val="8"/>
            <color indexed="81"/>
            <rFont val="Tahoma"/>
            <family val="2"/>
          </rPr>
          <t>ЗАМЕНИТЕ НА РЕАЛЬНЫЕ ДАННЫЕ.
Огурец, цикл 7. 0 исключает все элементы данного цикла, а не один выброс.</t>
        </r>
      </text>
    </comment>
    <comment ref="L220" authorId="0">
      <text>
        <r>
          <rPr>
            <sz val="8"/>
            <color indexed="81"/>
            <rFont val="Tahoma"/>
            <family val="2"/>
          </rPr>
          <t>ЗАМЕНИТЕ НА РЕАЛЬНЫЕ ДАННЫЕ.
Огурец, цикл 8. 0 исключает все элементы данного цикла, а не один выброс.</t>
        </r>
      </text>
    </comment>
    <comment ref="M220" authorId="0">
      <text>
        <r>
          <rPr>
            <sz val="8"/>
            <color indexed="81"/>
            <rFont val="Tahoma"/>
            <family val="2"/>
          </rPr>
          <t>ЗАМЕНИТЕ НА РЕАЛЬНЫЕ ДАННЫЕ.
Огурец, цикл 9. 0 исключает все элементы данного цикла, а не один выброс.</t>
        </r>
      </text>
    </comment>
    <comment ref="N220" authorId="0">
      <text>
        <r>
          <rPr>
            <sz val="8"/>
            <color indexed="81"/>
            <rFont val="Tahoma"/>
            <family val="2"/>
          </rPr>
          <t>ЗАМЕНИТЕ НА РЕАЛЬНЫЕ ДАННЫЕ.
Огурец, цикл 10. 0 исключает все элементы данного цикла, а не один выброс.</t>
        </r>
      </text>
    </comment>
    <comment ref="E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21"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22" authorId="0">
      <text>
        <r>
          <rPr>
            <sz val="8"/>
            <color indexed="81"/>
            <rFont val="Tahoma"/>
            <family val="2"/>
          </rPr>
          <t>ЗАМЕНИТЕ НА РЕАЛЬНЫЕ ДАННЫЕ.
ДЕМО, ЦЕЛЬ, Огурец,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22" authorId="0">
      <text>
        <r>
          <rPr>
            <sz val="8"/>
            <color indexed="81"/>
            <rFont val="Tahoma"/>
            <family val="2"/>
          </rPr>
          <t>ЗАМЕНИТЕ НА РЕАЛЬНЫЕ ДАННЫЕ.
ДЕМО, ЦЕЛЬ, Огурец,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22" authorId="0">
      <text>
        <r>
          <rPr>
            <sz val="8"/>
            <color indexed="81"/>
            <rFont val="Tahoma"/>
            <family val="2"/>
          </rPr>
          <t>ЗАМЕНИТЕ НА РЕАЛЬНЫЕ ДАННЫЕ.
ДЕМО, ЦЕЛЬ, Огурец,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22" authorId="0">
      <text>
        <r>
          <rPr>
            <sz val="8"/>
            <color indexed="81"/>
            <rFont val="Tahoma"/>
            <family val="2"/>
          </rPr>
          <t>ЗАМЕНИТЕ НА РЕАЛЬНЫЕ ДАННЫЕ.
ДЕМО, ЦЕЛЬ, Огурец,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22" authorId="0">
      <text>
        <r>
          <rPr>
            <sz val="8"/>
            <color indexed="81"/>
            <rFont val="Tahoma"/>
            <family val="2"/>
          </rPr>
          <t>ЗАМЕНИТЕ НА РЕАЛЬНЫЕ ДАННЫЕ.
ДЕМО, ЦЕЛЬ, Огурец,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22" authorId="0">
      <text>
        <r>
          <rPr>
            <sz val="8"/>
            <color indexed="81"/>
            <rFont val="Tahoma"/>
            <family val="2"/>
          </rPr>
          <t>ЗАМЕНИТЕ НА РЕАЛЬНЫЕ ДАННЫЕ.
ДЕМО, ЦЕЛЬ, Огурец,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22" authorId="0">
      <text>
        <r>
          <rPr>
            <sz val="8"/>
            <color indexed="81"/>
            <rFont val="Tahoma"/>
            <family val="2"/>
          </rPr>
          <t>ЗАМЕНИТЕ НА РЕАЛЬНЫЕ ДАННЫЕ.
ДЕМО, ЦЕЛЬ, Огурец,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22" authorId="0">
      <text>
        <r>
          <rPr>
            <sz val="8"/>
            <color indexed="81"/>
            <rFont val="Tahoma"/>
            <family val="2"/>
          </rPr>
          <t>ЗАМЕНИТЕ НА РЕАЛЬНЫЕ ДАННЫЕ.
ДЕМО, ЦЕЛЬ, Огурец,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22" authorId="0">
      <text>
        <r>
          <rPr>
            <sz val="8"/>
            <color indexed="81"/>
            <rFont val="Tahoma"/>
            <family val="2"/>
          </rPr>
          <t>ЗАМЕНИТЕ НА РЕАЛЬНЫЕ ДАННЫЕ.
ДЕМО, ЦЕЛЬ, Огурец,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22" authorId="0">
      <text>
        <r>
          <rPr>
            <sz val="8"/>
            <color indexed="81"/>
            <rFont val="Tahoma"/>
            <family val="2"/>
          </rPr>
          <t>ЗАМЕНИТЕ НА РЕАЛЬНЫЕ ДАННЫЕ.
ДЕМО, ЦЕЛЬ, Огурец,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23" authorId="0">
      <text>
        <r>
          <rPr>
            <sz val="8"/>
            <color indexed="81"/>
            <rFont val="Tahoma"/>
            <family val="2"/>
          </rPr>
          <t>ЗАМЕНИТЕ НА РЕАЛЬНЫЕ ДАННЫЕ.
ДЕМО, ЦЕЛЬ, Огурец,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23" authorId="0">
      <text>
        <r>
          <rPr>
            <sz val="8"/>
            <color indexed="81"/>
            <rFont val="Tahoma"/>
            <family val="2"/>
          </rPr>
          <t>ЗАМЕНИТЕ НА РЕАЛЬНЫЕ ДАННЫЕ.
ДЕМО, ЦЕЛЬ, Огурец,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23" authorId="0">
      <text>
        <r>
          <rPr>
            <sz val="8"/>
            <color indexed="81"/>
            <rFont val="Tahoma"/>
            <family val="2"/>
          </rPr>
          <t>ЗАМЕНИТЕ НА РЕАЛЬНЫЕ ДАННЫЕ.
ДЕМО, ЦЕЛЬ, Огурец,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23" authorId="0">
      <text>
        <r>
          <rPr>
            <sz val="8"/>
            <color indexed="81"/>
            <rFont val="Tahoma"/>
            <family val="2"/>
          </rPr>
          <t>ЗАМЕНИТЕ НА РЕАЛЬНЫЕ ДАННЫЕ.
ДЕМО, ЦЕЛЬ, Огурец,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23" authorId="0">
      <text>
        <r>
          <rPr>
            <sz val="8"/>
            <color indexed="81"/>
            <rFont val="Tahoma"/>
            <family val="2"/>
          </rPr>
          <t>ЗАМЕНИТЕ НА РЕАЛЬНЫЕ ДАННЫЕ.
ДЕМО, ЦЕЛЬ, Огурец,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23" authorId="0">
      <text>
        <r>
          <rPr>
            <sz val="8"/>
            <color indexed="81"/>
            <rFont val="Tahoma"/>
            <family val="2"/>
          </rPr>
          <t>ЗАМЕНИТЕ НА РЕАЛЬНЫЕ ДАННЫЕ.
ДЕМО, ЦЕЛЬ, Огурец,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23" authorId="0">
      <text>
        <r>
          <rPr>
            <sz val="8"/>
            <color indexed="81"/>
            <rFont val="Tahoma"/>
            <family val="2"/>
          </rPr>
          <t>ЗАМЕНИТЕ НА РЕАЛЬНЫЕ ДАННЫЕ.
ДЕМО, ЦЕЛЬ, Огурец,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23" authorId="0">
      <text>
        <r>
          <rPr>
            <sz val="8"/>
            <color indexed="81"/>
            <rFont val="Tahoma"/>
            <family val="2"/>
          </rPr>
          <t>ЗАМЕНИТЕ НА РЕАЛЬНЫЕ ДАННЫЕ.
ДЕМО, ЦЕЛЬ, Огурец,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23" authorId="0">
      <text>
        <r>
          <rPr>
            <sz val="8"/>
            <color indexed="81"/>
            <rFont val="Tahoma"/>
            <family val="2"/>
          </rPr>
          <t>ЗАМЕНИТЕ НА РЕАЛЬНЫЕ ДАННЫЕ.
ДЕМО, ЦЕЛЬ, Огурец,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23" authorId="0">
      <text>
        <r>
          <rPr>
            <sz val="8"/>
            <color indexed="81"/>
            <rFont val="Tahoma"/>
            <family val="2"/>
          </rPr>
          <t>ЗАМЕНИТЕ НА РЕАЛЬНЫЕ ДАННЫЕ.
ДЕМО, ЦЕЛЬ, Огурец,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24" authorId="0">
      <text>
        <r>
          <rPr>
            <sz val="8"/>
            <color indexed="81"/>
            <rFont val="Tahoma"/>
            <family val="2"/>
          </rPr>
          <t>ЗАМЕНИТЕ НА РЕАЛЬНЫЕ ДАННЫЕ.
ДЕМО, ЦЕЛЬ, Огурец,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24" authorId="0">
      <text>
        <r>
          <rPr>
            <sz val="8"/>
            <color indexed="81"/>
            <rFont val="Tahoma"/>
            <family val="2"/>
          </rPr>
          <t>ЗАМЕНИТЕ НА РЕАЛЬНЫЕ ДАННЫЕ.
ДЕМО, ЦЕЛЬ, Огурец,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24" authorId="0">
      <text>
        <r>
          <rPr>
            <sz val="8"/>
            <color indexed="81"/>
            <rFont val="Tahoma"/>
            <family val="2"/>
          </rPr>
          <t>ЗАМЕНИТЕ НА РЕАЛЬНЫЕ ДАННЫЕ.
ДЕМО, ЦЕЛЬ, Огурец,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24" authorId="0">
      <text>
        <r>
          <rPr>
            <sz val="8"/>
            <color indexed="81"/>
            <rFont val="Tahoma"/>
            <family val="2"/>
          </rPr>
          <t>ЗАМЕНИТЕ НА РЕАЛЬНЫЕ ДАННЫЕ.
ДЕМО, ЦЕЛЬ, Огурец,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24" authorId="0">
      <text>
        <r>
          <rPr>
            <sz val="8"/>
            <color indexed="81"/>
            <rFont val="Tahoma"/>
            <family val="2"/>
          </rPr>
          <t>ЗАМЕНИТЕ НА РЕАЛЬНЫЕ ДАННЫЕ.
ДЕМО, ЦЕЛЬ, Огурец,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24" authorId="0">
      <text>
        <r>
          <rPr>
            <sz val="8"/>
            <color indexed="81"/>
            <rFont val="Tahoma"/>
            <family val="2"/>
          </rPr>
          <t>ЗАМЕНИТЕ НА РЕАЛЬНЫЕ ДАННЫЕ.
ДЕМО, ЦЕЛЬ, Огурец,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24" authorId="0">
      <text>
        <r>
          <rPr>
            <sz val="8"/>
            <color indexed="81"/>
            <rFont val="Tahoma"/>
            <family val="2"/>
          </rPr>
          <t>ЗАМЕНИТЕ НА РЕАЛЬНЫЕ ДАННЫЕ.
ДЕМО, ЦЕЛЬ, Огурец,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24" authorId="0">
      <text>
        <r>
          <rPr>
            <sz val="8"/>
            <color indexed="81"/>
            <rFont val="Tahoma"/>
            <family val="2"/>
          </rPr>
          <t>ЗАМЕНИТЕ НА РЕАЛЬНЫЕ ДАННЫЕ.
ДЕМО, ЦЕЛЬ, Огурец,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24" authorId="0">
      <text>
        <r>
          <rPr>
            <sz val="8"/>
            <color indexed="81"/>
            <rFont val="Tahoma"/>
            <family val="2"/>
          </rPr>
          <t>ЗАМЕНИТЕ НА РЕАЛЬНЫЕ ДАННЫЕ.
ДЕМО, ЦЕЛЬ, Огурец,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24" authorId="0">
      <text>
        <r>
          <rPr>
            <sz val="8"/>
            <color indexed="81"/>
            <rFont val="Tahoma"/>
            <family val="2"/>
          </rPr>
          <t>ЗАМЕНИТЕ НА РЕАЛЬНЫЕ ДАННЫЕ.
ДЕМО, ЦЕЛЬ, Огурец,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25" authorId="0">
      <text>
        <r>
          <rPr>
            <sz val="8"/>
            <color indexed="81"/>
            <rFont val="Tahoma"/>
            <family val="2"/>
          </rPr>
          <t>ЗАМЕНИТЕ НА РЕАЛЬНЫЕ ДАННЫЕ.
ДЕМО, ЦЕЛЬ, Огурец,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25" authorId="0">
      <text>
        <r>
          <rPr>
            <sz val="8"/>
            <color indexed="81"/>
            <rFont val="Tahoma"/>
            <family val="2"/>
          </rPr>
          <t>ЗАМЕНИТЕ НА РЕАЛЬНЫЕ ДАННЫЕ.
ДЕМО, ЦЕЛЬ, Огурец,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25" authorId="0">
      <text>
        <r>
          <rPr>
            <sz val="8"/>
            <color indexed="81"/>
            <rFont val="Tahoma"/>
            <family val="2"/>
          </rPr>
          <t>ЗАМЕНИТЕ НА РЕАЛЬНЫЕ ДАННЫЕ.
ДЕМО, ЦЕЛЬ, Огурец,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25" authorId="0">
      <text>
        <r>
          <rPr>
            <sz val="8"/>
            <color indexed="81"/>
            <rFont val="Tahoma"/>
            <family val="2"/>
          </rPr>
          <t>ЗАМЕНИТЕ НА РЕАЛЬНЫЕ ДАННЫЕ.
ДЕМО, ЦЕЛЬ, Огурец,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25" authorId="0">
      <text>
        <r>
          <rPr>
            <sz val="8"/>
            <color indexed="81"/>
            <rFont val="Tahoma"/>
            <family val="2"/>
          </rPr>
          <t>ЗАМЕНИТЕ НА РЕАЛЬНЫЕ ДАННЫЕ.
ДЕМО, ЦЕЛЬ, Огурец,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25" authorId="0">
      <text>
        <r>
          <rPr>
            <sz val="8"/>
            <color indexed="81"/>
            <rFont val="Tahoma"/>
            <family val="2"/>
          </rPr>
          <t>ЗАМЕНИТЕ НА РЕАЛЬНЫЕ ДАННЫЕ.
ДЕМО, ЦЕЛЬ, Огурец,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25" authorId="0">
      <text>
        <r>
          <rPr>
            <sz val="8"/>
            <color indexed="81"/>
            <rFont val="Tahoma"/>
            <family val="2"/>
          </rPr>
          <t>ЗАМЕНИТЕ НА РЕАЛЬНЫЕ ДАННЫЕ.
ДЕМО, ЦЕЛЬ, Огурец,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25" authorId="0">
      <text>
        <r>
          <rPr>
            <sz val="8"/>
            <color indexed="81"/>
            <rFont val="Tahoma"/>
            <family val="2"/>
          </rPr>
          <t>ЗАМЕНИТЕ НА РЕАЛЬНЫЕ ДАННЫЕ.
ДЕМО, ЦЕЛЬ, Огурец,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25" authorId="0">
      <text>
        <r>
          <rPr>
            <sz val="8"/>
            <color indexed="81"/>
            <rFont val="Tahoma"/>
            <family val="2"/>
          </rPr>
          <t>ЗАМЕНИТЕ НА РЕАЛЬНЫЕ ДАННЫЕ.
ДЕМО, ЦЕЛЬ, Огурец,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25" authorId="0">
      <text>
        <r>
          <rPr>
            <sz val="8"/>
            <color indexed="81"/>
            <rFont val="Tahoma"/>
            <family val="2"/>
          </rPr>
          <t>ЗАМЕНИТЕ НА РЕАЛЬНЫЕ ДАННЫЕ.
ДЕМО, ЦЕЛЬ, Огурец,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26" authorId="0">
      <text>
        <r>
          <rPr>
            <sz val="8"/>
            <color indexed="81"/>
            <rFont val="Tahoma"/>
            <family val="2"/>
          </rPr>
          <t>ЗАМЕНИТЕ НА РЕАЛЬНЫЕ ДАННЫЕ.
ДЕМО, ЦЕЛЬ, Огурец,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26" authorId="0">
      <text>
        <r>
          <rPr>
            <sz val="8"/>
            <color indexed="81"/>
            <rFont val="Tahoma"/>
            <family val="2"/>
          </rPr>
          <t>ЗАМЕНИТЕ НА РЕАЛЬНЫЕ ДАННЫЕ.
ДЕМО, ЦЕЛЬ, Огурец,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26" authorId="0">
      <text>
        <r>
          <rPr>
            <sz val="8"/>
            <color indexed="81"/>
            <rFont val="Tahoma"/>
            <family val="2"/>
          </rPr>
          <t>ЗАМЕНИТЕ НА РЕАЛЬНЫЕ ДАННЫЕ.
ДЕМО, ЦЕЛЬ, Огурец,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26" authorId="0">
      <text>
        <r>
          <rPr>
            <sz val="8"/>
            <color indexed="81"/>
            <rFont val="Tahoma"/>
            <family val="2"/>
          </rPr>
          <t>ЗАМЕНИТЕ НА РЕАЛЬНЫЕ ДАННЫЕ.
ДЕМО, ЦЕЛЬ, Огурец,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26" authorId="0">
      <text>
        <r>
          <rPr>
            <sz val="8"/>
            <color indexed="81"/>
            <rFont val="Tahoma"/>
            <family val="2"/>
          </rPr>
          <t>ЗАМЕНИТЕ НА РЕАЛЬНЫЕ ДАННЫЕ.
ДЕМО, ЦЕЛЬ, Огурец,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26" authorId="0">
      <text>
        <r>
          <rPr>
            <sz val="8"/>
            <color indexed="81"/>
            <rFont val="Tahoma"/>
            <family val="2"/>
          </rPr>
          <t>ЗАМЕНИТЕ НА РЕАЛЬНЫЕ ДАННЫЕ.
ДЕМО, ЦЕЛЬ, Огурец,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26" authorId="0">
      <text>
        <r>
          <rPr>
            <sz val="8"/>
            <color indexed="81"/>
            <rFont val="Tahoma"/>
            <family val="2"/>
          </rPr>
          <t>ЗАМЕНИТЕ НА РЕАЛЬНЫЕ ДАННЫЕ.
ДЕМО, ЦЕЛЬ, Огурец,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26" authorId="0">
      <text>
        <r>
          <rPr>
            <sz val="8"/>
            <color indexed="81"/>
            <rFont val="Tahoma"/>
            <family val="2"/>
          </rPr>
          <t>ЗАМЕНИТЕ НА РЕАЛЬНЫЕ ДАННЫЕ.
ДЕМО, ЦЕЛЬ, Огурец,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26" authorId="0">
      <text>
        <r>
          <rPr>
            <sz val="8"/>
            <color indexed="81"/>
            <rFont val="Tahoma"/>
            <family val="2"/>
          </rPr>
          <t>ЗАМЕНИТЕ НА РЕАЛЬНЫЕ ДАННЫЕ.
ДЕМО, ЦЕЛЬ, Огурец,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26" authorId="0">
      <text>
        <r>
          <rPr>
            <sz val="8"/>
            <color indexed="81"/>
            <rFont val="Tahoma"/>
            <family val="2"/>
          </rPr>
          <t>ЗАМЕНИТЕ НА РЕАЛЬНЫЕ ДАННЫЕ.
ДЕМО, ЦЕЛЬ, Огурец,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28" authorId="0">
      <text>
        <r>
          <rPr>
            <sz val="8"/>
            <color indexed="81"/>
            <rFont val="Tahoma"/>
            <family val="2"/>
          </rPr>
          <t>ЗАМЕНИТЕ НА РЕАЛЬНЫЕ ДАННЫЕ.
ДЕМО, ЦЕЛЬ, Огурец,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28" authorId="0">
      <text>
        <r>
          <rPr>
            <sz val="8"/>
            <color indexed="81"/>
            <rFont val="Tahoma"/>
            <family val="2"/>
          </rPr>
          <t>ЗАМЕНИТЕ НА РЕАЛЬНЫЕ ДАННЫЕ.
ДЕМО, ЦЕЛЬ, Огурец,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28" authorId="0">
      <text>
        <r>
          <rPr>
            <sz val="8"/>
            <color indexed="81"/>
            <rFont val="Tahoma"/>
            <family val="2"/>
          </rPr>
          <t>ЗАМЕНИТЕ НА РЕАЛЬНЫЕ ДАННЫЕ.
ДЕМО, ЦЕЛЬ, Огурец,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28" authorId="0">
      <text>
        <r>
          <rPr>
            <sz val="8"/>
            <color indexed="81"/>
            <rFont val="Tahoma"/>
            <family val="2"/>
          </rPr>
          <t>ЗАМЕНИТЕ НА РЕАЛЬНЫЕ ДАННЫЕ.
ДЕМО, ЦЕЛЬ, Огурец,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28" authorId="0">
      <text>
        <r>
          <rPr>
            <sz val="8"/>
            <color indexed="81"/>
            <rFont val="Tahoma"/>
            <family val="2"/>
          </rPr>
          <t>ЗАМЕНИТЕ НА РЕАЛЬНЫЕ ДАННЫЕ.
ДЕМО, ЦЕЛЬ, Огурец,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28" authorId="0">
      <text>
        <r>
          <rPr>
            <sz val="8"/>
            <color indexed="81"/>
            <rFont val="Tahoma"/>
            <family val="2"/>
          </rPr>
          <t>ЗАМЕНИТЕ НА РЕАЛЬНЫЕ ДАННЫЕ.
ДЕМО, ЦЕЛЬ, Огурец,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28" authorId="0">
      <text>
        <r>
          <rPr>
            <sz val="8"/>
            <color indexed="81"/>
            <rFont val="Tahoma"/>
            <family val="2"/>
          </rPr>
          <t>ЗАМЕНИТЕ НА РЕАЛЬНЫЕ ДАННЫЕ.
ДЕМО, ЦЕЛЬ, Огурец,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28" authorId="0">
      <text>
        <r>
          <rPr>
            <sz val="8"/>
            <color indexed="81"/>
            <rFont val="Tahoma"/>
            <family val="2"/>
          </rPr>
          <t>ЗАМЕНИТЕ НА РЕАЛЬНЫЕ ДАННЫЕ.
ДЕМО, ЦЕЛЬ, Огурец,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28" authorId="0">
      <text>
        <r>
          <rPr>
            <sz val="8"/>
            <color indexed="81"/>
            <rFont val="Tahoma"/>
            <family val="2"/>
          </rPr>
          <t>ЗАМЕНИТЕ НА РЕАЛЬНЫЕ ДАННЫЕ.
ДЕМО, ЦЕЛЬ, Огурец,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28" authorId="0">
      <text>
        <r>
          <rPr>
            <sz val="8"/>
            <color indexed="81"/>
            <rFont val="Tahoma"/>
            <family val="2"/>
          </rPr>
          <t>ЗАМЕНИТЕ НА РЕАЛЬНЫЕ ДАННЫЕ.
ДЕМО, ЦЕЛЬ, Огурец,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29" authorId="0">
      <text>
        <r>
          <rPr>
            <sz val="8"/>
            <color indexed="81"/>
            <rFont val="Tahoma"/>
            <family val="2"/>
          </rPr>
          <t>ЗАМЕНИТЕ НА РЕАЛЬНЫЕ ДАННЫЕ.
ДЕМО, ЦЕЛЬ, Огурец,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29" authorId="0">
      <text>
        <r>
          <rPr>
            <sz val="8"/>
            <color indexed="81"/>
            <rFont val="Tahoma"/>
            <family val="2"/>
          </rPr>
          <t>ЗАМЕНИТЕ НА РЕАЛЬНЫЕ ДАННЫЕ.
ДЕМО, ЦЕЛЬ, Огурец,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29" authorId="0">
      <text>
        <r>
          <rPr>
            <sz val="8"/>
            <color indexed="81"/>
            <rFont val="Tahoma"/>
            <family val="2"/>
          </rPr>
          <t>ЗАМЕНИТЕ НА РЕАЛЬНЫЕ ДАННЫЕ.
ДЕМО, ЦЕЛЬ, Огурец,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29" authorId="0">
      <text>
        <r>
          <rPr>
            <sz val="8"/>
            <color indexed="81"/>
            <rFont val="Tahoma"/>
            <family val="2"/>
          </rPr>
          <t>ЗАМЕНИТЕ НА РЕАЛЬНЫЕ ДАННЫЕ.
ДЕМО, ЦЕЛЬ, Огурец,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29" authorId="0">
      <text>
        <r>
          <rPr>
            <sz val="8"/>
            <color indexed="81"/>
            <rFont val="Tahoma"/>
            <family val="2"/>
          </rPr>
          <t>ЗАМЕНИТЕ НА РЕАЛЬНЫЕ ДАННЫЕ.
ДЕМО, ЦЕЛЬ, Огурец,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29" authorId="0">
      <text>
        <r>
          <rPr>
            <sz val="8"/>
            <color indexed="81"/>
            <rFont val="Tahoma"/>
            <family val="2"/>
          </rPr>
          <t>ЗАМЕНИТЕ НА РЕАЛЬНЫЕ ДАННЫЕ.
ДЕМО, ЦЕЛЬ, Огурец,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29" authorId="0">
      <text>
        <r>
          <rPr>
            <sz val="8"/>
            <color indexed="81"/>
            <rFont val="Tahoma"/>
            <family val="2"/>
          </rPr>
          <t>ЗАМЕНИТЕ НА РЕАЛЬНЫЕ ДАННЫЕ.
ДЕМО, ЦЕЛЬ, Огурец,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29" authorId="0">
      <text>
        <r>
          <rPr>
            <sz val="8"/>
            <color indexed="81"/>
            <rFont val="Tahoma"/>
            <family val="2"/>
          </rPr>
          <t>ЗАМЕНИТЕ НА РЕАЛЬНЫЕ ДАННЫЕ.
ДЕМО, ЦЕЛЬ, Огурец,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29" authorId="0">
      <text>
        <r>
          <rPr>
            <sz val="8"/>
            <color indexed="81"/>
            <rFont val="Tahoma"/>
            <family val="2"/>
          </rPr>
          <t>ЗАМЕНИТЕ НА РЕАЛЬНЫЕ ДАННЫЕ.
ДЕМО, ЦЕЛЬ, Огурец,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29" authorId="0">
      <text>
        <r>
          <rPr>
            <sz val="8"/>
            <color indexed="81"/>
            <rFont val="Tahoma"/>
            <family val="2"/>
          </rPr>
          <t>ЗАМЕНИТЕ НА РЕАЛЬНЫЕ ДАННЫЕ.
ДЕМО, ЦЕЛЬ, Огурец,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30" authorId="0">
      <text>
        <r>
          <rPr>
            <sz val="8"/>
            <color indexed="81"/>
            <rFont val="Tahoma"/>
            <family val="2"/>
          </rPr>
          <t>ЗАМЕНИТЕ НА РЕАЛЬНЫЕ ДАННЫЕ.
ДЕМО, ЦЕЛЬ, Огурец,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30" authorId="0">
      <text>
        <r>
          <rPr>
            <sz val="8"/>
            <color indexed="81"/>
            <rFont val="Tahoma"/>
            <family val="2"/>
          </rPr>
          <t>ЗАМЕНИТЕ НА РЕАЛЬНЫЕ ДАННЫЕ.
ДЕМО, ЦЕЛЬ, Огурец,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30" authorId="0">
      <text>
        <r>
          <rPr>
            <sz val="8"/>
            <color indexed="81"/>
            <rFont val="Tahoma"/>
            <family val="2"/>
          </rPr>
          <t>ЗАМЕНИТЕ НА РЕАЛЬНЫЕ ДАННЫЕ.
ДЕМО, ЦЕЛЬ, Огурец,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30" authorId="0">
      <text>
        <r>
          <rPr>
            <sz val="8"/>
            <color indexed="81"/>
            <rFont val="Tahoma"/>
            <family val="2"/>
          </rPr>
          <t>ЗАМЕНИТЕ НА РЕАЛЬНЫЕ ДАННЫЕ.
ДЕМО, ЦЕЛЬ, Огурец,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30" authorId="0">
      <text>
        <r>
          <rPr>
            <sz val="8"/>
            <color indexed="81"/>
            <rFont val="Tahoma"/>
            <family val="2"/>
          </rPr>
          <t>ЗАМЕНИТЕ НА РЕАЛЬНЫЕ ДАННЫЕ.
ДЕМО, ЦЕЛЬ, Огурец,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30" authorId="0">
      <text>
        <r>
          <rPr>
            <sz val="8"/>
            <color indexed="81"/>
            <rFont val="Tahoma"/>
            <family val="2"/>
          </rPr>
          <t>ЗАМЕНИТЕ НА РЕАЛЬНЫЕ ДАННЫЕ.
ДЕМО, ЦЕЛЬ, Огурец,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30" authorId="0">
      <text>
        <r>
          <rPr>
            <sz val="8"/>
            <color indexed="81"/>
            <rFont val="Tahoma"/>
            <family val="2"/>
          </rPr>
          <t>ЗАМЕНИТЕ НА РЕАЛЬНЫЕ ДАННЫЕ.
ДЕМО, ЦЕЛЬ, Огурец,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30" authorId="0">
      <text>
        <r>
          <rPr>
            <sz val="8"/>
            <color indexed="81"/>
            <rFont val="Tahoma"/>
            <family val="2"/>
          </rPr>
          <t>ЗАМЕНИТЕ НА РЕАЛЬНЫЕ ДАННЫЕ.
ДЕМО, ЦЕЛЬ, Огурец,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30" authorId="0">
      <text>
        <r>
          <rPr>
            <sz val="8"/>
            <color indexed="81"/>
            <rFont val="Tahoma"/>
            <family val="2"/>
          </rPr>
          <t>ЗАМЕНИТЕ НА РЕАЛЬНЫЕ ДАННЫЕ.
ДЕМО, ЦЕЛЬ, Огурец,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30" authorId="0">
      <text>
        <r>
          <rPr>
            <sz val="8"/>
            <color indexed="81"/>
            <rFont val="Tahoma"/>
            <family val="2"/>
          </rPr>
          <t>ЗАМЕНИТЕ НА РЕАЛЬНЫЕ ДАННЫЕ.
ДЕМО, ЦЕЛЬ, Огурец,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31" authorId="0">
      <text>
        <r>
          <rPr>
            <sz val="8"/>
            <color indexed="81"/>
            <rFont val="Tahoma"/>
            <family val="2"/>
          </rPr>
          <t>ЗАМЕНИТЕ НА РЕАЛЬНЫЕ ДАННЫЕ.
ДЕМО, ЦЕЛЬ, Огурец,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31" authorId="0">
      <text>
        <r>
          <rPr>
            <sz val="8"/>
            <color indexed="81"/>
            <rFont val="Tahoma"/>
            <family val="2"/>
          </rPr>
          <t>ЗАМЕНИТЕ НА РЕАЛЬНЫЕ ДАННЫЕ.
ДЕМО, ЦЕЛЬ, Огурец,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31" authorId="0">
      <text>
        <r>
          <rPr>
            <sz val="8"/>
            <color indexed="81"/>
            <rFont val="Tahoma"/>
            <family val="2"/>
          </rPr>
          <t>ЗАМЕНИТЕ НА РЕАЛЬНЫЕ ДАННЫЕ.
ДЕМО, ЦЕЛЬ, Огурец,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31" authorId="0">
      <text>
        <r>
          <rPr>
            <sz val="8"/>
            <color indexed="81"/>
            <rFont val="Tahoma"/>
            <family val="2"/>
          </rPr>
          <t>ЗАМЕНИТЕ НА РЕАЛЬНЫЕ ДАННЫЕ.
ДЕМО, ЦЕЛЬ, Огурец,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31" authorId="0">
      <text>
        <r>
          <rPr>
            <sz val="8"/>
            <color indexed="81"/>
            <rFont val="Tahoma"/>
            <family val="2"/>
          </rPr>
          <t>ЗАМЕНИТЕ НА РЕАЛЬНЫЕ ДАННЫЕ.
ДЕМО, ЦЕЛЬ, Огурец,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31" authorId="0">
      <text>
        <r>
          <rPr>
            <sz val="8"/>
            <color indexed="81"/>
            <rFont val="Tahoma"/>
            <family val="2"/>
          </rPr>
          <t>ЗАМЕНИТЕ НА РЕАЛЬНЫЕ ДАННЫЕ.
ДЕМО, ЦЕЛЬ, Огурец,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31" authorId="0">
      <text>
        <r>
          <rPr>
            <sz val="8"/>
            <color indexed="81"/>
            <rFont val="Tahoma"/>
            <family val="2"/>
          </rPr>
          <t>ЗАМЕНИТЕ НА РЕАЛЬНЫЕ ДАННЫЕ.
ДЕМО, ЦЕЛЬ, Огурец,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31" authorId="0">
      <text>
        <r>
          <rPr>
            <sz val="8"/>
            <color indexed="81"/>
            <rFont val="Tahoma"/>
            <family val="2"/>
          </rPr>
          <t>ЗАМЕНИТЕ НА РЕАЛЬНЫЕ ДАННЫЕ.
ДЕМО, ЦЕЛЬ, Огурец,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31" authorId="0">
      <text>
        <r>
          <rPr>
            <sz val="8"/>
            <color indexed="81"/>
            <rFont val="Tahoma"/>
            <family val="2"/>
          </rPr>
          <t>ЗАМЕНИТЕ НА РЕАЛЬНЫЕ ДАННЫЕ.
ДЕМО, ЦЕЛЬ, Огурец,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31" authorId="0">
      <text>
        <r>
          <rPr>
            <sz val="8"/>
            <color indexed="81"/>
            <rFont val="Tahoma"/>
            <family val="2"/>
          </rPr>
          <t>ЗАМЕНИТЕ НА РЕАЛЬНЫЕ ДАННЫЕ.
ДЕМО, ЦЕЛЬ, Огурец,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32" authorId="0">
      <text>
        <r>
          <rPr>
            <sz val="8"/>
            <color indexed="81"/>
            <rFont val="Tahoma"/>
            <family val="2"/>
          </rPr>
          <t>ЗАМЕНИТЕ НА РЕАЛЬНЫЕ ДАННЫЕ.
ДЕМО, ЦЕЛЬ, Огурец,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32" authorId="0">
      <text>
        <r>
          <rPr>
            <sz val="8"/>
            <color indexed="81"/>
            <rFont val="Tahoma"/>
            <family val="2"/>
          </rPr>
          <t>ЗАМЕНИТЕ НА РЕАЛЬНЫЕ ДАННЫЕ.
ДЕМО, ЦЕЛЬ, Огурец,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32" authorId="0">
      <text>
        <r>
          <rPr>
            <sz val="8"/>
            <color indexed="81"/>
            <rFont val="Tahoma"/>
            <family val="2"/>
          </rPr>
          <t>ЗАМЕНИТЕ НА РЕАЛЬНЫЕ ДАННЫЕ.
ДЕМО, ЦЕЛЬ, Огурец,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32" authorId="0">
      <text>
        <r>
          <rPr>
            <sz val="8"/>
            <color indexed="81"/>
            <rFont val="Tahoma"/>
            <family val="2"/>
          </rPr>
          <t>ЗАМЕНИТЕ НА РЕАЛЬНЫЕ ДАННЫЕ.
ДЕМО, ЦЕЛЬ, Огурец,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32" authorId="0">
      <text>
        <r>
          <rPr>
            <sz val="8"/>
            <color indexed="81"/>
            <rFont val="Tahoma"/>
            <family val="2"/>
          </rPr>
          <t>ЗАМЕНИТЕ НА РЕАЛЬНЫЕ ДАННЫЕ.
ДЕМО, ЦЕЛЬ, Огурец,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32" authorId="0">
      <text>
        <r>
          <rPr>
            <sz val="8"/>
            <color indexed="81"/>
            <rFont val="Tahoma"/>
            <family val="2"/>
          </rPr>
          <t>ЗАМЕНИТЕ НА РЕАЛЬНЫЕ ДАННЫЕ.
ДЕМО, ЦЕЛЬ, Огурец,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32" authorId="0">
      <text>
        <r>
          <rPr>
            <sz val="8"/>
            <color indexed="81"/>
            <rFont val="Tahoma"/>
            <family val="2"/>
          </rPr>
          <t>ЗАМЕНИТЕ НА РЕАЛЬНЫЕ ДАННЫЕ.
ДЕМО, ЦЕЛЬ, Огурец,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32" authorId="0">
      <text>
        <r>
          <rPr>
            <sz val="8"/>
            <color indexed="81"/>
            <rFont val="Tahoma"/>
            <family val="2"/>
          </rPr>
          <t>ЗАМЕНИТЕ НА РЕАЛЬНЫЕ ДАННЫЕ.
ДЕМО, ЦЕЛЬ, Огурец,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32" authorId="0">
      <text>
        <r>
          <rPr>
            <sz val="8"/>
            <color indexed="81"/>
            <rFont val="Tahoma"/>
            <family val="2"/>
          </rPr>
          <t>ЗАМЕНИТЕ НА РЕАЛЬНЫЕ ДАННЫЕ.
ДЕМО, ЦЕЛЬ, Огурец,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32" authorId="0">
      <text>
        <r>
          <rPr>
            <sz val="8"/>
            <color indexed="81"/>
            <rFont val="Tahoma"/>
            <family val="2"/>
          </rPr>
          <t>ЗАМЕНИТЕ НА РЕАЛЬНЫЕ ДАННЫЕ.
ДЕМО, ЦЕЛЬ, Огурец,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41" authorId="0">
      <text>
        <r>
          <rPr>
            <sz val="8"/>
            <color indexed="81"/>
            <rFont val="Tahoma"/>
            <family val="2"/>
          </rPr>
          <t>ЗАМЕНИТЕ НА РЕАЛЬНЫЕ ДАННЫЕ.
Редис, цикл 1. 0 исключает все элементы данного цикла, а не один выброс.</t>
        </r>
      </text>
    </comment>
    <comment ref="F241" authorId="0">
      <text>
        <r>
          <rPr>
            <sz val="8"/>
            <color indexed="81"/>
            <rFont val="Tahoma"/>
            <family val="2"/>
          </rPr>
          <t>ЗАМЕНИТЕ НА РЕАЛЬНЫЕ ДАННЫЕ.
Редис, цикл 2. 0 исключает все элементы данного цикла, а не один выброс.</t>
        </r>
      </text>
    </comment>
    <comment ref="G241" authorId="0">
      <text>
        <r>
          <rPr>
            <sz val="8"/>
            <color indexed="81"/>
            <rFont val="Tahoma"/>
            <family val="2"/>
          </rPr>
          <t>ЗАМЕНИТЕ НА РЕАЛЬНЫЕ ДАННЫЕ.
Редис, цикл 3. 0 исключает все элементы данного цикла, а не один выброс.</t>
        </r>
      </text>
    </comment>
    <comment ref="H241" authorId="0">
      <text>
        <r>
          <rPr>
            <sz val="8"/>
            <color indexed="81"/>
            <rFont val="Tahoma"/>
            <family val="2"/>
          </rPr>
          <t>ЗАМЕНИТЕ НА РЕАЛЬНЫЕ ДАННЫЕ.
Редис, цикл 4. 0 исключает все элементы данного цикла, а не один выброс.</t>
        </r>
      </text>
    </comment>
    <comment ref="I241" authorId="0">
      <text>
        <r>
          <rPr>
            <sz val="8"/>
            <color indexed="81"/>
            <rFont val="Tahoma"/>
            <family val="2"/>
          </rPr>
          <t>ЗАМЕНИТЕ НА РЕАЛЬНЫЕ ДАННЫЕ.
Редис, цикл 5. 0 исключает все элементы данного цикла, а не один выброс.</t>
        </r>
      </text>
    </comment>
    <comment ref="J241" authorId="0">
      <text>
        <r>
          <rPr>
            <sz val="8"/>
            <color indexed="81"/>
            <rFont val="Tahoma"/>
            <family val="2"/>
          </rPr>
          <t>ЗАМЕНИТЕ НА РЕАЛЬНЫЕ ДАННЫЕ.
Редис, цикл 6. 0 исключает все элементы данного цикла, а не один выброс.</t>
        </r>
      </text>
    </comment>
    <comment ref="K241" authorId="0">
      <text>
        <r>
          <rPr>
            <sz val="8"/>
            <color indexed="81"/>
            <rFont val="Tahoma"/>
            <family val="2"/>
          </rPr>
          <t>ЗАМЕНИТЕ НА РЕАЛЬНЫЕ ДАННЫЕ.
Редис, цикл 7. 0 исключает все элементы данного цикла, а не один выброс.</t>
        </r>
      </text>
    </comment>
    <comment ref="L241" authorId="0">
      <text>
        <r>
          <rPr>
            <sz val="8"/>
            <color indexed="81"/>
            <rFont val="Tahoma"/>
            <family val="2"/>
          </rPr>
          <t>ЗАМЕНИТЕ НА РЕАЛЬНЫЕ ДАННЫЕ.
Редис, цикл 8. 0 исключает все элементы данного цикла, а не один выброс.</t>
        </r>
      </text>
    </comment>
    <comment ref="M241" authorId="0">
      <text>
        <r>
          <rPr>
            <sz val="8"/>
            <color indexed="81"/>
            <rFont val="Tahoma"/>
            <family val="2"/>
          </rPr>
          <t>ЗАМЕНИТЕ НА РЕАЛЬНЫЕ ДАННЫЕ.
Редис, цикл 9. 0 исключает все элементы данного цикла, а не один выброс.</t>
        </r>
      </text>
    </comment>
    <comment ref="N241" authorId="0">
      <text>
        <r>
          <rPr>
            <sz val="8"/>
            <color indexed="81"/>
            <rFont val="Tahoma"/>
            <family val="2"/>
          </rPr>
          <t>ЗАМЕНИТЕ НА РЕАЛЬНЫЕ ДАННЫЕ.
Редис, цикл 10. 0 исключает все элементы данного цикла, а не один выброс.</t>
        </r>
      </text>
    </comment>
    <comment ref="E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42"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43" authorId="0">
      <text>
        <r>
          <rPr>
            <sz val="8"/>
            <color indexed="81"/>
            <rFont val="Tahoma"/>
            <family val="2"/>
          </rPr>
          <t>ЗАМЕНИТЕ НА РЕАЛЬНЫЕ ДАННЫЕ.
ДЕМО, ЦЕЛЬ, Редис,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43" authorId="0">
      <text>
        <r>
          <rPr>
            <sz val="8"/>
            <color indexed="81"/>
            <rFont val="Tahoma"/>
            <family val="2"/>
          </rPr>
          <t>ЗАМЕНИТЕ НА РЕАЛЬНЫЕ ДАННЫЕ.
ДЕМО, ЦЕЛЬ, Редис,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43" authorId="0">
      <text>
        <r>
          <rPr>
            <sz val="8"/>
            <color indexed="81"/>
            <rFont val="Tahoma"/>
            <family val="2"/>
          </rPr>
          <t>ЗАМЕНИТЕ НА РЕАЛЬНЫЕ ДАННЫЕ.
ДЕМО, ЦЕЛЬ, Редис,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43" authorId="0">
      <text>
        <r>
          <rPr>
            <sz val="8"/>
            <color indexed="81"/>
            <rFont val="Tahoma"/>
            <family val="2"/>
          </rPr>
          <t>ЗАМЕНИТЕ НА РЕАЛЬНЫЕ ДАННЫЕ.
ДЕМО, ЦЕЛЬ, Редис,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43" authorId="0">
      <text>
        <r>
          <rPr>
            <sz val="8"/>
            <color indexed="81"/>
            <rFont val="Tahoma"/>
            <family val="2"/>
          </rPr>
          <t>ЗАМЕНИТЕ НА РЕАЛЬНЫЕ ДАННЫЕ.
ДЕМО, ЦЕЛЬ, Редис,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43" authorId="0">
      <text>
        <r>
          <rPr>
            <sz val="8"/>
            <color indexed="81"/>
            <rFont val="Tahoma"/>
            <family val="2"/>
          </rPr>
          <t>ЗАМЕНИТЕ НА РЕАЛЬНЫЕ ДАННЫЕ.
ДЕМО, ЦЕЛЬ, Редис,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43" authorId="0">
      <text>
        <r>
          <rPr>
            <sz val="8"/>
            <color indexed="81"/>
            <rFont val="Tahoma"/>
            <family val="2"/>
          </rPr>
          <t>ЗАМЕНИТЕ НА РЕАЛЬНЫЕ ДАННЫЕ.
ДЕМО, ЦЕЛЬ, Редис,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43" authorId="0">
      <text>
        <r>
          <rPr>
            <sz val="8"/>
            <color indexed="81"/>
            <rFont val="Tahoma"/>
            <family val="2"/>
          </rPr>
          <t>ЗАМЕНИТЕ НА РЕАЛЬНЫЕ ДАННЫЕ.
ДЕМО, ЦЕЛЬ, Редис,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43" authorId="0">
      <text>
        <r>
          <rPr>
            <sz val="8"/>
            <color indexed="81"/>
            <rFont val="Tahoma"/>
            <family val="2"/>
          </rPr>
          <t>ЗАМЕНИТЕ НА РЕАЛЬНЫЕ ДАННЫЕ.
ДЕМО, ЦЕЛЬ, Редис,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43" authorId="0">
      <text>
        <r>
          <rPr>
            <sz val="8"/>
            <color indexed="81"/>
            <rFont val="Tahoma"/>
            <family val="2"/>
          </rPr>
          <t>ЗАМЕНИТЕ НА РЕАЛЬНЫЕ ДАННЫЕ.
ДЕМО, ЦЕЛЬ, Редис,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44" authorId="0">
      <text>
        <r>
          <rPr>
            <sz val="8"/>
            <color indexed="81"/>
            <rFont val="Tahoma"/>
            <family val="2"/>
          </rPr>
          <t>ЗАМЕНИТЕ НА РЕАЛЬНЫЕ ДАННЫЕ.
ДЕМО, ЦЕЛЬ, Редис,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44" authorId="0">
      <text>
        <r>
          <rPr>
            <sz val="8"/>
            <color indexed="81"/>
            <rFont val="Tahoma"/>
            <family val="2"/>
          </rPr>
          <t>ЗАМЕНИТЕ НА РЕАЛЬНЫЕ ДАННЫЕ.
ДЕМО, ЦЕЛЬ, Редис,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44" authorId="0">
      <text>
        <r>
          <rPr>
            <sz val="8"/>
            <color indexed="81"/>
            <rFont val="Tahoma"/>
            <family val="2"/>
          </rPr>
          <t>ЗАМЕНИТЕ НА РЕАЛЬНЫЕ ДАННЫЕ.
ДЕМО, ЦЕЛЬ, Редис,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44" authorId="0">
      <text>
        <r>
          <rPr>
            <sz val="8"/>
            <color indexed="81"/>
            <rFont val="Tahoma"/>
            <family val="2"/>
          </rPr>
          <t>ЗАМЕНИТЕ НА РЕАЛЬНЫЕ ДАННЫЕ.
ДЕМО, ЦЕЛЬ, Редис,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44" authorId="0">
      <text>
        <r>
          <rPr>
            <sz val="8"/>
            <color indexed="81"/>
            <rFont val="Tahoma"/>
            <family val="2"/>
          </rPr>
          <t>ЗАМЕНИТЕ НА РЕАЛЬНЫЕ ДАННЫЕ.
ДЕМО, ЦЕЛЬ, Редис,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44" authorId="0">
      <text>
        <r>
          <rPr>
            <sz val="8"/>
            <color indexed="81"/>
            <rFont val="Tahoma"/>
            <family val="2"/>
          </rPr>
          <t>ЗАМЕНИТЕ НА РЕАЛЬНЫЕ ДАННЫЕ.
ДЕМО, ЦЕЛЬ, Редис,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44" authorId="0">
      <text>
        <r>
          <rPr>
            <sz val="8"/>
            <color indexed="81"/>
            <rFont val="Tahoma"/>
            <family val="2"/>
          </rPr>
          <t>ЗАМЕНИТЕ НА РЕАЛЬНЫЕ ДАННЫЕ.
ДЕМО, ЦЕЛЬ, Редис,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44" authorId="0">
      <text>
        <r>
          <rPr>
            <sz val="8"/>
            <color indexed="81"/>
            <rFont val="Tahoma"/>
            <family val="2"/>
          </rPr>
          <t>ЗАМЕНИТЕ НА РЕАЛЬНЫЕ ДАННЫЕ.
ДЕМО, ЦЕЛЬ, Редис,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44" authorId="0">
      <text>
        <r>
          <rPr>
            <sz val="8"/>
            <color indexed="81"/>
            <rFont val="Tahoma"/>
            <family val="2"/>
          </rPr>
          <t>ЗАМЕНИТЕ НА РЕАЛЬНЫЕ ДАННЫЕ.
ДЕМО, ЦЕЛЬ, Редис,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44" authorId="0">
      <text>
        <r>
          <rPr>
            <sz val="8"/>
            <color indexed="81"/>
            <rFont val="Tahoma"/>
            <family val="2"/>
          </rPr>
          <t>ЗАМЕНИТЕ НА РЕАЛЬНЫЕ ДАННЫЕ.
ДЕМО, ЦЕЛЬ, Редис,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45" authorId="0">
      <text>
        <r>
          <rPr>
            <sz val="8"/>
            <color indexed="81"/>
            <rFont val="Tahoma"/>
            <family val="2"/>
          </rPr>
          <t>ЗАМЕНИТЕ НА РЕАЛЬНЫЕ ДАННЫЕ.
ДЕМО, ЦЕЛЬ, Редис,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45" authorId="0">
      <text>
        <r>
          <rPr>
            <sz val="8"/>
            <color indexed="81"/>
            <rFont val="Tahoma"/>
            <family val="2"/>
          </rPr>
          <t>ЗАМЕНИТЕ НА РЕАЛЬНЫЕ ДАННЫЕ.
ДЕМО, ЦЕЛЬ, Редис,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45" authorId="0">
      <text>
        <r>
          <rPr>
            <sz val="8"/>
            <color indexed="81"/>
            <rFont val="Tahoma"/>
            <family val="2"/>
          </rPr>
          <t>ЗАМЕНИТЕ НА РЕАЛЬНЫЕ ДАННЫЕ.
ДЕМО, ЦЕЛЬ, Редис,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45" authorId="0">
      <text>
        <r>
          <rPr>
            <sz val="8"/>
            <color indexed="81"/>
            <rFont val="Tahoma"/>
            <family val="2"/>
          </rPr>
          <t>ЗАМЕНИТЕ НА РЕАЛЬНЫЕ ДАННЫЕ.
ДЕМО, ЦЕЛЬ, Редис,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45" authorId="0">
      <text>
        <r>
          <rPr>
            <sz val="8"/>
            <color indexed="81"/>
            <rFont val="Tahoma"/>
            <family val="2"/>
          </rPr>
          <t>ЗАМЕНИТЕ НА РЕАЛЬНЫЕ ДАННЫЕ.
ДЕМО, ЦЕЛЬ, Редис,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45" authorId="0">
      <text>
        <r>
          <rPr>
            <sz val="8"/>
            <color indexed="81"/>
            <rFont val="Tahoma"/>
            <family val="2"/>
          </rPr>
          <t>ЗАМЕНИТЕ НА РЕАЛЬНЫЕ ДАННЫЕ.
ДЕМО, ЦЕЛЬ, Редис,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45" authorId="0">
      <text>
        <r>
          <rPr>
            <sz val="8"/>
            <color indexed="81"/>
            <rFont val="Tahoma"/>
            <family val="2"/>
          </rPr>
          <t>ЗАМЕНИТЕ НА РЕАЛЬНЫЕ ДАННЫЕ.
ДЕМО, ЦЕЛЬ, Редис,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45" authorId="0">
      <text>
        <r>
          <rPr>
            <sz val="8"/>
            <color indexed="81"/>
            <rFont val="Tahoma"/>
            <family val="2"/>
          </rPr>
          <t>ЗАМЕНИТЕ НА РЕАЛЬНЫЕ ДАННЫЕ.
ДЕМО, ЦЕЛЬ, Редис,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45" authorId="0">
      <text>
        <r>
          <rPr>
            <sz val="8"/>
            <color indexed="81"/>
            <rFont val="Tahoma"/>
            <family val="2"/>
          </rPr>
          <t>ЗАМЕНИТЕ НА РЕАЛЬНЫЕ ДАННЫЕ.
ДЕМО, ЦЕЛЬ, Редис,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45" authorId="0">
      <text>
        <r>
          <rPr>
            <sz val="8"/>
            <color indexed="81"/>
            <rFont val="Tahoma"/>
            <family val="2"/>
          </rPr>
          <t>ЗАМЕНИТЕ НА РЕАЛЬНЫЕ ДАННЫЕ.
ДЕМО, ЦЕЛЬ, Редис,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46" authorId="0">
      <text>
        <r>
          <rPr>
            <sz val="8"/>
            <color indexed="81"/>
            <rFont val="Tahoma"/>
            <family val="2"/>
          </rPr>
          <t>ЗАМЕНИТЕ НА РЕАЛЬНЫЕ ДАННЫЕ.
ДЕМО, ЦЕЛЬ, Редис,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46" authorId="0">
      <text>
        <r>
          <rPr>
            <sz val="8"/>
            <color indexed="81"/>
            <rFont val="Tahoma"/>
            <family val="2"/>
          </rPr>
          <t>ЗАМЕНИТЕ НА РЕАЛЬНЫЕ ДАННЫЕ.
ДЕМО, ЦЕЛЬ, Редис,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46" authorId="0">
      <text>
        <r>
          <rPr>
            <sz val="8"/>
            <color indexed="81"/>
            <rFont val="Tahoma"/>
            <family val="2"/>
          </rPr>
          <t>ЗАМЕНИТЕ НА РЕАЛЬНЫЕ ДАННЫЕ.
ДЕМО, ЦЕЛЬ, Редис,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46" authorId="0">
      <text>
        <r>
          <rPr>
            <sz val="8"/>
            <color indexed="81"/>
            <rFont val="Tahoma"/>
            <family val="2"/>
          </rPr>
          <t>ЗАМЕНИТЕ НА РЕАЛЬНЫЕ ДАННЫЕ.
ДЕМО, ЦЕЛЬ, Редис,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46" authorId="0">
      <text>
        <r>
          <rPr>
            <sz val="8"/>
            <color indexed="81"/>
            <rFont val="Tahoma"/>
            <family val="2"/>
          </rPr>
          <t>ЗАМЕНИТЕ НА РЕАЛЬНЫЕ ДАННЫЕ.
ДЕМО, ЦЕЛЬ, Редис,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46" authorId="0">
      <text>
        <r>
          <rPr>
            <sz val="8"/>
            <color indexed="81"/>
            <rFont val="Tahoma"/>
            <family val="2"/>
          </rPr>
          <t>ЗАМЕНИТЕ НА РЕАЛЬНЫЕ ДАННЫЕ.
ДЕМО, ЦЕЛЬ, Редис,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46" authorId="0">
      <text>
        <r>
          <rPr>
            <sz val="8"/>
            <color indexed="81"/>
            <rFont val="Tahoma"/>
            <family val="2"/>
          </rPr>
          <t>ЗАМЕНИТЕ НА РЕАЛЬНЫЕ ДАННЫЕ.
ДЕМО, ЦЕЛЬ, Редис,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46" authorId="0">
      <text>
        <r>
          <rPr>
            <sz val="8"/>
            <color indexed="81"/>
            <rFont val="Tahoma"/>
            <family val="2"/>
          </rPr>
          <t>ЗАМЕНИТЕ НА РЕАЛЬНЫЕ ДАННЫЕ.
ДЕМО, ЦЕЛЬ, Редис,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46" authorId="0">
      <text>
        <r>
          <rPr>
            <sz val="8"/>
            <color indexed="81"/>
            <rFont val="Tahoma"/>
            <family val="2"/>
          </rPr>
          <t>ЗАМЕНИТЕ НА РЕАЛЬНЫЕ ДАННЫЕ.
ДЕМО, ЦЕЛЬ, Редис,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46" authorId="0">
      <text>
        <r>
          <rPr>
            <sz val="8"/>
            <color indexed="81"/>
            <rFont val="Tahoma"/>
            <family val="2"/>
          </rPr>
          <t>ЗАМЕНИТЕ НА РЕАЛЬНЫЕ ДАННЫЕ.
ДЕМО, ЦЕЛЬ, Редис,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47" authorId="0">
      <text>
        <r>
          <rPr>
            <sz val="8"/>
            <color indexed="81"/>
            <rFont val="Tahoma"/>
            <family val="2"/>
          </rPr>
          <t>ЗАМЕНИТЕ НА РЕАЛЬНЫЕ ДАННЫЕ.
ДЕМО, ЦЕЛЬ, Редис,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47" authorId="0">
      <text>
        <r>
          <rPr>
            <sz val="8"/>
            <color indexed="81"/>
            <rFont val="Tahoma"/>
            <family val="2"/>
          </rPr>
          <t>ЗАМЕНИТЕ НА РЕАЛЬНЫЕ ДАННЫЕ.
ДЕМО, ЦЕЛЬ, Редис,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47" authorId="0">
      <text>
        <r>
          <rPr>
            <sz val="8"/>
            <color indexed="81"/>
            <rFont val="Tahoma"/>
            <family val="2"/>
          </rPr>
          <t>ЗАМЕНИТЕ НА РЕАЛЬНЫЕ ДАННЫЕ.
ДЕМО, ЦЕЛЬ, Редис,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47" authorId="0">
      <text>
        <r>
          <rPr>
            <sz val="8"/>
            <color indexed="81"/>
            <rFont val="Tahoma"/>
            <family val="2"/>
          </rPr>
          <t>ЗАМЕНИТЕ НА РЕАЛЬНЫЕ ДАННЫЕ.
ДЕМО, ЦЕЛЬ, Редис,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47" authorId="0">
      <text>
        <r>
          <rPr>
            <sz val="8"/>
            <color indexed="81"/>
            <rFont val="Tahoma"/>
            <family val="2"/>
          </rPr>
          <t>ЗАМЕНИТЕ НА РЕАЛЬНЫЕ ДАННЫЕ.
ДЕМО, ЦЕЛЬ, Редис,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47" authorId="0">
      <text>
        <r>
          <rPr>
            <sz val="8"/>
            <color indexed="81"/>
            <rFont val="Tahoma"/>
            <family val="2"/>
          </rPr>
          <t>ЗАМЕНИТЕ НА РЕАЛЬНЫЕ ДАННЫЕ.
ДЕМО, ЦЕЛЬ, Редис,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47" authorId="0">
      <text>
        <r>
          <rPr>
            <sz val="8"/>
            <color indexed="81"/>
            <rFont val="Tahoma"/>
            <family val="2"/>
          </rPr>
          <t>ЗАМЕНИТЕ НА РЕАЛЬНЫЕ ДАННЫЕ.
ДЕМО, ЦЕЛЬ, Редис,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47" authorId="0">
      <text>
        <r>
          <rPr>
            <sz val="8"/>
            <color indexed="81"/>
            <rFont val="Tahoma"/>
            <family val="2"/>
          </rPr>
          <t>ЗАМЕНИТЕ НА РЕАЛЬНЫЕ ДАННЫЕ.
ДЕМО, ЦЕЛЬ, Редис,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47" authorId="0">
      <text>
        <r>
          <rPr>
            <sz val="8"/>
            <color indexed="81"/>
            <rFont val="Tahoma"/>
            <family val="2"/>
          </rPr>
          <t>ЗАМЕНИТЕ НА РЕАЛЬНЫЕ ДАННЫЕ.
ДЕМО, ЦЕЛЬ, Редис,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47" authorId="0">
      <text>
        <r>
          <rPr>
            <sz val="8"/>
            <color indexed="81"/>
            <rFont val="Tahoma"/>
            <family val="2"/>
          </rPr>
          <t>ЗАМЕНИТЕ НА РЕАЛЬНЫЕ ДАННЫЕ.
ДЕМО, ЦЕЛЬ, Редис,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49" authorId="0">
      <text>
        <r>
          <rPr>
            <sz val="8"/>
            <color indexed="81"/>
            <rFont val="Tahoma"/>
            <family val="2"/>
          </rPr>
          <t>ЗАМЕНИТЕ НА РЕАЛЬНЫЕ ДАННЫЕ.
ДЕМО, ЦЕЛЬ, Редис,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49" authorId="0">
      <text>
        <r>
          <rPr>
            <sz val="8"/>
            <color indexed="81"/>
            <rFont val="Tahoma"/>
            <family val="2"/>
          </rPr>
          <t>ЗАМЕНИТЕ НА РЕАЛЬНЫЕ ДАННЫЕ.
ДЕМО, ЦЕЛЬ, Редис,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49" authorId="0">
      <text>
        <r>
          <rPr>
            <sz val="8"/>
            <color indexed="81"/>
            <rFont val="Tahoma"/>
            <family val="2"/>
          </rPr>
          <t>ЗАМЕНИТЕ НА РЕАЛЬНЫЕ ДАННЫЕ.
ДЕМО, ЦЕЛЬ, Редис,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49" authorId="0">
      <text>
        <r>
          <rPr>
            <sz val="8"/>
            <color indexed="81"/>
            <rFont val="Tahoma"/>
            <family val="2"/>
          </rPr>
          <t>ЗАМЕНИТЕ НА РЕАЛЬНЫЕ ДАННЫЕ.
ДЕМО, ЦЕЛЬ, Редис,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49" authorId="0">
      <text>
        <r>
          <rPr>
            <sz val="8"/>
            <color indexed="81"/>
            <rFont val="Tahoma"/>
            <family val="2"/>
          </rPr>
          <t>ЗАМЕНИТЕ НА РЕАЛЬНЫЕ ДАННЫЕ.
ДЕМО, ЦЕЛЬ, Редис,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49" authorId="0">
      <text>
        <r>
          <rPr>
            <sz val="8"/>
            <color indexed="81"/>
            <rFont val="Tahoma"/>
            <family val="2"/>
          </rPr>
          <t>ЗАМЕНИТЕ НА РЕАЛЬНЫЕ ДАННЫЕ.
ДЕМО, ЦЕЛЬ, Редис,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49" authorId="0">
      <text>
        <r>
          <rPr>
            <sz val="8"/>
            <color indexed="81"/>
            <rFont val="Tahoma"/>
            <family val="2"/>
          </rPr>
          <t>ЗАМЕНИТЕ НА РЕАЛЬНЫЕ ДАННЫЕ.
ДЕМО, ЦЕЛЬ, Редис,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49" authorId="0">
      <text>
        <r>
          <rPr>
            <sz val="8"/>
            <color indexed="81"/>
            <rFont val="Tahoma"/>
            <family val="2"/>
          </rPr>
          <t>ЗАМЕНИТЕ НА РЕАЛЬНЫЕ ДАННЫЕ.
ДЕМО, ЦЕЛЬ, Редис,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49" authorId="0">
      <text>
        <r>
          <rPr>
            <sz val="8"/>
            <color indexed="81"/>
            <rFont val="Tahoma"/>
            <family val="2"/>
          </rPr>
          <t>ЗАМЕНИТЕ НА РЕАЛЬНЫЕ ДАННЫЕ.
ДЕМО, ЦЕЛЬ, Редис,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49" authorId="0">
      <text>
        <r>
          <rPr>
            <sz val="8"/>
            <color indexed="81"/>
            <rFont val="Tahoma"/>
            <family val="2"/>
          </rPr>
          <t>ЗАМЕНИТЕ НА РЕАЛЬНЫЕ ДАННЫЕ.
ДЕМО, ЦЕЛЬ, Редис,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50" authorId="0">
      <text>
        <r>
          <rPr>
            <sz val="8"/>
            <color indexed="81"/>
            <rFont val="Tahoma"/>
            <family val="2"/>
          </rPr>
          <t>ЗАМЕНИТЕ НА РЕАЛЬНЫЕ ДАННЫЕ.
ДЕМО, ЦЕЛЬ, Редис,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50" authorId="0">
      <text>
        <r>
          <rPr>
            <sz val="8"/>
            <color indexed="81"/>
            <rFont val="Tahoma"/>
            <family val="2"/>
          </rPr>
          <t>ЗАМЕНИТЕ НА РЕАЛЬНЫЕ ДАННЫЕ.
ДЕМО, ЦЕЛЬ, Редис,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50" authorId="0">
      <text>
        <r>
          <rPr>
            <sz val="8"/>
            <color indexed="81"/>
            <rFont val="Tahoma"/>
            <family val="2"/>
          </rPr>
          <t>ЗАМЕНИТЕ НА РЕАЛЬНЫЕ ДАННЫЕ.
ДЕМО, ЦЕЛЬ, Редис,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50" authorId="0">
      <text>
        <r>
          <rPr>
            <sz val="8"/>
            <color indexed="81"/>
            <rFont val="Tahoma"/>
            <family val="2"/>
          </rPr>
          <t>ЗАМЕНИТЕ НА РЕАЛЬНЫЕ ДАННЫЕ.
ДЕМО, ЦЕЛЬ, Редис,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50" authorId="0">
      <text>
        <r>
          <rPr>
            <sz val="8"/>
            <color indexed="81"/>
            <rFont val="Tahoma"/>
            <family val="2"/>
          </rPr>
          <t>ЗАМЕНИТЕ НА РЕАЛЬНЫЕ ДАННЫЕ.
ДЕМО, ЦЕЛЬ, Редис,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50" authorId="0">
      <text>
        <r>
          <rPr>
            <sz val="8"/>
            <color indexed="81"/>
            <rFont val="Tahoma"/>
            <family val="2"/>
          </rPr>
          <t>ЗАМЕНИТЕ НА РЕАЛЬНЫЕ ДАННЫЕ.
ДЕМО, ЦЕЛЬ, Редис,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50" authorId="0">
      <text>
        <r>
          <rPr>
            <sz val="8"/>
            <color indexed="81"/>
            <rFont val="Tahoma"/>
            <family val="2"/>
          </rPr>
          <t>ЗАМЕНИТЕ НА РЕАЛЬНЫЕ ДАННЫЕ.
ДЕМО, ЦЕЛЬ, Редис,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50" authorId="0">
      <text>
        <r>
          <rPr>
            <sz val="8"/>
            <color indexed="81"/>
            <rFont val="Tahoma"/>
            <family val="2"/>
          </rPr>
          <t>ЗАМЕНИТЕ НА РЕАЛЬНЫЕ ДАННЫЕ.
ДЕМО, ЦЕЛЬ, Редис,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50" authorId="0">
      <text>
        <r>
          <rPr>
            <sz val="8"/>
            <color indexed="81"/>
            <rFont val="Tahoma"/>
            <family val="2"/>
          </rPr>
          <t>ЗАМЕНИТЕ НА РЕАЛЬНЫЕ ДАННЫЕ.
ДЕМО, ЦЕЛЬ, Редис,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50" authorId="0">
      <text>
        <r>
          <rPr>
            <sz val="8"/>
            <color indexed="81"/>
            <rFont val="Tahoma"/>
            <family val="2"/>
          </rPr>
          <t>ЗАМЕНИТЕ НА РЕАЛЬНЫЕ ДАННЫЕ.
ДЕМО, ЦЕЛЬ, Редис,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51" authorId="0">
      <text>
        <r>
          <rPr>
            <sz val="8"/>
            <color indexed="81"/>
            <rFont val="Tahoma"/>
            <family val="2"/>
          </rPr>
          <t>ЗАМЕНИТЕ НА РЕАЛЬНЫЕ ДАННЫЕ.
ДЕМО, ЦЕЛЬ, Редис,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51" authorId="0">
      <text>
        <r>
          <rPr>
            <sz val="8"/>
            <color indexed="81"/>
            <rFont val="Tahoma"/>
            <family val="2"/>
          </rPr>
          <t>ЗАМЕНИТЕ НА РЕАЛЬНЫЕ ДАННЫЕ.
ДЕМО, ЦЕЛЬ, Редис,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51" authorId="0">
      <text>
        <r>
          <rPr>
            <sz val="8"/>
            <color indexed="81"/>
            <rFont val="Tahoma"/>
            <family val="2"/>
          </rPr>
          <t>ЗАМЕНИТЕ НА РЕАЛЬНЫЕ ДАННЫЕ.
ДЕМО, ЦЕЛЬ, Редис,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51" authorId="0">
      <text>
        <r>
          <rPr>
            <sz val="8"/>
            <color indexed="81"/>
            <rFont val="Tahoma"/>
            <family val="2"/>
          </rPr>
          <t>ЗАМЕНИТЕ НА РЕАЛЬНЫЕ ДАННЫЕ.
ДЕМО, ЦЕЛЬ, Редис,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51" authorId="0">
      <text>
        <r>
          <rPr>
            <sz val="8"/>
            <color indexed="81"/>
            <rFont val="Tahoma"/>
            <family val="2"/>
          </rPr>
          <t>ЗАМЕНИТЕ НА РЕАЛЬНЫЕ ДАННЫЕ.
ДЕМО, ЦЕЛЬ, Редис,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51" authorId="0">
      <text>
        <r>
          <rPr>
            <sz val="8"/>
            <color indexed="81"/>
            <rFont val="Tahoma"/>
            <family val="2"/>
          </rPr>
          <t>ЗАМЕНИТЕ НА РЕАЛЬНЫЕ ДАННЫЕ.
ДЕМО, ЦЕЛЬ, Редис,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51" authorId="0">
      <text>
        <r>
          <rPr>
            <sz val="8"/>
            <color indexed="81"/>
            <rFont val="Tahoma"/>
            <family val="2"/>
          </rPr>
          <t>ЗАМЕНИТЕ НА РЕАЛЬНЫЕ ДАННЫЕ.
ДЕМО, ЦЕЛЬ, Редис,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51" authorId="0">
      <text>
        <r>
          <rPr>
            <sz val="8"/>
            <color indexed="81"/>
            <rFont val="Tahoma"/>
            <family val="2"/>
          </rPr>
          <t>ЗАМЕНИТЕ НА РЕАЛЬНЫЕ ДАННЫЕ.
ДЕМО, ЦЕЛЬ, Редис,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51" authorId="0">
      <text>
        <r>
          <rPr>
            <sz val="8"/>
            <color indexed="81"/>
            <rFont val="Tahoma"/>
            <family val="2"/>
          </rPr>
          <t>ЗАМЕНИТЕ НА РЕАЛЬНЫЕ ДАННЫЕ.
ДЕМО, ЦЕЛЬ, Редис,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51" authorId="0">
      <text>
        <r>
          <rPr>
            <sz val="8"/>
            <color indexed="81"/>
            <rFont val="Tahoma"/>
            <family val="2"/>
          </rPr>
          <t>ЗАМЕНИТЕ НА РЕАЛЬНЫЕ ДАННЫЕ.
ДЕМО, ЦЕЛЬ, Редис,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52" authorId="0">
      <text>
        <r>
          <rPr>
            <sz val="8"/>
            <color indexed="81"/>
            <rFont val="Tahoma"/>
            <family val="2"/>
          </rPr>
          <t>ЗАМЕНИТЕ НА РЕАЛЬНЫЕ ДАННЫЕ.
ДЕМО, ЦЕЛЬ, Редис,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52" authorId="0">
      <text>
        <r>
          <rPr>
            <sz val="8"/>
            <color indexed="81"/>
            <rFont val="Tahoma"/>
            <family val="2"/>
          </rPr>
          <t>ЗАМЕНИТЕ НА РЕАЛЬНЫЕ ДАННЫЕ.
ДЕМО, ЦЕЛЬ, Редис,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52" authorId="0">
      <text>
        <r>
          <rPr>
            <sz val="8"/>
            <color indexed="81"/>
            <rFont val="Tahoma"/>
            <family val="2"/>
          </rPr>
          <t>ЗАМЕНИТЕ НА РЕАЛЬНЫЕ ДАННЫЕ.
ДЕМО, ЦЕЛЬ, Редис,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52" authorId="0">
      <text>
        <r>
          <rPr>
            <sz val="8"/>
            <color indexed="81"/>
            <rFont val="Tahoma"/>
            <family val="2"/>
          </rPr>
          <t>ЗАМЕНИТЕ НА РЕАЛЬНЫЕ ДАННЫЕ.
ДЕМО, ЦЕЛЬ, Редис,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52" authorId="0">
      <text>
        <r>
          <rPr>
            <sz val="8"/>
            <color indexed="81"/>
            <rFont val="Tahoma"/>
            <family val="2"/>
          </rPr>
          <t>ЗАМЕНИТЕ НА РЕАЛЬНЫЕ ДАННЫЕ.
ДЕМО, ЦЕЛЬ, Редис,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52" authorId="0">
      <text>
        <r>
          <rPr>
            <sz val="8"/>
            <color indexed="81"/>
            <rFont val="Tahoma"/>
            <family val="2"/>
          </rPr>
          <t>ЗАМЕНИТЕ НА РЕАЛЬНЫЕ ДАННЫЕ.
ДЕМО, ЦЕЛЬ, Редис,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52" authorId="0">
      <text>
        <r>
          <rPr>
            <sz val="8"/>
            <color indexed="81"/>
            <rFont val="Tahoma"/>
            <family val="2"/>
          </rPr>
          <t>ЗАМЕНИТЕ НА РЕАЛЬНЫЕ ДАННЫЕ.
ДЕМО, ЦЕЛЬ, Редис,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52" authorId="0">
      <text>
        <r>
          <rPr>
            <sz val="8"/>
            <color indexed="81"/>
            <rFont val="Tahoma"/>
            <family val="2"/>
          </rPr>
          <t>ЗАМЕНИТЕ НА РЕАЛЬНЫЕ ДАННЫЕ.
ДЕМО, ЦЕЛЬ, Редис,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52" authorId="0">
      <text>
        <r>
          <rPr>
            <sz val="8"/>
            <color indexed="81"/>
            <rFont val="Tahoma"/>
            <family val="2"/>
          </rPr>
          <t>ЗАМЕНИТЕ НА РЕАЛЬНЫЕ ДАННЫЕ.
ДЕМО, ЦЕЛЬ, Редис,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52" authorId="0">
      <text>
        <r>
          <rPr>
            <sz val="8"/>
            <color indexed="81"/>
            <rFont val="Tahoma"/>
            <family val="2"/>
          </rPr>
          <t>ЗАМЕНИТЕ НА РЕАЛЬНЫЕ ДАННЫЕ.
ДЕМО, ЦЕЛЬ, Редис,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53" authorId="0">
      <text>
        <r>
          <rPr>
            <sz val="8"/>
            <color indexed="81"/>
            <rFont val="Tahoma"/>
            <family val="2"/>
          </rPr>
          <t>ЗАМЕНИТЕ НА РЕАЛЬНЫЕ ДАННЫЕ.
ДЕМО, ЦЕЛЬ, Редис,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53" authorId="0">
      <text>
        <r>
          <rPr>
            <sz val="8"/>
            <color indexed="81"/>
            <rFont val="Tahoma"/>
            <family val="2"/>
          </rPr>
          <t>ЗАМЕНИТЕ НА РЕАЛЬНЫЕ ДАННЫЕ.
ДЕМО, ЦЕЛЬ, Редис,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53" authorId="0">
      <text>
        <r>
          <rPr>
            <sz val="8"/>
            <color indexed="81"/>
            <rFont val="Tahoma"/>
            <family val="2"/>
          </rPr>
          <t>ЗАМЕНИТЕ НА РЕАЛЬНЫЕ ДАННЫЕ.
ДЕМО, ЦЕЛЬ, Редис,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53" authorId="0">
      <text>
        <r>
          <rPr>
            <sz val="8"/>
            <color indexed="81"/>
            <rFont val="Tahoma"/>
            <family val="2"/>
          </rPr>
          <t>ЗАМЕНИТЕ НА РЕАЛЬНЫЕ ДАННЫЕ.
ДЕМО, ЦЕЛЬ, Редис,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53" authorId="0">
      <text>
        <r>
          <rPr>
            <sz val="8"/>
            <color indexed="81"/>
            <rFont val="Tahoma"/>
            <family val="2"/>
          </rPr>
          <t>ЗАМЕНИТЕ НА РЕАЛЬНЫЕ ДАННЫЕ.
ДЕМО, ЦЕЛЬ, Редис,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53" authorId="0">
      <text>
        <r>
          <rPr>
            <sz val="8"/>
            <color indexed="81"/>
            <rFont val="Tahoma"/>
            <family val="2"/>
          </rPr>
          <t>ЗАМЕНИТЕ НА РЕАЛЬНЫЕ ДАННЫЕ.
ДЕМО, ЦЕЛЬ, Редис,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53" authorId="0">
      <text>
        <r>
          <rPr>
            <sz val="8"/>
            <color indexed="81"/>
            <rFont val="Tahoma"/>
            <family val="2"/>
          </rPr>
          <t>ЗАМЕНИТЕ НА РЕАЛЬНЫЕ ДАННЫЕ.
ДЕМО, ЦЕЛЬ, Редис,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53" authorId="0">
      <text>
        <r>
          <rPr>
            <sz val="8"/>
            <color indexed="81"/>
            <rFont val="Tahoma"/>
            <family val="2"/>
          </rPr>
          <t>ЗАМЕНИТЕ НА РЕАЛЬНЫЕ ДАННЫЕ.
ДЕМО, ЦЕЛЬ, Редис,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53" authorId="0">
      <text>
        <r>
          <rPr>
            <sz val="8"/>
            <color indexed="81"/>
            <rFont val="Tahoma"/>
            <family val="2"/>
          </rPr>
          <t>ЗАМЕНИТЕ НА РЕАЛЬНЫЕ ДАННЫЕ.
ДЕМО, ЦЕЛЬ, Редис,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53" authorId="0">
      <text>
        <r>
          <rPr>
            <sz val="8"/>
            <color indexed="81"/>
            <rFont val="Tahoma"/>
            <family val="2"/>
          </rPr>
          <t>ЗАМЕНИТЕ НА РЕАЛЬНЫЕ ДАННЫЕ.
ДЕМО, ЦЕЛЬ, Редис,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62" authorId="0">
      <text>
        <r>
          <rPr>
            <sz val="8"/>
            <color indexed="81"/>
            <rFont val="Tahoma"/>
            <family val="2"/>
          </rPr>
          <t>ЗАМЕНИТЕ НА РЕАЛЬНЫЕ ДАННЫЕ.
Сельдерей ствол, цикл 1. 0 исключает все элементы данного цикла, а не один выброс.</t>
        </r>
      </text>
    </comment>
    <comment ref="F262" authorId="0">
      <text>
        <r>
          <rPr>
            <sz val="8"/>
            <color indexed="81"/>
            <rFont val="Tahoma"/>
            <family val="2"/>
          </rPr>
          <t>ЗАМЕНИТЕ НА РЕАЛЬНЫЕ ДАННЫЕ.
Сельдерей ствол, цикл 2. 0 исключает все элементы данного цикла, а не один выброс.</t>
        </r>
      </text>
    </comment>
    <comment ref="G262" authorId="0">
      <text>
        <r>
          <rPr>
            <sz val="8"/>
            <color indexed="81"/>
            <rFont val="Tahoma"/>
            <family val="2"/>
          </rPr>
          <t>ЗАМЕНИТЕ НА РЕАЛЬНЫЕ ДАННЫЕ.
Сельдерей ствол, цикл 3. 0 исключает все элементы данного цикла, а не один выброс.</t>
        </r>
      </text>
    </comment>
    <comment ref="H262" authorId="0">
      <text>
        <r>
          <rPr>
            <sz val="8"/>
            <color indexed="81"/>
            <rFont val="Tahoma"/>
            <family val="2"/>
          </rPr>
          <t>ЗАМЕНИТЕ НА РЕАЛЬНЫЕ ДАННЫЕ.
Сельдерей ствол, цикл 4. 0 исключает все элементы данного цикла, а не один выброс.</t>
        </r>
      </text>
    </comment>
    <comment ref="I262" authorId="0">
      <text>
        <r>
          <rPr>
            <sz val="8"/>
            <color indexed="81"/>
            <rFont val="Tahoma"/>
            <family val="2"/>
          </rPr>
          <t>ЗАМЕНИТЕ НА РЕАЛЬНЫЕ ДАННЫЕ.
Сельдерей ствол, цикл 5. 0 исключает все элементы данного цикла, а не один выброс.</t>
        </r>
      </text>
    </comment>
    <comment ref="J262" authorId="0">
      <text>
        <r>
          <rPr>
            <sz val="8"/>
            <color indexed="81"/>
            <rFont val="Tahoma"/>
            <family val="2"/>
          </rPr>
          <t>ЗАМЕНИТЕ НА РЕАЛЬНЫЕ ДАННЫЕ.
Сельдерей ствол, цикл 6. 0 исключает все элементы данного цикла, а не один выброс.</t>
        </r>
      </text>
    </comment>
    <comment ref="K262" authorId="0">
      <text>
        <r>
          <rPr>
            <sz val="8"/>
            <color indexed="81"/>
            <rFont val="Tahoma"/>
            <family val="2"/>
          </rPr>
          <t>ЗАМЕНИТЕ НА РЕАЛЬНЫЕ ДАННЫЕ.
Сельдерей ствол, цикл 7. 0 исключает все элементы данного цикла, а не один выброс.</t>
        </r>
      </text>
    </comment>
    <comment ref="L262" authorId="0">
      <text>
        <r>
          <rPr>
            <sz val="8"/>
            <color indexed="81"/>
            <rFont val="Tahoma"/>
            <family val="2"/>
          </rPr>
          <t>ЗАМЕНИТЕ НА РЕАЛЬНЫЕ ДАННЫЕ.
Сельдерей ствол, цикл 8. 0 исключает все элементы данного цикла, а не один выброс.</t>
        </r>
      </text>
    </comment>
    <comment ref="M262" authorId="0">
      <text>
        <r>
          <rPr>
            <sz val="8"/>
            <color indexed="81"/>
            <rFont val="Tahoma"/>
            <family val="2"/>
          </rPr>
          <t>ЗАМЕНИТЕ НА РЕАЛЬНЫЕ ДАННЫЕ.
Сельдерей ствол, цикл 9. 0 исключает все элементы данного цикла, а не один выброс.</t>
        </r>
      </text>
    </comment>
    <comment ref="N262" authorId="0">
      <text>
        <r>
          <rPr>
            <sz val="8"/>
            <color indexed="81"/>
            <rFont val="Tahoma"/>
            <family val="2"/>
          </rPr>
          <t>ЗАМЕНИТЕ НА РЕАЛЬНЫЕ ДАННЫЕ.
Сельдерей ствол, цикл 10. 0 исключает все элементы данного цикла, а не один выброс.</t>
        </r>
      </text>
    </comment>
    <comment ref="E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63"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64" authorId="0">
      <text>
        <r>
          <rPr>
            <sz val="8"/>
            <color indexed="81"/>
            <rFont val="Tahoma"/>
            <family val="2"/>
          </rPr>
          <t>ЗАМЕНИТЕ НА РЕАЛЬНЫЕ ДАННЫЕ.
ДЕМО, ЦЕЛЬ, Сельдерей ствол,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64" authorId="0">
      <text>
        <r>
          <rPr>
            <sz val="8"/>
            <color indexed="81"/>
            <rFont val="Tahoma"/>
            <family val="2"/>
          </rPr>
          <t>ЗАМЕНИТЕ НА РЕАЛЬНЫЕ ДАННЫЕ.
ДЕМО, ЦЕЛЬ, Сельдерей ствол,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64" authorId="0">
      <text>
        <r>
          <rPr>
            <sz val="8"/>
            <color indexed="81"/>
            <rFont val="Tahoma"/>
            <family val="2"/>
          </rPr>
          <t>ЗАМЕНИТЕ НА РЕАЛЬНЫЕ ДАННЫЕ.
ДЕМО, ЦЕЛЬ, Сельдерей ствол,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64" authorId="0">
      <text>
        <r>
          <rPr>
            <sz val="8"/>
            <color indexed="81"/>
            <rFont val="Tahoma"/>
            <family val="2"/>
          </rPr>
          <t>ЗАМЕНИТЕ НА РЕАЛЬНЫЕ ДАННЫЕ.
ДЕМО, ЦЕЛЬ, Сельдерей ствол,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64" authorId="0">
      <text>
        <r>
          <rPr>
            <sz val="8"/>
            <color indexed="81"/>
            <rFont val="Tahoma"/>
            <family val="2"/>
          </rPr>
          <t>ЗАМЕНИТЕ НА РЕАЛЬНЫЕ ДАННЫЕ.
ДЕМО, ЦЕЛЬ, Сельдерей ствол,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64" authorId="0">
      <text>
        <r>
          <rPr>
            <sz val="8"/>
            <color indexed="81"/>
            <rFont val="Tahoma"/>
            <family val="2"/>
          </rPr>
          <t>ЗАМЕНИТЕ НА РЕАЛЬНЫЕ ДАННЫЕ.
ДЕМО, ЦЕЛЬ, Сельдерей ствол,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64" authorId="0">
      <text>
        <r>
          <rPr>
            <sz val="8"/>
            <color indexed="81"/>
            <rFont val="Tahoma"/>
            <family val="2"/>
          </rPr>
          <t>ЗАМЕНИТЕ НА РЕАЛЬНЫЕ ДАННЫЕ.
ДЕМО, ЦЕЛЬ, Сельдерей ствол,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64" authorId="0">
      <text>
        <r>
          <rPr>
            <sz val="8"/>
            <color indexed="81"/>
            <rFont val="Tahoma"/>
            <family val="2"/>
          </rPr>
          <t>ЗАМЕНИТЕ НА РЕАЛЬНЫЕ ДАННЫЕ.
ДЕМО, ЦЕЛЬ, Сельдерей ствол,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64" authorId="0">
      <text>
        <r>
          <rPr>
            <sz val="8"/>
            <color indexed="81"/>
            <rFont val="Tahoma"/>
            <family val="2"/>
          </rPr>
          <t>ЗАМЕНИТЕ НА РЕАЛЬНЫЕ ДАННЫЕ.
ДЕМО, ЦЕЛЬ, Сельдерей ствол,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64" authorId="0">
      <text>
        <r>
          <rPr>
            <sz val="8"/>
            <color indexed="81"/>
            <rFont val="Tahoma"/>
            <family val="2"/>
          </rPr>
          <t>ЗАМЕНИТЕ НА РЕАЛЬНЫЕ ДАННЫЕ.
ДЕМО, ЦЕЛЬ, Сельдерей ствол,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65" authorId="0">
      <text>
        <r>
          <rPr>
            <sz val="8"/>
            <color indexed="81"/>
            <rFont val="Tahoma"/>
            <family val="2"/>
          </rPr>
          <t>ЗАМЕНИТЕ НА РЕАЛЬНЫЕ ДАННЫЕ.
ДЕМО, ЦЕЛЬ, Сельдерей ствол,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65" authorId="0">
      <text>
        <r>
          <rPr>
            <sz val="8"/>
            <color indexed="81"/>
            <rFont val="Tahoma"/>
            <family val="2"/>
          </rPr>
          <t>ЗАМЕНИТЕ НА РЕАЛЬНЫЕ ДАННЫЕ.
ДЕМО, ЦЕЛЬ, Сельдерей ствол,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65" authorId="0">
      <text>
        <r>
          <rPr>
            <sz val="8"/>
            <color indexed="81"/>
            <rFont val="Tahoma"/>
            <family val="2"/>
          </rPr>
          <t>ЗАМЕНИТЕ НА РЕАЛЬНЫЕ ДАННЫЕ.
ДЕМО, ЦЕЛЬ, Сельдерей ствол,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65" authorId="0">
      <text>
        <r>
          <rPr>
            <sz val="8"/>
            <color indexed="81"/>
            <rFont val="Tahoma"/>
            <family val="2"/>
          </rPr>
          <t>ЗАМЕНИТЕ НА РЕАЛЬНЫЕ ДАННЫЕ.
ДЕМО, ЦЕЛЬ, Сельдерей ствол,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65" authorId="0">
      <text>
        <r>
          <rPr>
            <sz val="8"/>
            <color indexed="81"/>
            <rFont val="Tahoma"/>
            <family val="2"/>
          </rPr>
          <t>ЗАМЕНИТЕ НА РЕАЛЬНЫЕ ДАННЫЕ.
ДЕМО, ЦЕЛЬ, Сельдерей ствол,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65" authorId="0">
      <text>
        <r>
          <rPr>
            <sz val="8"/>
            <color indexed="81"/>
            <rFont val="Tahoma"/>
            <family val="2"/>
          </rPr>
          <t>ЗАМЕНИТЕ НА РЕАЛЬНЫЕ ДАННЫЕ.
ДЕМО, ЦЕЛЬ, Сельдерей ствол,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65" authorId="0">
      <text>
        <r>
          <rPr>
            <sz val="8"/>
            <color indexed="81"/>
            <rFont val="Tahoma"/>
            <family val="2"/>
          </rPr>
          <t>ЗАМЕНИТЕ НА РЕАЛЬНЫЕ ДАННЫЕ.
ДЕМО, ЦЕЛЬ, Сельдерей ствол,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65" authorId="0">
      <text>
        <r>
          <rPr>
            <sz val="8"/>
            <color indexed="81"/>
            <rFont val="Tahoma"/>
            <family val="2"/>
          </rPr>
          <t>ЗАМЕНИТЕ НА РЕАЛЬНЫЕ ДАННЫЕ.
ДЕМО, ЦЕЛЬ, Сельдерей ствол,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65" authorId="0">
      <text>
        <r>
          <rPr>
            <sz val="8"/>
            <color indexed="81"/>
            <rFont val="Tahoma"/>
            <family val="2"/>
          </rPr>
          <t>ЗАМЕНИТЕ НА РЕАЛЬНЫЕ ДАННЫЕ.
ДЕМО, ЦЕЛЬ, Сельдерей ствол,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65" authorId="0">
      <text>
        <r>
          <rPr>
            <sz val="8"/>
            <color indexed="81"/>
            <rFont val="Tahoma"/>
            <family val="2"/>
          </rPr>
          <t>ЗАМЕНИТЕ НА РЕАЛЬНЫЕ ДАННЫЕ.
ДЕМО, ЦЕЛЬ, Сельдерей ствол,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66" authorId="0">
      <text>
        <r>
          <rPr>
            <sz val="8"/>
            <color indexed="81"/>
            <rFont val="Tahoma"/>
            <family val="2"/>
          </rPr>
          <t>ЗАМЕНИТЕ НА РЕАЛЬНЫЕ ДАННЫЕ.
ДЕМО, ЦЕЛЬ, Сельдерей ствол,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66" authorId="0">
      <text>
        <r>
          <rPr>
            <sz val="8"/>
            <color indexed="81"/>
            <rFont val="Tahoma"/>
            <family val="2"/>
          </rPr>
          <t>ЗАМЕНИТЕ НА РЕАЛЬНЫЕ ДАННЫЕ.
ДЕМО, ЦЕЛЬ, Сельдерей ствол,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66" authorId="0">
      <text>
        <r>
          <rPr>
            <sz val="8"/>
            <color indexed="81"/>
            <rFont val="Tahoma"/>
            <family val="2"/>
          </rPr>
          <t>ЗАМЕНИТЕ НА РЕАЛЬНЫЕ ДАННЫЕ.
ДЕМО, ЦЕЛЬ, Сельдерей ствол,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66" authorId="0">
      <text>
        <r>
          <rPr>
            <sz val="8"/>
            <color indexed="81"/>
            <rFont val="Tahoma"/>
            <family val="2"/>
          </rPr>
          <t>ЗАМЕНИТЕ НА РЕАЛЬНЫЕ ДАННЫЕ.
ДЕМО, ЦЕЛЬ, Сельдерей ствол,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66" authorId="0">
      <text>
        <r>
          <rPr>
            <sz val="8"/>
            <color indexed="81"/>
            <rFont val="Tahoma"/>
            <family val="2"/>
          </rPr>
          <t>ЗАМЕНИТЕ НА РЕАЛЬНЫЕ ДАННЫЕ.
ДЕМО, ЦЕЛЬ, Сельдерей ствол,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66" authorId="0">
      <text>
        <r>
          <rPr>
            <sz val="8"/>
            <color indexed="81"/>
            <rFont val="Tahoma"/>
            <family val="2"/>
          </rPr>
          <t>ЗАМЕНИТЕ НА РЕАЛЬНЫЕ ДАННЫЕ.
ДЕМО, ЦЕЛЬ, Сельдерей ствол,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66" authorId="0">
      <text>
        <r>
          <rPr>
            <sz val="8"/>
            <color indexed="81"/>
            <rFont val="Tahoma"/>
            <family val="2"/>
          </rPr>
          <t>ЗАМЕНИТЕ НА РЕАЛЬНЫЕ ДАННЫЕ.
ДЕМО, ЦЕЛЬ, Сельдерей ствол,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66" authorId="0">
      <text>
        <r>
          <rPr>
            <sz val="8"/>
            <color indexed="81"/>
            <rFont val="Tahoma"/>
            <family val="2"/>
          </rPr>
          <t>ЗАМЕНИТЕ НА РЕАЛЬНЫЕ ДАННЫЕ.
ДЕМО, ЦЕЛЬ, Сельдерей ствол,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66" authorId="0">
      <text>
        <r>
          <rPr>
            <sz val="8"/>
            <color indexed="81"/>
            <rFont val="Tahoma"/>
            <family val="2"/>
          </rPr>
          <t>ЗАМЕНИТЕ НА РЕАЛЬНЫЕ ДАННЫЕ.
ДЕМО, ЦЕЛЬ, Сельдерей ствол,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66" authorId="0">
      <text>
        <r>
          <rPr>
            <sz val="8"/>
            <color indexed="81"/>
            <rFont val="Tahoma"/>
            <family val="2"/>
          </rPr>
          <t>ЗАМЕНИТЕ НА РЕАЛЬНЫЕ ДАННЫЕ.
ДЕМО, ЦЕЛЬ, Сельдерей ствол,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67" authorId="0">
      <text>
        <r>
          <rPr>
            <sz val="8"/>
            <color indexed="81"/>
            <rFont val="Tahoma"/>
            <family val="2"/>
          </rPr>
          <t>ЗАМЕНИТЕ НА РЕАЛЬНЫЕ ДАННЫЕ.
ДЕМО, ЦЕЛЬ, Сельдерей ствол,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67" authorId="0">
      <text>
        <r>
          <rPr>
            <sz val="8"/>
            <color indexed="81"/>
            <rFont val="Tahoma"/>
            <family val="2"/>
          </rPr>
          <t>ЗАМЕНИТЕ НА РЕАЛЬНЫЕ ДАННЫЕ.
ДЕМО, ЦЕЛЬ, Сельдерей ствол,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67" authorId="0">
      <text>
        <r>
          <rPr>
            <sz val="8"/>
            <color indexed="81"/>
            <rFont val="Tahoma"/>
            <family val="2"/>
          </rPr>
          <t>ЗАМЕНИТЕ НА РЕАЛЬНЫЕ ДАННЫЕ.
ДЕМО, ЦЕЛЬ, Сельдерей ствол,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67" authorId="0">
      <text>
        <r>
          <rPr>
            <sz val="8"/>
            <color indexed="81"/>
            <rFont val="Tahoma"/>
            <family val="2"/>
          </rPr>
          <t>ЗАМЕНИТЕ НА РЕАЛЬНЫЕ ДАННЫЕ.
ДЕМО, ЦЕЛЬ, Сельдерей ствол,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67" authorId="0">
      <text>
        <r>
          <rPr>
            <sz val="8"/>
            <color indexed="81"/>
            <rFont val="Tahoma"/>
            <family val="2"/>
          </rPr>
          <t>ЗАМЕНИТЕ НА РЕАЛЬНЫЕ ДАННЫЕ.
ДЕМО, ЦЕЛЬ, Сельдерей ствол,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67" authorId="0">
      <text>
        <r>
          <rPr>
            <sz val="8"/>
            <color indexed="81"/>
            <rFont val="Tahoma"/>
            <family val="2"/>
          </rPr>
          <t>ЗАМЕНИТЕ НА РЕАЛЬНЫЕ ДАННЫЕ.
ДЕМО, ЦЕЛЬ, Сельдерей ствол,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67" authorId="0">
      <text>
        <r>
          <rPr>
            <sz val="8"/>
            <color indexed="81"/>
            <rFont val="Tahoma"/>
            <family val="2"/>
          </rPr>
          <t>ЗАМЕНИТЕ НА РЕАЛЬНЫЕ ДАННЫЕ.
ДЕМО, ЦЕЛЬ, Сельдерей ствол,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67" authorId="0">
      <text>
        <r>
          <rPr>
            <sz val="8"/>
            <color indexed="81"/>
            <rFont val="Tahoma"/>
            <family val="2"/>
          </rPr>
          <t>ЗАМЕНИТЕ НА РЕАЛЬНЫЕ ДАННЫЕ.
ДЕМО, ЦЕЛЬ, Сельдерей ствол,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67" authorId="0">
      <text>
        <r>
          <rPr>
            <sz val="8"/>
            <color indexed="81"/>
            <rFont val="Tahoma"/>
            <family val="2"/>
          </rPr>
          <t>ЗАМЕНИТЕ НА РЕАЛЬНЫЕ ДАННЫЕ.
ДЕМО, ЦЕЛЬ, Сельдерей ствол,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67" authorId="0">
      <text>
        <r>
          <rPr>
            <sz val="8"/>
            <color indexed="81"/>
            <rFont val="Tahoma"/>
            <family val="2"/>
          </rPr>
          <t>ЗАМЕНИТЕ НА РЕАЛЬНЫЕ ДАННЫЕ.
ДЕМО, ЦЕЛЬ, Сельдерей ствол,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68" authorId="0">
      <text>
        <r>
          <rPr>
            <sz val="8"/>
            <color indexed="81"/>
            <rFont val="Tahoma"/>
            <family val="2"/>
          </rPr>
          <t>ЗАМЕНИТЕ НА РЕАЛЬНЫЕ ДАННЫЕ.
ДЕМО, ЦЕЛЬ, Сельдерей ствол,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68" authorId="0">
      <text>
        <r>
          <rPr>
            <sz val="8"/>
            <color indexed="81"/>
            <rFont val="Tahoma"/>
            <family val="2"/>
          </rPr>
          <t>ЗАМЕНИТЕ НА РЕАЛЬНЫЕ ДАННЫЕ.
ДЕМО, ЦЕЛЬ, Сельдерей ствол,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68" authorId="0">
      <text>
        <r>
          <rPr>
            <sz val="8"/>
            <color indexed="81"/>
            <rFont val="Tahoma"/>
            <family val="2"/>
          </rPr>
          <t>ЗАМЕНИТЕ НА РЕАЛЬНЫЕ ДАННЫЕ.
ДЕМО, ЦЕЛЬ, Сельдерей ствол,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68" authorId="0">
      <text>
        <r>
          <rPr>
            <sz val="8"/>
            <color indexed="81"/>
            <rFont val="Tahoma"/>
            <family val="2"/>
          </rPr>
          <t>ЗАМЕНИТЕ НА РЕАЛЬНЫЕ ДАННЫЕ.
ДЕМО, ЦЕЛЬ, Сельдерей ствол,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68" authorId="0">
      <text>
        <r>
          <rPr>
            <sz val="8"/>
            <color indexed="81"/>
            <rFont val="Tahoma"/>
            <family val="2"/>
          </rPr>
          <t>ЗАМЕНИТЕ НА РЕАЛЬНЫЕ ДАННЫЕ.
ДЕМО, ЦЕЛЬ, Сельдерей ствол,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68" authorId="0">
      <text>
        <r>
          <rPr>
            <sz val="8"/>
            <color indexed="81"/>
            <rFont val="Tahoma"/>
            <family val="2"/>
          </rPr>
          <t>ЗАМЕНИТЕ НА РЕАЛЬНЫЕ ДАННЫЕ.
ДЕМО, ЦЕЛЬ, Сельдерей ствол,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68" authorId="0">
      <text>
        <r>
          <rPr>
            <sz val="8"/>
            <color indexed="81"/>
            <rFont val="Tahoma"/>
            <family val="2"/>
          </rPr>
          <t>ЗАМЕНИТЕ НА РЕАЛЬНЫЕ ДАННЫЕ.
ДЕМО, ЦЕЛЬ, Сельдерей ствол,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68" authorId="0">
      <text>
        <r>
          <rPr>
            <sz val="8"/>
            <color indexed="81"/>
            <rFont val="Tahoma"/>
            <family val="2"/>
          </rPr>
          <t>ЗАМЕНИТЕ НА РЕАЛЬНЫЕ ДАННЫЕ.
ДЕМО, ЦЕЛЬ, Сельдерей ствол,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68" authorId="0">
      <text>
        <r>
          <rPr>
            <sz val="8"/>
            <color indexed="81"/>
            <rFont val="Tahoma"/>
            <family val="2"/>
          </rPr>
          <t>ЗАМЕНИТЕ НА РЕАЛЬНЫЕ ДАННЫЕ.
ДЕМО, ЦЕЛЬ, Сельдерей ствол,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68" authorId="0">
      <text>
        <r>
          <rPr>
            <sz val="8"/>
            <color indexed="81"/>
            <rFont val="Tahoma"/>
            <family val="2"/>
          </rPr>
          <t>ЗАМЕНИТЕ НА РЕАЛЬНЫЕ ДАННЫЕ.
ДЕМО, ЦЕЛЬ, Сельдерей ствол,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70" authorId="0">
      <text>
        <r>
          <rPr>
            <sz val="8"/>
            <color indexed="81"/>
            <rFont val="Tahoma"/>
            <family val="2"/>
          </rPr>
          <t>ЗАМЕНИТЕ НА РЕАЛЬНЫЕ ДАННЫЕ.
ДЕМО, ЦЕЛЬ, Сельдерей ствол,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70" authorId="0">
      <text>
        <r>
          <rPr>
            <sz val="8"/>
            <color indexed="81"/>
            <rFont val="Tahoma"/>
            <family val="2"/>
          </rPr>
          <t>ЗАМЕНИТЕ НА РЕАЛЬНЫЕ ДАННЫЕ.
ДЕМО, ЦЕЛЬ, Сельдерей ствол,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70" authorId="0">
      <text>
        <r>
          <rPr>
            <sz val="8"/>
            <color indexed="81"/>
            <rFont val="Tahoma"/>
            <family val="2"/>
          </rPr>
          <t>ЗАМЕНИТЕ НА РЕАЛЬНЫЕ ДАННЫЕ.
ДЕМО, ЦЕЛЬ, Сельдерей ствол,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70" authorId="0">
      <text>
        <r>
          <rPr>
            <sz val="8"/>
            <color indexed="81"/>
            <rFont val="Tahoma"/>
            <family val="2"/>
          </rPr>
          <t>ЗАМЕНИТЕ НА РЕАЛЬНЫЕ ДАННЫЕ.
ДЕМО, ЦЕЛЬ, Сельдерей ствол,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70" authorId="0">
      <text>
        <r>
          <rPr>
            <sz val="8"/>
            <color indexed="81"/>
            <rFont val="Tahoma"/>
            <family val="2"/>
          </rPr>
          <t>ЗАМЕНИТЕ НА РЕАЛЬНЫЕ ДАННЫЕ.
ДЕМО, ЦЕЛЬ, Сельдерей ствол,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70" authorId="0">
      <text>
        <r>
          <rPr>
            <sz val="8"/>
            <color indexed="81"/>
            <rFont val="Tahoma"/>
            <family val="2"/>
          </rPr>
          <t>ЗАМЕНИТЕ НА РЕАЛЬНЫЕ ДАННЫЕ.
ДЕМО, ЦЕЛЬ, Сельдерей ствол,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70" authorId="0">
      <text>
        <r>
          <rPr>
            <sz val="8"/>
            <color indexed="81"/>
            <rFont val="Tahoma"/>
            <family val="2"/>
          </rPr>
          <t>ЗАМЕНИТЕ НА РЕАЛЬНЫЕ ДАННЫЕ.
ДЕМО, ЦЕЛЬ, Сельдерей ствол,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70" authorId="0">
      <text>
        <r>
          <rPr>
            <sz val="8"/>
            <color indexed="81"/>
            <rFont val="Tahoma"/>
            <family val="2"/>
          </rPr>
          <t>ЗАМЕНИТЕ НА РЕАЛЬНЫЕ ДАННЫЕ.
ДЕМО, ЦЕЛЬ, Сельдерей ствол,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70" authorId="0">
      <text>
        <r>
          <rPr>
            <sz val="8"/>
            <color indexed="81"/>
            <rFont val="Tahoma"/>
            <family val="2"/>
          </rPr>
          <t>ЗАМЕНИТЕ НА РЕАЛЬНЫЕ ДАННЫЕ.
ДЕМО, ЦЕЛЬ, Сельдерей ствол,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70" authorId="0">
      <text>
        <r>
          <rPr>
            <sz val="8"/>
            <color indexed="81"/>
            <rFont val="Tahoma"/>
            <family val="2"/>
          </rPr>
          <t>ЗАМЕНИТЕ НА РЕАЛЬНЫЕ ДАННЫЕ.
ДЕМО, ЦЕЛЬ, Сельдерей ствол,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71" authorId="0">
      <text>
        <r>
          <rPr>
            <sz val="8"/>
            <color indexed="81"/>
            <rFont val="Tahoma"/>
            <family val="2"/>
          </rPr>
          <t>ЗАМЕНИТЕ НА РЕАЛЬНЫЕ ДАННЫЕ.
ДЕМО, ЦЕЛЬ, Сельдерей ствол,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71" authorId="0">
      <text>
        <r>
          <rPr>
            <sz val="8"/>
            <color indexed="81"/>
            <rFont val="Tahoma"/>
            <family val="2"/>
          </rPr>
          <t>ЗАМЕНИТЕ НА РЕАЛЬНЫЕ ДАННЫЕ.
ДЕМО, ЦЕЛЬ, Сельдерей ствол,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71" authorId="0">
      <text>
        <r>
          <rPr>
            <sz val="8"/>
            <color indexed="81"/>
            <rFont val="Tahoma"/>
            <family val="2"/>
          </rPr>
          <t>ЗАМЕНИТЕ НА РЕАЛЬНЫЕ ДАННЫЕ.
ДЕМО, ЦЕЛЬ, Сельдерей ствол,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71" authorId="0">
      <text>
        <r>
          <rPr>
            <sz val="8"/>
            <color indexed="81"/>
            <rFont val="Tahoma"/>
            <family val="2"/>
          </rPr>
          <t>ЗАМЕНИТЕ НА РЕАЛЬНЫЕ ДАННЫЕ.
ДЕМО, ЦЕЛЬ, Сельдерей ствол,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71" authorId="0">
      <text>
        <r>
          <rPr>
            <sz val="8"/>
            <color indexed="81"/>
            <rFont val="Tahoma"/>
            <family val="2"/>
          </rPr>
          <t>ЗАМЕНИТЕ НА РЕАЛЬНЫЕ ДАННЫЕ.
ДЕМО, ЦЕЛЬ, Сельдерей ствол,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71" authorId="0">
      <text>
        <r>
          <rPr>
            <sz val="8"/>
            <color indexed="81"/>
            <rFont val="Tahoma"/>
            <family val="2"/>
          </rPr>
          <t>ЗАМЕНИТЕ НА РЕАЛЬНЫЕ ДАННЫЕ.
ДЕМО, ЦЕЛЬ, Сельдерей ствол,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71" authorId="0">
      <text>
        <r>
          <rPr>
            <sz val="8"/>
            <color indexed="81"/>
            <rFont val="Tahoma"/>
            <family val="2"/>
          </rPr>
          <t>ЗАМЕНИТЕ НА РЕАЛЬНЫЕ ДАННЫЕ.
ДЕМО, ЦЕЛЬ, Сельдерей ствол,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71" authorId="0">
      <text>
        <r>
          <rPr>
            <sz val="8"/>
            <color indexed="81"/>
            <rFont val="Tahoma"/>
            <family val="2"/>
          </rPr>
          <t>ЗАМЕНИТЕ НА РЕАЛЬНЫЕ ДАННЫЕ.
ДЕМО, ЦЕЛЬ, Сельдерей ствол,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71" authorId="0">
      <text>
        <r>
          <rPr>
            <sz val="8"/>
            <color indexed="81"/>
            <rFont val="Tahoma"/>
            <family val="2"/>
          </rPr>
          <t>ЗАМЕНИТЕ НА РЕАЛЬНЫЕ ДАННЫЕ.
ДЕМО, ЦЕЛЬ, Сельдерей ствол,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71" authorId="0">
      <text>
        <r>
          <rPr>
            <sz val="8"/>
            <color indexed="81"/>
            <rFont val="Tahoma"/>
            <family val="2"/>
          </rPr>
          <t>ЗАМЕНИТЕ НА РЕАЛЬНЫЕ ДАННЫЕ.
ДЕМО, ЦЕЛЬ, Сельдерей ствол,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72" authorId="0">
      <text>
        <r>
          <rPr>
            <sz val="8"/>
            <color indexed="81"/>
            <rFont val="Tahoma"/>
            <family val="2"/>
          </rPr>
          <t>ЗАМЕНИТЕ НА РЕАЛЬНЫЕ ДАННЫЕ.
ДЕМО, ЦЕЛЬ, Сельдерей ствол,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72" authorId="0">
      <text>
        <r>
          <rPr>
            <sz val="8"/>
            <color indexed="81"/>
            <rFont val="Tahoma"/>
            <family val="2"/>
          </rPr>
          <t>ЗАМЕНИТЕ НА РЕАЛЬНЫЕ ДАННЫЕ.
ДЕМО, ЦЕЛЬ, Сельдерей ствол,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72" authorId="0">
      <text>
        <r>
          <rPr>
            <sz val="8"/>
            <color indexed="81"/>
            <rFont val="Tahoma"/>
            <family val="2"/>
          </rPr>
          <t>ЗАМЕНИТЕ НА РЕАЛЬНЫЕ ДАННЫЕ.
ДЕМО, ЦЕЛЬ, Сельдерей ствол,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72" authorId="0">
      <text>
        <r>
          <rPr>
            <sz val="8"/>
            <color indexed="81"/>
            <rFont val="Tahoma"/>
            <family val="2"/>
          </rPr>
          <t>ЗАМЕНИТЕ НА РЕАЛЬНЫЕ ДАННЫЕ.
ДЕМО, ЦЕЛЬ, Сельдерей ствол,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72" authorId="0">
      <text>
        <r>
          <rPr>
            <sz val="8"/>
            <color indexed="81"/>
            <rFont val="Tahoma"/>
            <family val="2"/>
          </rPr>
          <t>ЗАМЕНИТЕ НА РЕАЛЬНЫЕ ДАННЫЕ.
ДЕМО, ЦЕЛЬ, Сельдерей ствол,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72" authorId="0">
      <text>
        <r>
          <rPr>
            <sz val="8"/>
            <color indexed="81"/>
            <rFont val="Tahoma"/>
            <family val="2"/>
          </rPr>
          <t>ЗАМЕНИТЕ НА РЕАЛЬНЫЕ ДАННЫЕ.
ДЕМО, ЦЕЛЬ, Сельдерей ствол,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72" authorId="0">
      <text>
        <r>
          <rPr>
            <sz val="8"/>
            <color indexed="81"/>
            <rFont val="Tahoma"/>
            <family val="2"/>
          </rPr>
          <t>ЗАМЕНИТЕ НА РЕАЛЬНЫЕ ДАННЫЕ.
ДЕМО, ЦЕЛЬ, Сельдерей ствол,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72" authorId="0">
      <text>
        <r>
          <rPr>
            <sz val="8"/>
            <color indexed="81"/>
            <rFont val="Tahoma"/>
            <family val="2"/>
          </rPr>
          <t>ЗАМЕНИТЕ НА РЕАЛЬНЫЕ ДАННЫЕ.
ДЕМО, ЦЕЛЬ, Сельдерей ствол,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72" authorId="0">
      <text>
        <r>
          <rPr>
            <sz val="8"/>
            <color indexed="81"/>
            <rFont val="Tahoma"/>
            <family val="2"/>
          </rPr>
          <t>ЗАМЕНИТЕ НА РЕАЛЬНЫЕ ДАННЫЕ.
ДЕМО, ЦЕЛЬ, Сельдерей ствол,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72" authorId="0">
      <text>
        <r>
          <rPr>
            <sz val="8"/>
            <color indexed="81"/>
            <rFont val="Tahoma"/>
            <family val="2"/>
          </rPr>
          <t>ЗАМЕНИТЕ НА РЕАЛЬНЫЕ ДАННЫЕ.
ДЕМО, ЦЕЛЬ, Сельдерей ствол,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73" authorId="0">
      <text>
        <r>
          <rPr>
            <sz val="8"/>
            <color indexed="81"/>
            <rFont val="Tahoma"/>
            <family val="2"/>
          </rPr>
          <t>ЗАМЕНИТЕ НА РЕАЛЬНЫЕ ДАННЫЕ.
ДЕМО, ЦЕЛЬ, Сельдерей ствол,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73" authorId="0">
      <text>
        <r>
          <rPr>
            <sz val="8"/>
            <color indexed="81"/>
            <rFont val="Tahoma"/>
            <family val="2"/>
          </rPr>
          <t>ЗАМЕНИТЕ НА РЕАЛЬНЫЕ ДАННЫЕ.
ДЕМО, ЦЕЛЬ, Сельдерей ствол,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73" authorId="0">
      <text>
        <r>
          <rPr>
            <sz val="8"/>
            <color indexed="81"/>
            <rFont val="Tahoma"/>
            <family val="2"/>
          </rPr>
          <t>ЗАМЕНИТЕ НА РЕАЛЬНЫЕ ДАННЫЕ.
ДЕМО, ЦЕЛЬ, Сельдерей ствол,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73" authorId="0">
      <text>
        <r>
          <rPr>
            <sz val="8"/>
            <color indexed="81"/>
            <rFont val="Tahoma"/>
            <family val="2"/>
          </rPr>
          <t>ЗАМЕНИТЕ НА РЕАЛЬНЫЕ ДАННЫЕ.
ДЕМО, ЦЕЛЬ, Сельдерей ствол,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73" authorId="0">
      <text>
        <r>
          <rPr>
            <sz val="8"/>
            <color indexed="81"/>
            <rFont val="Tahoma"/>
            <family val="2"/>
          </rPr>
          <t>ЗАМЕНИТЕ НА РЕАЛЬНЫЕ ДАННЫЕ.
ДЕМО, ЦЕЛЬ, Сельдерей ствол,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73" authorId="0">
      <text>
        <r>
          <rPr>
            <sz val="8"/>
            <color indexed="81"/>
            <rFont val="Tahoma"/>
            <family val="2"/>
          </rPr>
          <t>ЗАМЕНИТЕ НА РЕАЛЬНЫЕ ДАННЫЕ.
ДЕМО, ЦЕЛЬ, Сельдерей ствол,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73" authorId="0">
      <text>
        <r>
          <rPr>
            <sz val="8"/>
            <color indexed="81"/>
            <rFont val="Tahoma"/>
            <family val="2"/>
          </rPr>
          <t>ЗАМЕНИТЕ НА РЕАЛЬНЫЕ ДАННЫЕ.
ДЕМО, ЦЕЛЬ, Сельдерей ствол,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73" authorId="0">
      <text>
        <r>
          <rPr>
            <sz val="8"/>
            <color indexed="81"/>
            <rFont val="Tahoma"/>
            <family val="2"/>
          </rPr>
          <t>ЗАМЕНИТЕ НА РЕАЛЬНЫЕ ДАННЫЕ.
ДЕМО, ЦЕЛЬ, Сельдерей ствол,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73" authorId="0">
      <text>
        <r>
          <rPr>
            <sz val="8"/>
            <color indexed="81"/>
            <rFont val="Tahoma"/>
            <family val="2"/>
          </rPr>
          <t>ЗАМЕНИТЕ НА РЕАЛЬНЫЕ ДАННЫЕ.
ДЕМО, ЦЕЛЬ, Сельдерей ствол,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73" authorId="0">
      <text>
        <r>
          <rPr>
            <sz val="8"/>
            <color indexed="81"/>
            <rFont val="Tahoma"/>
            <family val="2"/>
          </rPr>
          <t>ЗАМЕНИТЕ НА РЕАЛЬНЫЕ ДАННЫЕ.
ДЕМО, ЦЕЛЬ, Сельдерей ствол,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74" authorId="0">
      <text>
        <r>
          <rPr>
            <sz val="8"/>
            <color indexed="81"/>
            <rFont val="Tahoma"/>
            <family val="2"/>
          </rPr>
          <t>ЗАМЕНИТЕ НА РЕАЛЬНЫЕ ДАННЫЕ.
ДЕМО, ЦЕЛЬ, Сельдерей ствол,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74" authorId="0">
      <text>
        <r>
          <rPr>
            <sz val="8"/>
            <color indexed="81"/>
            <rFont val="Tahoma"/>
            <family val="2"/>
          </rPr>
          <t>ЗАМЕНИТЕ НА РЕАЛЬНЫЕ ДАННЫЕ.
ДЕМО, ЦЕЛЬ, Сельдерей ствол,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74" authorId="0">
      <text>
        <r>
          <rPr>
            <sz val="8"/>
            <color indexed="81"/>
            <rFont val="Tahoma"/>
            <family val="2"/>
          </rPr>
          <t>ЗАМЕНИТЕ НА РЕАЛЬНЫЕ ДАННЫЕ.
ДЕМО, ЦЕЛЬ, Сельдерей ствол,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74" authorId="0">
      <text>
        <r>
          <rPr>
            <sz val="8"/>
            <color indexed="81"/>
            <rFont val="Tahoma"/>
            <family val="2"/>
          </rPr>
          <t>ЗАМЕНИТЕ НА РЕАЛЬНЫЕ ДАННЫЕ.
ДЕМО, ЦЕЛЬ, Сельдерей ствол,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74" authorId="0">
      <text>
        <r>
          <rPr>
            <sz val="8"/>
            <color indexed="81"/>
            <rFont val="Tahoma"/>
            <family val="2"/>
          </rPr>
          <t>ЗАМЕНИТЕ НА РЕАЛЬНЫЕ ДАННЫЕ.
ДЕМО, ЦЕЛЬ, Сельдерей ствол,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74" authorId="0">
      <text>
        <r>
          <rPr>
            <sz val="8"/>
            <color indexed="81"/>
            <rFont val="Tahoma"/>
            <family val="2"/>
          </rPr>
          <t>ЗАМЕНИТЕ НА РЕАЛЬНЫЕ ДАННЫЕ.
ДЕМО, ЦЕЛЬ, Сельдерей ствол,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74" authorId="0">
      <text>
        <r>
          <rPr>
            <sz val="8"/>
            <color indexed="81"/>
            <rFont val="Tahoma"/>
            <family val="2"/>
          </rPr>
          <t>ЗАМЕНИТЕ НА РЕАЛЬНЫЕ ДАННЫЕ.
ДЕМО, ЦЕЛЬ, Сельдерей ствол,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74" authorId="0">
      <text>
        <r>
          <rPr>
            <sz val="8"/>
            <color indexed="81"/>
            <rFont val="Tahoma"/>
            <family val="2"/>
          </rPr>
          <t>ЗАМЕНИТЕ НА РЕАЛЬНЫЕ ДАННЫЕ.
ДЕМО, ЦЕЛЬ, Сельдерей ствол,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74" authorId="0">
      <text>
        <r>
          <rPr>
            <sz val="8"/>
            <color indexed="81"/>
            <rFont val="Tahoma"/>
            <family val="2"/>
          </rPr>
          <t>ЗАМЕНИТЕ НА РЕАЛЬНЫЕ ДАННЫЕ.
ДЕМО, ЦЕЛЬ, Сельдерей ствол,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74" authorId="0">
      <text>
        <r>
          <rPr>
            <sz val="8"/>
            <color indexed="81"/>
            <rFont val="Tahoma"/>
            <family val="2"/>
          </rPr>
          <t>ЗАМЕНИТЕ НА РЕАЛЬНЫЕ ДАННЫЕ.
ДЕМО, ЦЕЛЬ, Сельдерей ствол,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283" authorId="0">
      <text>
        <r>
          <rPr>
            <sz val="8"/>
            <color indexed="81"/>
            <rFont val="Tahoma"/>
            <family val="2"/>
          </rPr>
          <t>ЗАМЕНИТЕ НА РЕАЛЬНЫЕ ДАННЫЕ.
Сельдерей корень, цикл 1. 0 исключает все элементы данного цикла, а не один выброс.</t>
        </r>
      </text>
    </comment>
    <comment ref="F283" authorId="0">
      <text>
        <r>
          <rPr>
            <sz val="8"/>
            <color indexed="81"/>
            <rFont val="Tahoma"/>
            <family val="2"/>
          </rPr>
          <t>ЗАМЕНИТЕ НА РЕАЛЬНЫЕ ДАННЫЕ.
Сельдерей корень, цикл 2. 0 исключает все элементы данного цикла, а не один выброс.</t>
        </r>
      </text>
    </comment>
    <comment ref="G283" authorId="0">
      <text>
        <r>
          <rPr>
            <sz val="8"/>
            <color indexed="81"/>
            <rFont val="Tahoma"/>
            <family val="2"/>
          </rPr>
          <t>ЗАМЕНИТЕ НА РЕАЛЬНЫЕ ДАННЫЕ.
Сельдерей корень, цикл 3. 0 исключает все элементы данного цикла, а не один выброс.</t>
        </r>
      </text>
    </comment>
    <comment ref="H283" authorId="0">
      <text>
        <r>
          <rPr>
            <sz val="8"/>
            <color indexed="81"/>
            <rFont val="Tahoma"/>
            <family val="2"/>
          </rPr>
          <t>ЗАМЕНИТЕ НА РЕАЛЬНЫЕ ДАННЫЕ.
Сельдерей корень, цикл 4. 0 исключает все элементы данного цикла, а не один выброс.</t>
        </r>
      </text>
    </comment>
    <comment ref="I283" authorId="0">
      <text>
        <r>
          <rPr>
            <sz val="8"/>
            <color indexed="81"/>
            <rFont val="Tahoma"/>
            <family val="2"/>
          </rPr>
          <t>ЗАМЕНИТЕ НА РЕАЛЬНЫЕ ДАННЫЕ.
Сельдерей корень, цикл 5. 0 исключает все элементы данного цикла, а не один выброс.</t>
        </r>
      </text>
    </comment>
    <comment ref="J283" authorId="0">
      <text>
        <r>
          <rPr>
            <sz val="8"/>
            <color indexed="81"/>
            <rFont val="Tahoma"/>
            <family val="2"/>
          </rPr>
          <t>ЗАМЕНИТЕ НА РЕАЛЬНЫЕ ДАННЫЕ.
Сельдерей корень, цикл 6. 0 исключает все элементы данного цикла, а не один выброс.</t>
        </r>
      </text>
    </comment>
    <comment ref="K283" authorId="0">
      <text>
        <r>
          <rPr>
            <sz val="8"/>
            <color indexed="81"/>
            <rFont val="Tahoma"/>
            <family val="2"/>
          </rPr>
          <t>ЗАМЕНИТЕ НА РЕАЛЬНЫЕ ДАННЫЕ.
Сельдерей корень, цикл 7. 0 исключает все элементы данного цикла, а не один выброс.</t>
        </r>
      </text>
    </comment>
    <comment ref="L283" authorId="0">
      <text>
        <r>
          <rPr>
            <sz val="8"/>
            <color indexed="81"/>
            <rFont val="Tahoma"/>
            <family val="2"/>
          </rPr>
          <t>ЗАМЕНИТЕ НА РЕАЛЬНЫЕ ДАННЫЕ.
Сельдерей корень, цикл 8. 0 исключает все элементы данного цикла, а не один выброс.</t>
        </r>
      </text>
    </comment>
    <comment ref="M283" authorId="0">
      <text>
        <r>
          <rPr>
            <sz val="8"/>
            <color indexed="81"/>
            <rFont val="Tahoma"/>
            <family val="2"/>
          </rPr>
          <t>ЗАМЕНИТЕ НА РЕАЛЬНЫЕ ДАННЫЕ.
Сельдерей корень, цикл 9. 0 исключает все элементы данного цикла, а не один выброс.</t>
        </r>
      </text>
    </comment>
    <comment ref="N283" authorId="0">
      <text>
        <r>
          <rPr>
            <sz val="8"/>
            <color indexed="81"/>
            <rFont val="Tahoma"/>
            <family val="2"/>
          </rPr>
          <t>ЗАМЕНИТЕ НА РЕАЛЬНЫЕ ДАННЫЕ.
Сельдерей корень, цикл 10. 0 исключает все элементы данного цикла, а не один выброс.</t>
        </r>
      </text>
    </comment>
    <comment ref="E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284"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285" authorId="0">
      <text>
        <r>
          <rPr>
            <sz val="8"/>
            <color indexed="81"/>
            <rFont val="Tahoma"/>
            <family val="2"/>
          </rPr>
          <t>ЗАМЕНИТЕ НА РЕАЛЬНЫЕ ДАННЫЕ.
ДЕМО, ЦЕЛЬ, Сельдерей корень,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285" authorId="0">
      <text>
        <r>
          <rPr>
            <sz val="8"/>
            <color indexed="81"/>
            <rFont val="Tahoma"/>
            <family val="2"/>
          </rPr>
          <t>ЗАМЕНИТЕ НА РЕАЛЬНЫЕ ДАННЫЕ.
ДЕМО, ЦЕЛЬ, Сельдерей корень,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285" authorId="0">
      <text>
        <r>
          <rPr>
            <sz val="8"/>
            <color indexed="81"/>
            <rFont val="Tahoma"/>
            <family val="2"/>
          </rPr>
          <t>ЗАМЕНИТЕ НА РЕАЛЬНЫЕ ДАННЫЕ.
ДЕМО, ЦЕЛЬ, Сельдерей корень,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285" authorId="0">
      <text>
        <r>
          <rPr>
            <sz val="8"/>
            <color indexed="81"/>
            <rFont val="Tahoma"/>
            <family val="2"/>
          </rPr>
          <t>ЗАМЕНИТЕ НА РЕАЛЬНЫЕ ДАННЫЕ.
ДЕМО, ЦЕЛЬ, Сельдерей корень,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285" authorId="0">
      <text>
        <r>
          <rPr>
            <sz val="8"/>
            <color indexed="81"/>
            <rFont val="Tahoma"/>
            <family val="2"/>
          </rPr>
          <t>ЗАМЕНИТЕ НА РЕАЛЬНЫЕ ДАННЫЕ.
ДЕМО, ЦЕЛЬ, Сельдерей корень,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285" authorId="0">
      <text>
        <r>
          <rPr>
            <sz val="8"/>
            <color indexed="81"/>
            <rFont val="Tahoma"/>
            <family val="2"/>
          </rPr>
          <t>ЗАМЕНИТЕ НА РЕАЛЬНЫЕ ДАННЫЕ.
ДЕМО, ЦЕЛЬ, Сельдерей корень,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285" authorId="0">
      <text>
        <r>
          <rPr>
            <sz val="8"/>
            <color indexed="81"/>
            <rFont val="Tahoma"/>
            <family val="2"/>
          </rPr>
          <t>ЗАМЕНИТЕ НА РЕАЛЬНЫЕ ДАННЫЕ.
ДЕМО, ЦЕЛЬ, Сельдерей корень,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285" authorId="0">
      <text>
        <r>
          <rPr>
            <sz val="8"/>
            <color indexed="81"/>
            <rFont val="Tahoma"/>
            <family val="2"/>
          </rPr>
          <t>ЗАМЕНИТЕ НА РЕАЛЬНЫЕ ДАННЫЕ.
ДЕМО, ЦЕЛЬ, Сельдерей корень,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285" authorId="0">
      <text>
        <r>
          <rPr>
            <sz val="8"/>
            <color indexed="81"/>
            <rFont val="Tahoma"/>
            <family val="2"/>
          </rPr>
          <t>ЗАМЕНИТЕ НА РЕАЛЬНЫЕ ДАННЫЕ.
ДЕМО, ЦЕЛЬ, Сельдерей корень,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285" authorId="0">
      <text>
        <r>
          <rPr>
            <sz val="8"/>
            <color indexed="81"/>
            <rFont val="Tahoma"/>
            <family val="2"/>
          </rPr>
          <t>ЗАМЕНИТЕ НА РЕАЛЬНЫЕ ДАННЫЕ.
ДЕМО, ЦЕЛЬ, Сельдерей корень,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286" authorId="0">
      <text>
        <r>
          <rPr>
            <sz val="8"/>
            <color indexed="81"/>
            <rFont val="Tahoma"/>
            <family val="2"/>
          </rPr>
          <t>ЗАМЕНИТЕ НА РЕАЛЬНЫЕ ДАННЫЕ.
ДЕМО, ЦЕЛЬ, Сельдерей корень,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286" authorId="0">
      <text>
        <r>
          <rPr>
            <sz val="8"/>
            <color indexed="81"/>
            <rFont val="Tahoma"/>
            <family val="2"/>
          </rPr>
          <t>ЗАМЕНИТЕ НА РЕАЛЬНЫЕ ДАННЫЕ.
ДЕМО, ЦЕЛЬ, Сельдерей корень,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286" authorId="0">
      <text>
        <r>
          <rPr>
            <sz val="8"/>
            <color indexed="81"/>
            <rFont val="Tahoma"/>
            <family val="2"/>
          </rPr>
          <t>ЗАМЕНИТЕ НА РЕАЛЬНЫЕ ДАННЫЕ.
ДЕМО, ЦЕЛЬ, Сельдерей корень,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286" authorId="0">
      <text>
        <r>
          <rPr>
            <sz val="8"/>
            <color indexed="81"/>
            <rFont val="Tahoma"/>
            <family val="2"/>
          </rPr>
          <t>ЗАМЕНИТЕ НА РЕАЛЬНЫЕ ДАННЫЕ.
ДЕМО, ЦЕЛЬ, Сельдерей корень,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286" authorId="0">
      <text>
        <r>
          <rPr>
            <sz val="8"/>
            <color indexed="81"/>
            <rFont val="Tahoma"/>
            <family val="2"/>
          </rPr>
          <t>ЗАМЕНИТЕ НА РЕАЛЬНЫЕ ДАННЫЕ.
ДЕМО, ЦЕЛЬ, Сельдерей корень,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286" authorId="0">
      <text>
        <r>
          <rPr>
            <sz val="8"/>
            <color indexed="81"/>
            <rFont val="Tahoma"/>
            <family val="2"/>
          </rPr>
          <t>ЗАМЕНИТЕ НА РЕАЛЬНЫЕ ДАННЫЕ.
ДЕМО, ЦЕЛЬ, Сельдерей корень,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286" authorId="0">
      <text>
        <r>
          <rPr>
            <sz val="8"/>
            <color indexed="81"/>
            <rFont val="Tahoma"/>
            <family val="2"/>
          </rPr>
          <t>ЗАМЕНИТЕ НА РЕАЛЬНЫЕ ДАННЫЕ.
ДЕМО, ЦЕЛЬ, Сельдерей корень,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286" authorId="0">
      <text>
        <r>
          <rPr>
            <sz val="8"/>
            <color indexed="81"/>
            <rFont val="Tahoma"/>
            <family val="2"/>
          </rPr>
          <t>ЗАМЕНИТЕ НА РЕАЛЬНЫЕ ДАННЫЕ.
ДЕМО, ЦЕЛЬ, Сельдерей корень,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286" authorId="0">
      <text>
        <r>
          <rPr>
            <sz val="8"/>
            <color indexed="81"/>
            <rFont val="Tahoma"/>
            <family val="2"/>
          </rPr>
          <t>ЗАМЕНИТЕ НА РЕАЛЬНЫЕ ДАННЫЕ.
ДЕМО, ЦЕЛЬ, Сельдерей корень,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286" authorId="0">
      <text>
        <r>
          <rPr>
            <sz val="8"/>
            <color indexed="81"/>
            <rFont val="Tahoma"/>
            <family val="2"/>
          </rPr>
          <t>ЗАМЕНИТЕ НА РЕАЛЬНЫЕ ДАННЫЕ.
ДЕМО, ЦЕЛЬ, Сельдерей корень,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287" authorId="0">
      <text>
        <r>
          <rPr>
            <sz val="8"/>
            <color indexed="81"/>
            <rFont val="Tahoma"/>
            <family val="2"/>
          </rPr>
          <t>ЗАМЕНИТЕ НА РЕАЛЬНЫЕ ДАННЫЕ.
ДЕМО, ЦЕЛЬ, Сельдерей корень,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287" authorId="0">
      <text>
        <r>
          <rPr>
            <sz val="8"/>
            <color indexed="81"/>
            <rFont val="Tahoma"/>
            <family val="2"/>
          </rPr>
          <t>ЗАМЕНИТЕ НА РЕАЛЬНЫЕ ДАННЫЕ.
ДЕМО, ЦЕЛЬ, Сельдерей корень,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287" authorId="0">
      <text>
        <r>
          <rPr>
            <sz val="8"/>
            <color indexed="81"/>
            <rFont val="Tahoma"/>
            <family val="2"/>
          </rPr>
          <t>ЗАМЕНИТЕ НА РЕАЛЬНЫЕ ДАННЫЕ.
ДЕМО, ЦЕЛЬ, Сельдерей корень,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287" authorId="0">
      <text>
        <r>
          <rPr>
            <sz val="8"/>
            <color indexed="81"/>
            <rFont val="Tahoma"/>
            <family val="2"/>
          </rPr>
          <t>ЗАМЕНИТЕ НА РЕАЛЬНЫЕ ДАННЫЕ.
ДЕМО, ЦЕЛЬ, Сельдерей корень,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287" authorId="0">
      <text>
        <r>
          <rPr>
            <sz val="8"/>
            <color indexed="81"/>
            <rFont val="Tahoma"/>
            <family val="2"/>
          </rPr>
          <t>ЗАМЕНИТЕ НА РЕАЛЬНЫЕ ДАННЫЕ.
ДЕМО, ЦЕЛЬ, Сельдерей корень,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287" authorId="0">
      <text>
        <r>
          <rPr>
            <sz val="8"/>
            <color indexed="81"/>
            <rFont val="Tahoma"/>
            <family val="2"/>
          </rPr>
          <t>ЗАМЕНИТЕ НА РЕАЛЬНЫЕ ДАННЫЕ.
ДЕМО, ЦЕЛЬ, Сельдерей корень,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287" authorId="0">
      <text>
        <r>
          <rPr>
            <sz val="8"/>
            <color indexed="81"/>
            <rFont val="Tahoma"/>
            <family val="2"/>
          </rPr>
          <t>ЗАМЕНИТЕ НА РЕАЛЬНЫЕ ДАННЫЕ.
ДЕМО, ЦЕЛЬ, Сельдерей корень,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287" authorId="0">
      <text>
        <r>
          <rPr>
            <sz val="8"/>
            <color indexed="81"/>
            <rFont val="Tahoma"/>
            <family val="2"/>
          </rPr>
          <t>ЗАМЕНИТЕ НА РЕАЛЬНЫЕ ДАННЫЕ.
ДЕМО, ЦЕЛЬ, Сельдерей корень,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287" authorId="0">
      <text>
        <r>
          <rPr>
            <sz val="8"/>
            <color indexed="81"/>
            <rFont val="Tahoma"/>
            <family val="2"/>
          </rPr>
          <t>ЗАМЕНИТЕ НА РЕАЛЬНЫЕ ДАННЫЕ.
ДЕМО, ЦЕЛЬ, Сельдерей корень,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287" authorId="0">
      <text>
        <r>
          <rPr>
            <sz val="8"/>
            <color indexed="81"/>
            <rFont val="Tahoma"/>
            <family val="2"/>
          </rPr>
          <t>ЗАМЕНИТЕ НА РЕАЛЬНЫЕ ДАННЫЕ.
ДЕМО, ЦЕЛЬ, Сельдерей корень,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288" authorId="0">
      <text>
        <r>
          <rPr>
            <sz val="8"/>
            <color indexed="81"/>
            <rFont val="Tahoma"/>
            <family val="2"/>
          </rPr>
          <t>ЗАМЕНИТЕ НА РЕАЛЬНЫЕ ДАННЫЕ.
ДЕМО, ЦЕЛЬ, Сельдерей корень,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288" authorId="0">
      <text>
        <r>
          <rPr>
            <sz val="8"/>
            <color indexed="81"/>
            <rFont val="Tahoma"/>
            <family val="2"/>
          </rPr>
          <t>ЗАМЕНИТЕ НА РЕАЛЬНЫЕ ДАННЫЕ.
ДЕМО, ЦЕЛЬ, Сельдерей корень,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288" authorId="0">
      <text>
        <r>
          <rPr>
            <sz val="8"/>
            <color indexed="81"/>
            <rFont val="Tahoma"/>
            <family val="2"/>
          </rPr>
          <t>ЗАМЕНИТЕ НА РЕАЛЬНЫЕ ДАННЫЕ.
ДЕМО, ЦЕЛЬ, Сельдерей корень,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288" authorId="0">
      <text>
        <r>
          <rPr>
            <sz val="8"/>
            <color indexed="81"/>
            <rFont val="Tahoma"/>
            <family val="2"/>
          </rPr>
          <t>ЗАМЕНИТЕ НА РЕАЛЬНЫЕ ДАННЫЕ.
ДЕМО, ЦЕЛЬ, Сельдерей корень,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288" authorId="0">
      <text>
        <r>
          <rPr>
            <sz val="8"/>
            <color indexed="81"/>
            <rFont val="Tahoma"/>
            <family val="2"/>
          </rPr>
          <t>ЗАМЕНИТЕ НА РЕАЛЬНЫЕ ДАННЫЕ.
ДЕМО, ЦЕЛЬ, Сельдерей корень,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288" authorId="0">
      <text>
        <r>
          <rPr>
            <sz val="8"/>
            <color indexed="81"/>
            <rFont val="Tahoma"/>
            <family val="2"/>
          </rPr>
          <t>ЗАМЕНИТЕ НА РЕАЛЬНЫЕ ДАННЫЕ.
ДЕМО, ЦЕЛЬ, Сельдерей корень,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288" authorId="0">
      <text>
        <r>
          <rPr>
            <sz val="8"/>
            <color indexed="81"/>
            <rFont val="Tahoma"/>
            <family val="2"/>
          </rPr>
          <t>ЗАМЕНИТЕ НА РЕАЛЬНЫЕ ДАННЫЕ.
ДЕМО, ЦЕЛЬ, Сельдерей корень,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288" authorId="0">
      <text>
        <r>
          <rPr>
            <sz val="8"/>
            <color indexed="81"/>
            <rFont val="Tahoma"/>
            <family val="2"/>
          </rPr>
          <t>ЗАМЕНИТЕ НА РЕАЛЬНЫЕ ДАННЫЕ.
ДЕМО, ЦЕЛЬ, Сельдерей корень,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288" authorId="0">
      <text>
        <r>
          <rPr>
            <sz val="8"/>
            <color indexed="81"/>
            <rFont val="Tahoma"/>
            <family val="2"/>
          </rPr>
          <t>ЗАМЕНИТЕ НА РЕАЛЬНЫЕ ДАННЫЕ.
ДЕМО, ЦЕЛЬ, Сельдерей корень,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288" authorId="0">
      <text>
        <r>
          <rPr>
            <sz val="8"/>
            <color indexed="81"/>
            <rFont val="Tahoma"/>
            <family val="2"/>
          </rPr>
          <t>ЗАМЕНИТЕ НА РЕАЛЬНЫЕ ДАННЫЕ.
ДЕМО, ЦЕЛЬ, Сельдерей корень,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289" authorId="0">
      <text>
        <r>
          <rPr>
            <sz val="8"/>
            <color indexed="81"/>
            <rFont val="Tahoma"/>
            <family val="2"/>
          </rPr>
          <t>ЗАМЕНИТЕ НА РЕАЛЬНЫЕ ДАННЫЕ.
ДЕМО, ЦЕЛЬ, Сельдерей корень,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289" authorId="0">
      <text>
        <r>
          <rPr>
            <sz val="8"/>
            <color indexed="81"/>
            <rFont val="Tahoma"/>
            <family val="2"/>
          </rPr>
          <t>ЗАМЕНИТЕ НА РЕАЛЬНЫЕ ДАННЫЕ.
ДЕМО, ЦЕЛЬ, Сельдерей корень,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289" authorId="0">
      <text>
        <r>
          <rPr>
            <sz val="8"/>
            <color indexed="81"/>
            <rFont val="Tahoma"/>
            <family val="2"/>
          </rPr>
          <t>ЗАМЕНИТЕ НА РЕАЛЬНЫЕ ДАННЫЕ.
ДЕМО, ЦЕЛЬ, Сельдерей корень,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289" authorId="0">
      <text>
        <r>
          <rPr>
            <sz val="8"/>
            <color indexed="81"/>
            <rFont val="Tahoma"/>
            <family val="2"/>
          </rPr>
          <t>ЗАМЕНИТЕ НА РЕАЛЬНЫЕ ДАННЫЕ.
ДЕМО, ЦЕЛЬ, Сельдерей корень,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289" authorId="0">
      <text>
        <r>
          <rPr>
            <sz val="8"/>
            <color indexed="81"/>
            <rFont val="Tahoma"/>
            <family val="2"/>
          </rPr>
          <t>ЗАМЕНИТЕ НА РЕАЛЬНЫЕ ДАННЫЕ.
ДЕМО, ЦЕЛЬ, Сельдерей корень,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289" authorId="0">
      <text>
        <r>
          <rPr>
            <sz val="8"/>
            <color indexed="81"/>
            <rFont val="Tahoma"/>
            <family val="2"/>
          </rPr>
          <t>ЗАМЕНИТЕ НА РЕАЛЬНЫЕ ДАННЫЕ.
ДЕМО, ЦЕЛЬ, Сельдерей корень,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289" authorId="0">
      <text>
        <r>
          <rPr>
            <sz val="8"/>
            <color indexed="81"/>
            <rFont val="Tahoma"/>
            <family val="2"/>
          </rPr>
          <t>ЗАМЕНИТЕ НА РЕАЛЬНЫЕ ДАННЫЕ.
ДЕМО, ЦЕЛЬ, Сельдерей корень,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289" authorId="0">
      <text>
        <r>
          <rPr>
            <sz val="8"/>
            <color indexed="81"/>
            <rFont val="Tahoma"/>
            <family val="2"/>
          </rPr>
          <t>ЗАМЕНИТЕ НА РЕАЛЬНЫЕ ДАННЫЕ.
ДЕМО, ЦЕЛЬ, Сельдерей корень,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289" authorId="0">
      <text>
        <r>
          <rPr>
            <sz val="8"/>
            <color indexed="81"/>
            <rFont val="Tahoma"/>
            <family val="2"/>
          </rPr>
          <t>ЗАМЕНИТЕ НА РЕАЛЬНЫЕ ДАННЫЕ.
ДЕМО, ЦЕЛЬ, Сельдерей корень,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289" authorId="0">
      <text>
        <r>
          <rPr>
            <sz val="8"/>
            <color indexed="81"/>
            <rFont val="Tahoma"/>
            <family val="2"/>
          </rPr>
          <t>ЗАМЕНИТЕ НА РЕАЛЬНЫЕ ДАННЫЕ.
ДЕМО, ЦЕЛЬ, Сельдерей корень,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291" authorId="0">
      <text>
        <r>
          <rPr>
            <sz val="8"/>
            <color indexed="81"/>
            <rFont val="Tahoma"/>
            <family val="2"/>
          </rPr>
          <t>ЗАМЕНИТЕ НА РЕАЛЬНЫЕ ДАННЫЕ.
ДЕМО, ЦЕЛЬ, Сельдерей корень,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291" authorId="0">
      <text>
        <r>
          <rPr>
            <sz val="8"/>
            <color indexed="81"/>
            <rFont val="Tahoma"/>
            <family val="2"/>
          </rPr>
          <t>ЗАМЕНИТЕ НА РЕАЛЬНЫЕ ДАННЫЕ.
ДЕМО, ЦЕЛЬ, Сельдерей корень,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291" authorId="0">
      <text>
        <r>
          <rPr>
            <sz val="8"/>
            <color indexed="81"/>
            <rFont val="Tahoma"/>
            <family val="2"/>
          </rPr>
          <t>ЗАМЕНИТЕ НА РЕАЛЬНЫЕ ДАННЫЕ.
ДЕМО, ЦЕЛЬ, Сельдерей корень,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291" authorId="0">
      <text>
        <r>
          <rPr>
            <sz val="8"/>
            <color indexed="81"/>
            <rFont val="Tahoma"/>
            <family val="2"/>
          </rPr>
          <t>ЗАМЕНИТЕ НА РЕАЛЬНЫЕ ДАННЫЕ.
ДЕМО, ЦЕЛЬ, Сельдерей корень,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291" authorId="0">
      <text>
        <r>
          <rPr>
            <sz val="8"/>
            <color indexed="81"/>
            <rFont val="Tahoma"/>
            <family val="2"/>
          </rPr>
          <t>ЗАМЕНИТЕ НА РЕАЛЬНЫЕ ДАННЫЕ.
ДЕМО, ЦЕЛЬ, Сельдерей корень,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291" authorId="0">
      <text>
        <r>
          <rPr>
            <sz val="8"/>
            <color indexed="81"/>
            <rFont val="Tahoma"/>
            <family val="2"/>
          </rPr>
          <t>ЗАМЕНИТЕ НА РЕАЛЬНЫЕ ДАННЫЕ.
ДЕМО, ЦЕЛЬ, Сельдерей корень,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291" authorId="0">
      <text>
        <r>
          <rPr>
            <sz val="8"/>
            <color indexed="81"/>
            <rFont val="Tahoma"/>
            <family val="2"/>
          </rPr>
          <t>ЗАМЕНИТЕ НА РЕАЛЬНЫЕ ДАННЫЕ.
ДЕМО, ЦЕЛЬ, Сельдерей корень,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291" authorId="0">
      <text>
        <r>
          <rPr>
            <sz val="8"/>
            <color indexed="81"/>
            <rFont val="Tahoma"/>
            <family val="2"/>
          </rPr>
          <t>ЗАМЕНИТЕ НА РЕАЛЬНЫЕ ДАННЫЕ.
ДЕМО, ЦЕЛЬ, Сельдерей корень,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291" authorId="0">
      <text>
        <r>
          <rPr>
            <sz val="8"/>
            <color indexed="81"/>
            <rFont val="Tahoma"/>
            <family val="2"/>
          </rPr>
          <t>ЗАМЕНИТЕ НА РЕАЛЬНЫЕ ДАННЫЕ.
ДЕМО, ЦЕЛЬ, Сельдерей корень,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291" authorId="0">
      <text>
        <r>
          <rPr>
            <sz val="8"/>
            <color indexed="81"/>
            <rFont val="Tahoma"/>
            <family val="2"/>
          </rPr>
          <t>ЗАМЕНИТЕ НА РЕАЛЬНЫЕ ДАННЫЕ.
ДЕМО, ЦЕЛЬ, Сельдерей корень,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292" authorId="0">
      <text>
        <r>
          <rPr>
            <sz val="8"/>
            <color indexed="81"/>
            <rFont val="Tahoma"/>
            <family val="2"/>
          </rPr>
          <t>ЗАМЕНИТЕ НА РЕАЛЬНЫЕ ДАННЫЕ.
ДЕМО, ЦЕЛЬ, Сельдерей корень,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292" authorId="0">
      <text>
        <r>
          <rPr>
            <sz val="8"/>
            <color indexed="81"/>
            <rFont val="Tahoma"/>
            <family val="2"/>
          </rPr>
          <t>ЗАМЕНИТЕ НА РЕАЛЬНЫЕ ДАННЫЕ.
ДЕМО, ЦЕЛЬ, Сельдерей корень,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292" authorId="0">
      <text>
        <r>
          <rPr>
            <sz val="8"/>
            <color indexed="81"/>
            <rFont val="Tahoma"/>
            <family val="2"/>
          </rPr>
          <t>ЗАМЕНИТЕ НА РЕАЛЬНЫЕ ДАННЫЕ.
ДЕМО, ЦЕЛЬ, Сельдерей корень,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292" authorId="0">
      <text>
        <r>
          <rPr>
            <sz val="8"/>
            <color indexed="81"/>
            <rFont val="Tahoma"/>
            <family val="2"/>
          </rPr>
          <t>ЗАМЕНИТЕ НА РЕАЛЬНЫЕ ДАННЫЕ.
ДЕМО, ЦЕЛЬ, Сельдерей корень,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292" authorId="0">
      <text>
        <r>
          <rPr>
            <sz val="8"/>
            <color indexed="81"/>
            <rFont val="Tahoma"/>
            <family val="2"/>
          </rPr>
          <t>ЗАМЕНИТЕ НА РЕАЛЬНЫЕ ДАННЫЕ.
ДЕМО, ЦЕЛЬ, Сельдерей корень,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292" authorId="0">
      <text>
        <r>
          <rPr>
            <sz val="8"/>
            <color indexed="81"/>
            <rFont val="Tahoma"/>
            <family val="2"/>
          </rPr>
          <t>ЗАМЕНИТЕ НА РЕАЛЬНЫЕ ДАННЫЕ.
ДЕМО, ЦЕЛЬ, Сельдерей корень,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292" authorId="0">
      <text>
        <r>
          <rPr>
            <sz val="8"/>
            <color indexed="81"/>
            <rFont val="Tahoma"/>
            <family val="2"/>
          </rPr>
          <t>ЗАМЕНИТЕ НА РЕАЛЬНЫЕ ДАННЫЕ.
ДЕМО, ЦЕЛЬ, Сельдерей корень,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292" authorId="0">
      <text>
        <r>
          <rPr>
            <sz val="8"/>
            <color indexed="81"/>
            <rFont val="Tahoma"/>
            <family val="2"/>
          </rPr>
          <t>ЗАМЕНИТЕ НА РЕАЛЬНЫЕ ДАННЫЕ.
ДЕМО, ЦЕЛЬ, Сельдерей корень,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292" authorId="0">
      <text>
        <r>
          <rPr>
            <sz val="8"/>
            <color indexed="81"/>
            <rFont val="Tahoma"/>
            <family val="2"/>
          </rPr>
          <t>ЗАМЕНИТЕ НА РЕАЛЬНЫЕ ДАННЫЕ.
ДЕМО, ЦЕЛЬ, Сельдерей корень,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292" authorId="0">
      <text>
        <r>
          <rPr>
            <sz val="8"/>
            <color indexed="81"/>
            <rFont val="Tahoma"/>
            <family val="2"/>
          </rPr>
          <t>ЗАМЕНИТЕ НА РЕАЛЬНЫЕ ДАННЫЕ.
ДЕМО, ЦЕЛЬ, Сельдерей корень,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293" authorId="0">
      <text>
        <r>
          <rPr>
            <sz val="8"/>
            <color indexed="81"/>
            <rFont val="Tahoma"/>
            <family val="2"/>
          </rPr>
          <t>ЗАМЕНИТЕ НА РЕАЛЬНЫЕ ДАННЫЕ.
ДЕМО, ЦЕЛЬ, Сельдерей корень,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293" authorId="0">
      <text>
        <r>
          <rPr>
            <sz val="8"/>
            <color indexed="81"/>
            <rFont val="Tahoma"/>
            <family val="2"/>
          </rPr>
          <t>ЗАМЕНИТЕ НА РЕАЛЬНЫЕ ДАННЫЕ.
ДЕМО, ЦЕЛЬ, Сельдерей корень,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293" authorId="0">
      <text>
        <r>
          <rPr>
            <sz val="8"/>
            <color indexed="81"/>
            <rFont val="Tahoma"/>
            <family val="2"/>
          </rPr>
          <t>ЗАМЕНИТЕ НА РЕАЛЬНЫЕ ДАННЫЕ.
ДЕМО, ЦЕЛЬ, Сельдерей корень,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293" authorId="0">
      <text>
        <r>
          <rPr>
            <sz val="8"/>
            <color indexed="81"/>
            <rFont val="Tahoma"/>
            <family val="2"/>
          </rPr>
          <t>ЗАМЕНИТЕ НА РЕАЛЬНЫЕ ДАННЫЕ.
ДЕМО, ЦЕЛЬ, Сельдерей корень,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293" authorId="0">
      <text>
        <r>
          <rPr>
            <sz val="8"/>
            <color indexed="81"/>
            <rFont val="Tahoma"/>
            <family val="2"/>
          </rPr>
          <t>ЗАМЕНИТЕ НА РЕАЛЬНЫЕ ДАННЫЕ.
ДЕМО, ЦЕЛЬ, Сельдерей корень,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293" authorId="0">
      <text>
        <r>
          <rPr>
            <sz val="8"/>
            <color indexed="81"/>
            <rFont val="Tahoma"/>
            <family val="2"/>
          </rPr>
          <t>ЗАМЕНИТЕ НА РЕАЛЬНЫЕ ДАННЫЕ.
ДЕМО, ЦЕЛЬ, Сельдерей корень,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293" authorId="0">
      <text>
        <r>
          <rPr>
            <sz val="8"/>
            <color indexed="81"/>
            <rFont val="Tahoma"/>
            <family val="2"/>
          </rPr>
          <t>ЗАМЕНИТЕ НА РЕАЛЬНЫЕ ДАННЫЕ.
ДЕМО, ЦЕЛЬ, Сельдерей корень,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293" authorId="0">
      <text>
        <r>
          <rPr>
            <sz val="8"/>
            <color indexed="81"/>
            <rFont val="Tahoma"/>
            <family val="2"/>
          </rPr>
          <t>ЗАМЕНИТЕ НА РЕАЛЬНЫЕ ДАННЫЕ.
ДЕМО, ЦЕЛЬ, Сельдерей корень,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293" authorId="0">
      <text>
        <r>
          <rPr>
            <sz val="8"/>
            <color indexed="81"/>
            <rFont val="Tahoma"/>
            <family val="2"/>
          </rPr>
          <t>ЗАМЕНИТЕ НА РЕАЛЬНЫЕ ДАННЫЕ.
ДЕМО, ЦЕЛЬ, Сельдерей корень,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293" authorId="0">
      <text>
        <r>
          <rPr>
            <sz val="8"/>
            <color indexed="81"/>
            <rFont val="Tahoma"/>
            <family val="2"/>
          </rPr>
          <t>ЗАМЕНИТЕ НА РЕАЛЬНЫЕ ДАННЫЕ.
ДЕМО, ЦЕЛЬ, Сельдерей корень,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294" authorId="0">
      <text>
        <r>
          <rPr>
            <sz val="8"/>
            <color indexed="81"/>
            <rFont val="Tahoma"/>
            <family val="2"/>
          </rPr>
          <t>ЗАМЕНИТЕ НА РЕАЛЬНЫЕ ДАННЫЕ.
ДЕМО, ЦЕЛЬ, Сельдерей корень,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294" authorId="0">
      <text>
        <r>
          <rPr>
            <sz val="8"/>
            <color indexed="81"/>
            <rFont val="Tahoma"/>
            <family val="2"/>
          </rPr>
          <t>ЗАМЕНИТЕ НА РЕАЛЬНЫЕ ДАННЫЕ.
ДЕМО, ЦЕЛЬ, Сельдерей корень,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294" authorId="0">
      <text>
        <r>
          <rPr>
            <sz val="8"/>
            <color indexed="81"/>
            <rFont val="Tahoma"/>
            <family val="2"/>
          </rPr>
          <t>ЗАМЕНИТЕ НА РЕАЛЬНЫЕ ДАННЫЕ.
ДЕМО, ЦЕЛЬ, Сельдерей корень,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294" authorId="0">
      <text>
        <r>
          <rPr>
            <sz val="8"/>
            <color indexed="81"/>
            <rFont val="Tahoma"/>
            <family val="2"/>
          </rPr>
          <t>ЗАМЕНИТЕ НА РЕАЛЬНЫЕ ДАННЫЕ.
ДЕМО, ЦЕЛЬ, Сельдерей корень,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294" authorId="0">
      <text>
        <r>
          <rPr>
            <sz val="8"/>
            <color indexed="81"/>
            <rFont val="Tahoma"/>
            <family val="2"/>
          </rPr>
          <t>ЗАМЕНИТЕ НА РЕАЛЬНЫЕ ДАННЫЕ.
ДЕМО, ЦЕЛЬ, Сельдерей корень,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294" authorId="0">
      <text>
        <r>
          <rPr>
            <sz val="8"/>
            <color indexed="81"/>
            <rFont val="Tahoma"/>
            <family val="2"/>
          </rPr>
          <t>ЗАМЕНИТЕ НА РЕАЛЬНЫЕ ДАННЫЕ.
ДЕМО, ЦЕЛЬ, Сельдерей корень,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294" authorId="0">
      <text>
        <r>
          <rPr>
            <sz val="8"/>
            <color indexed="81"/>
            <rFont val="Tahoma"/>
            <family val="2"/>
          </rPr>
          <t>ЗАМЕНИТЕ НА РЕАЛЬНЫЕ ДАННЫЕ.
ДЕМО, ЦЕЛЬ, Сельдерей корень,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294" authorId="0">
      <text>
        <r>
          <rPr>
            <sz val="8"/>
            <color indexed="81"/>
            <rFont val="Tahoma"/>
            <family val="2"/>
          </rPr>
          <t>ЗАМЕНИТЕ НА РЕАЛЬНЫЕ ДАННЫЕ.
ДЕМО, ЦЕЛЬ, Сельдерей корень,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294" authorId="0">
      <text>
        <r>
          <rPr>
            <sz val="8"/>
            <color indexed="81"/>
            <rFont val="Tahoma"/>
            <family val="2"/>
          </rPr>
          <t>ЗАМЕНИТЕ НА РЕАЛЬНЫЕ ДАННЫЕ.
ДЕМО, ЦЕЛЬ, Сельдерей корень,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294" authorId="0">
      <text>
        <r>
          <rPr>
            <sz val="8"/>
            <color indexed="81"/>
            <rFont val="Tahoma"/>
            <family val="2"/>
          </rPr>
          <t>ЗАМЕНИТЕ НА РЕАЛЬНЫЕ ДАННЫЕ.
ДЕМО, ЦЕЛЬ, Сельдерей корень,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295" authorId="0">
      <text>
        <r>
          <rPr>
            <sz val="8"/>
            <color indexed="81"/>
            <rFont val="Tahoma"/>
            <family val="2"/>
          </rPr>
          <t>ЗАМЕНИТЕ НА РЕАЛЬНЫЕ ДАННЫЕ.
ДЕМО, ЦЕЛЬ, Сельдерей корень,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295" authorId="0">
      <text>
        <r>
          <rPr>
            <sz val="8"/>
            <color indexed="81"/>
            <rFont val="Tahoma"/>
            <family val="2"/>
          </rPr>
          <t>ЗАМЕНИТЕ НА РЕАЛЬНЫЕ ДАННЫЕ.
ДЕМО, ЦЕЛЬ, Сельдерей корень,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295" authorId="0">
      <text>
        <r>
          <rPr>
            <sz val="8"/>
            <color indexed="81"/>
            <rFont val="Tahoma"/>
            <family val="2"/>
          </rPr>
          <t>ЗАМЕНИТЕ НА РЕАЛЬНЫЕ ДАННЫЕ.
ДЕМО, ЦЕЛЬ, Сельдерей корень,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295" authorId="0">
      <text>
        <r>
          <rPr>
            <sz val="8"/>
            <color indexed="81"/>
            <rFont val="Tahoma"/>
            <family val="2"/>
          </rPr>
          <t>ЗАМЕНИТЕ НА РЕАЛЬНЫЕ ДАННЫЕ.
ДЕМО, ЦЕЛЬ, Сельдерей корень,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295" authorId="0">
      <text>
        <r>
          <rPr>
            <sz val="8"/>
            <color indexed="81"/>
            <rFont val="Tahoma"/>
            <family val="2"/>
          </rPr>
          <t>ЗАМЕНИТЕ НА РЕАЛЬНЫЕ ДАННЫЕ.
ДЕМО, ЦЕЛЬ, Сельдерей корень,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295" authorId="0">
      <text>
        <r>
          <rPr>
            <sz val="8"/>
            <color indexed="81"/>
            <rFont val="Tahoma"/>
            <family val="2"/>
          </rPr>
          <t>ЗАМЕНИТЕ НА РЕАЛЬНЫЕ ДАННЫЕ.
ДЕМО, ЦЕЛЬ, Сельдерей корень,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295" authorId="0">
      <text>
        <r>
          <rPr>
            <sz val="8"/>
            <color indexed="81"/>
            <rFont val="Tahoma"/>
            <family val="2"/>
          </rPr>
          <t>ЗАМЕНИТЕ НА РЕАЛЬНЫЕ ДАННЫЕ.
ДЕМО, ЦЕЛЬ, Сельдерей корень,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295" authorId="0">
      <text>
        <r>
          <rPr>
            <sz val="8"/>
            <color indexed="81"/>
            <rFont val="Tahoma"/>
            <family val="2"/>
          </rPr>
          <t>ЗАМЕНИТЕ НА РЕАЛЬНЫЕ ДАННЫЕ.
ДЕМО, ЦЕЛЬ, Сельдерей корень,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295" authorId="0">
      <text>
        <r>
          <rPr>
            <sz val="8"/>
            <color indexed="81"/>
            <rFont val="Tahoma"/>
            <family val="2"/>
          </rPr>
          <t>ЗАМЕНИТЕ НА РЕАЛЬНЫЕ ДАННЫЕ.
ДЕМО, ЦЕЛЬ, Сельдерей корень,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295" authorId="0">
      <text>
        <r>
          <rPr>
            <sz val="8"/>
            <color indexed="81"/>
            <rFont val="Tahoma"/>
            <family val="2"/>
          </rPr>
          <t>ЗАМЕНИТЕ НА РЕАЛЬНЫЕ ДАННЫЕ.
ДЕМО, ЦЕЛЬ, Сельдерей корень,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04" authorId="0">
      <text>
        <r>
          <rPr>
            <sz val="8"/>
            <color indexed="81"/>
            <rFont val="Tahoma"/>
            <family val="2"/>
          </rPr>
          <t>ЗАМЕНИТЕ НА РЕАЛЬНЫЕ ДАННЫЕ.
Тыква, цикл 1. 0 исключает все элементы данного цикла, а не один выброс.</t>
        </r>
      </text>
    </comment>
    <comment ref="F304" authorId="0">
      <text>
        <r>
          <rPr>
            <sz val="8"/>
            <color indexed="81"/>
            <rFont val="Tahoma"/>
            <family val="2"/>
          </rPr>
          <t>ЗАМЕНИТЕ НА РЕАЛЬНЫЕ ДАННЫЕ.
Тыква, цикл 2. 0 исключает все элементы данного цикла, а не один выброс.</t>
        </r>
      </text>
    </comment>
    <comment ref="G304" authorId="0">
      <text>
        <r>
          <rPr>
            <sz val="8"/>
            <color indexed="81"/>
            <rFont val="Tahoma"/>
            <family val="2"/>
          </rPr>
          <t>ЗАМЕНИТЕ НА РЕАЛЬНЫЕ ДАННЫЕ.
Тыква, цикл 3. 0 исключает все элементы данного цикла, а не один выброс.</t>
        </r>
      </text>
    </comment>
    <comment ref="H304" authorId="0">
      <text>
        <r>
          <rPr>
            <sz val="8"/>
            <color indexed="81"/>
            <rFont val="Tahoma"/>
            <family val="2"/>
          </rPr>
          <t>ЗАМЕНИТЕ НА РЕАЛЬНЫЕ ДАННЫЕ.
Тыква, цикл 4. 0 исключает все элементы данного цикла, а не один выброс.</t>
        </r>
      </text>
    </comment>
    <comment ref="I304" authorId="0">
      <text>
        <r>
          <rPr>
            <sz val="8"/>
            <color indexed="81"/>
            <rFont val="Tahoma"/>
            <family val="2"/>
          </rPr>
          <t>ЗАМЕНИТЕ НА РЕАЛЬНЫЕ ДАННЫЕ.
Тыква, цикл 5. 0 исключает все элементы данного цикла, а не один выброс.</t>
        </r>
      </text>
    </comment>
    <comment ref="J304" authorId="0">
      <text>
        <r>
          <rPr>
            <sz val="8"/>
            <color indexed="81"/>
            <rFont val="Tahoma"/>
            <family val="2"/>
          </rPr>
          <t>ЗАМЕНИТЕ НА РЕАЛЬНЫЕ ДАННЫЕ.
Тыква, цикл 6. 0 исключает все элементы данного цикла, а не один выброс.</t>
        </r>
      </text>
    </comment>
    <comment ref="K304" authorId="0">
      <text>
        <r>
          <rPr>
            <sz val="8"/>
            <color indexed="81"/>
            <rFont val="Tahoma"/>
            <family val="2"/>
          </rPr>
          <t>ЗАМЕНИТЕ НА РЕАЛЬНЫЕ ДАННЫЕ.
Тыква, цикл 7. 0 исключает все элементы данного цикла, а не один выброс.</t>
        </r>
      </text>
    </comment>
    <comment ref="L304" authorId="0">
      <text>
        <r>
          <rPr>
            <sz val="8"/>
            <color indexed="81"/>
            <rFont val="Tahoma"/>
            <family val="2"/>
          </rPr>
          <t>ЗАМЕНИТЕ НА РЕАЛЬНЫЕ ДАННЫЕ.
Тыква, цикл 8. 0 исключает все элементы данного цикла, а не один выброс.</t>
        </r>
      </text>
    </comment>
    <comment ref="M304" authorId="0">
      <text>
        <r>
          <rPr>
            <sz val="8"/>
            <color indexed="81"/>
            <rFont val="Tahoma"/>
            <family val="2"/>
          </rPr>
          <t>ЗАМЕНИТЕ НА РЕАЛЬНЫЕ ДАННЫЕ.
Тыква, цикл 9. 0 исключает все элементы данного цикла, а не один выброс.</t>
        </r>
      </text>
    </comment>
    <comment ref="N304" authorId="0">
      <text>
        <r>
          <rPr>
            <sz val="8"/>
            <color indexed="81"/>
            <rFont val="Tahoma"/>
            <family val="2"/>
          </rPr>
          <t>ЗАМЕНИТЕ НА РЕАЛЬНЫЕ ДАННЫЕ.
Тыква, цикл 10. 0 исключает все элементы данного цикла, а не один выброс.</t>
        </r>
      </text>
    </comment>
    <comment ref="E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05"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06" authorId="0">
      <text>
        <r>
          <rPr>
            <sz val="8"/>
            <color indexed="81"/>
            <rFont val="Tahoma"/>
            <family val="2"/>
          </rPr>
          <t>ЗАМЕНИТЕ НА РЕАЛЬНЫЕ ДАННЫЕ.
ДЕМО, ЦЕЛЬ, Тыква,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06" authorId="0">
      <text>
        <r>
          <rPr>
            <sz val="8"/>
            <color indexed="81"/>
            <rFont val="Tahoma"/>
            <family val="2"/>
          </rPr>
          <t>ЗАМЕНИТЕ НА РЕАЛЬНЫЕ ДАННЫЕ.
ДЕМО, ЦЕЛЬ, Тыква,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06" authorId="0">
      <text>
        <r>
          <rPr>
            <sz val="8"/>
            <color indexed="81"/>
            <rFont val="Tahoma"/>
            <family val="2"/>
          </rPr>
          <t>ЗАМЕНИТЕ НА РЕАЛЬНЫЕ ДАННЫЕ.
ДЕМО, ЦЕЛЬ, Тыква,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06" authorId="0">
      <text>
        <r>
          <rPr>
            <sz val="8"/>
            <color indexed="81"/>
            <rFont val="Tahoma"/>
            <family val="2"/>
          </rPr>
          <t>ЗАМЕНИТЕ НА РЕАЛЬНЫЕ ДАННЫЕ.
ДЕМО, ЦЕЛЬ, Тыква,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06" authorId="0">
      <text>
        <r>
          <rPr>
            <sz val="8"/>
            <color indexed="81"/>
            <rFont val="Tahoma"/>
            <family val="2"/>
          </rPr>
          <t>ЗАМЕНИТЕ НА РЕАЛЬНЫЕ ДАННЫЕ.
ДЕМО, ЦЕЛЬ, Тыква,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06" authorId="0">
      <text>
        <r>
          <rPr>
            <sz val="8"/>
            <color indexed="81"/>
            <rFont val="Tahoma"/>
            <family val="2"/>
          </rPr>
          <t>ЗАМЕНИТЕ НА РЕАЛЬНЫЕ ДАННЫЕ.
ДЕМО, ЦЕЛЬ, Тыква,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06" authorId="0">
      <text>
        <r>
          <rPr>
            <sz val="8"/>
            <color indexed="81"/>
            <rFont val="Tahoma"/>
            <family val="2"/>
          </rPr>
          <t>ЗАМЕНИТЕ НА РЕАЛЬНЫЕ ДАННЫЕ.
ДЕМО, ЦЕЛЬ, Тыква,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06" authorId="0">
      <text>
        <r>
          <rPr>
            <sz val="8"/>
            <color indexed="81"/>
            <rFont val="Tahoma"/>
            <family val="2"/>
          </rPr>
          <t>ЗАМЕНИТЕ НА РЕАЛЬНЫЕ ДАННЫЕ.
ДЕМО, ЦЕЛЬ, Тыква,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06" authorId="0">
      <text>
        <r>
          <rPr>
            <sz val="8"/>
            <color indexed="81"/>
            <rFont val="Tahoma"/>
            <family val="2"/>
          </rPr>
          <t>ЗАМЕНИТЕ НА РЕАЛЬНЫЕ ДАННЫЕ.
ДЕМО, ЦЕЛЬ, Тыква,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06" authorId="0">
      <text>
        <r>
          <rPr>
            <sz val="8"/>
            <color indexed="81"/>
            <rFont val="Tahoma"/>
            <family val="2"/>
          </rPr>
          <t>ЗАМЕНИТЕ НА РЕАЛЬНЫЕ ДАННЫЕ.
ДЕМО, ЦЕЛЬ, Тыква,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07" authorId="0">
      <text>
        <r>
          <rPr>
            <sz val="8"/>
            <color indexed="81"/>
            <rFont val="Tahoma"/>
            <family val="2"/>
          </rPr>
          <t>ЗАМЕНИТЕ НА РЕАЛЬНЫЕ ДАННЫЕ.
ДЕМО, ЦЕЛЬ, Тыква,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07" authorId="0">
      <text>
        <r>
          <rPr>
            <sz val="8"/>
            <color indexed="81"/>
            <rFont val="Tahoma"/>
            <family val="2"/>
          </rPr>
          <t>ЗАМЕНИТЕ НА РЕАЛЬНЫЕ ДАННЫЕ.
ДЕМО, ЦЕЛЬ, Тыква,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07" authorId="0">
      <text>
        <r>
          <rPr>
            <sz val="8"/>
            <color indexed="81"/>
            <rFont val="Tahoma"/>
            <family val="2"/>
          </rPr>
          <t>ЗАМЕНИТЕ НА РЕАЛЬНЫЕ ДАННЫЕ.
ДЕМО, ЦЕЛЬ, Тыква,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07" authorId="0">
      <text>
        <r>
          <rPr>
            <sz val="8"/>
            <color indexed="81"/>
            <rFont val="Tahoma"/>
            <family val="2"/>
          </rPr>
          <t>ЗАМЕНИТЕ НА РЕАЛЬНЫЕ ДАННЫЕ.
ДЕМО, ЦЕЛЬ, Тыква,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07" authorId="0">
      <text>
        <r>
          <rPr>
            <sz val="8"/>
            <color indexed="81"/>
            <rFont val="Tahoma"/>
            <family val="2"/>
          </rPr>
          <t>ЗАМЕНИТЕ НА РЕАЛЬНЫЕ ДАННЫЕ.
ДЕМО, ЦЕЛЬ, Тыква,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07" authorId="0">
      <text>
        <r>
          <rPr>
            <sz val="8"/>
            <color indexed="81"/>
            <rFont val="Tahoma"/>
            <family val="2"/>
          </rPr>
          <t>ЗАМЕНИТЕ НА РЕАЛЬНЫЕ ДАННЫЕ.
ДЕМО, ЦЕЛЬ, Тыква,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07" authorId="0">
      <text>
        <r>
          <rPr>
            <sz val="8"/>
            <color indexed="81"/>
            <rFont val="Tahoma"/>
            <family val="2"/>
          </rPr>
          <t>ЗАМЕНИТЕ НА РЕАЛЬНЫЕ ДАННЫЕ.
ДЕМО, ЦЕЛЬ, Тыква,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07" authorId="0">
      <text>
        <r>
          <rPr>
            <sz val="8"/>
            <color indexed="81"/>
            <rFont val="Tahoma"/>
            <family val="2"/>
          </rPr>
          <t>ЗАМЕНИТЕ НА РЕАЛЬНЫЕ ДАННЫЕ.
ДЕМО, ЦЕЛЬ, Тыква,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07" authorId="0">
      <text>
        <r>
          <rPr>
            <sz val="8"/>
            <color indexed="81"/>
            <rFont val="Tahoma"/>
            <family val="2"/>
          </rPr>
          <t>ЗАМЕНИТЕ НА РЕАЛЬНЫЕ ДАННЫЕ.
ДЕМО, ЦЕЛЬ, Тыква,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07" authorId="0">
      <text>
        <r>
          <rPr>
            <sz val="8"/>
            <color indexed="81"/>
            <rFont val="Tahoma"/>
            <family val="2"/>
          </rPr>
          <t>ЗАМЕНИТЕ НА РЕАЛЬНЫЕ ДАННЫЕ.
ДЕМО, ЦЕЛЬ, Тыква,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08" authorId="0">
      <text>
        <r>
          <rPr>
            <sz val="8"/>
            <color indexed="81"/>
            <rFont val="Tahoma"/>
            <family val="2"/>
          </rPr>
          <t>ЗАМЕНИТЕ НА РЕАЛЬНЫЕ ДАННЫЕ.
ДЕМО, ЦЕЛЬ, Тыква,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08" authorId="0">
      <text>
        <r>
          <rPr>
            <sz val="8"/>
            <color indexed="81"/>
            <rFont val="Tahoma"/>
            <family val="2"/>
          </rPr>
          <t>ЗАМЕНИТЕ НА РЕАЛЬНЫЕ ДАННЫЕ.
ДЕМО, ЦЕЛЬ, Тыква,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08" authorId="0">
      <text>
        <r>
          <rPr>
            <sz val="8"/>
            <color indexed="81"/>
            <rFont val="Tahoma"/>
            <family val="2"/>
          </rPr>
          <t>ЗАМЕНИТЕ НА РЕАЛЬНЫЕ ДАННЫЕ.
ДЕМО, ЦЕЛЬ, Тыква,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08" authorId="0">
      <text>
        <r>
          <rPr>
            <sz val="8"/>
            <color indexed="81"/>
            <rFont val="Tahoma"/>
            <family val="2"/>
          </rPr>
          <t>ЗАМЕНИТЕ НА РЕАЛЬНЫЕ ДАННЫЕ.
ДЕМО, ЦЕЛЬ, Тыква,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08" authorId="0">
      <text>
        <r>
          <rPr>
            <sz val="8"/>
            <color indexed="81"/>
            <rFont val="Tahoma"/>
            <family val="2"/>
          </rPr>
          <t>ЗАМЕНИТЕ НА РЕАЛЬНЫЕ ДАННЫЕ.
ДЕМО, ЦЕЛЬ, Тыква,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08" authorId="0">
      <text>
        <r>
          <rPr>
            <sz val="8"/>
            <color indexed="81"/>
            <rFont val="Tahoma"/>
            <family val="2"/>
          </rPr>
          <t>ЗАМЕНИТЕ НА РЕАЛЬНЫЕ ДАННЫЕ.
ДЕМО, ЦЕЛЬ, Тыква,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08" authorId="0">
      <text>
        <r>
          <rPr>
            <sz val="8"/>
            <color indexed="81"/>
            <rFont val="Tahoma"/>
            <family val="2"/>
          </rPr>
          <t>ЗАМЕНИТЕ НА РЕАЛЬНЫЕ ДАННЫЕ.
ДЕМО, ЦЕЛЬ, Тыква,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08" authorId="0">
      <text>
        <r>
          <rPr>
            <sz val="8"/>
            <color indexed="81"/>
            <rFont val="Tahoma"/>
            <family val="2"/>
          </rPr>
          <t>ЗАМЕНИТЕ НА РЕАЛЬНЫЕ ДАННЫЕ.
ДЕМО, ЦЕЛЬ, Тыква,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08" authorId="0">
      <text>
        <r>
          <rPr>
            <sz val="8"/>
            <color indexed="81"/>
            <rFont val="Tahoma"/>
            <family val="2"/>
          </rPr>
          <t>ЗАМЕНИТЕ НА РЕАЛЬНЫЕ ДАННЫЕ.
ДЕМО, ЦЕЛЬ, Тыква,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08" authorId="0">
      <text>
        <r>
          <rPr>
            <sz val="8"/>
            <color indexed="81"/>
            <rFont val="Tahoma"/>
            <family val="2"/>
          </rPr>
          <t>ЗАМЕНИТЕ НА РЕАЛЬНЫЕ ДАННЫЕ.
ДЕМО, ЦЕЛЬ, Тыква,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09" authorId="0">
      <text>
        <r>
          <rPr>
            <sz val="8"/>
            <color indexed="81"/>
            <rFont val="Tahoma"/>
            <family val="2"/>
          </rPr>
          <t>ЗАМЕНИТЕ НА РЕАЛЬНЫЕ ДАННЫЕ.
ДЕМО, ЦЕЛЬ, Тыква,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09" authorId="0">
      <text>
        <r>
          <rPr>
            <sz val="8"/>
            <color indexed="81"/>
            <rFont val="Tahoma"/>
            <family val="2"/>
          </rPr>
          <t>ЗАМЕНИТЕ НА РЕАЛЬНЫЕ ДАННЫЕ.
ДЕМО, ЦЕЛЬ, Тыква,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09" authorId="0">
      <text>
        <r>
          <rPr>
            <sz val="8"/>
            <color indexed="81"/>
            <rFont val="Tahoma"/>
            <family val="2"/>
          </rPr>
          <t>ЗАМЕНИТЕ НА РЕАЛЬНЫЕ ДАННЫЕ.
ДЕМО, ЦЕЛЬ, Тыква,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09" authorId="0">
      <text>
        <r>
          <rPr>
            <sz val="8"/>
            <color indexed="81"/>
            <rFont val="Tahoma"/>
            <family val="2"/>
          </rPr>
          <t>ЗАМЕНИТЕ НА РЕАЛЬНЫЕ ДАННЫЕ.
ДЕМО, ЦЕЛЬ, Тыква,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09" authorId="0">
      <text>
        <r>
          <rPr>
            <sz val="8"/>
            <color indexed="81"/>
            <rFont val="Tahoma"/>
            <family val="2"/>
          </rPr>
          <t>ЗАМЕНИТЕ НА РЕАЛЬНЫЕ ДАННЫЕ.
ДЕМО, ЦЕЛЬ, Тыква,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09" authorId="0">
      <text>
        <r>
          <rPr>
            <sz val="8"/>
            <color indexed="81"/>
            <rFont val="Tahoma"/>
            <family val="2"/>
          </rPr>
          <t>ЗАМЕНИТЕ НА РЕАЛЬНЫЕ ДАННЫЕ.
ДЕМО, ЦЕЛЬ, Тыква,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09" authorId="0">
      <text>
        <r>
          <rPr>
            <sz val="8"/>
            <color indexed="81"/>
            <rFont val="Tahoma"/>
            <family val="2"/>
          </rPr>
          <t>ЗАМЕНИТЕ НА РЕАЛЬНЫЕ ДАННЫЕ.
ДЕМО, ЦЕЛЬ, Тыква,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09" authorId="0">
      <text>
        <r>
          <rPr>
            <sz val="8"/>
            <color indexed="81"/>
            <rFont val="Tahoma"/>
            <family val="2"/>
          </rPr>
          <t>ЗАМЕНИТЕ НА РЕАЛЬНЫЕ ДАННЫЕ.
ДЕМО, ЦЕЛЬ, Тыква,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09" authorId="0">
      <text>
        <r>
          <rPr>
            <sz val="8"/>
            <color indexed="81"/>
            <rFont val="Tahoma"/>
            <family val="2"/>
          </rPr>
          <t>ЗАМЕНИТЕ НА РЕАЛЬНЫЕ ДАННЫЕ.
ДЕМО, ЦЕЛЬ, Тыква,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09" authorId="0">
      <text>
        <r>
          <rPr>
            <sz val="8"/>
            <color indexed="81"/>
            <rFont val="Tahoma"/>
            <family val="2"/>
          </rPr>
          <t>ЗАМЕНИТЕ НА РЕАЛЬНЫЕ ДАННЫЕ.
ДЕМО, ЦЕЛЬ, Тыква,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10" authorId="0">
      <text>
        <r>
          <rPr>
            <sz val="8"/>
            <color indexed="81"/>
            <rFont val="Tahoma"/>
            <family val="2"/>
          </rPr>
          <t>ЗАМЕНИТЕ НА РЕАЛЬНЫЕ ДАННЫЕ.
ДЕМО, ЦЕЛЬ, Тыква,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10" authorId="0">
      <text>
        <r>
          <rPr>
            <sz val="8"/>
            <color indexed="81"/>
            <rFont val="Tahoma"/>
            <family val="2"/>
          </rPr>
          <t>ЗАМЕНИТЕ НА РЕАЛЬНЫЕ ДАННЫЕ.
ДЕМО, ЦЕЛЬ, Тыква,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10" authorId="0">
      <text>
        <r>
          <rPr>
            <sz val="8"/>
            <color indexed="81"/>
            <rFont val="Tahoma"/>
            <family val="2"/>
          </rPr>
          <t>ЗАМЕНИТЕ НА РЕАЛЬНЫЕ ДАННЫЕ.
ДЕМО, ЦЕЛЬ, Тыква,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10" authorId="0">
      <text>
        <r>
          <rPr>
            <sz val="8"/>
            <color indexed="81"/>
            <rFont val="Tahoma"/>
            <family val="2"/>
          </rPr>
          <t>ЗАМЕНИТЕ НА РЕАЛЬНЫЕ ДАННЫЕ.
ДЕМО, ЦЕЛЬ, Тыква,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10" authorId="0">
      <text>
        <r>
          <rPr>
            <sz val="8"/>
            <color indexed="81"/>
            <rFont val="Tahoma"/>
            <family val="2"/>
          </rPr>
          <t>ЗАМЕНИТЕ НА РЕАЛЬНЫЕ ДАННЫЕ.
ДЕМО, ЦЕЛЬ, Тыква,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10" authorId="0">
      <text>
        <r>
          <rPr>
            <sz val="8"/>
            <color indexed="81"/>
            <rFont val="Tahoma"/>
            <family val="2"/>
          </rPr>
          <t>ЗАМЕНИТЕ НА РЕАЛЬНЫЕ ДАННЫЕ.
ДЕМО, ЦЕЛЬ, Тыква,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10" authorId="0">
      <text>
        <r>
          <rPr>
            <sz val="8"/>
            <color indexed="81"/>
            <rFont val="Tahoma"/>
            <family val="2"/>
          </rPr>
          <t>ЗАМЕНИТЕ НА РЕАЛЬНЫЕ ДАННЫЕ.
ДЕМО, ЦЕЛЬ, Тыква,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10" authorId="0">
      <text>
        <r>
          <rPr>
            <sz val="8"/>
            <color indexed="81"/>
            <rFont val="Tahoma"/>
            <family val="2"/>
          </rPr>
          <t>ЗАМЕНИТЕ НА РЕАЛЬНЫЕ ДАННЫЕ.
ДЕМО, ЦЕЛЬ, Тыква,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10" authorId="0">
      <text>
        <r>
          <rPr>
            <sz val="8"/>
            <color indexed="81"/>
            <rFont val="Tahoma"/>
            <family val="2"/>
          </rPr>
          <t>ЗАМЕНИТЕ НА РЕАЛЬНЫЕ ДАННЫЕ.
ДЕМО, ЦЕЛЬ, Тыква,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10" authorId="0">
      <text>
        <r>
          <rPr>
            <sz val="8"/>
            <color indexed="81"/>
            <rFont val="Tahoma"/>
            <family val="2"/>
          </rPr>
          <t>ЗАМЕНИТЕ НА РЕАЛЬНЫЕ ДАННЫЕ.
ДЕМО, ЦЕЛЬ, Тыква,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12" authorId="0">
      <text>
        <r>
          <rPr>
            <sz val="8"/>
            <color indexed="81"/>
            <rFont val="Tahoma"/>
            <family val="2"/>
          </rPr>
          <t>ЗАМЕНИТЕ НА РЕАЛЬНЫЕ ДАННЫЕ.
ДЕМО, ЦЕЛЬ, Тыква,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12" authorId="0">
      <text>
        <r>
          <rPr>
            <sz val="8"/>
            <color indexed="81"/>
            <rFont val="Tahoma"/>
            <family val="2"/>
          </rPr>
          <t>ЗАМЕНИТЕ НА РЕАЛЬНЫЕ ДАННЫЕ.
ДЕМО, ЦЕЛЬ, Тыква,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12" authorId="0">
      <text>
        <r>
          <rPr>
            <sz val="8"/>
            <color indexed="81"/>
            <rFont val="Tahoma"/>
            <family val="2"/>
          </rPr>
          <t>ЗАМЕНИТЕ НА РЕАЛЬНЫЕ ДАННЫЕ.
ДЕМО, ЦЕЛЬ, Тыква,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12" authorId="0">
      <text>
        <r>
          <rPr>
            <sz val="8"/>
            <color indexed="81"/>
            <rFont val="Tahoma"/>
            <family val="2"/>
          </rPr>
          <t>ЗАМЕНИТЕ НА РЕАЛЬНЫЕ ДАННЫЕ.
ДЕМО, ЦЕЛЬ, Тыква,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12" authorId="0">
      <text>
        <r>
          <rPr>
            <sz val="8"/>
            <color indexed="81"/>
            <rFont val="Tahoma"/>
            <family val="2"/>
          </rPr>
          <t>ЗАМЕНИТЕ НА РЕАЛЬНЫЕ ДАННЫЕ.
ДЕМО, ЦЕЛЬ, Тыква,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12" authorId="0">
      <text>
        <r>
          <rPr>
            <sz val="8"/>
            <color indexed="81"/>
            <rFont val="Tahoma"/>
            <family val="2"/>
          </rPr>
          <t>ЗАМЕНИТЕ НА РЕАЛЬНЫЕ ДАННЫЕ.
ДЕМО, ЦЕЛЬ, Тыква,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12" authorId="0">
      <text>
        <r>
          <rPr>
            <sz val="8"/>
            <color indexed="81"/>
            <rFont val="Tahoma"/>
            <family val="2"/>
          </rPr>
          <t>ЗАМЕНИТЕ НА РЕАЛЬНЫЕ ДАННЫЕ.
ДЕМО, ЦЕЛЬ, Тыква,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12" authorId="0">
      <text>
        <r>
          <rPr>
            <sz val="8"/>
            <color indexed="81"/>
            <rFont val="Tahoma"/>
            <family val="2"/>
          </rPr>
          <t>ЗАМЕНИТЕ НА РЕАЛЬНЫЕ ДАННЫЕ.
ДЕМО, ЦЕЛЬ, Тыква,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12" authorId="0">
      <text>
        <r>
          <rPr>
            <sz val="8"/>
            <color indexed="81"/>
            <rFont val="Tahoma"/>
            <family val="2"/>
          </rPr>
          <t>ЗАМЕНИТЕ НА РЕАЛЬНЫЕ ДАННЫЕ.
ДЕМО, ЦЕЛЬ, Тыква,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12" authorId="0">
      <text>
        <r>
          <rPr>
            <sz val="8"/>
            <color indexed="81"/>
            <rFont val="Tahoma"/>
            <family val="2"/>
          </rPr>
          <t>ЗАМЕНИТЕ НА РЕАЛЬНЫЕ ДАННЫЕ.
ДЕМО, ЦЕЛЬ, Тыква,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13" authorId="0">
      <text>
        <r>
          <rPr>
            <sz val="8"/>
            <color indexed="81"/>
            <rFont val="Tahoma"/>
            <family val="2"/>
          </rPr>
          <t>ЗАМЕНИТЕ НА РЕАЛЬНЫЕ ДАННЫЕ.
ДЕМО, ЦЕЛЬ, Тыква,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13" authorId="0">
      <text>
        <r>
          <rPr>
            <sz val="8"/>
            <color indexed="81"/>
            <rFont val="Tahoma"/>
            <family val="2"/>
          </rPr>
          <t>ЗАМЕНИТЕ НА РЕАЛЬНЫЕ ДАННЫЕ.
ДЕМО, ЦЕЛЬ, Тыква,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13" authorId="0">
      <text>
        <r>
          <rPr>
            <sz val="8"/>
            <color indexed="81"/>
            <rFont val="Tahoma"/>
            <family val="2"/>
          </rPr>
          <t>ЗАМЕНИТЕ НА РЕАЛЬНЫЕ ДАННЫЕ.
ДЕМО, ЦЕЛЬ, Тыква,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13" authorId="0">
      <text>
        <r>
          <rPr>
            <sz val="8"/>
            <color indexed="81"/>
            <rFont val="Tahoma"/>
            <family val="2"/>
          </rPr>
          <t>ЗАМЕНИТЕ НА РЕАЛЬНЫЕ ДАННЫЕ.
ДЕМО, ЦЕЛЬ, Тыква,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13" authorId="0">
      <text>
        <r>
          <rPr>
            <sz val="8"/>
            <color indexed="81"/>
            <rFont val="Tahoma"/>
            <family val="2"/>
          </rPr>
          <t>ЗАМЕНИТЕ НА РЕАЛЬНЫЕ ДАННЫЕ.
ДЕМО, ЦЕЛЬ, Тыква,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13" authorId="0">
      <text>
        <r>
          <rPr>
            <sz val="8"/>
            <color indexed="81"/>
            <rFont val="Tahoma"/>
            <family val="2"/>
          </rPr>
          <t>ЗАМЕНИТЕ НА РЕАЛЬНЫЕ ДАННЫЕ.
ДЕМО, ЦЕЛЬ, Тыква,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13" authorId="0">
      <text>
        <r>
          <rPr>
            <sz val="8"/>
            <color indexed="81"/>
            <rFont val="Tahoma"/>
            <family val="2"/>
          </rPr>
          <t>ЗАМЕНИТЕ НА РЕАЛЬНЫЕ ДАННЫЕ.
ДЕМО, ЦЕЛЬ, Тыква,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13" authorId="0">
      <text>
        <r>
          <rPr>
            <sz val="8"/>
            <color indexed="81"/>
            <rFont val="Tahoma"/>
            <family val="2"/>
          </rPr>
          <t>ЗАМЕНИТЕ НА РЕАЛЬНЫЕ ДАННЫЕ.
ДЕМО, ЦЕЛЬ, Тыква,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13" authorId="0">
      <text>
        <r>
          <rPr>
            <sz val="8"/>
            <color indexed="81"/>
            <rFont val="Tahoma"/>
            <family val="2"/>
          </rPr>
          <t>ЗАМЕНИТЕ НА РЕАЛЬНЫЕ ДАННЫЕ.
ДЕМО, ЦЕЛЬ, Тыква,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13" authorId="0">
      <text>
        <r>
          <rPr>
            <sz val="8"/>
            <color indexed="81"/>
            <rFont val="Tahoma"/>
            <family val="2"/>
          </rPr>
          <t>ЗАМЕНИТЕ НА РЕАЛЬНЫЕ ДАННЫЕ.
ДЕМО, ЦЕЛЬ, Тыква,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14" authorId="0">
      <text>
        <r>
          <rPr>
            <sz val="8"/>
            <color indexed="81"/>
            <rFont val="Tahoma"/>
            <family val="2"/>
          </rPr>
          <t>ЗАМЕНИТЕ НА РЕАЛЬНЫЕ ДАННЫЕ.
ДЕМО, ЦЕЛЬ, Тыква,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14" authorId="0">
      <text>
        <r>
          <rPr>
            <sz val="8"/>
            <color indexed="81"/>
            <rFont val="Tahoma"/>
            <family val="2"/>
          </rPr>
          <t>ЗАМЕНИТЕ НА РЕАЛЬНЫЕ ДАННЫЕ.
ДЕМО, ЦЕЛЬ, Тыква,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14" authorId="0">
      <text>
        <r>
          <rPr>
            <sz val="8"/>
            <color indexed="81"/>
            <rFont val="Tahoma"/>
            <family val="2"/>
          </rPr>
          <t>ЗАМЕНИТЕ НА РЕАЛЬНЫЕ ДАННЫЕ.
ДЕМО, ЦЕЛЬ, Тыква,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14" authorId="0">
      <text>
        <r>
          <rPr>
            <sz val="8"/>
            <color indexed="81"/>
            <rFont val="Tahoma"/>
            <family val="2"/>
          </rPr>
          <t>ЗАМЕНИТЕ НА РЕАЛЬНЫЕ ДАННЫЕ.
ДЕМО, ЦЕЛЬ, Тыква,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14" authorId="0">
      <text>
        <r>
          <rPr>
            <sz val="8"/>
            <color indexed="81"/>
            <rFont val="Tahoma"/>
            <family val="2"/>
          </rPr>
          <t>ЗАМЕНИТЕ НА РЕАЛЬНЫЕ ДАННЫЕ.
ДЕМО, ЦЕЛЬ, Тыква,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14" authorId="0">
      <text>
        <r>
          <rPr>
            <sz val="8"/>
            <color indexed="81"/>
            <rFont val="Tahoma"/>
            <family val="2"/>
          </rPr>
          <t>ЗАМЕНИТЕ НА РЕАЛЬНЫЕ ДАННЫЕ.
ДЕМО, ЦЕЛЬ, Тыква,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14" authorId="0">
      <text>
        <r>
          <rPr>
            <sz val="8"/>
            <color indexed="81"/>
            <rFont val="Tahoma"/>
            <family val="2"/>
          </rPr>
          <t>ЗАМЕНИТЕ НА РЕАЛЬНЫЕ ДАННЫЕ.
ДЕМО, ЦЕЛЬ, Тыква,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14" authorId="0">
      <text>
        <r>
          <rPr>
            <sz val="8"/>
            <color indexed="81"/>
            <rFont val="Tahoma"/>
            <family val="2"/>
          </rPr>
          <t>ЗАМЕНИТЕ НА РЕАЛЬНЫЕ ДАННЫЕ.
ДЕМО, ЦЕЛЬ, Тыква,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14" authorId="0">
      <text>
        <r>
          <rPr>
            <sz val="8"/>
            <color indexed="81"/>
            <rFont val="Tahoma"/>
            <family val="2"/>
          </rPr>
          <t>ЗАМЕНИТЕ НА РЕАЛЬНЫЕ ДАННЫЕ.
ДЕМО, ЦЕЛЬ, Тыква,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14" authorId="0">
      <text>
        <r>
          <rPr>
            <sz val="8"/>
            <color indexed="81"/>
            <rFont val="Tahoma"/>
            <family val="2"/>
          </rPr>
          <t>ЗАМЕНИТЕ НА РЕАЛЬНЫЕ ДАННЫЕ.
ДЕМО, ЦЕЛЬ, Тыква,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15" authorId="0">
      <text>
        <r>
          <rPr>
            <sz val="8"/>
            <color indexed="81"/>
            <rFont val="Tahoma"/>
            <family val="2"/>
          </rPr>
          <t>ЗАМЕНИТЕ НА РЕАЛЬНЫЕ ДАННЫЕ.
ДЕМО, ЦЕЛЬ, Тыква,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15" authorId="0">
      <text>
        <r>
          <rPr>
            <sz val="8"/>
            <color indexed="81"/>
            <rFont val="Tahoma"/>
            <family val="2"/>
          </rPr>
          <t>ЗАМЕНИТЕ НА РЕАЛЬНЫЕ ДАННЫЕ.
ДЕМО, ЦЕЛЬ, Тыква,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15" authorId="0">
      <text>
        <r>
          <rPr>
            <sz val="8"/>
            <color indexed="81"/>
            <rFont val="Tahoma"/>
            <family val="2"/>
          </rPr>
          <t>ЗАМЕНИТЕ НА РЕАЛЬНЫЕ ДАННЫЕ.
ДЕМО, ЦЕЛЬ, Тыква,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15" authorId="0">
      <text>
        <r>
          <rPr>
            <sz val="8"/>
            <color indexed="81"/>
            <rFont val="Tahoma"/>
            <family val="2"/>
          </rPr>
          <t>ЗАМЕНИТЕ НА РЕАЛЬНЫЕ ДАННЫЕ.
ДЕМО, ЦЕЛЬ, Тыква,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15" authorId="0">
      <text>
        <r>
          <rPr>
            <sz val="8"/>
            <color indexed="81"/>
            <rFont val="Tahoma"/>
            <family val="2"/>
          </rPr>
          <t>ЗАМЕНИТЕ НА РЕАЛЬНЫЕ ДАННЫЕ.
ДЕМО, ЦЕЛЬ, Тыква,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15" authorId="0">
      <text>
        <r>
          <rPr>
            <sz val="8"/>
            <color indexed="81"/>
            <rFont val="Tahoma"/>
            <family val="2"/>
          </rPr>
          <t>ЗАМЕНИТЕ НА РЕАЛЬНЫЕ ДАННЫЕ.
ДЕМО, ЦЕЛЬ, Тыква,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15" authorId="0">
      <text>
        <r>
          <rPr>
            <sz val="8"/>
            <color indexed="81"/>
            <rFont val="Tahoma"/>
            <family val="2"/>
          </rPr>
          <t>ЗАМЕНИТЕ НА РЕАЛЬНЫЕ ДАННЫЕ.
ДЕМО, ЦЕЛЬ, Тыква,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15" authorId="0">
      <text>
        <r>
          <rPr>
            <sz val="8"/>
            <color indexed="81"/>
            <rFont val="Tahoma"/>
            <family val="2"/>
          </rPr>
          <t>ЗАМЕНИТЕ НА РЕАЛЬНЫЕ ДАННЫЕ.
ДЕМО, ЦЕЛЬ, Тыква,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15" authorId="0">
      <text>
        <r>
          <rPr>
            <sz val="8"/>
            <color indexed="81"/>
            <rFont val="Tahoma"/>
            <family val="2"/>
          </rPr>
          <t>ЗАМЕНИТЕ НА РЕАЛЬНЫЕ ДАННЫЕ.
ДЕМО, ЦЕЛЬ, Тыква,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15" authorId="0">
      <text>
        <r>
          <rPr>
            <sz val="8"/>
            <color indexed="81"/>
            <rFont val="Tahoma"/>
            <family val="2"/>
          </rPr>
          <t>ЗАМЕНИТЕ НА РЕАЛЬНЫЕ ДАННЫЕ.
ДЕМО, ЦЕЛЬ, Тыква,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16" authorId="0">
      <text>
        <r>
          <rPr>
            <sz val="8"/>
            <color indexed="81"/>
            <rFont val="Tahoma"/>
            <family val="2"/>
          </rPr>
          <t>ЗАМЕНИТЕ НА РЕАЛЬНЫЕ ДАННЫЕ.
ДЕМО, ЦЕЛЬ, Тыква,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16" authorId="0">
      <text>
        <r>
          <rPr>
            <sz val="8"/>
            <color indexed="81"/>
            <rFont val="Tahoma"/>
            <family val="2"/>
          </rPr>
          <t>ЗАМЕНИТЕ НА РЕАЛЬНЫЕ ДАННЫЕ.
ДЕМО, ЦЕЛЬ, Тыква,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16" authorId="0">
      <text>
        <r>
          <rPr>
            <sz val="8"/>
            <color indexed="81"/>
            <rFont val="Tahoma"/>
            <family val="2"/>
          </rPr>
          <t>ЗАМЕНИТЕ НА РЕАЛЬНЫЕ ДАННЫЕ.
ДЕМО, ЦЕЛЬ, Тыква,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16" authorId="0">
      <text>
        <r>
          <rPr>
            <sz val="8"/>
            <color indexed="81"/>
            <rFont val="Tahoma"/>
            <family val="2"/>
          </rPr>
          <t>ЗАМЕНИТЕ НА РЕАЛЬНЫЕ ДАННЫЕ.
ДЕМО, ЦЕЛЬ, Тыква,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16" authorId="0">
      <text>
        <r>
          <rPr>
            <sz val="8"/>
            <color indexed="81"/>
            <rFont val="Tahoma"/>
            <family val="2"/>
          </rPr>
          <t>ЗАМЕНИТЕ НА РЕАЛЬНЫЕ ДАННЫЕ.
ДЕМО, ЦЕЛЬ, Тыква,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16" authorId="0">
      <text>
        <r>
          <rPr>
            <sz val="8"/>
            <color indexed="81"/>
            <rFont val="Tahoma"/>
            <family val="2"/>
          </rPr>
          <t>ЗАМЕНИТЕ НА РЕАЛЬНЫЕ ДАННЫЕ.
ДЕМО, ЦЕЛЬ, Тыква,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16" authorId="0">
      <text>
        <r>
          <rPr>
            <sz val="8"/>
            <color indexed="81"/>
            <rFont val="Tahoma"/>
            <family val="2"/>
          </rPr>
          <t>ЗАМЕНИТЕ НА РЕАЛЬНЫЕ ДАННЫЕ.
ДЕМО, ЦЕЛЬ, Тыква,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16" authorId="0">
      <text>
        <r>
          <rPr>
            <sz val="8"/>
            <color indexed="81"/>
            <rFont val="Tahoma"/>
            <family val="2"/>
          </rPr>
          <t>ЗАМЕНИТЕ НА РЕАЛЬНЫЕ ДАННЫЕ.
ДЕМО, ЦЕЛЬ, Тыква,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16" authorId="0">
      <text>
        <r>
          <rPr>
            <sz val="8"/>
            <color indexed="81"/>
            <rFont val="Tahoma"/>
            <family val="2"/>
          </rPr>
          <t>ЗАМЕНИТЕ НА РЕАЛЬНЫЕ ДАННЫЕ.
ДЕМО, ЦЕЛЬ, Тыква,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16" authorId="0">
      <text>
        <r>
          <rPr>
            <sz val="8"/>
            <color indexed="81"/>
            <rFont val="Tahoma"/>
            <family val="2"/>
          </rPr>
          <t>ЗАМЕНИТЕ НА РЕАЛЬНЫЕ ДАННЫЕ.
ДЕМО, ЦЕЛЬ, Тыква,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25" authorId="0">
      <text>
        <r>
          <rPr>
            <sz val="8"/>
            <color indexed="81"/>
            <rFont val="Tahoma"/>
            <family val="2"/>
          </rPr>
          <t>ЗАМЕНИТЕ НА РЕАЛЬНЫЕ ДАННЫЕ.
Имбирь, цикл 1. 0 исключает все элементы данного цикла, а не один выброс.</t>
        </r>
      </text>
    </comment>
    <comment ref="F325" authorId="0">
      <text>
        <r>
          <rPr>
            <sz val="8"/>
            <color indexed="81"/>
            <rFont val="Tahoma"/>
            <family val="2"/>
          </rPr>
          <t>ЗАМЕНИТЕ НА РЕАЛЬНЫЕ ДАННЫЕ.
Имбирь, цикл 2. 0 исключает все элементы данного цикла, а не один выброс.</t>
        </r>
      </text>
    </comment>
    <comment ref="G325" authorId="0">
      <text>
        <r>
          <rPr>
            <sz val="8"/>
            <color indexed="81"/>
            <rFont val="Tahoma"/>
            <family val="2"/>
          </rPr>
          <t>ЗАМЕНИТЕ НА РЕАЛЬНЫЕ ДАННЫЕ.
Имбирь, цикл 3. 0 исключает все элементы данного цикла, а не один выброс.</t>
        </r>
      </text>
    </comment>
    <comment ref="H325" authorId="0">
      <text>
        <r>
          <rPr>
            <sz val="8"/>
            <color indexed="81"/>
            <rFont val="Tahoma"/>
            <family val="2"/>
          </rPr>
          <t>ЗАМЕНИТЕ НА РЕАЛЬНЫЕ ДАННЫЕ.
Имбирь, цикл 4. 0 исключает все элементы данного цикла, а не один выброс.</t>
        </r>
      </text>
    </comment>
    <comment ref="I325" authorId="0">
      <text>
        <r>
          <rPr>
            <sz val="8"/>
            <color indexed="81"/>
            <rFont val="Tahoma"/>
            <family val="2"/>
          </rPr>
          <t>ЗАМЕНИТЕ НА РЕАЛЬНЫЕ ДАННЫЕ.
Имбирь, цикл 5. 0 исключает все элементы данного цикла, а не один выброс.</t>
        </r>
      </text>
    </comment>
    <comment ref="J325" authorId="0">
      <text>
        <r>
          <rPr>
            <sz val="8"/>
            <color indexed="81"/>
            <rFont val="Tahoma"/>
            <family val="2"/>
          </rPr>
          <t>ЗАМЕНИТЕ НА РЕАЛЬНЫЕ ДАННЫЕ.
Имбирь, цикл 6. 0 исключает все элементы данного цикла, а не один выброс.</t>
        </r>
      </text>
    </comment>
    <comment ref="K325" authorId="0">
      <text>
        <r>
          <rPr>
            <sz val="8"/>
            <color indexed="81"/>
            <rFont val="Tahoma"/>
            <family val="2"/>
          </rPr>
          <t>ЗАМЕНИТЕ НА РЕАЛЬНЫЕ ДАННЫЕ.
Имбирь, цикл 7. 0 исключает все элементы данного цикла, а не один выброс.</t>
        </r>
      </text>
    </comment>
    <comment ref="L325" authorId="0">
      <text>
        <r>
          <rPr>
            <sz val="8"/>
            <color indexed="81"/>
            <rFont val="Tahoma"/>
            <family val="2"/>
          </rPr>
          <t>ЗАМЕНИТЕ НА РЕАЛЬНЫЕ ДАННЫЕ.
Имбирь, цикл 8. 0 исключает все элементы данного цикла, а не один выброс.</t>
        </r>
      </text>
    </comment>
    <comment ref="M325" authorId="0">
      <text>
        <r>
          <rPr>
            <sz val="8"/>
            <color indexed="81"/>
            <rFont val="Tahoma"/>
            <family val="2"/>
          </rPr>
          <t>ЗАМЕНИТЕ НА РЕАЛЬНЫЕ ДАННЫЕ.
Имбирь, цикл 9. 0 исключает все элементы данного цикла, а не один выброс.</t>
        </r>
      </text>
    </comment>
    <comment ref="N325" authorId="0">
      <text>
        <r>
          <rPr>
            <sz val="8"/>
            <color indexed="81"/>
            <rFont val="Tahoma"/>
            <family val="2"/>
          </rPr>
          <t>ЗАМЕНИТЕ НА РЕАЛЬНЫЕ ДАННЫЕ.
Имбирь, цикл 10. 0 исключает все элементы данного цикла, а не один выброс.</t>
        </r>
      </text>
    </comment>
    <comment ref="E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26"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27" authorId="0">
      <text>
        <r>
          <rPr>
            <sz val="8"/>
            <color indexed="81"/>
            <rFont val="Tahoma"/>
            <family val="2"/>
          </rPr>
          <t>ЗАМЕНИТЕ НА РЕАЛЬНЫЕ ДАННЫЕ.
ДЕМО, ЦЕЛЬ, Имбирь,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27" authorId="0">
      <text>
        <r>
          <rPr>
            <sz val="8"/>
            <color indexed="81"/>
            <rFont val="Tahoma"/>
            <family val="2"/>
          </rPr>
          <t>ЗАМЕНИТЕ НА РЕАЛЬНЫЕ ДАННЫЕ.
ДЕМО, ЦЕЛЬ, Имбирь,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27" authorId="0">
      <text>
        <r>
          <rPr>
            <sz val="8"/>
            <color indexed="81"/>
            <rFont val="Tahoma"/>
            <family val="2"/>
          </rPr>
          <t>ЗАМЕНИТЕ НА РЕАЛЬНЫЕ ДАННЫЕ.
ДЕМО, ЦЕЛЬ, Имбирь,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27" authorId="0">
      <text>
        <r>
          <rPr>
            <sz val="8"/>
            <color indexed="81"/>
            <rFont val="Tahoma"/>
            <family val="2"/>
          </rPr>
          <t>ЗАМЕНИТЕ НА РЕАЛЬНЫЕ ДАННЫЕ.
ДЕМО, ЦЕЛЬ, Имбирь,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27" authorId="0">
      <text>
        <r>
          <rPr>
            <sz val="8"/>
            <color indexed="81"/>
            <rFont val="Tahoma"/>
            <family val="2"/>
          </rPr>
          <t>ЗАМЕНИТЕ НА РЕАЛЬНЫЕ ДАННЫЕ.
ДЕМО, ЦЕЛЬ, Имбирь,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27" authorId="0">
      <text>
        <r>
          <rPr>
            <sz val="8"/>
            <color indexed="81"/>
            <rFont val="Tahoma"/>
            <family val="2"/>
          </rPr>
          <t>ЗАМЕНИТЕ НА РЕАЛЬНЫЕ ДАННЫЕ.
ДЕМО, ЦЕЛЬ, Имбирь,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27" authorId="0">
      <text>
        <r>
          <rPr>
            <sz val="8"/>
            <color indexed="81"/>
            <rFont val="Tahoma"/>
            <family val="2"/>
          </rPr>
          <t>ЗАМЕНИТЕ НА РЕАЛЬНЫЕ ДАННЫЕ.
ДЕМО, ЦЕЛЬ, Имбирь,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27" authorId="0">
      <text>
        <r>
          <rPr>
            <sz val="8"/>
            <color indexed="81"/>
            <rFont val="Tahoma"/>
            <family val="2"/>
          </rPr>
          <t>ЗАМЕНИТЕ НА РЕАЛЬНЫЕ ДАННЫЕ.
ДЕМО, ЦЕЛЬ, Имбирь,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27" authorId="0">
      <text>
        <r>
          <rPr>
            <sz val="8"/>
            <color indexed="81"/>
            <rFont val="Tahoma"/>
            <family val="2"/>
          </rPr>
          <t>ЗАМЕНИТЕ НА РЕАЛЬНЫЕ ДАННЫЕ.
ДЕМО, ЦЕЛЬ, Имбирь,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27" authorId="0">
      <text>
        <r>
          <rPr>
            <sz val="8"/>
            <color indexed="81"/>
            <rFont val="Tahoma"/>
            <family val="2"/>
          </rPr>
          <t>ЗАМЕНИТЕ НА РЕАЛЬНЫЕ ДАННЫЕ.
ДЕМО, ЦЕЛЬ, Имбирь,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28" authorId="0">
      <text>
        <r>
          <rPr>
            <sz val="8"/>
            <color indexed="81"/>
            <rFont val="Tahoma"/>
            <family val="2"/>
          </rPr>
          <t>ЗАМЕНИТЕ НА РЕАЛЬНЫЕ ДАННЫЕ.
ДЕМО, ЦЕЛЬ, Имбирь,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28" authorId="0">
      <text>
        <r>
          <rPr>
            <sz val="8"/>
            <color indexed="81"/>
            <rFont val="Tahoma"/>
            <family val="2"/>
          </rPr>
          <t>ЗАМЕНИТЕ НА РЕАЛЬНЫЕ ДАННЫЕ.
ДЕМО, ЦЕЛЬ, Имбирь,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28" authorId="0">
      <text>
        <r>
          <rPr>
            <sz val="8"/>
            <color indexed="81"/>
            <rFont val="Tahoma"/>
            <family val="2"/>
          </rPr>
          <t>ЗАМЕНИТЕ НА РЕАЛЬНЫЕ ДАННЫЕ.
ДЕМО, ЦЕЛЬ, Имбирь,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28" authorId="0">
      <text>
        <r>
          <rPr>
            <sz val="8"/>
            <color indexed="81"/>
            <rFont val="Tahoma"/>
            <family val="2"/>
          </rPr>
          <t>ЗАМЕНИТЕ НА РЕАЛЬНЫЕ ДАННЫЕ.
ДЕМО, ЦЕЛЬ, Имбирь,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28" authorId="0">
      <text>
        <r>
          <rPr>
            <sz val="8"/>
            <color indexed="81"/>
            <rFont val="Tahoma"/>
            <family val="2"/>
          </rPr>
          <t>ЗАМЕНИТЕ НА РЕАЛЬНЫЕ ДАННЫЕ.
ДЕМО, ЦЕЛЬ, Имбирь,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28" authorId="0">
      <text>
        <r>
          <rPr>
            <sz val="8"/>
            <color indexed="81"/>
            <rFont val="Tahoma"/>
            <family val="2"/>
          </rPr>
          <t>ЗАМЕНИТЕ НА РЕАЛЬНЫЕ ДАННЫЕ.
ДЕМО, ЦЕЛЬ, Имбирь,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28" authorId="0">
      <text>
        <r>
          <rPr>
            <sz val="8"/>
            <color indexed="81"/>
            <rFont val="Tahoma"/>
            <family val="2"/>
          </rPr>
          <t>ЗАМЕНИТЕ НА РЕАЛЬНЫЕ ДАННЫЕ.
ДЕМО, ЦЕЛЬ, Имбирь,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28" authorId="0">
      <text>
        <r>
          <rPr>
            <sz val="8"/>
            <color indexed="81"/>
            <rFont val="Tahoma"/>
            <family val="2"/>
          </rPr>
          <t>ЗАМЕНИТЕ НА РЕАЛЬНЫЕ ДАННЫЕ.
ДЕМО, ЦЕЛЬ, Имбирь,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28" authorId="0">
      <text>
        <r>
          <rPr>
            <sz val="8"/>
            <color indexed="81"/>
            <rFont val="Tahoma"/>
            <family val="2"/>
          </rPr>
          <t>ЗАМЕНИТЕ НА РЕАЛЬНЫЕ ДАННЫЕ.
ДЕМО, ЦЕЛЬ, Имбирь,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28" authorId="0">
      <text>
        <r>
          <rPr>
            <sz val="8"/>
            <color indexed="81"/>
            <rFont val="Tahoma"/>
            <family val="2"/>
          </rPr>
          <t>ЗАМЕНИТЕ НА РЕАЛЬНЫЕ ДАННЫЕ.
ДЕМО, ЦЕЛЬ, Имбирь,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29" authorId="0">
      <text>
        <r>
          <rPr>
            <sz val="8"/>
            <color indexed="81"/>
            <rFont val="Tahoma"/>
            <family val="2"/>
          </rPr>
          <t>ЗАМЕНИТЕ НА РЕАЛЬНЫЕ ДАННЫЕ.
ДЕМО, ЦЕЛЬ, Имбирь,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29" authorId="0">
      <text>
        <r>
          <rPr>
            <sz val="8"/>
            <color indexed="81"/>
            <rFont val="Tahoma"/>
            <family val="2"/>
          </rPr>
          <t>ЗАМЕНИТЕ НА РЕАЛЬНЫЕ ДАННЫЕ.
ДЕМО, ЦЕЛЬ, Имбирь,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29" authorId="0">
      <text>
        <r>
          <rPr>
            <sz val="8"/>
            <color indexed="81"/>
            <rFont val="Tahoma"/>
            <family val="2"/>
          </rPr>
          <t>ЗАМЕНИТЕ НА РЕАЛЬНЫЕ ДАННЫЕ.
ДЕМО, ЦЕЛЬ, Имбирь,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29" authorId="0">
      <text>
        <r>
          <rPr>
            <sz val="8"/>
            <color indexed="81"/>
            <rFont val="Tahoma"/>
            <family val="2"/>
          </rPr>
          <t>ЗАМЕНИТЕ НА РЕАЛЬНЫЕ ДАННЫЕ.
ДЕМО, ЦЕЛЬ, Имбирь,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29" authorId="0">
      <text>
        <r>
          <rPr>
            <sz val="8"/>
            <color indexed="81"/>
            <rFont val="Tahoma"/>
            <family val="2"/>
          </rPr>
          <t>ЗАМЕНИТЕ НА РЕАЛЬНЫЕ ДАННЫЕ.
ДЕМО, ЦЕЛЬ, Имбирь,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29" authorId="0">
      <text>
        <r>
          <rPr>
            <sz val="8"/>
            <color indexed="81"/>
            <rFont val="Tahoma"/>
            <family val="2"/>
          </rPr>
          <t>ЗАМЕНИТЕ НА РЕАЛЬНЫЕ ДАННЫЕ.
ДЕМО, ЦЕЛЬ, Имбирь,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29" authorId="0">
      <text>
        <r>
          <rPr>
            <sz val="8"/>
            <color indexed="81"/>
            <rFont val="Tahoma"/>
            <family val="2"/>
          </rPr>
          <t>ЗАМЕНИТЕ НА РЕАЛЬНЫЕ ДАННЫЕ.
ДЕМО, ЦЕЛЬ, Имбирь,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29" authorId="0">
      <text>
        <r>
          <rPr>
            <sz val="8"/>
            <color indexed="81"/>
            <rFont val="Tahoma"/>
            <family val="2"/>
          </rPr>
          <t>ЗАМЕНИТЕ НА РЕАЛЬНЫЕ ДАННЫЕ.
ДЕМО, ЦЕЛЬ, Имбирь,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29" authorId="0">
      <text>
        <r>
          <rPr>
            <sz val="8"/>
            <color indexed="81"/>
            <rFont val="Tahoma"/>
            <family val="2"/>
          </rPr>
          <t>ЗАМЕНИТЕ НА РЕАЛЬНЫЕ ДАННЫЕ.
ДЕМО, ЦЕЛЬ, Имбирь,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29" authorId="0">
      <text>
        <r>
          <rPr>
            <sz val="8"/>
            <color indexed="81"/>
            <rFont val="Tahoma"/>
            <family val="2"/>
          </rPr>
          <t>ЗАМЕНИТЕ НА РЕАЛЬНЫЕ ДАННЫЕ.
ДЕМО, ЦЕЛЬ, Имбирь,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30" authorId="0">
      <text>
        <r>
          <rPr>
            <sz val="8"/>
            <color indexed="81"/>
            <rFont val="Tahoma"/>
            <family val="2"/>
          </rPr>
          <t>ЗАМЕНИТЕ НА РЕАЛЬНЫЕ ДАННЫЕ.
ДЕМО, ЦЕЛЬ, Имбирь,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30" authorId="0">
      <text>
        <r>
          <rPr>
            <sz val="8"/>
            <color indexed="81"/>
            <rFont val="Tahoma"/>
            <family val="2"/>
          </rPr>
          <t>ЗАМЕНИТЕ НА РЕАЛЬНЫЕ ДАННЫЕ.
ДЕМО, ЦЕЛЬ, Имбирь,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30" authorId="0">
      <text>
        <r>
          <rPr>
            <sz val="8"/>
            <color indexed="81"/>
            <rFont val="Tahoma"/>
            <family val="2"/>
          </rPr>
          <t>ЗАМЕНИТЕ НА РЕАЛЬНЫЕ ДАННЫЕ.
ДЕМО, ЦЕЛЬ, Имбирь,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30" authorId="0">
      <text>
        <r>
          <rPr>
            <sz val="8"/>
            <color indexed="81"/>
            <rFont val="Tahoma"/>
            <family val="2"/>
          </rPr>
          <t>ЗАМЕНИТЕ НА РЕАЛЬНЫЕ ДАННЫЕ.
ДЕМО, ЦЕЛЬ, Имбирь,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30" authorId="0">
      <text>
        <r>
          <rPr>
            <sz val="8"/>
            <color indexed="81"/>
            <rFont val="Tahoma"/>
            <family val="2"/>
          </rPr>
          <t>ЗАМЕНИТЕ НА РЕАЛЬНЫЕ ДАННЫЕ.
ДЕМО, ЦЕЛЬ, Имбирь,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30" authorId="0">
      <text>
        <r>
          <rPr>
            <sz val="8"/>
            <color indexed="81"/>
            <rFont val="Tahoma"/>
            <family val="2"/>
          </rPr>
          <t>ЗАМЕНИТЕ НА РЕАЛЬНЫЕ ДАННЫЕ.
ДЕМО, ЦЕЛЬ, Имбирь,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30" authorId="0">
      <text>
        <r>
          <rPr>
            <sz val="8"/>
            <color indexed="81"/>
            <rFont val="Tahoma"/>
            <family val="2"/>
          </rPr>
          <t>ЗАМЕНИТЕ НА РЕАЛЬНЫЕ ДАННЫЕ.
ДЕМО, ЦЕЛЬ, Имбирь,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30" authorId="0">
      <text>
        <r>
          <rPr>
            <sz val="8"/>
            <color indexed="81"/>
            <rFont val="Tahoma"/>
            <family val="2"/>
          </rPr>
          <t>ЗАМЕНИТЕ НА РЕАЛЬНЫЕ ДАННЫЕ.
ДЕМО, ЦЕЛЬ, Имбирь,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30" authorId="0">
      <text>
        <r>
          <rPr>
            <sz val="8"/>
            <color indexed="81"/>
            <rFont val="Tahoma"/>
            <family val="2"/>
          </rPr>
          <t>ЗАМЕНИТЕ НА РЕАЛЬНЫЕ ДАННЫЕ.
ДЕМО, ЦЕЛЬ, Имбирь,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30" authorId="0">
      <text>
        <r>
          <rPr>
            <sz val="8"/>
            <color indexed="81"/>
            <rFont val="Tahoma"/>
            <family val="2"/>
          </rPr>
          <t>ЗАМЕНИТЕ НА РЕАЛЬНЫЕ ДАННЫЕ.
ДЕМО, ЦЕЛЬ, Имбирь,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31" authorId="0">
      <text>
        <r>
          <rPr>
            <sz val="8"/>
            <color indexed="81"/>
            <rFont val="Tahoma"/>
            <family val="2"/>
          </rPr>
          <t>ЗАМЕНИТЕ НА РЕАЛЬНЫЕ ДАННЫЕ.
ДЕМО, ЦЕЛЬ, Имбирь,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31" authorId="0">
      <text>
        <r>
          <rPr>
            <sz val="8"/>
            <color indexed="81"/>
            <rFont val="Tahoma"/>
            <family val="2"/>
          </rPr>
          <t>ЗАМЕНИТЕ НА РЕАЛЬНЫЕ ДАННЫЕ.
ДЕМО, ЦЕЛЬ, Имбирь,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31" authorId="0">
      <text>
        <r>
          <rPr>
            <sz val="8"/>
            <color indexed="81"/>
            <rFont val="Tahoma"/>
            <family val="2"/>
          </rPr>
          <t>ЗАМЕНИТЕ НА РЕАЛЬНЫЕ ДАННЫЕ.
ДЕМО, ЦЕЛЬ, Имбирь,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31" authorId="0">
      <text>
        <r>
          <rPr>
            <sz val="8"/>
            <color indexed="81"/>
            <rFont val="Tahoma"/>
            <family val="2"/>
          </rPr>
          <t>ЗАМЕНИТЕ НА РЕАЛЬНЫЕ ДАННЫЕ.
ДЕМО, ЦЕЛЬ, Имбирь,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31" authorId="0">
      <text>
        <r>
          <rPr>
            <sz val="8"/>
            <color indexed="81"/>
            <rFont val="Tahoma"/>
            <family val="2"/>
          </rPr>
          <t>ЗАМЕНИТЕ НА РЕАЛЬНЫЕ ДАННЫЕ.
ДЕМО, ЦЕЛЬ, Имбирь,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31" authorId="0">
      <text>
        <r>
          <rPr>
            <sz val="8"/>
            <color indexed="81"/>
            <rFont val="Tahoma"/>
            <family val="2"/>
          </rPr>
          <t>ЗАМЕНИТЕ НА РЕАЛЬНЫЕ ДАННЫЕ.
ДЕМО, ЦЕЛЬ, Имбирь,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31" authorId="0">
      <text>
        <r>
          <rPr>
            <sz val="8"/>
            <color indexed="81"/>
            <rFont val="Tahoma"/>
            <family val="2"/>
          </rPr>
          <t>ЗАМЕНИТЕ НА РЕАЛЬНЫЕ ДАННЫЕ.
ДЕМО, ЦЕЛЬ, Имбирь,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31" authorId="0">
      <text>
        <r>
          <rPr>
            <sz val="8"/>
            <color indexed="81"/>
            <rFont val="Tahoma"/>
            <family val="2"/>
          </rPr>
          <t>ЗАМЕНИТЕ НА РЕАЛЬНЫЕ ДАННЫЕ.
ДЕМО, ЦЕЛЬ, Имбирь,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31" authorId="0">
      <text>
        <r>
          <rPr>
            <sz val="8"/>
            <color indexed="81"/>
            <rFont val="Tahoma"/>
            <family val="2"/>
          </rPr>
          <t>ЗАМЕНИТЕ НА РЕАЛЬНЫЕ ДАННЫЕ.
ДЕМО, ЦЕЛЬ, Имбирь,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31" authorId="0">
      <text>
        <r>
          <rPr>
            <sz val="8"/>
            <color indexed="81"/>
            <rFont val="Tahoma"/>
            <family val="2"/>
          </rPr>
          <t>ЗАМЕНИТЕ НА РЕАЛЬНЫЕ ДАННЫЕ.
ДЕМО, ЦЕЛЬ, Имбирь,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33" authorId="0">
      <text>
        <r>
          <rPr>
            <sz val="8"/>
            <color indexed="81"/>
            <rFont val="Tahoma"/>
            <family val="2"/>
          </rPr>
          <t>ЗАМЕНИТЕ НА РЕАЛЬНЫЕ ДАННЫЕ.
ДЕМО, ЦЕЛЬ, Имбирь,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33" authorId="0">
      <text>
        <r>
          <rPr>
            <sz val="8"/>
            <color indexed="81"/>
            <rFont val="Tahoma"/>
            <family val="2"/>
          </rPr>
          <t>ЗАМЕНИТЕ НА РЕАЛЬНЫЕ ДАННЫЕ.
ДЕМО, ЦЕЛЬ, Имбирь,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33" authorId="0">
      <text>
        <r>
          <rPr>
            <sz val="8"/>
            <color indexed="81"/>
            <rFont val="Tahoma"/>
            <family val="2"/>
          </rPr>
          <t>ЗАМЕНИТЕ НА РЕАЛЬНЫЕ ДАННЫЕ.
ДЕМО, ЦЕЛЬ, Имбирь,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33" authorId="0">
      <text>
        <r>
          <rPr>
            <sz val="8"/>
            <color indexed="81"/>
            <rFont val="Tahoma"/>
            <family val="2"/>
          </rPr>
          <t>ЗАМЕНИТЕ НА РЕАЛЬНЫЕ ДАННЫЕ.
ДЕМО, ЦЕЛЬ, Имбирь,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33" authorId="0">
      <text>
        <r>
          <rPr>
            <sz val="8"/>
            <color indexed="81"/>
            <rFont val="Tahoma"/>
            <family val="2"/>
          </rPr>
          <t>ЗАМЕНИТЕ НА РЕАЛЬНЫЕ ДАННЫЕ.
ДЕМО, ЦЕЛЬ, Имбирь,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33" authorId="0">
      <text>
        <r>
          <rPr>
            <sz val="8"/>
            <color indexed="81"/>
            <rFont val="Tahoma"/>
            <family val="2"/>
          </rPr>
          <t>ЗАМЕНИТЕ НА РЕАЛЬНЫЕ ДАННЫЕ.
ДЕМО, ЦЕЛЬ, Имбирь,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33" authorId="0">
      <text>
        <r>
          <rPr>
            <sz val="8"/>
            <color indexed="81"/>
            <rFont val="Tahoma"/>
            <family val="2"/>
          </rPr>
          <t>ЗАМЕНИТЕ НА РЕАЛЬНЫЕ ДАННЫЕ.
ДЕМО, ЦЕЛЬ, Имбирь,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33" authorId="0">
      <text>
        <r>
          <rPr>
            <sz val="8"/>
            <color indexed="81"/>
            <rFont val="Tahoma"/>
            <family val="2"/>
          </rPr>
          <t>ЗАМЕНИТЕ НА РЕАЛЬНЫЕ ДАННЫЕ.
ДЕМО, ЦЕЛЬ, Имбирь,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33" authorId="0">
      <text>
        <r>
          <rPr>
            <sz val="8"/>
            <color indexed="81"/>
            <rFont val="Tahoma"/>
            <family val="2"/>
          </rPr>
          <t>ЗАМЕНИТЕ НА РЕАЛЬНЫЕ ДАННЫЕ.
ДЕМО, ЦЕЛЬ, Имбирь,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33" authorId="0">
      <text>
        <r>
          <rPr>
            <sz val="8"/>
            <color indexed="81"/>
            <rFont val="Tahoma"/>
            <family val="2"/>
          </rPr>
          <t>ЗАМЕНИТЕ НА РЕАЛЬНЫЕ ДАННЫЕ.
ДЕМО, ЦЕЛЬ, Имбирь,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34" authorId="0">
      <text>
        <r>
          <rPr>
            <sz val="8"/>
            <color indexed="81"/>
            <rFont val="Tahoma"/>
            <family val="2"/>
          </rPr>
          <t>ЗАМЕНИТЕ НА РЕАЛЬНЫЕ ДАННЫЕ.
ДЕМО, ЦЕЛЬ, Имбирь,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34" authorId="0">
      <text>
        <r>
          <rPr>
            <sz val="8"/>
            <color indexed="81"/>
            <rFont val="Tahoma"/>
            <family val="2"/>
          </rPr>
          <t>ЗАМЕНИТЕ НА РЕАЛЬНЫЕ ДАННЫЕ.
ДЕМО, ЦЕЛЬ, Имбирь,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34" authorId="0">
      <text>
        <r>
          <rPr>
            <sz val="8"/>
            <color indexed="81"/>
            <rFont val="Tahoma"/>
            <family val="2"/>
          </rPr>
          <t>ЗАМЕНИТЕ НА РЕАЛЬНЫЕ ДАННЫЕ.
ДЕМО, ЦЕЛЬ, Имбирь,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34" authorId="0">
      <text>
        <r>
          <rPr>
            <sz val="8"/>
            <color indexed="81"/>
            <rFont val="Tahoma"/>
            <family val="2"/>
          </rPr>
          <t>ЗАМЕНИТЕ НА РЕАЛЬНЫЕ ДАННЫЕ.
ДЕМО, ЦЕЛЬ, Имбирь,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34" authorId="0">
      <text>
        <r>
          <rPr>
            <sz val="8"/>
            <color indexed="81"/>
            <rFont val="Tahoma"/>
            <family val="2"/>
          </rPr>
          <t>ЗАМЕНИТЕ НА РЕАЛЬНЫЕ ДАННЫЕ.
ДЕМО, ЦЕЛЬ, Имбирь,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34" authorId="0">
      <text>
        <r>
          <rPr>
            <sz val="8"/>
            <color indexed="81"/>
            <rFont val="Tahoma"/>
            <family val="2"/>
          </rPr>
          <t>ЗАМЕНИТЕ НА РЕАЛЬНЫЕ ДАННЫЕ.
ДЕМО, ЦЕЛЬ, Имбирь,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34" authorId="0">
      <text>
        <r>
          <rPr>
            <sz val="8"/>
            <color indexed="81"/>
            <rFont val="Tahoma"/>
            <family val="2"/>
          </rPr>
          <t>ЗАМЕНИТЕ НА РЕАЛЬНЫЕ ДАННЫЕ.
ДЕМО, ЦЕЛЬ, Имбирь,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34" authorId="0">
      <text>
        <r>
          <rPr>
            <sz val="8"/>
            <color indexed="81"/>
            <rFont val="Tahoma"/>
            <family val="2"/>
          </rPr>
          <t>ЗАМЕНИТЕ НА РЕАЛЬНЫЕ ДАННЫЕ.
ДЕМО, ЦЕЛЬ, Имбирь,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34" authorId="0">
      <text>
        <r>
          <rPr>
            <sz val="8"/>
            <color indexed="81"/>
            <rFont val="Tahoma"/>
            <family val="2"/>
          </rPr>
          <t>ЗАМЕНИТЕ НА РЕАЛЬНЫЕ ДАННЫЕ.
ДЕМО, ЦЕЛЬ, Имбирь,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34" authorId="0">
      <text>
        <r>
          <rPr>
            <sz val="8"/>
            <color indexed="81"/>
            <rFont val="Tahoma"/>
            <family val="2"/>
          </rPr>
          <t>ЗАМЕНИТЕ НА РЕАЛЬНЫЕ ДАННЫЕ.
ДЕМО, ЦЕЛЬ, Имбирь,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35" authorId="0">
      <text>
        <r>
          <rPr>
            <sz val="8"/>
            <color indexed="81"/>
            <rFont val="Tahoma"/>
            <family val="2"/>
          </rPr>
          <t>ЗАМЕНИТЕ НА РЕАЛЬНЫЕ ДАННЫЕ.
ДЕМО, ЦЕЛЬ, Имбирь,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35" authorId="0">
      <text>
        <r>
          <rPr>
            <sz val="8"/>
            <color indexed="81"/>
            <rFont val="Tahoma"/>
            <family val="2"/>
          </rPr>
          <t>ЗАМЕНИТЕ НА РЕАЛЬНЫЕ ДАННЫЕ.
ДЕМО, ЦЕЛЬ, Имбирь,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35" authorId="0">
      <text>
        <r>
          <rPr>
            <sz val="8"/>
            <color indexed="81"/>
            <rFont val="Tahoma"/>
            <family val="2"/>
          </rPr>
          <t>ЗАМЕНИТЕ НА РЕАЛЬНЫЕ ДАННЫЕ.
ДЕМО, ЦЕЛЬ, Имбирь,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35" authorId="0">
      <text>
        <r>
          <rPr>
            <sz val="8"/>
            <color indexed="81"/>
            <rFont val="Tahoma"/>
            <family val="2"/>
          </rPr>
          <t>ЗАМЕНИТЕ НА РЕАЛЬНЫЕ ДАННЫЕ.
ДЕМО, ЦЕЛЬ, Имбирь,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35" authorId="0">
      <text>
        <r>
          <rPr>
            <sz val="8"/>
            <color indexed="81"/>
            <rFont val="Tahoma"/>
            <family val="2"/>
          </rPr>
          <t>ЗАМЕНИТЕ НА РЕАЛЬНЫЕ ДАННЫЕ.
ДЕМО, ЦЕЛЬ, Имбирь,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35" authorId="0">
      <text>
        <r>
          <rPr>
            <sz val="8"/>
            <color indexed="81"/>
            <rFont val="Tahoma"/>
            <family val="2"/>
          </rPr>
          <t>ЗАМЕНИТЕ НА РЕАЛЬНЫЕ ДАННЫЕ.
ДЕМО, ЦЕЛЬ, Имбирь,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35" authorId="0">
      <text>
        <r>
          <rPr>
            <sz val="8"/>
            <color indexed="81"/>
            <rFont val="Tahoma"/>
            <family val="2"/>
          </rPr>
          <t>ЗАМЕНИТЕ НА РЕАЛЬНЫЕ ДАННЫЕ.
ДЕМО, ЦЕЛЬ, Имбирь,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35" authorId="0">
      <text>
        <r>
          <rPr>
            <sz val="8"/>
            <color indexed="81"/>
            <rFont val="Tahoma"/>
            <family val="2"/>
          </rPr>
          <t>ЗАМЕНИТЕ НА РЕАЛЬНЫЕ ДАННЫЕ.
ДЕМО, ЦЕЛЬ, Имбирь,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35" authorId="0">
      <text>
        <r>
          <rPr>
            <sz val="8"/>
            <color indexed="81"/>
            <rFont val="Tahoma"/>
            <family val="2"/>
          </rPr>
          <t>ЗАМЕНИТЕ НА РЕАЛЬНЫЕ ДАННЫЕ.
ДЕМО, ЦЕЛЬ, Имбирь,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35" authorId="0">
      <text>
        <r>
          <rPr>
            <sz val="8"/>
            <color indexed="81"/>
            <rFont val="Tahoma"/>
            <family val="2"/>
          </rPr>
          <t>ЗАМЕНИТЕ НА РЕАЛЬНЫЕ ДАННЫЕ.
ДЕМО, ЦЕЛЬ, Имбирь,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36" authorId="0">
      <text>
        <r>
          <rPr>
            <sz val="8"/>
            <color indexed="81"/>
            <rFont val="Tahoma"/>
            <family val="2"/>
          </rPr>
          <t>ЗАМЕНИТЕ НА РЕАЛЬНЫЕ ДАННЫЕ.
ДЕМО, ЦЕЛЬ, Имбирь,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36" authorId="0">
      <text>
        <r>
          <rPr>
            <sz val="8"/>
            <color indexed="81"/>
            <rFont val="Tahoma"/>
            <family val="2"/>
          </rPr>
          <t>ЗАМЕНИТЕ НА РЕАЛЬНЫЕ ДАННЫЕ.
ДЕМО, ЦЕЛЬ, Имбирь,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36" authorId="0">
      <text>
        <r>
          <rPr>
            <sz val="8"/>
            <color indexed="81"/>
            <rFont val="Tahoma"/>
            <family val="2"/>
          </rPr>
          <t>ЗАМЕНИТЕ НА РЕАЛЬНЫЕ ДАННЫЕ.
ДЕМО, ЦЕЛЬ, Имбирь,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36" authorId="0">
      <text>
        <r>
          <rPr>
            <sz val="8"/>
            <color indexed="81"/>
            <rFont val="Tahoma"/>
            <family val="2"/>
          </rPr>
          <t>ЗАМЕНИТЕ НА РЕАЛЬНЫЕ ДАННЫЕ.
ДЕМО, ЦЕЛЬ, Имбирь,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36" authorId="0">
      <text>
        <r>
          <rPr>
            <sz val="8"/>
            <color indexed="81"/>
            <rFont val="Tahoma"/>
            <family val="2"/>
          </rPr>
          <t>ЗАМЕНИТЕ НА РЕАЛЬНЫЕ ДАННЫЕ.
ДЕМО, ЦЕЛЬ, Имбирь,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36" authorId="0">
      <text>
        <r>
          <rPr>
            <sz val="8"/>
            <color indexed="81"/>
            <rFont val="Tahoma"/>
            <family val="2"/>
          </rPr>
          <t>ЗАМЕНИТЕ НА РЕАЛЬНЫЕ ДАННЫЕ.
ДЕМО, ЦЕЛЬ, Имбирь,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36" authorId="0">
      <text>
        <r>
          <rPr>
            <sz val="8"/>
            <color indexed="81"/>
            <rFont val="Tahoma"/>
            <family val="2"/>
          </rPr>
          <t>ЗАМЕНИТЕ НА РЕАЛЬНЫЕ ДАННЫЕ.
ДЕМО, ЦЕЛЬ, Имбирь,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36" authorId="0">
      <text>
        <r>
          <rPr>
            <sz val="8"/>
            <color indexed="81"/>
            <rFont val="Tahoma"/>
            <family val="2"/>
          </rPr>
          <t>ЗАМЕНИТЕ НА РЕАЛЬНЫЕ ДАННЫЕ.
ДЕМО, ЦЕЛЬ, Имбирь,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36" authorId="0">
      <text>
        <r>
          <rPr>
            <sz val="8"/>
            <color indexed="81"/>
            <rFont val="Tahoma"/>
            <family val="2"/>
          </rPr>
          <t>ЗАМЕНИТЕ НА РЕАЛЬНЫЕ ДАННЫЕ.
ДЕМО, ЦЕЛЬ, Имбирь,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36" authorId="0">
      <text>
        <r>
          <rPr>
            <sz val="8"/>
            <color indexed="81"/>
            <rFont val="Tahoma"/>
            <family val="2"/>
          </rPr>
          <t>ЗАМЕНИТЕ НА РЕАЛЬНЫЕ ДАННЫЕ.
ДЕМО, ЦЕЛЬ, Имбирь,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37" authorId="0">
      <text>
        <r>
          <rPr>
            <sz val="8"/>
            <color indexed="81"/>
            <rFont val="Tahoma"/>
            <family val="2"/>
          </rPr>
          <t>ЗАМЕНИТЕ НА РЕАЛЬНЫЕ ДАННЫЕ.
ДЕМО, ЦЕЛЬ, Имбирь,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37" authorId="0">
      <text>
        <r>
          <rPr>
            <sz val="8"/>
            <color indexed="81"/>
            <rFont val="Tahoma"/>
            <family val="2"/>
          </rPr>
          <t>ЗАМЕНИТЕ НА РЕАЛЬНЫЕ ДАННЫЕ.
ДЕМО, ЦЕЛЬ, Имбирь,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37" authorId="0">
      <text>
        <r>
          <rPr>
            <sz val="8"/>
            <color indexed="81"/>
            <rFont val="Tahoma"/>
            <family val="2"/>
          </rPr>
          <t>ЗАМЕНИТЕ НА РЕАЛЬНЫЕ ДАННЫЕ.
ДЕМО, ЦЕЛЬ, Имбирь,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37" authorId="0">
      <text>
        <r>
          <rPr>
            <sz val="8"/>
            <color indexed="81"/>
            <rFont val="Tahoma"/>
            <family val="2"/>
          </rPr>
          <t>ЗАМЕНИТЕ НА РЕАЛЬНЫЕ ДАННЫЕ.
ДЕМО, ЦЕЛЬ, Имбирь,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37" authorId="0">
      <text>
        <r>
          <rPr>
            <sz val="8"/>
            <color indexed="81"/>
            <rFont val="Tahoma"/>
            <family val="2"/>
          </rPr>
          <t>ЗАМЕНИТЕ НА РЕАЛЬНЫЕ ДАННЫЕ.
ДЕМО, ЦЕЛЬ, Имбирь,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37" authorId="0">
      <text>
        <r>
          <rPr>
            <sz val="8"/>
            <color indexed="81"/>
            <rFont val="Tahoma"/>
            <family val="2"/>
          </rPr>
          <t>ЗАМЕНИТЕ НА РЕАЛЬНЫЕ ДАННЫЕ.
ДЕМО, ЦЕЛЬ, Имбирь,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37" authorId="0">
      <text>
        <r>
          <rPr>
            <sz val="8"/>
            <color indexed="81"/>
            <rFont val="Tahoma"/>
            <family val="2"/>
          </rPr>
          <t>ЗАМЕНИТЕ НА РЕАЛЬНЫЕ ДАННЫЕ.
ДЕМО, ЦЕЛЬ, Имбирь,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37" authorId="0">
      <text>
        <r>
          <rPr>
            <sz val="8"/>
            <color indexed="81"/>
            <rFont val="Tahoma"/>
            <family val="2"/>
          </rPr>
          <t>ЗАМЕНИТЕ НА РЕАЛЬНЫЕ ДАННЫЕ.
ДЕМО, ЦЕЛЬ, Имбирь,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37" authorId="0">
      <text>
        <r>
          <rPr>
            <sz val="8"/>
            <color indexed="81"/>
            <rFont val="Tahoma"/>
            <family val="2"/>
          </rPr>
          <t>ЗАМЕНИТЕ НА РЕАЛЬНЫЕ ДАННЫЕ.
ДЕМО, ЦЕЛЬ, Имбирь,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37" authorId="0">
      <text>
        <r>
          <rPr>
            <sz val="8"/>
            <color indexed="81"/>
            <rFont val="Tahoma"/>
            <family val="2"/>
          </rPr>
          <t>ЗАМЕНИТЕ НА РЕАЛЬНЫЕ ДАННЫЕ.
ДЕМО, ЦЕЛЬ, Имбирь,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46" authorId="0">
      <text>
        <r>
          <rPr>
            <sz val="8"/>
            <color indexed="81"/>
            <rFont val="Tahoma"/>
            <family val="2"/>
          </rPr>
          <t>ЗАМЕНИТЕ НА РЕАЛЬНЫЕ ДАННЫЕ.
Лимон, цикл 1. 0 исключает все элементы данного цикла, а не один выброс.</t>
        </r>
      </text>
    </comment>
    <comment ref="F346" authorId="0">
      <text>
        <r>
          <rPr>
            <sz val="8"/>
            <color indexed="81"/>
            <rFont val="Tahoma"/>
            <family val="2"/>
          </rPr>
          <t>ЗАМЕНИТЕ НА РЕАЛЬНЫЕ ДАННЫЕ.
Лимон, цикл 2. 0 исключает все элементы данного цикла, а не один выброс.</t>
        </r>
      </text>
    </comment>
    <comment ref="G346" authorId="0">
      <text>
        <r>
          <rPr>
            <sz val="8"/>
            <color indexed="81"/>
            <rFont val="Tahoma"/>
            <family val="2"/>
          </rPr>
          <t>ЗАМЕНИТЕ НА РЕАЛЬНЫЕ ДАННЫЕ.
Лимон, цикл 3. 0 исключает все элементы данного цикла, а не один выброс.</t>
        </r>
      </text>
    </comment>
    <comment ref="H346" authorId="0">
      <text>
        <r>
          <rPr>
            <sz val="8"/>
            <color indexed="81"/>
            <rFont val="Tahoma"/>
            <family val="2"/>
          </rPr>
          <t>ЗАМЕНИТЕ НА РЕАЛЬНЫЕ ДАННЫЕ.
Лимон, цикл 4. 0 исключает все элементы данного цикла, а не один выброс.</t>
        </r>
      </text>
    </comment>
    <comment ref="I346" authorId="0">
      <text>
        <r>
          <rPr>
            <sz val="8"/>
            <color indexed="81"/>
            <rFont val="Tahoma"/>
            <family val="2"/>
          </rPr>
          <t>ЗАМЕНИТЕ НА РЕАЛЬНЫЕ ДАННЫЕ.
Лимон, цикл 5. 0 исключает все элементы данного цикла, а не один выброс.</t>
        </r>
      </text>
    </comment>
    <comment ref="J346" authorId="0">
      <text>
        <r>
          <rPr>
            <sz val="8"/>
            <color indexed="81"/>
            <rFont val="Tahoma"/>
            <family val="2"/>
          </rPr>
          <t>ЗАМЕНИТЕ НА РЕАЛЬНЫЕ ДАННЫЕ.
Лимон, цикл 6. 0 исключает все элементы данного цикла, а не один выброс.</t>
        </r>
      </text>
    </comment>
    <comment ref="K346" authorId="0">
      <text>
        <r>
          <rPr>
            <sz val="8"/>
            <color indexed="81"/>
            <rFont val="Tahoma"/>
            <family val="2"/>
          </rPr>
          <t>ЗАМЕНИТЕ НА РЕАЛЬНЫЕ ДАННЫЕ.
Лимон, цикл 7. 0 исключает все элементы данного цикла, а не один выброс.</t>
        </r>
      </text>
    </comment>
    <comment ref="L346" authorId="0">
      <text>
        <r>
          <rPr>
            <sz val="8"/>
            <color indexed="81"/>
            <rFont val="Tahoma"/>
            <family val="2"/>
          </rPr>
          <t>ЗАМЕНИТЕ НА РЕАЛЬНЫЕ ДАННЫЕ.
Лимон, цикл 8. 0 исключает все элементы данного цикла, а не один выброс.</t>
        </r>
      </text>
    </comment>
    <comment ref="M346" authorId="0">
      <text>
        <r>
          <rPr>
            <sz val="8"/>
            <color indexed="81"/>
            <rFont val="Tahoma"/>
            <family val="2"/>
          </rPr>
          <t>ЗАМЕНИТЕ НА РЕАЛЬНЫЕ ДАННЫЕ.
Лимон, цикл 9. 0 исключает все элементы данного цикла, а не один выброс.</t>
        </r>
      </text>
    </comment>
    <comment ref="N346" authorId="0">
      <text>
        <r>
          <rPr>
            <sz val="8"/>
            <color indexed="81"/>
            <rFont val="Tahoma"/>
            <family val="2"/>
          </rPr>
          <t>ЗАМЕНИТЕ НА РЕАЛЬНЫЕ ДАННЫЕ.
Лимон, цикл 10. 0 исключает все элементы данного цикла, а не один выброс.</t>
        </r>
      </text>
    </comment>
    <comment ref="E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47"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48" authorId="0">
      <text>
        <r>
          <rPr>
            <sz val="8"/>
            <color indexed="81"/>
            <rFont val="Tahoma"/>
            <family val="2"/>
          </rPr>
          <t>ЗАМЕНИТЕ НА РЕАЛЬНЫЕ ДАННЫЕ.
ДЕМО, ЦЕЛЬ, Лимон,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48" authorId="0">
      <text>
        <r>
          <rPr>
            <sz val="8"/>
            <color indexed="81"/>
            <rFont val="Tahoma"/>
            <family val="2"/>
          </rPr>
          <t>ЗАМЕНИТЕ НА РЕАЛЬНЫЕ ДАННЫЕ.
ДЕМО, ЦЕЛЬ, Лимон,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48" authorId="0">
      <text>
        <r>
          <rPr>
            <sz val="8"/>
            <color indexed="81"/>
            <rFont val="Tahoma"/>
            <family val="2"/>
          </rPr>
          <t>ЗАМЕНИТЕ НА РЕАЛЬНЫЕ ДАННЫЕ.
ДЕМО, ЦЕЛЬ, Лимон,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48" authorId="0">
      <text>
        <r>
          <rPr>
            <sz val="8"/>
            <color indexed="81"/>
            <rFont val="Tahoma"/>
            <family val="2"/>
          </rPr>
          <t>ЗАМЕНИТЕ НА РЕАЛЬНЫЕ ДАННЫЕ.
ДЕМО, ЦЕЛЬ, Лимон,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48" authorId="0">
      <text>
        <r>
          <rPr>
            <sz val="8"/>
            <color indexed="81"/>
            <rFont val="Tahoma"/>
            <family val="2"/>
          </rPr>
          <t>ЗАМЕНИТЕ НА РЕАЛЬНЫЕ ДАННЫЕ.
ДЕМО, ЦЕЛЬ, Лимон,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48" authorId="0">
      <text>
        <r>
          <rPr>
            <sz val="8"/>
            <color indexed="81"/>
            <rFont val="Tahoma"/>
            <family val="2"/>
          </rPr>
          <t>ЗАМЕНИТЕ НА РЕАЛЬНЫЕ ДАННЫЕ.
ДЕМО, ЦЕЛЬ, Лимон,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48" authorId="0">
      <text>
        <r>
          <rPr>
            <sz val="8"/>
            <color indexed="81"/>
            <rFont val="Tahoma"/>
            <family val="2"/>
          </rPr>
          <t>ЗАМЕНИТЕ НА РЕАЛЬНЫЕ ДАННЫЕ.
ДЕМО, ЦЕЛЬ, Лимон,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48" authorId="0">
      <text>
        <r>
          <rPr>
            <sz val="8"/>
            <color indexed="81"/>
            <rFont val="Tahoma"/>
            <family val="2"/>
          </rPr>
          <t>ЗАМЕНИТЕ НА РЕАЛЬНЫЕ ДАННЫЕ.
ДЕМО, ЦЕЛЬ, Лимон,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48" authorId="0">
      <text>
        <r>
          <rPr>
            <sz val="8"/>
            <color indexed="81"/>
            <rFont val="Tahoma"/>
            <family val="2"/>
          </rPr>
          <t>ЗАМЕНИТЕ НА РЕАЛЬНЫЕ ДАННЫЕ.
ДЕМО, ЦЕЛЬ, Лимон,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48" authorId="0">
      <text>
        <r>
          <rPr>
            <sz val="8"/>
            <color indexed="81"/>
            <rFont val="Tahoma"/>
            <family val="2"/>
          </rPr>
          <t>ЗАМЕНИТЕ НА РЕАЛЬНЫЕ ДАННЫЕ.
ДЕМО, ЦЕЛЬ, Лимон,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49" authorId="0">
      <text>
        <r>
          <rPr>
            <sz val="8"/>
            <color indexed="81"/>
            <rFont val="Tahoma"/>
            <family val="2"/>
          </rPr>
          <t>ЗАМЕНИТЕ НА РЕАЛЬНЫЕ ДАННЫЕ.
ДЕМО, ЦЕЛЬ, Лимон,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49" authorId="0">
      <text>
        <r>
          <rPr>
            <sz val="8"/>
            <color indexed="81"/>
            <rFont val="Tahoma"/>
            <family val="2"/>
          </rPr>
          <t>ЗАМЕНИТЕ НА РЕАЛЬНЫЕ ДАННЫЕ.
ДЕМО, ЦЕЛЬ, Лимон,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49" authorId="0">
      <text>
        <r>
          <rPr>
            <sz val="8"/>
            <color indexed="81"/>
            <rFont val="Tahoma"/>
            <family val="2"/>
          </rPr>
          <t>ЗАМЕНИТЕ НА РЕАЛЬНЫЕ ДАННЫЕ.
ДЕМО, ЦЕЛЬ, Лимон,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49" authorId="0">
      <text>
        <r>
          <rPr>
            <sz val="8"/>
            <color indexed="81"/>
            <rFont val="Tahoma"/>
            <family val="2"/>
          </rPr>
          <t>ЗАМЕНИТЕ НА РЕАЛЬНЫЕ ДАННЫЕ.
ДЕМО, ЦЕЛЬ, Лимон,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49" authorId="0">
      <text>
        <r>
          <rPr>
            <sz val="8"/>
            <color indexed="81"/>
            <rFont val="Tahoma"/>
            <family val="2"/>
          </rPr>
          <t>ЗАМЕНИТЕ НА РЕАЛЬНЫЕ ДАННЫЕ.
ДЕМО, ЦЕЛЬ, Лимон,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49" authorId="0">
      <text>
        <r>
          <rPr>
            <sz val="8"/>
            <color indexed="81"/>
            <rFont val="Tahoma"/>
            <family val="2"/>
          </rPr>
          <t>ЗАМЕНИТЕ НА РЕАЛЬНЫЕ ДАННЫЕ.
ДЕМО, ЦЕЛЬ, Лимон,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49" authorId="0">
      <text>
        <r>
          <rPr>
            <sz val="8"/>
            <color indexed="81"/>
            <rFont val="Tahoma"/>
            <family val="2"/>
          </rPr>
          <t>ЗАМЕНИТЕ НА РЕАЛЬНЫЕ ДАННЫЕ.
ДЕМО, ЦЕЛЬ, Лимон,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49" authorId="0">
      <text>
        <r>
          <rPr>
            <sz val="8"/>
            <color indexed="81"/>
            <rFont val="Tahoma"/>
            <family val="2"/>
          </rPr>
          <t>ЗАМЕНИТЕ НА РЕАЛЬНЫЕ ДАННЫЕ.
ДЕМО, ЦЕЛЬ, Лимон,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49" authorId="0">
      <text>
        <r>
          <rPr>
            <sz val="8"/>
            <color indexed="81"/>
            <rFont val="Tahoma"/>
            <family val="2"/>
          </rPr>
          <t>ЗАМЕНИТЕ НА РЕАЛЬНЫЕ ДАННЫЕ.
ДЕМО, ЦЕЛЬ, Лимон,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49" authorId="0">
      <text>
        <r>
          <rPr>
            <sz val="8"/>
            <color indexed="81"/>
            <rFont val="Tahoma"/>
            <family val="2"/>
          </rPr>
          <t>ЗАМЕНИТЕ НА РЕАЛЬНЫЕ ДАННЫЕ.
ДЕМО, ЦЕЛЬ, Лимон,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50" authorId="0">
      <text>
        <r>
          <rPr>
            <sz val="8"/>
            <color indexed="81"/>
            <rFont val="Tahoma"/>
            <family val="2"/>
          </rPr>
          <t>ЗАМЕНИТЕ НА РЕАЛЬНЫЕ ДАННЫЕ.
ДЕМО, ЦЕЛЬ, Лимон,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50" authorId="0">
      <text>
        <r>
          <rPr>
            <sz val="8"/>
            <color indexed="81"/>
            <rFont val="Tahoma"/>
            <family val="2"/>
          </rPr>
          <t>ЗАМЕНИТЕ НА РЕАЛЬНЫЕ ДАННЫЕ.
ДЕМО, ЦЕЛЬ, Лимон,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50" authorId="0">
      <text>
        <r>
          <rPr>
            <sz val="8"/>
            <color indexed="81"/>
            <rFont val="Tahoma"/>
            <family val="2"/>
          </rPr>
          <t>ЗАМЕНИТЕ НА РЕАЛЬНЫЕ ДАННЫЕ.
ДЕМО, ЦЕЛЬ, Лимон,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50" authorId="0">
      <text>
        <r>
          <rPr>
            <sz val="8"/>
            <color indexed="81"/>
            <rFont val="Tahoma"/>
            <family val="2"/>
          </rPr>
          <t>ЗАМЕНИТЕ НА РЕАЛЬНЫЕ ДАННЫЕ.
ДЕМО, ЦЕЛЬ, Лимон,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50" authorId="0">
      <text>
        <r>
          <rPr>
            <sz val="8"/>
            <color indexed="81"/>
            <rFont val="Tahoma"/>
            <family val="2"/>
          </rPr>
          <t>ЗАМЕНИТЕ НА РЕАЛЬНЫЕ ДАННЫЕ.
ДЕМО, ЦЕЛЬ, Лимон,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50" authorId="0">
      <text>
        <r>
          <rPr>
            <sz val="8"/>
            <color indexed="81"/>
            <rFont val="Tahoma"/>
            <family val="2"/>
          </rPr>
          <t>ЗАМЕНИТЕ НА РЕАЛЬНЫЕ ДАННЫЕ.
ДЕМО, ЦЕЛЬ, Лимон,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50" authorId="0">
      <text>
        <r>
          <rPr>
            <sz val="8"/>
            <color indexed="81"/>
            <rFont val="Tahoma"/>
            <family val="2"/>
          </rPr>
          <t>ЗАМЕНИТЕ НА РЕАЛЬНЫЕ ДАННЫЕ.
ДЕМО, ЦЕЛЬ, Лимон,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50" authorId="0">
      <text>
        <r>
          <rPr>
            <sz val="8"/>
            <color indexed="81"/>
            <rFont val="Tahoma"/>
            <family val="2"/>
          </rPr>
          <t>ЗАМЕНИТЕ НА РЕАЛЬНЫЕ ДАННЫЕ.
ДЕМО, ЦЕЛЬ, Лимон,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50" authorId="0">
      <text>
        <r>
          <rPr>
            <sz val="8"/>
            <color indexed="81"/>
            <rFont val="Tahoma"/>
            <family val="2"/>
          </rPr>
          <t>ЗАМЕНИТЕ НА РЕАЛЬНЫЕ ДАННЫЕ.
ДЕМО, ЦЕЛЬ, Лимон,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50" authorId="0">
      <text>
        <r>
          <rPr>
            <sz val="8"/>
            <color indexed="81"/>
            <rFont val="Tahoma"/>
            <family val="2"/>
          </rPr>
          <t>ЗАМЕНИТЕ НА РЕАЛЬНЫЕ ДАННЫЕ.
ДЕМО, ЦЕЛЬ, Лимон,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51" authorId="0">
      <text>
        <r>
          <rPr>
            <sz val="8"/>
            <color indexed="81"/>
            <rFont val="Tahoma"/>
            <family val="2"/>
          </rPr>
          <t>ЗАМЕНИТЕ НА РЕАЛЬНЫЕ ДАННЫЕ.
ДЕМО, ЦЕЛЬ, Лимон,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51" authorId="0">
      <text>
        <r>
          <rPr>
            <sz val="8"/>
            <color indexed="81"/>
            <rFont val="Tahoma"/>
            <family val="2"/>
          </rPr>
          <t>ЗАМЕНИТЕ НА РЕАЛЬНЫЕ ДАННЫЕ.
ДЕМО, ЦЕЛЬ, Лимон,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51" authorId="0">
      <text>
        <r>
          <rPr>
            <sz val="8"/>
            <color indexed="81"/>
            <rFont val="Tahoma"/>
            <family val="2"/>
          </rPr>
          <t>ЗАМЕНИТЕ НА РЕАЛЬНЫЕ ДАННЫЕ.
ДЕМО, ЦЕЛЬ, Лимон,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51" authorId="0">
      <text>
        <r>
          <rPr>
            <sz val="8"/>
            <color indexed="81"/>
            <rFont val="Tahoma"/>
            <family val="2"/>
          </rPr>
          <t>ЗАМЕНИТЕ НА РЕАЛЬНЫЕ ДАННЫЕ.
ДЕМО, ЦЕЛЬ, Лимон,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51" authorId="0">
      <text>
        <r>
          <rPr>
            <sz val="8"/>
            <color indexed="81"/>
            <rFont val="Tahoma"/>
            <family val="2"/>
          </rPr>
          <t>ЗАМЕНИТЕ НА РЕАЛЬНЫЕ ДАННЫЕ.
ДЕМО, ЦЕЛЬ, Лимон,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51" authorId="0">
      <text>
        <r>
          <rPr>
            <sz val="8"/>
            <color indexed="81"/>
            <rFont val="Tahoma"/>
            <family val="2"/>
          </rPr>
          <t>ЗАМЕНИТЕ НА РЕАЛЬНЫЕ ДАННЫЕ.
ДЕМО, ЦЕЛЬ, Лимон,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51" authorId="0">
      <text>
        <r>
          <rPr>
            <sz val="8"/>
            <color indexed="81"/>
            <rFont val="Tahoma"/>
            <family val="2"/>
          </rPr>
          <t>ЗАМЕНИТЕ НА РЕАЛЬНЫЕ ДАННЫЕ.
ДЕМО, ЦЕЛЬ, Лимон,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51" authorId="0">
      <text>
        <r>
          <rPr>
            <sz val="8"/>
            <color indexed="81"/>
            <rFont val="Tahoma"/>
            <family val="2"/>
          </rPr>
          <t>ЗАМЕНИТЕ НА РЕАЛЬНЫЕ ДАННЫЕ.
ДЕМО, ЦЕЛЬ, Лимон,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51" authorId="0">
      <text>
        <r>
          <rPr>
            <sz val="8"/>
            <color indexed="81"/>
            <rFont val="Tahoma"/>
            <family val="2"/>
          </rPr>
          <t>ЗАМЕНИТЕ НА РЕАЛЬНЫЕ ДАННЫЕ.
ДЕМО, ЦЕЛЬ, Лимон,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51" authorId="0">
      <text>
        <r>
          <rPr>
            <sz val="8"/>
            <color indexed="81"/>
            <rFont val="Tahoma"/>
            <family val="2"/>
          </rPr>
          <t>ЗАМЕНИТЕ НА РЕАЛЬНЫЕ ДАННЫЕ.
ДЕМО, ЦЕЛЬ, Лимон,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52" authorId="0">
      <text>
        <r>
          <rPr>
            <sz val="8"/>
            <color indexed="81"/>
            <rFont val="Tahoma"/>
            <family val="2"/>
          </rPr>
          <t>ЗАМЕНИТЕ НА РЕАЛЬНЫЕ ДАННЫЕ.
ДЕМО, ЦЕЛЬ, Лимон,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52" authorId="0">
      <text>
        <r>
          <rPr>
            <sz val="8"/>
            <color indexed="81"/>
            <rFont val="Tahoma"/>
            <family val="2"/>
          </rPr>
          <t>ЗАМЕНИТЕ НА РЕАЛЬНЫЕ ДАННЫЕ.
ДЕМО, ЦЕЛЬ, Лимон,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52" authorId="0">
      <text>
        <r>
          <rPr>
            <sz val="8"/>
            <color indexed="81"/>
            <rFont val="Tahoma"/>
            <family val="2"/>
          </rPr>
          <t>ЗАМЕНИТЕ НА РЕАЛЬНЫЕ ДАННЫЕ.
ДЕМО, ЦЕЛЬ, Лимон,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52" authorId="0">
      <text>
        <r>
          <rPr>
            <sz val="8"/>
            <color indexed="81"/>
            <rFont val="Tahoma"/>
            <family val="2"/>
          </rPr>
          <t>ЗАМЕНИТЕ НА РЕАЛЬНЫЕ ДАННЫЕ.
ДЕМО, ЦЕЛЬ, Лимон,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52" authorId="0">
      <text>
        <r>
          <rPr>
            <sz val="8"/>
            <color indexed="81"/>
            <rFont val="Tahoma"/>
            <family val="2"/>
          </rPr>
          <t>ЗАМЕНИТЕ НА РЕАЛЬНЫЕ ДАННЫЕ.
ДЕМО, ЦЕЛЬ, Лимон,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52" authorId="0">
      <text>
        <r>
          <rPr>
            <sz val="8"/>
            <color indexed="81"/>
            <rFont val="Tahoma"/>
            <family val="2"/>
          </rPr>
          <t>ЗАМЕНИТЕ НА РЕАЛЬНЫЕ ДАННЫЕ.
ДЕМО, ЦЕЛЬ, Лимон,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52" authorId="0">
      <text>
        <r>
          <rPr>
            <sz val="8"/>
            <color indexed="81"/>
            <rFont val="Tahoma"/>
            <family val="2"/>
          </rPr>
          <t>ЗАМЕНИТЕ НА РЕАЛЬНЫЕ ДАННЫЕ.
ДЕМО, ЦЕЛЬ, Лимон,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52" authorId="0">
      <text>
        <r>
          <rPr>
            <sz val="8"/>
            <color indexed="81"/>
            <rFont val="Tahoma"/>
            <family val="2"/>
          </rPr>
          <t>ЗАМЕНИТЕ НА РЕАЛЬНЫЕ ДАННЫЕ.
ДЕМО, ЦЕЛЬ, Лимон,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52" authorId="0">
      <text>
        <r>
          <rPr>
            <sz val="8"/>
            <color indexed="81"/>
            <rFont val="Tahoma"/>
            <family val="2"/>
          </rPr>
          <t>ЗАМЕНИТЕ НА РЕАЛЬНЫЕ ДАННЫЕ.
ДЕМО, ЦЕЛЬ, Лимон,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52" authorId="0">
      <text>
        <r>
          <rPr>
            <sz val="8"/>
            <color indexed="81"/>
            <rFont val="Tahoma"/>
            <family val="2"/>
          </rPr>
          <t>ЗАМЕНИТЕ НА РЕАЛЬНЫЕ ДАННЫЕ.
ДЕМО, ЦЕЛЬ, Лимон,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54" authorId="0">
      <text>
        <r>
          <rPr>
            <sz val="8"/>
            <color indexed="81"/>
            <rFont val="Tahoma"/>
            <family val="2"/>
          </rPr>
          <t>ЗАМЕНИТЕ НА РЕАЛЬНЫЕ ДАННЫЕ.
ДЕМО, ЦЕЛЬ, Лимон,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54" authorId="0">
      <text>
        <r>
          <rPr>
            <sz val="8"/>
            <color indexed="81"/>
            <rFont val="Tahoma"/>
            <family val="2"/>
          </rPr>
          <t>ЗАМЕНИТЕ НА РЕАЛЬНЫЕ ДАННЫЕ.
ДЕМО, ЦЕЛЬ, Лимон,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54" authorId="0">
      <text>
        <r>
          <rPr>
            <sz val="8"/>
            <color indexed="81"/>
            <rFont val="Tahoma"/>
            <family val="2"/>
          </rPr>
          <t>ЗАМЕНИТЕ НА РЕАЛЬНЫЕ ДАННЫЕ.
ДЕМО, ЦЕЛЬ, Лимон,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54" authorId="0">
      <text>
        <r>
          <rPr>
            <sz val="8"/>
            <color indexed="81"/>
            <rFont val="Tahoma"/>
            <family val="2"/>
          </rPr>
          <t>ЗАМЕНИТЕ НА РЕАЛЬНЫЕ ДАННЫЕ.
ДЕМО, ЦЕЛЬ, Лимон,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54" authorId="0">
      <text>
        <r>
          <rPr>
            <sz val="8"/>
            <color indexed="81"/>
            <rFont val="Tahoma"/>
            <family val="2"/>
          </rPr>
          <t>ЗАМЕНИТЕ НА РЕАЛЬНЫЕ ДАННЫЕ.
ДЕМО, ЦЕЛЬ, Лимон,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54" authorId="0">
      <text>
        <r>
          <rPr>
            <sz val="8"/>
            <color indexed="81"/>
            <rFont val="Tahoma"/>
            <family val="2"/>
          </rPr>
          <t>ЗАМЕНИТЕ НА РЕАЛЬНЫЕ ДАННЫЕ.
ДЕМО, ЦЕЛЬ, Лимон,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54" authorId="0">
      <text>
        <r>
          <rPr>
            <sz val="8"/>
            <color indexed="81"/>
            <rFont val="Tahoma"/>
            <family val="2"/>
          </rPr>
          <t>ЗАМЕНИТЕ НА РЕАЛЬНЫЕ ДАННЫЕ.
ДЕМО, ЦЕЛЬ, Лимон,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54" authorId="0">
      <text>
        <r>
          <rPr>
            <sz val="8"/>
            <color indexed="81"/>
            <rFont val="Tahoma"/>
            <family val="2"/>
          </rPr>
          <t>ЗАМЕНИТЕ НА РЕАЛЬНЫЕ ДАННЫЕ.
ДЕМО, ЦЕЛЬ, Лимон,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54" authorId="0">
      <text>
        <r>
          <rPr>
            <sz val="8"/>
            <color indexed="81"/>
            <rFont val="Tahoma"/>
            <family val="2"/>
          </rPr>
          <t>ЗАМЕНИТЕ НА РЕАЛЬНЫЕ ДАННЫЕ.
ДЕМО, ЦЕЛЬ, Лимон,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54" authorId="0">
      <text>
        <r>
          <rPr>
            <sz val="8"/>
            <color indexed="81"/>
            <rFont val="Tahoma"/>
            <family val="2"/>
          </rPr>
          <t>ЗАМЕНИТЕ НА РЕАЛЬНЫЕ ДАННЫЕ.
ДЕМО, ЦЕЛЬ, Лимон,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55" authorId="0">
      <text>
        <r>
          <rPr>
            <sz val="8"/>
            <color indexed="81"/>
            <rFont val="Tahoma"/>
            <family val="2"/>
          </rPr>
          <t>ЗАМЕНИТЕ НА РЕАЛЬНЫЕ ДАННЫЕ.
ДЕМО, ЦЕЛЬ, Лимон,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55" authorId="0">
      <text>
        <r>
          <rPr>
            <sz val="8"/>
            <color indexed="81"/>
            <rFont val="Tahoma"/>
            <family val="2"/>
          </rPr>
          <t>ЗАМЕНИТЕ НА РЕАЛЬНЫЕ ДАННЫЕ.
ДЕМО, ЦЕЛЬ, Лимон,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55" authorId="0">
      <text>
        <r>
          <rPr>
            <sz val="8"/>
            <color indexed="81"/>
            <rFont val="Tahoma"/>
            <family val="2"/>
          </rPr>
          <t>ЗАМЕНИТЕ НА РЕАЛЬНЫЕ ДАННЫЕ.
ДЕМО, ЦЕЛЬ, Лимон,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55" authorId="0">
      <text>
        <r>
          <rPr>
            <sz val="8"/>
            <color indexed="81"/>
            <rFont val="Tahoma"/>
            <family val="2"/>
          </rPr>
          <t>ЗАМЕНИТЕ НА РЕАЛЬНЫЕ ДАННЫЕ.
ДЕМО, ЦЕЛЬ, Лимон,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55" authorId="0">
      <text>
        <r>
          <rPr>
            <sz val="8"/>
            <color indexed="81"/>
            <rFont val="Tahoma"/>
            <family val="2"/>
          </rPr>
          <t>ЗАМЕНИТЕ НА РЕАЛЬНЫЕ ДАННЫЕ.
ДЕМО, ЦЕЛЬ, Лимон,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55" authorId="0">
      <text>
        <r>
          <rPr>
            <sz val="8"/>
            <color indexed="81"/>
            <rFont val="Tahoma"/>
            <family val="2"/>
          </rPr>
          <t>ЗАМЕНИТЕ НА РЕАЛЬНЫЕ ДАННЫЕ.
ДЕМО, ЦЕЛЬ, Лимон,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55" authorId="0">
      <text>
        <r>
          <rPr>
            <sz val="8"/>
            <color indexed="81"/>
            <rFont val="Tahoma"/>
            <family val="2"/>
          </rPr>
          <t>ЗАМЕНИТЕ НА РЕАЛЬНЫЕ ДАННЫЕ.
ДЕМО, ЦЕЛЬ, Лимон,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55" authorId="0">
      <text>
        <r>
          <rPr>
            <sz val="8"/>
            <color indexed="81"/>
            <rFont val="Tahoma"/>
            <family val="2"/>
          </rPr>
          <t>ЗАМЕНИТЕ НА РЕАЛЬНЫЕ ДАННЫЕ.
ДЕМО, ЦЕЛЬ, Лимон,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55" authorId="0">
      <text>
        <r>
          <rPr>
            <sz val="8"/>
            <color indexed="81"/>
            <rFont val="Tahoma"/>
            <family val="2"/>
          </rPr>
          <t>ЗАМЕНИТЕ НА РЕАЛЬНЫЕ ДАННЫЕ.
ДЕМО, ЦЕЛЬ, Лимон,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55" authorId="0">
      <text>
        <r>
          <rPr>
            <sz val="8"/>
            <color indexed="81"/>
            <rFont val="Tahoma"/>
            <family val="2"/>
          </rPr>
          <t>ЗАМЕНИТЕ НА РЕАЛЬНЫЕ ДАННЫЕ.
ДЕМО, ЦЕЛЬ, Лимон,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56" authorId="0">
      <text>
        <r>
          <rPr>
            <sz val="8"/>
            <color indexed="81"/>
            <rFont val="Tahoma"/>
            <family val="2"/>
          </rPr>
          <t>ЗАМЕНИТЕ НА РЕАЛЬНЫЕ ДАННЫЕ.
ДЕМО, ЦЕЛЬ, Лимон,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56" authorId="0">
      <text>
        <r>
          <rPr>
            <sz val="8"/>
            <color indexed="81"/>
            <rFont val="Tahoma"/>
            <family val="2"/>
          </rPr>
          <t>ЗАМЕНИТЕ НА РЕАЛЬНЫЕ ДАННЫЕ.
ДЕМО, ЦЕЛЬ, Лимон,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56" authorId="0">
      <text>
        <r>
          <rPr>
            <sz val="8"/>
            <color indexed="81"/>
            <rFont val="Tahoma"/>
            <family val="2"/>
          </rPr>
          <t>ЗАМЕНИТЕ НА РЕАЛЬНЫЕ ДАННЫЕ.
ДЕМО, ЦЕЛЬ, Лимон,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56" authorId="0">
      <text>
        <r>
          <rPr>
            <sz val="8"/>
            <color indexed="81"/>
            <rFont val="Tahoma"/>
            <family val="2"/>
          </rPr>
          <t>ЗАМЕНИТЕ НА РЕАЛЬНЫЕ ДАННЫЕ.
ДЕМО, ЦЕЛЬ, Лимон,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56" authorId="0">
      <text>
        <r>
          <rPr>
            <sz val="8"/>
            <color indexed="81"/>
            <rFont val="Tahoma"/>
            <family val="2"/>
          </rPr>
          <t>ЗАМЕНИТЕ НА РЕАЛЬНЫЕ ДАННЫЕ.
ДЕМО, ЦЕЛЬ, Лимон,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56" authorId="0">
      <text>
        <r>
          <rPr>
            <sz val="8"/>
            <color indexed="81"/>
            <rFont val="Tahoma"/>
            <family val="2"/>
          </rPr>
          <t>ЗАМЕНИТЕ НА РЕАЛЬНЫЕ ДАННЫЕ.
ДЕМО, ЦЕЛЬ, Лимон,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56" authorId="0">
      <text>
        <r>
          <rPr>
            <sz val="8"/>
            <color indexed="81"/>
            <rFont val="Tahoma"/>
            <family val="2"/>
          </rPr>
          <t>ЗАМЕНИТЕ НА РЕАЛЬНЫЕ ДАННЫЕ.
ДЕМО, ЦЕЛЬ, Лимон,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56" authorId="0">
      <text>
        <r>
          <rPr>
            <sz val="8"/>
            <color indexed="81"/>
            <rFont val="Tahoma"/>
            <family val="2"/>
          </rPr>
          <t>ЗАМЕНИТЕ НА РЕАЛЬНЫЕ ДАННЫЕ.
ДЕМО, ЦЕЛЬ, Лимон,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56" authorId="0">
      <text>
        <r>
          <rPr>
            <sz val="8"/>
            <color indexed="81"/>
            <rFont val="Tahoma"/>
            <family val="2"/>
          </rPr>
          <t>ЗАМЕНИТЕ НА РЕАЛЬНЫЕ ДАННЫЕ.
ДЕМО, ЦЕЛЬ, Лимон,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56" authorId="0">
      <text>
        <r>
          <rPr>
            <sz val="8"/>
            <color indexed="81"/>
            <rFont val="Tahoma"/>
            <family val="2"/>
          </rPr>
          <t>ЗАМЕНИТЕ НА РЕАЛЬНЫЕ ДАННЫЕ.
ДЕМО, ЦЕЛЬ, Лимон,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57" authorId="0">
      <text>
        <r>
          <rPr>
            <sz val="8"/>
            <color indexed="81"/>
            <rFont val="Tahoma"/>
            <family val="2"/>
          </rPr>
          <t>ЗАМЕНИТЕ НА РЕАЛЬНЫЕ ДАННЫЕ.
ДЕМО, ЦЕЛЬ, Лимон,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57" authorId="0">
      <text>
        <r>
          <rPr>
            <sz val="8"/>
            <color indexed="81"/>
            <rFont val="Tahoma"/>
            <family val="2"/>
          </rPr>
          <t>ЗАМЕНИТЕ НА РЕАЛЬНЫЕ ДАННЫЕ.
ДЕМО, ЦЕЛЬ, Лимон,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57" authorId="0">
      <text>
        <r>
          <rPr>
            <sz val="8"/>
            <color indexed="81"/>
            <rFont val="Tahoma"/>
            <family val="2"/>
          </rPr>
          <t>ЗАМЕНИТЕ НА РЕАЛЬНЫЕ ДАННЫЕ.
ДЕМО, ЦЕЛЬ, Лимон,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57" authorId="0">
      <text>
        <r>
          <rPr>
            <sz val="8"/>
            <color indexed="81"/>
            <rFont val="Tahoma"/>
            <family val="2"/>
          </rPr>
          <t>ЗАМЕНИТЕ НА РЕАЛЬНЫЕ ДАННЫЕ.
ДЕМО, ЦЕЛЬ, Лимон,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57" authorId="0">
      <text>
        <r>
          <rPr>
            <sz val="8"/>
            <color indexed="81"/>
            <rFont val="Tahoma"/>
            <family val="2"/>
          </rPr>
          <t>ЗАМЕНИТЕ НА РЕАЛЬНЫЕ ДАННЫЕ.
ДЕМО, ЦЕЛЬ, Лимон,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57" authorId="0">
      <text>
        <r>
          <rPr>
            <sz val="8"/>
            <color indexed="81"/>
            <rFont val="Tahoma"/>
            <family val="2"/>
          </rPr>
          <t>ЗАМЕНИТЕ НА РЕАЛЬНЫЕ ДАННЫЕ.
ДЕМО, ЦЕЛЬ, Лимон,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57" authorId="0">
      <text>
        <r>
          <rPr>
            <sz val="8"/>
            <color indexed="81"/>
            <rFont val="Tahoma"/>
            <family val="2"/>
          </rPr>
          <t>ЗАМЕНИТЕ НА РЕАЛЬНЫЕ ДАННЫЕ.
ДЕМО, ЦЕЛЬ, Лимон,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57" authorId="0">
      <text>
        <r>
          <rPr>
            <sz val="8"/>
            <color indexed="81"/>
            <rFont val="Tahoma"/>
            <family val="2"/>
          </rPr>
          <t>ЗАМЕНИТЕ НА РЕАЛЬНЫЕ ДАННЫЕ.
ДЕМО, ЦЕЛЬ, Лимон,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57" authorId="0">
      <text>
        <r>
          <rPr>
            <sz val="8"/>
            <color indexed="81"/>
            <rFont val="Tahoma"/>
            <family val="2"/>
          </rPr>
          <t>ЗАМЕНИТЕ НА РЕАЛЬНЫЕ ДАННЫЕ.
ДЕМО, ЦЕЛЬ, Лимон,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57" authorId="0">
      <text>
        <r>
          <rPr>
            <sz val="8"/>
            <color indexed="81"/>
            <rFont val="Tahoma"/>
            <family val="2"/>
          </rPr>
          <t>ЗАМЕНИТЕ НА РЕАЛЬНЫЕ ДАННЫЕ.
ДЕМО, ЦЕЛЬ, Лимон,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58" authorId="0">
      <text>
        <r>
          <rPr>
            <sz val="8"/>
            <color indexed="81"/>
            <rFont val="Tahoma"/>
            <family val="2"/>
          </rPr>
          <t>ЗАМЕНИТЕ НА РЕАЛЬНЫЕ ДАННЫЕ.
ДЕМО, ЦЕЛЬ, Лимон,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58" authorId="0">
      <text>
        <r>
          <rPr>
            <sz val="8"/>
            <color indexed="81"/>
            <rFont val="Tahoma"/>
            <family val="2"/>
          </rPr>
          <t>ЗАМЕНИТЕ НА РЕАЛЬНЫЕ ДАННЫЕ.
ДЕМО, ЦЕЛЬ, Лимон,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58" authorId="0">
      <text>
        <r>
          <rPr>
            <sz val="8"/>
            <color indexed="81"/>
            <rFont val="Tahoma"/>
            <family val="2"/>
          </rPr>
          <t>ЗАМЕНИТЕ НА РЕАЛЬНЫЕ ДАННЫЕ.
ДЕМО, ЦЕЛЬ, Лимон,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58" authorId="0">
      <text>
        <r>
          <rPr>
            <sz val="8"/>
            <color indexed="81"/>
            <rFont val="Tahoma"/>
            <family val="2"/>
          </rPr>
          <t>ЗАМЕНИТЕ НА РЕАЛЬНЫЕ ДАННЫЕ.
ДЕМО, ЦЕЛЬ, Лимон,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58" authorId="0">
      <text>
        <r>
          <rPr>
            <sz val="8"/>
            <color indexed="81"/>
            <rFont val="Tahoma"/>
            <family val="2"/>
          </rPr>
          <t>ЗАМЕНИТЕ НА РЕАЛЬНЫЕ ДАННЫЕ.
ДЕМО, ЦЕЛЬ, Лимон,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58" authorId="0">
      <text>
        <r>
          <rPr>
            <sz val="8"/>
            <color indexed="81"/>
            <rFont val="Tahoma"/>
            <family val="2"/>
          </rPr>
          <t>ЗАМЕНИТЕ НА РЕАЛЬНЫЕ ДАННЫЕ.
ДЕМО, ЦЕЛЬ, Лимон,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58" authorId="0">
      <text>
        <r>
          <rPr>
            <sz val="8"/>
            <color indexed="81"/>
            <rFont val="Tahoma"/>
            <family val="2"/>
          </rPr>
          <t>ЗАМЕНИТЕ НА РЕАЛЬНЫЕ ДАННЫЕ.
ДЕМО, ЦЕЛЬ, Лимон,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58" authorId="0">
      <text>
        <r>
          <rPr>
            <sz val="8"/>
            <color indexed="81"/>
            <rFont val="Tahoma"/>
            <family val="2"/>
          </rPr>
          <t>ЗАМЕНИТЕ НА РЕАЛЬНЫЕ ДАННЫЕ.
ДЕМО, ЦЕЛЬ, Лимон,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58" authorId="0">
      <text>
        <r>
          <rPr>
            <sz val="8"/>
            <color indexed="81"/>
            <rFont val="Tahoma"/>
            <family val="2"/>
          </rPr>
          <t>ЗАМЕНИТЕ НА РЕАЛЬНЫЕ ДАННЫЕ.
ДЕМО, ЦЕЛЬ, Лимон,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58" authorId="0">
      <text>
        <r>
          <rPr>
            <sz val="8"/>
            <color indexed="81"/>
            <rFont val="Tahoma"/>
            <family val="2"/>
          </rPr>
          <t>ЗАМЕНИТЕ НА РЕАЛЬНЫЕ ДАННЫЕ.
ДЕМО, ЦЕЛЬ, Лимон,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E367" authorId="0">
      <text>
        <r>
          <rPr>
            <sz val="8"/>
            <color indexed="81"/>
            <rFont val="Tahoma"/>
            <family val="2"/>
          </rPr>
          <t>ЗАМЕНИТЕ НА РЕАЛЬНЫЕ ДАННЫЕ.
Апельсин, цикл 1. 0 исключает все элементы данного цикла, а не один выброс.</t>
        </r>
      </text>
    </comment>
    <comment ref="F367" authorId="0">
      <text>
        <r>
          <rPr>
            <sz val="8"/>
            <color indexed="81"/>
            <rFont val="Tahoma"/>
            <family val="2"/>
          </rPr>
          <t>ЗАМЕНИТЕ НА РЕАЛЬНЫЕ ДАННЫЕ.
Апельсин, цикл 2. 0 исключает все элементы данного цикла, а не один выброс.</t>
        </r>
      </text>
    </comment>
    <comment ref="G367" authorId="0">
      <text>
        <r>
          <rPr>
            <sz val="8"/>
            <color indexed="81"/>
            <rFont val="Tahoma"/>
            <family val="2"/>
          </rPr>
          <t>ЗАМЕНИТЕ НА РЕАЛЬНЫЕ ДАННЫЕ.
Апельсин, цикл 3. 0 исключает все элементы данного цикла, а не один выброс.</t>
        </r>
      </text>
    </comment>
    <comment ref="H367" authorId="0">
      <text>
        <r>
          <rPr>
            <sz val="8"/>
            <color indexed="81"/>
            <rFont val="Tahoma"/>
            <family val="2"/>
          </rPr>
          <t>ЗАМЕНИТЕ НА РЕАЛЬНЫЕ ДАННЫЕ.
Апельсин, цикл 4. 0 исключает все элементы данного цикла, а не один выброс.</t>
        </r>
      </text>
    </comment>
    <comment ref="I367" authorId="0">
      <text>
        <r>
          <rPr>
            <sz val="8"/>
            <color indexed="81"/>
            <rFont val="Tahoma"/>
            <family val="2"/>
          </rPr>
          <t>ЗАМЕНИТЕ НА РЕАЛЬНЫЕ ДАННЫЕ.
Апельсин, цикл 5. 0 исключает все элементы данного цикла, а не один выброс.</t>
        </r>
      </text>
    </comment>
    <comment ref="J367" authorId="0">
      <text>
        <r>
          <rPr>
            <sz val="8"/>
            <color indexed="81"/>
            <rFont val="Tahoma"/>
            <family val="2"/>
          </rPr>
          <t>ЗАМЕНИТЕ НА РЕАЛЬНЫЕ ДАННЫЕ.
Апельсин, цикл 6. 0 исключает все элементы данного цикла, а не один выброс.</t>
        </r>
      </text>
    </comment>
    <comment ref="K367" authorId="0">
      <text>
        <r>
          <rPr>
            <sz val="8"/>
            <color indexed="81"/>
            <rFont val="Tahoma"/>
            <family val="2"/>
          </rPr>
          <t>ЗАМЕНИТЕ НА РЕАЛЬНЫЕ ДАННЫЕ.
Апельсин, цикл 7. 0 исключает все элементы данного цикла, а не один выброс.</t>
        </r>
      </text>
    </comment>
    <comment ref="L367" authorId="0">
      <text>
        <r>
          <rPr>
            <sz val="8"/>
            <color indexed="81"/>
            <rFont val="Tahoma"/>
            <family val="2"/>
          </rPr>
          <t>ЗАМЕНИТЕ НА РЕАЛЬНЫЕ ДАННЫЕ.
Апельсин, цикл 8. 0 исключает все элементы данного цикла, а не один выброс.</t>
        </r>
      </text>
    </comment>
    <comment ref="M367" authorId="0">
      <text>
        <r>
          <rPr>
            <sz val="8"/>
            <color indexed="81"/>
            <rFont val="Tahoma"/>
            <family val="2"/>
          </rPr>
          <t>ЗАМЕНИТЕ НА РЕАЛЬНЫЕ ДАННЫЕ.
Апельсин, цикл 9. 0 исключает все элементы данного цикла, а не один выброс.</t>
        </r>
      </text>
    </comment>
    <comment ref="N367" authorId="0">
      <text>
        <r>
          <rPr>
            <sz val="8"/>
            <color indexed="81"/>
            <rFont val="Tahoma"/>
            <family val="2"/>
          </rPr>
          <t>ЗАМЕНИТЕ НА РЕАЛЬНЫЕ ДАННЫЕ.
Апельсин, цикл 10. 0 исключает все элементы данного цикла, а не один выброс.</t>
        </r>
      </text>
    </comment>
    <comment ref="E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F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G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H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I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J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K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L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M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N368" authorId="0">
      <text>
        <r>
          <rPr>
            <sz val="8"/>
            <color indexed="81"/>
            <rFont val="Tahoma"/>
            <family val="2"/>
          </rPr>
          <t>ЗАМЕНИТЕ НА РЕАЛЬНЫЕ ДАННЫЕ.
Замените на описание условий. При исключении обязательна конкретная причина.</t>
        </r>
      </text>
    </comment>
    <comment ref="E369" authorId="0">
      <text>
        <r>
          <rPr>
            <sz val="8"/>
            <color indexed="81"/>
            <rFont val="Tahoma"/>
            <family val="2"/>
          </rPr>
          <t>ЗАМЕНИТЕ НА РЕАЛЬНЫЕ ДАННЫЕ.
ДЕМО, ЦЕЛЬ, Апельсин, цикл 1.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F369" authorId="0">
      <text>
        <r>
          <rPr>
            <sz val="8"/>
            <color indexed="81"/>
            <rFont val="Tahoma"/>
            <family val="2"/>
          </rPr>
          <t>ЗАМЕНИТЕ НА РЕАЛЬНЫЕ ДАННЫЕ.
ДЕМО, ЦЕЛЬ, Апельсин, цикл 2.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G369" authorId="0">
      <text>
        <r>
          <rPr>
            <sz val="8"/>
            <color indexed="81"/>
            <rFont val="Tahoma"/>
            <family val="2"/>
          </rPr>
          <t>ЗАМЕНИТЕ НА РЕАЛЬНЫЕ ДАННЫЕ.
ДЕМО, ЦЕЛЬ, Апельсин, цикл 3.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H369" authorId="0">
      <text>
        <r>
          <rPr>
            <sz val="8"/>
            <color indexed="81"/>
            <rFont val="Tahoma"/>
            <family val="2"/>
          </rPr>
          <t>ЗАМЕНИТЕ НА РЕАЛЬНЫЕ ДАННЫЕ.
ДЕМО, ЦЕЛЬ, Апельсин, цикл 4.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I369" authorId="0">
      <text>
        <r>
          <rPr>
            <sz val="8"/>
            <color indexed="81"/>
            <rFont val="Tahoma"/>
            <family val="2"/>
          </rPr>
          <t>ЗАМЕНИТЕ НА РЕАЛЬНЫЕ ДАННЫЕ.
ДЕМО, ЦЕЛЬ, Апельсин, цикл 5.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J369" authorId="0">
      <text>
        <r>
          <rPr>
            <sz val="8"/>
            <color indexed="81"/>
            <rFont val="Tahoma"/>
            <family val="2"/>
          </rPr>
          <t>ЗАМЕНИТЕ НА РЕАЛЬНЫЕ ДАННЫЕ.
ДЕМО, ЦЕЛЬ, Апельсин, цикл 6.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K369" authorId="0">
      <text>
        <r>
          <rPr>
            <sz val="8"/>
            <color indexed="81"/>
            <rFont val="Tahoma"/>
            <family val="2"/>
          </rPr>
          <t>ЗАМЕНИТЕ НА РЕАЛЬНЫЕ ДАННЫЕ.
ДЕМО, ЦЕЛЬ, Апельсин, цикл 7.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L369" authorId="0">
      <text>
        <r>
          <rPr>
            <sz val="8"/>
            <color indexed="81"/>
            <rFont val="Tahoma"/>
            <family val="2"/>
          </rPr>
          <t>ЗАМЕНИТЕ НА РЕАЛЬНЫЕ ДАННЫЕ.
ДЕМО, ЦЕЛЬ, Апельсин, цикл 8.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M369" authorId="0">
      <text>
        <r>
          <rPr>
            <sz val="8"/>
            <color indexed="81"/>
            <rFont val="Tahoma"/>
            <family val="2"/>
          </rPr>
          <t>ЗАМЕНИТЕ НА РЕАЛЬНЫЕ ДАННЫЕ.
ДЕМО, ЦЕЛЬ, Апельсин, цикл 9.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N369" authorId="0">
      <text>
        <r>
          <rPr>
            <sz val="8"/>
            <color indexed="81"/>
            <rFont val="Tahoma"/>
            <family val="2"/>
          </rPr>
          <t>ЗАМЕНИТЕ НА РЕАЛЬНЫЕ ДАННЫЕ.
ДЕМО, ЦЕЛЬ, Апельсин, цикл 10. Длительность элемента «Осмотреть упаковку и сырьё», секунд. Нулевая длительность означает реальное отсутствие действия/потерь; пустая — нет замера.</t>
        </r>
      </text>
    </comment>
    <comment ref="E370" authorId="0">
      <text>
        <r>
          <rPr>
            <sz val="8"/>
            <color indexed="81"/>
            <rFont val="Tahoma"/>
            <family val="2"/>
          </rPr>
          <t>ЗАМЕНИТЕ НА РЕАЛЬНЫЕ ДАННЫЕ.
ДЕМО, ЦЕЛЬ, Апельсин, цикл 1.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F370" authorId="0">
      <text>
        <r>
          <rPr>
            <sz val="8"/>
            <color indexed="81"/>
            <rFont val="Tahoma"/>
            <family val="2"/>
          </rPr>
          <t>ЗАМЕНИТЕ НА РЕАЛЬНЫЕ ДАННЫЕ.
ДЕМО, ЦЕЛЬ, Апельсин, цикл 2.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G370" authorId="0">
      <text>
        <r>
          <rPr>
            <sz val="8"/>
            <color indexed="81"/>
            <rFont val="Tahoma"/>
            <family val="2"/>
          </rPr>
          <t>ЗАМЕНИТЕ НА РЕАЛЬНЫЕ ДАННЫЕ.
ДЕМО, ЦЕЛЬ, Апельсин, цикл 3.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H370" authorId="0">
      <text>
        <r>
          <rPr>
            <sz val="8"/>
            <color indexed="81"/>
            <rFont val="Tahoma"/>
            <family val="2"/>
          </rPr>
          <t>ЗАМЕНИТЕ НА РЕАЛЬНЫЕ ДАННЫЕ.
ДЕМО, ЦЕЛЬ, Апельсин, цикл 4.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I370" authorId="0">
      <text>
        <r>
          <rPr>
            <sz val="8"/>
            <color indexed="81"/>
            <rFont val="Tahoma"/>
            <family val="2"/>
          </rPr>
          <t>ЗАМЕНИТЕ НА РЕАЛЬНЫЕ ДАННЫЕ.
ДЕМО, ЦЕЛЬ, Апельсин, цикл 5.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J370" authorId="0">
      <text>
        <r>
          <rPr>
            <sz val="8"/>
            <color indexed="81"/>
            <rFont val="Tahoma"/>
            <family val="2"/>
          </rPr>
          <t>ЗАМЕНИТЕ НА РЕАЛЬНЫЕ ДАННЫЕ.
ДЕМО, ЦЕЛЬ, Апельсин, цикл 6.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K370" authorId="0">
      <text>
        <r>
          <rPr>
            <sz val="8"/>
            <color indexed="81"/>
            <rFont val="Tahoma"/>
            <family val="2"/>
          </rPr>
          <t>ЗАМЕНИТЕ НА РЕАЛЬНЫЕ ДАННЫЕ.
ДЕМО, ЦЕЛЬ, Апельсин, цикл 7.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L370" authorId="0">
      <text>
        <r>
          <rPr>
            <sz val="8"/>
            <color indexed="81"/>
            <rFont val="Tahoma"/>
            <family val="2"/>
          </rPr>
          <t>ЗАМЕНИТЕ НА РЕАЛЬНЫЕ ДАННЫЕ.
ДЕМО, ЦЕЛЬ, Апельсин, цикл 8.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M370" authorId="0">
      <text>
        <r>
          <rPr>
            <sz val="8"/>
            <color indexed="81"/>
            <rFont val="Tahoma"/>
            <family val="2"/>
          </rPr>
          <t>ЗАМЕНИТЕ НА РЕАЛЬНЫЕ ДАННЫЕ.
ДЕМО, ЦЕЛЬ, Апельсин, цикл 9.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N370" authorId="0">
      <text>
        <r>
          <rPr>
            <sz val="8"/>
            <color indexed="81"/>
            <rFont val="Tahoma"/>
            <family val="2"/>
          </rPr>
          <t>ЗАМЕНИТЕ НА РЕАЛЬНЫЕ ДАННЫЕ.
ДЕМО, ЦЕЛЬ, Апельсин, цикл 10. Длительность элемента «Отсортировать / подготовить сырьё», секунд. Нулевая длительность означает реальное отсутствие действия/потерь; пустая — нет замера.</t>
        </r>
      </text>
    </comment>
    <comment ref="E371" authorId="0">
      <text>
        <r>
          <rPr>
            <sz val="8"/>
            <color indexed="81"/>
            <rFont val="Tahoma"/>
            <family val="2"/>
          </rPr>
          <t>ЗАМЕНИТЕ НА РЕАЛЬНЫЕ ДАННЫЕ.
ДЕМО, ЦЕЛЬ, Апельсин, цикл 1.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F371" authorId="0">
      <text>
        <r>
          <rPr>
            <sz val="8"/>
            <color indexed="81"/>
            <rFont val="Tahoma"/>
            <family val="2"/>
          </rPr>
          <t>ЗАМЕНИТЕ НА РЕАЛЬНЫЕ ДАННЫЕ.
ДЕМО, ЦЕЛЬ, Апельсин, цикл 2.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G371" authorId="0">
      <text>
        <r>
          <rPr>
            <sz val="8"/>
            <color indexed="81"/>
            <rFont val="Tahoma"/>
            <family val="2"/>
          </rPr>
          <t>ЗАМЕНИТЕ НА РЕАЛЬНЫЕ ДАННЫЕ.
ДЕМО, ЦЕЛЬ, Апельсин, цикл 3.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H371" authorId="0">
      <text>
        <r>
          <rPr>
            <sz val="8"/>
            <color indexed="81"/>
            <rFont val="Tahoma"/>
            <family val="2"/>
          </rPr>
          <t>ЗАМЕНИТЕ НА РЕАЛЬНЫЕ ДАННЫЕ.
ДЕМО, ЦЕЛЬ, Апельсин, цикл 4.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I371" authorId="0">
      <text>
        <r>
          <rPr>
            <sz val="8"/>
            <color indexed="81"/>
            <rFont val="Tahoma"/>
            <family val="2"/>
          </rPr>
          <t>ЗАМЕНИТЕ НА РЕАЛЬНЫЕ ДАННЫЕ.
ДЕМО, ЦЕЛЬ, Апельсин, цикл 5.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J371" authorId="0">
      <text>
        <r>
          <rPr>
            <sz val="8"/>
            <color indexed="81"/>
            <rFont val="Tahoma"/>
            <family val="2"/>
          </rPr>
          <t>ЗАМЕНИТЕ НА РЕАЛЬНЫЕ ДАННЫЕ.
ДЕМО, ЦЕЛЬ, Апельсин, цикл 6.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K371" authorId="0">
      <text>
        <r>
          <rPr>
            <sz val="8"/>
            <color indexed="81"/>
            <rFont val="Tahoma"/>
            <family val="2"/>
          </rPr>
          <t>ЗАМЕНИТЕ НА РЕАЛЬНЫЕ ДАННЫЕ.
ДЕМО, ЦЕЛЬ, Апельсин, цикл 7.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L371" authorId="0">
      <text>
        <r>
          <rPr>
            <sz val="8"/>
            <color indexed="81"/>
            <rFont val="Tahoma"/>
            <family val="2"/>
          </rPr>
          <t>ЗАМЕНИТЕ НА РЕАЛЬНЫЕ ДАННЫЕ.
ДЕМО, ЦЕЛЬ, Апельсин, цикл 8.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M371" authorId="0">
      <text>
        <r>
          <rPr>
            <sz val="8"/>
            <color indexed="81"/>
            <rFont val="Tahoma"/>
            <family val="2"/>
          </rPr>
          <t>ЗАМЕНИТЕ НА РЕАЛЬНЫЕ ДАННЫЕ.
ДЕМО, ЦЕЛЬ, Апельсин, цикл 9.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N371" authorId="0">
      <text>
        <r>
          <rPr>
            <sz val="8"/>
            <color indexed="81"/>
            <rFont val="Tahoma"/>
            <family val="2"/>
          </rPr>
          <t>ЗАМЕНИТЕ НА РЕАЛЬНЫЕ ДАННЫЕ.
ДЕМО, ЦЕЛЬ, Апельсин, цикл 10. Длительность элемента «Отвесить допустимую партию», секунд. Нулевая длительность означает реальное отсутствие действия/потерь; пустая — нет замера.</t>
        </r>
      </text>
    </comment>
    <comment ref="E372" authorId="0">
      <text>
        <r>
          <rPr>
            <sz val="8"/>
            <color indexed="81"/>
            <rFont val="Tahoma"/>
            <family val="2"/>
          </rPr>
          <t>ЗАМЕНИТЕ НА РЕАЛЬНЫЕ ДАННЫЕ.
ДЕМО, ЦЕЛЬ, Апельсин, цикл 1.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F372" authorId="0">
      <text>
        <r>
          <rPr>
            <sz val="8"/>
            <color indexed="81"/>
            <rFont val="Tahoma"/>
            <family val="2"/>
          </rPr>
          <t>ЗАМЕНИТЕ НА РЕАЛЬНЫЕ ДАННЫЕ.
ДЕМО, ЦЕЛЬ, Апельсин, цикл 2.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G372" authorId="0">
      <text>
        <r>
          <rPr>
            <sz val="8"/>
            <color indexed="81"/>
            <rFont val="Tahoma"/>
            <family val="2"/>
          </rPr>
          <t>ЗАМЕНИТЕ НА РЕАЛЬНЫЕ ДАННЫЕ.
ДЕМО, ЦЕЛЬ, Апельсин, цикл 3.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H372" authorId="0">
      <text>
        <r>
          <rPr>
            <sz val="8"/>
            <color indexed="81"/>
            <rFont val="Tahoma"/>
            <family val="2"/>
          </rPr>
          <t>ЗАМЕНИТЕ НА РЕАЛЬНЫЕ ДАННЫЕ.
ДЕМО, ЦЕЛЬ, Апельсин, цикл 4.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I372" authorId="0">
      <text>
        <r>
          <rPr>
            <sz val="8"/>
            <color indexed="81"/>
            <rFont val="Tahoma"/>
            <family val="2"/>
          </rPr>
          <t>ЗАМЕНИТЕ НА РЕАЛЬНЫЕ ДАННЫЕ.
ДЕМО, ЦЕЛЬ, Апельсин, цикл 5.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J372" authorId="0">
      <text>
        <r>
          <rPr>
            <sz val="8"/>
            <color indexed="81"/>
            <rFont val="Tahoma"/>
            <family val="2"/>
          </rPr>
          <t>ЗАМЕНИТЕ НА РЕАЛЬНЫЕ ДАННЫЕ.
ДЕМО, ЦЕЛЬ, Апельсин, цикл 6.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K372" authorId="0">
      <text>
        <r>
          <rPr>
            <sz val="8"/>
            <color indexed="81"/>
            <rFont val="Tahoma"/>
            <family val="2"/>
          </rPr>
          <t>ЗАМЕНИТЕ НА РЕАЛЬНЫЕ ДАННЫЕ.
ДЕМО, ЦЕЛЬ, Апельсин, цикл 7.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L372" authorId="0">
      <text>
        <r>
          <rPr>
            <sz val="8"/>
            <color indexed="81"/>
            <rFont val="Tahoma"/>
            <family val="2"/>
          </rPr>
          <t>ЗАМЕНИТЕ НА РЕАЛЬНЫЕ ДАННЫЕ.
ДЕМО, ЦЕЛЬ, Апельсин, цикл 8.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M372" authorId="0">
      <text>
        <r>
          <rPr>
            <sz val="8"/>
            <color indexed="81"/>
            <rFont val="Tahoma"/>
            <family val="2"/>
          </rPr>
          <t>ЗАМЕНИТЕ НА РЕАЛЬНЫЕ ДАННЫЕ.
ДЕМО, ЦЕЛЬ, Апельсин, цикл 9.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N372" authorId="0">
      <text>
        <r>
          <rPr>
            <sz val="8"/>
            <color indexed="81"/>
            <rFont val="Tahoma"/>
            <family val="2"/>
          </rPr>
          <t>ЗАМЕНИТЕ НА РЕАЛЬНЫЕ ДАННЫЕ.
ДЕМО, ЦЕЛЬ, Апельсин, цикл 10. Длительность элемента «Перейти с партией к SOLIA», секунд. Нулевая длительность означает реальное отсутствие действия/потерь; пустая — нет замера.</t>
        </r>
      </text>
    </comment>
    <comment ref="E373" authorId="0">
      <text>
        <r>
          <rPr>
            <sz val="8"/>
            <color indexed="81"/>
            <rFont val="Tahoma"/>
            <family val="2"/>
          </rPr>
          <t>ЗАМЕНИТЕ НА РЕАЛЬНЫЕ ДАННЫЕ.
ДЕМО, ЦЕЛЬ, Апельсин, цикл 1.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F373" authorId="0">
      <text>
        <r>
          <rPr>
            <sz val="8"/>
            <color indexed="81"/>
            <rFont val="Tahoma"/>
            <family val="2"/>
          </rPr>
          <t>ЗАМЕНИТЕ НА РЕАЛЬНЫЕ ДАННЫЕ.
ДЕМО, ЦЕЛЬ, Апельсин, цикл 2.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G373" authorId="0">
      <text>
        <r>
          <rPr>
            <sz val="8"/>
            <color indexed="81"/>
            <rFont val="Tahoma"/>
            <family val="2"/>
          </rPr>
          <t>ЗАМЕНИТЕ НА РЕАЛЬНЫЕ ДАННЫЕ.
ДЕМО, ЦЕЛЬ, Апельсин, цикл 3.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H373" authorId="0">
      <text>
        <r>
          <rPr>
            <sz val="8"/>
            <color indexed="81"/>
            <rFont val="Tahoma"/>
            <family val="2"/>
          </rPr>
          <t>ЗАМЕНИТЕ НА РЕАЛЬНЫЕ ДАННЫЕ.
ДЕМО, ЦЕЛЬ, Апельсин, цикл 4.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I373" authorId="0">
      <text>
        <r>
          <rPr>
            <sz val="8"/>
            <color indexed="81"/>
            <rFont val="Tahoma"/>
            <family val="2"/>
          </rPr>
          <t>ЗАМЕНИТЕ НА РЕАЛЬНЫЕ ДАННЫЕ.
ДЕМО, ЦЕЛЬ, Апельсин, цикл 5.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J373" authorId="0">
      <text>
        <r>
          <rPr>
            <sz val="8"/>
            <color indexed="81"/>
            <rFont val="Tahoma"/>
            <family val="2"/>
          </rPr>
          <t>ЗАМЕНИТЕ НА РЕАЛЬНЫЕ ДАННЫЕ.
ДЕМО, ЦЕЛЬ, Апельсин, цикл 6.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K373" authorId="0">
      <text>
        <r>
          <rPr>
            <sz val="8"/>
            <color indexed="81"/>
            <rFont val="Tahoma"/>
            <family val="2"/>
          </rPr>
          <t>ЗАМЕНИТЕ НА РЕАЛЬНЫЕ ДАННЫЕ.
ДЕМО, ЦЕЛЬ, Апельсин, цикл 7.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L373" authorId="0">
      <text>
        <r>
          <rPr>
            <sz val="8"/>
            <color indexed="81"/>
            <rFont val="Tahoma"/>
            <family val="2"/>
          </rPr>
          <t>ЗАМЕНИТЕ НА РЕАЛЬНЫЕ ДАННЫЕ.
ДЕМО, ЦЕЛЬ, Апельсин, цикл 8.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M373" authorId="0">
      <text>
        <r>
          <rPr>
            <sz val="8"/>
            <color indexed="81"/>
            <rFont val="Tahoma"/>
            <family val="2"/>
          </rPr>
          <t>ЗАМЕНИТЕ НА РЕАЛЬНЫЕ ДАННЫЕ.
ДЕМО, ЦЕЛЬ, Апельсин, цикл 9.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N373" authorId="0">
      <text>
        <r>
          <rPr>
            <sz val="8"/>
            <color indexed="81"/>
            <rFont val="Tahoma"/>
            <family val="2"/>
          </rPr>
          <t>ЗАМЕНИТЕ НА РЕАЛЬНЫЕ ДАННЫЕ.
ДЕМО, ЦЕЛЬ, Апельсин, цикл 10. Длительность элемента «Загрузить, выбрать программу, запустить», секунд. Нулевая длительность означает реальное отсутствие действия/потерь; пустая — нет замера.</t>
        </r>
      </text>
    </comment>
    <comment ref="E375" authorId="0">
      <text>
        <r>
          <rPr>
            <sz val="8"/>
            <color indexed="81"/>
            <rFont val="Tahoma"/>
            <family val="2"/>
          </rPr>
          <t>ЗАМЕНИТЕ НА РЕАЛЬНЫЕ ДАННЫЕ.
ДЕМО, ЦЕЛЬ, Апельсин, цикл 1.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F375" authorId="0">
      <text>
        <r>
          <rPr>
            <sz val="8"/>
            <color indexed="81"/>
            <rFont val="Tahoma"/>
            <family val="2"/>
          </rPr>
          <t>ЗАМЕНИТЕ НА РЕАЛЬНЫЕ ДАННЫЕ.
ДЕМО, ЦЕЛЬ, Апельсин, цикл 2.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G375" authorId="0">
      <text>
        <r>
          <rPr>
            <sz val="8"/>
            <color indexed="81"/>
            <rFont val="Tahoma"/>
            <family val="2"/>
          </rPr>
          <t>ЗАМЕНИТЕ НА РЕАЛЬНЫЕ ДАННЫЕ.
ДЕМО, ЦЕЛЬ, Апельсин, цикл 3.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H375" authorId="0">
      <text>
        <r>
          <rPr>
            <sz val="8"/>
            <color indexed="81"/>
            <rFont val="Tahoma"/>
            <family val="2"/>
          </rPr>
          <t>ЗАМЕНИТЕ НА РЕАЛЬНЫЕ ДАННЫЕ.
ДЕМО, ЦЕЛЬ, Апельсин, цикл 4.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I375" authorId="0">
      <text>
        <r>
          <rPr>
            <sz val="8"/>
            <color indexed="81"/>
            <rFont val="Tahoma"/>
            <family val="2"/>
          </rPr>
          <t>ЗАМЕНИТЕ НА РЕАЛЬНЫЕ ДАННЫЕ.
ДЕМО, ЦЕЛЬ, Апельсин, цикл 5.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J375" authorId="0">
      <text>
        <r>
          <rPr>
            <sz val="8"/>
            <color indexed="81"/>
            <rFont val="Tahoma"/>
            <family val="2"/>
          </rPr>
          <t>ЗАМЕНИТЕ НА РЕАЛЬНЫЕ ДАННЫЕ.
ДЕМО, ЦЕЛЬ, Апельсин, цикл 6.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K375" authorId="0">
      <text>
        <r>
          <rPr>
            <sz val="8"/>
            <color indexed="81"/>
            <rFont val="Tahoma"/>
            <family val="2"/>
          </rPr>
          <t>ЗАМЕНИТЕ НА РЕАЛЬНЫЕ ДАННЫЕ.
ДЕМО, ЦЕЛЬ, Апельсин, цикл 7.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L375" authorId="0">
      <text>
        <r>
          <rPr>
            <sz val="8"/>
            <color indexed="81"/>
            <rFont val="Tahoma"/>
            <family val="2"/>
          </rPr>
          <t>ЗАМЕНИТЕ НА РЕАЛЬНЫЕ ДАННЫЕ.
ДЕМО, ЦЕЛЬ, Апельсин, цикл 8.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M375" authorId="0">
      <text>
        <r>
          <rPr>
            <sz val="8"/>
            <color indexed="81"/>
            <rFont val="Tahoma"/>
            <family val="2"/>
          </rPr>
          <t>ЗАМЕНИТЕ НА РЕАЛЬНЫЕ ДАННЫЕ.
ДЕМО, ЦЕЛЬ, Апельсин, цикл 9.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N375" authorId="0">
      <text>
        <r>
          <rPr>
            <sz val="8"/>
            <color indexed="81"/>
            <rFont val="Tahoma"/>
            <family val="2"/>
          </rPr>
          <t>ЗАМЕНИТЕ НА РЕАЛЬНЫЕ ДАННЫЕ.
ДЕМО, ЦЕЛЬ, Апельсин, цикл 10. Длительность элемента «Выгрузить в чистую маркированную тару», секунд. Нулевая длительность означает реальное отсутствие действия/потерь; пустая — нет замера.</t>
        </r>
      </text>
    </comment>
    <comment ref="E376" authorId="0">
      <text>
        <r>
          <rPr>
            <sz val="8"/>
            <color indexed="81"/>
            <rFont val="Tahoma"/>
            <family val="2"/>
          </rPr>
          <t>ЗАМЕНИТЕ НА РЕАЛЬНЫЕ ДАННЫЕ.
ДЕМО, ЦЕЛЬ, Апельсин, цикл 1.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F376" authorId="0">
      <text>
        <r>
          <rPr>
            <sz val="8"/>
            <color indexed="81"/>
            <rFont val="Tahoma"/>
            <family val="2"/>
          </rPr>
          <t>ЗАМЕНИТЕ НА РЕАЛЬНЫЕ ДАННЫЕ.
ДЕМО, ЦЕЛЬ, Апельсин, цикл 2.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G376" authorId="0">
      <text>
        <r>
          <rPr>
            <sz val="8"/>
            <color indexed="81"/>
            <rFont val="Tahoma"/>
            <family val="2"/>
          </rPr>
          <t>ЗАМЕНИТЕ НА РЕАЛЬНЫЕ ДАННЫЕ.
ДЕМО, ЦЕЛЬ, Апельсин, цикл 3.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H376" authorId="0">
      <text>
        <r>
          <rPr>
            <sz val="8"/>
            <color indexed="81"/>
            <rFont val="Tahoma"/>
            <family val="2"/>
          </rPr>
          <t>ЗАМЕНИТЕ НА РЕАЛЬНЫЕ ДАННЫЕ.
ДЕМО, ЦЕЛЬ, Апельсин, цикл 4.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I376" authorId="0">
      <text>
        <r>
          <rPr>
            <sz val="8"/>
            <color indexed="81"/>
            <rFont val="Tahoma"/>
            <family val="2"/>
          </rPr>
          <t>ЗАМЕНИТЕ НА РЕАЛЬНЫЕ ДАННЫЕ.
ДЕМО, ЦЕЛЬ, Апельсин, цикл 5.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J376" authorId="0">
      <text>
        <r>
          <rPr>
            <sz val="8"/>
            <color indexed="81"/>
            <rFont val="Tahoma"/>
            <family val="2"/>
          </rPr>
          <t>ЗАМЕНИТЕ НА РЕАЛЬНЫЕ ДАННЫЕ.
ДЕМО, ЦЕЛЬ, Апельсин, цикл 6.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K376" authorId="0">
      <text>
        <r>
          <rPr>
            <sz val="8"/>
            <color indexed="81"/>
            <rFont val="Tahoma"/>
            <family val="2"/>
          </rPr>
          <t>ЗАМЕНИТЕ НА РЕАЛЬНЫЕ ДАННЫЕ.
ДЕМО, ЦЕЛЬ, Апельсин, цикл 7.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L376" authorId="0">
      <text>
        <r>
          <rPr>
            <sz val="8"/>
            <color indexed="81"/>
            <rFont val="Tahoma"/>
            <family val="2"/>
          </rPr>
          <t>ЗАМЕНИТЕ НА РЕАЛЬНЫЕ ДАННЫЕ.
ДЕМО, ЦЕЛЬ, Апельсин, цикл 8.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M376" authorId="0">
      <text>
        <r>
          <rPr>
            <sz val="8"/>
            <color indexed="81"/>
            <rFont val="Tahoma"/>
            <family val="2"/>
          </rPr>
          <t>ЗАМЕНИТЕ НА РЕАЛЬНЫЕ ДАННЫЕ.
ДЕМО, ЦЕЛЬ, Апельсин, цикл 9.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N376" authorId="0">
      <text>
        <r>
          <rPr>
            <sz val="8"/>
            <color indexed="81"/>
            <rFont val="Tahoma"/>
            <family val="2"/>
          </rPr>
          <t>ЗАМЕНИТЕ НА РЕАЛЬНЫЕ ДАННЫЕ.
ДЕМО, ЦЕЛЬ, Апельсин, цикл 10. Длительность элемента «Проверить качество и маркировку», секунд. Нулевая длительность означает реальное отсутствие действия/потерь; пустая — нет замера.</t>
        </r>
      </text>
    </comment>
    <comment ref="E377" authorId="0">
      <text>
        <r>
          <rPr>
            <sz val="8"/>
            <color indexed="81"/>
            <rFont val="Tahoma"/>
            <family val="2"/>
          </rPr>
          <t>ЗАМЕНИТЕ НА РЕАЛЬНЫЕ ДАННЫЕ.
ДЕМО, ЦЕЛЬ, Апельсин, цикл 1.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F377" authorId="0">
      <text>
        <r>
          <rPr>
            <sz val="8"/>
            <color indexed="81"/>
            <rFont val="Tahoma"/>
            <family val="2"/>
          </rPr>
          <t>ЗАМЕНИТЕ НА РЕАЛЬНЫЕ ДАННЫЕ.
ДЕМО, ЦЕЛЬ, Апельсин, цикл 2.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G377" authorId="0">
      <text>
        <r>
          <rPr>
            <sz val="8"/>
            <color indexed="81"/>
            <rFont val="Tahoma"/>
            <family val="2"/>
          </rPr>
          <t>ЗАМЕНИТЕ НА РЕАЛЬНЫЕ ДАННЫЕ.
ДЕМО, ЦЕЛЬ, Апельсин, цикл 3.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H377" authorId="0">
      <text>
        <r>
          <rPr>
            <sz val="8"/>
            <color indexed="81"/>
            <rFont val="Tahoma"/>
            <family val="2"/>
          </rPr>
          <t>ЗАМЕНИТЕ НА РЕАЛЬНЫЕ ДАННЫЕ.
ДЕМО, ЦЕЛЬ, Апельсин, цикл 4.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I377" authorId="0">
      <text>
        <r>
          <rPr>
            <sz val="8"/>
            <color indexed="81"/>
            <rFont val="Tahoma"/>
            <family val="2"/>
          </rPr>
          <t>ЗАМЕНИТЕ НА РЕАЛЬНЫЕ ДАННЫЕ.
ДЕМО, ЦЕЛЬ, Апельсин, цикл 5.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J377" authorId="0">
      <text>
        <r>
          <rPr>
            <sz val="8"/>
            <color indexed="81"/>
            <rFont val="Tahoma"/>
            <family val="2"/>
          </rPr>
          <t>ЗАМЕНИТЕ НА РЕАЛЬНЫЕ ДАННЫЕ.
ДЕМО, ЦЕЛЬ, Апельсин, цикл 6.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K377" authorId="0">
      <text>
        <r>
          <rPr>
            <sz val="8"/>
            <color indexed="81"/>
            <rFont val="Tahoma"/>
            <family val="2"/>
          </rPr>
          <t>ЗАМЕНИТЕ НА РЕАЛЬНЫЕ ДАННЫЕ.
ДЕМО, ЦЕЛЬ, Апельсин, цикл 7.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L377" authorId="0">
      <text>
        <r>
          <rPr>
            <sz val="8"/>
            <color indexed="81"/>
            <rFont val="Tahoma"/>
            <family val="2"/>
          </rPr>
          <t>ЗАМЕНИТЕ НА РЕАЛЬНЫЕ ДАННЫЕ.
ДЕМО, ЦЕЛЬ, Апельсин, цикл 8.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M377" authorId="0">
      <text>
        <r>
          <rPr>
            <sz val="8"/>
            <color indexed="81"/>
            <rFont val="Tahoma"/>
            <family val="2"/>
          </rPr>
          <t>ЗАМЕНИТЕ НА РЕАЛЬНЫЕ ДАННЫЕ.
ДЕМО, ЦЕЛЬ, Апельсин, цикл 9.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N377" authorId="0">
      <text>
        <r>
          <rPr>
            <sz val="8"/>
            <color indexed="81"/>
            <rFont val="Tahoma"/>
            <family val="2"/>
          </rPr>
          <t>ЗАМЕНИТЕ НА РЕАЛЬНЫЕ ДАННЫЕ.
ДЕМО, ЦЕЛЬ, Апельсин, цикл 10. Длительность элемента «Передать в зону чистой продукции», секунд. Нулевая длительность означает реальное отсутствие действия/потерь; пустая — нет замера.</t>
        </r>
      </text>
    </comment>
    <comment ref="E378" authorId="0">
      <text>
        <r>
          <rPr>
            <sz val="8"/>
            <color indexed="81"/>
            <rFont val="Tahoma"/>
            <family val="2"/>
          </rPr>
          <t>ЗАМЕНИТЕ НА РЕАЛЬНЫЕ ДАННЫЕ.
ДЕМО, ЦЕЛЬ, Апельсин, цикл 1.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F378" authorId="0">
      <text>
        <r>
          <rPr>
            <sz val="8"/>
            <color indexed="81"/>
            <rFont val="Tahoma"/>
            <family val="2"/>
          </rPr>
          <t>ЗАМЕНИТЕ НА РЕАЛЬНЫЕ ДАННЫЕ.
ДЕМО, ЦЕЛЬ, Апельсин, цикл 2.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G378" authorId="0">
      <text>
        <r>
          <rPr>
            <sz val="8"/>
            <color indexed="81"/>
            <rFont val="Tahoma"/>
            <family val="2"/>
          </rPr>
          <t>ЗАМЕНИТЕ НА РЕАЛЬНЫЕ ДАННЫЕ.
ДЕМО, ЦЕЛЬ, Апельсин, цикл 3.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H378" authorId="0">
      <text>
        <r>
          <rPr>
            <sz val="8"/>
            <color indexed="81"/>
            <rFont val="Tahoma"/>
            <family val="2"/>
          </rPr>
          <t>ЗАМЕНИТЕ НА РЕАЛЬНЫЕ ДАННЫЕ.
ДЕМО, ЦЕЛЬ, Апельсин, цикл 4.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I378" authorId="0">
      <text>
        <r>
          <rPr>
            <sz val="8"/>
            <color indexed="81"/>
            <rFont val="Tahoma"/>
            <family val="2"/>
          </rPr>
          <t>ЗАМЕНИТЕ НА РЕАЛЬНЫЕ ДАННЫЕ.
ДЕМО, ЦЕЛЬ, Апельсин, цикл 5.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J378" authorId="0">
      <text>
        <r>
          <rPr>
            <sz val="8"/>
            <color indexed="81"/>
            <rFont val="Tahoma"/>
            <family val="2"/>
          </rPr>
          <t>ЗАМЕНИТЕ НА РЕАЛЬНЫЕ ДАННЫЕ.
ДЕМО, ЦЕЛЬ, Апельсин, цикл 6.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K378" authorId="0">
      <text>
        <r>
          <rPr>
            <sz val="8"/>
            <color indexed="81"/>
            <rFont val="Tahoma"/>
            <family val="2"/>
          </rPr>
          <t>ЗАМЕНИТЕ НА РЕАЛЬНЫЕ ДАННЫЕ.
ДЕМО, ЦЕЛЬ, Апельсин, цикл 7.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L378" authorId="0">
      <text>
        <r>
          <rPr>
            <sz val="8"/>
            <color indexed="81"/>
            <rFont val="Tahoma"/>
            <family val="2"/>
          </rPr>
          <t>ЗАМЕНИТЕ НА РЕАЛЬНЫЕ ДАННЫЕ.
ДЕМО, ЦЕЛЬ, Апельсин, цикл 8.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M378" authorId="0">
      <text>
        <r>
          <rPr>
            <sz val="8"/>
            <color indexed="81"/>
            <rFont val="Tahoma"/>
            <family val="2"/>
          </rPr>
          <t>ЗАМЕНИТЕ НА РЕАЛЬНЫЕ ДАННЫЕ.
ДЕМО, ЦЕЛЬ, Апельсин, цикл 9.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N378" authorId="0">
      <text>
        <r>
          <rPr>
            <sz val="8"/>
            <color indexed="81"/>
            <rFont val="Tahoma"/>
            <family val="2"/>
          </rPr>
          <t>ЗАМЕНИТЕ НА РЕАЛЬНЫЕ ДАННЫЕ.
ДЕМО, ЦЕЛЬ, Апельсин, цикл 10. Длительность элемента «Вернуться к началу цикла», секунд. Нулевая длительность означает реальное отсутствие действия/потерь; пустая — нет замера.</t>
        </r>
      </text>
    </comment>
    <comment ref="E379" authorId="0">
      <text>
        <r>
          <rPr>
            <sz val="8"/>
            <color indexed="81"/>
            <rFont val="Tahoma"/>
            <family val="2"/>
          </rPr>
          <t>ЗАМЕНИТЕ НА РЕАЛЬНЫЕ ДАННЫЕ.
ДЕМО, ЦЕЛЬ, Апельсин, цикл 1.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F379" authorId="0">
      <text>
        <r>
          <rPr>
            <sz val="8"/>
            <color indexed="81"/>
            <rFont val="Tahoma"/>
            <family val="2"/>
          </rPr>
          <t>ЗАМЕНИТЕ НА РЕАЛЬНЫЕ ДАННЫЕ.
ДЕМО, ЦЕЛЬ, Апельсин, цикл 2.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G379" authorId="0">
      <text>
        <r>
          <rPr>
            <sz val="8"/>
            <color indexed="81"/>
            <rFont val="Tahoma"/>
            <family val="2"/>
          </rPr>
          <t>ЗАМЕНИТЕ НА РЕАЛЬНЫЕ ДАННЫЕ.
ДЕМО, ЦЕЛЬ, Апельсин, цикл 3.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H379" authorId="0">
      <text>
        <r>
          <rPr>
            <sz val="8"/>
            <color indexed="81"/>
            <rFont val="Tahoma"/>
            <family val="2"/>
          </rPr>
          <t>ЗАМЕНИТЕ НА РЕАЛЬНЫЕ ДАННЫЕ.
ДЕМО, ЦЕЛЬ, Апельсин, цикл 4.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I379" authorId="0">
      <text>
        <r>
          <rPr>
            <sz val="8"/>
            <color indexed="81"/>
            <rFont val="Tahoma"/>
            <family val="2"/>
          </rPr>
          <t>ЗАМЕНИТЕ НА РЕАЛЬНЫЕ ДАННЫЕ.
ДЕМО, ЦЕЛЬ, Апельсин, цикл 5.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J379" authorId="0">
      <text>
        <r>
          <rPr>
            <sz val="8"/>
            <color indexed="81"/>
            <rFont val="Tahoma"/>
            <family val="2"/>
          </rPr>
          <t>ЗАМЕНИТЕ НА РЕАЛЬНЫЕ ДАННЫЕ.
ДЕМО, ЦЕЛЬ, Апельсин, цикл 6.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K379" authorId="0">
      <text>
        <r>
          <rPr>
            <sz val="8"/>
            <color indexed="81"/>
            <rFont val="Tahoma"/>
            <family val="2"/>
          </rPr>
          <t>ЗАМЕНИТЕ НА РЕАЛЬНЫЕ ДАННЫЕ.
ДЕМО, ЦЕЛЬ, Апельсин, цикл 7.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L379" authorId="0">
      <text>
        <r>
          <rPr>
            <sz val="8"/>
            <color indexed="81"/>
            <rFont val="Tahoma"/>
            <family val="2"/>
          </rPr>
          <t>ЗАМЕНИТЕ НА РЕАЛЬНЫЕ ДАННЫЕ.
ДЕМО, ЦЕЛЬ, Апельсин, цикл 8.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M379" authorId="0">
      <text>
        <r>
          <rPr>
            <sz val="8"/>
            <color indexed="81"/>
            <rFont val="Tahoma"/>
            <family val="2"/>
          </rPr>
          <t>ЗАМЕНИТЕ НА РЕАЛЬНЫЕ ДАННЫЕ.
ДЕМО, ЦЕЛЬ, Апельсин, цикл 9.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 ref="N379" authorId="0">
      <text>
        <r>
          <rPr>
            <sz val="8"/>
            <color indexed="81"/>
            <rFont val="Tahoma"/>
            <family val="2"/>
          </rPr>
          <t>ЗАМЕНИТЕ НА РЕАЛЬНЫЕ ДАННЫЕ.
ДЕМО, ЦЕЛЬ, Апельсин, цикл 10. Длительность элемента «Внеплановый поиск тары / ожидание», секунд. Нулевая длительность означает реальное отсутствие действия/потерь; пустая — нет замера.</t>
        </r>
      </text>
    </comment>
  </commentList>
</comments>
</file>

<file path=xl/comments5.xml><?xml version="1.0" encoding="utf-8"?>
<comments xmlns="http://schemas.openxmlformats.org/spreadsheetml/2006/main">
  <authors>
    <author>Расчётная книга</author>
  </authors>
  <commentList>
    <comment ref="E8"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F8"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G8"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E9"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F9"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G9" authorId="0">
      <text>
        <r>
          <rPr>
            <sz val="8"/>
            <color indexed="81"/>
            <rFont val="Tahoma"/>
            <family val="2"/>
          </rPr>
          <t>ЗАМЕНИТЕ НА РЕАЛЬНЫЕ ДАННЫЕ.
И-ГЦ-02, стр. 3: обязательная последовательность; время — ДЕМО; длительность всего элемента, с. Для дезинфекции это НЕ заданная экспозиция. Не сокращать ниже требований утверждённых средств.</t>
        </r>
      </text>
    </comment>
    <comment ref="E10" authorId="0">
      <text>
        <r>
          <rPr>
            <sz val="8"/>
            <color indexed="81"/>
            <rFont val="Tahoma"/>
            <family val="2"/>
          </rPr>
          <t>ЗАМЕНИТЕ НА РЕАЛЬНЫЕ ДАННЫЕ.
И-ГЦ-02, стр. 3; средство, режим и фактическое время уточнить; длительность всего элемента, с. Для дезинфекции это НЕ заданная экспозиция. Не сокращать ниже требований утверждённых средств.</t>
        </r>
      </text>
    </comment>
    <comment ref="F10" authorId="0">
      <text>
        <r>
          <rPr>
            <sz val="8"/>
            <color indexed="81"/>
            <rFont val="Tahoma"/>
            <family val="2"/>
          </rPr>
          <t>ЗАМЕНИТЕ НА РЕАЛЬНЫЕ ДАННЫЕ.
И-ГЦ-02, стр. 3; средство, режим и фактическое время уточнить; длительность всего элемента, с. Для дезинфекции это НЕ заданная экспозиция. Не сокращать ниже требований утверждённых средств.</t>
        </r>
      </text>
    </comment>
    <comment ref="G10" authorId="0">
      <text>
        <r>
          <rPr>
            <sz val="8"/>
            <color indexed="81"/>
            <rFont val="Tahoma"/>
            <family val="2"/>
          </rPr>
          <t>ЗАМЕНИТЕ НА РЕАЛЬНЫЕ ДАННЫЕ.
И-ГЦ-02, стр. 3; средство, режим и фактическое время уточнить; длительность всего элемента, с. Для дезинфекции это НЕ заданная экспозиция. Не сокращать ниже требований утверждённых средств.</t>
        </r>
      </text>
    </comment>
    <comment ref="E11" authorId="0">
      <text>
        <r>
          <rPr>
            <sz val="8"/>
            <color indexed="81"/>
            <rFont val="Tahoma"/>
            <family val="2"/>
          </rPr>
          <t>ЗАМЕНИТЕ НА РЕАЛЬНЫЕ ДАННЫЕ.
Время — только ДЕМО, НЕ экспозиция средства. Не задаёт концентрацию, температуру или выдержку; длительность всего элемента, с. Для дезинфекции это НЕ заданная экспозиция. Не сокращать ниже требований утверждённых средств.</t>
        </r>
      </text>
    </comment>
    <comment ref="F11" authorId="0">
      <text>
        <r>
          <rPr>
            <sz val="8"/>
            <color indexed="81"/>
            <rFont val="Tahoma"/>
            <family val="2"/>
          </rPr>
          <t>ЗАМЕНИТЕ НА РЕАЛЬНЫЕ ДАННЫЕ.
Время — только ДЕМО, НЕ экспозиция средства. Не задаёт концентрацию, температуру или выдержку; длительность всего элемента, с. Для дезинфекции это НЕ заданная экспозиция. Не сокращать ниже требований утверждённых средств.</t>
        </r>
      </text>
    </comment>
    <comment ref="G11" authorId="0">
      <text>
        <r>
          <rPr>
            <sz val="8"/>
            <color indexed="81"/>
            <rFont val="Tahoma"/>
            <family val="2"/>
          </rPr>
          <t>ЗАМЕНИТЕ НА РЕАЛЬНЫЕ ДАННЫЕ.
Время — только ДЕМО, НЕ экспозиция средства. Не задаёт концентрацию, температуру или выдержку; длительность всего элемента, с. Для дезинфекции это НЕ заданная экспозиция. Не сокращать ниже требований утверждённых средств.</t>
        </r>
      </text>
    </comment>
    <comment ref="E12" authorId="0">
      <text>
        <r>
          <rPr>
            <sz val="8"/>
            <color indexed="81"/>
            <rFont val="Tahoma"/>
            <family val="2"/>
          </rPr>
          <t>ЗАМЕНИТЕ НА РЕАЛЬНЫЕ ДАННЫЕ.
Плановое дополнение: действия и время сверить с паспортом SOLIA и санпрограммой; длительность всего элемента, с. Для дезинфекции это НЕ заданная экспозиция. Не сокращать ниже требований утверждённых средств.</t>
        </r>
      </text>
    </comment>
    <comment ref="F12" authorId="0">
      <text>
        <r>
          <rPr>
            <sz val="8"/>
            <color indexed="81"/>
            <rFont val="Tahoma"/>
            <family val="2"/>
          </rPr>
          <t>ЗАМЕНИТЕ НА РЕАЛЬНЫЕ ДАННЫЕ.
Плановое дополнение: действия и время сверить с паспортом SOLIA и санпрограммой; длительность всего элемента, с. Для дезинфекции это НЕ заданная экспозиция. Не сокращать ниже требований утверждённых средств.</t>
        </r>
      </text>
    </comment>
    <comment ref="G12" authorId="0">
      <text>
        <r>
          <rPr>
            <sz val="8"/>
            <color indexed="81"/>
            <rFont val="Tahoma"/>
            <family val="2"/>
          </rPr>
          <t>ЗАМЕНИТЕ НА РЕАЛЬНЫЕ ДАННЫЕ.
Плановое дополнение: действия и время сверить с паспортом SOLIA и санпрограммой; длительность всего элемента, с. Для дезинфекции это НЕ заданная экспозиция. Не сокращать ниже требований утверждённых средств.</t>
        </r>
      </text>
    </comment>
    <comment ref="D13" authorId="0">
      <text>
        <r>
          <rPr>
            <sz val="8"/>
            <color indexed="81"/>
            <rFont val="Tahoma"/>
            <family val="2"/>
          </rPr>
          <t>ЗАМЕНИТЕ НА РЕАЛЬНЫЕ ДАННЫЕ.
ДЕМО. Комплект до 1-го цикла, далее каждые N циклов. Уточните реальную частоту подачи чистой тары.</t>
        </r>
      </text>
    </comment>
    <comment ref="E13" authorId="0">
      <text>
        <r>
          <rPr>
            <sz val="8"/>
            <color indexed="81"/>
            <rFont val="Tahoma"/>
            <family val="2"/>
          </rPr>
          <t>ЗАМЕНИТЕ НА РЕАЛЬНЫЕ ДАННЫЕ.
ДЕМО: периодичность и время заменить наблюдениями; не входит в фиксированную подготовку смены; длительность всего элемента, с. Для дезинфекции это НЕ заданная экспозиция. Не сокращать ниже требований утверждённых средств.</t>
        </r>
      </text>
    </comment>
    <comment ref="F13" authorId="0">
      <text>
        <r>
          <rPr>
            <sz val="8"/>
            <color indexed="81"/>
            <rFont val="Tahoma"/>
            <family val="2"/>
          </rPr>
          <t>ЗАМЕНИТЕ НА РЕАЛЬНЫЕ ДАННЫЕ.
ДЕМО: периодичность и время заменить наблюдениями; не входит в фиксированную подготовку смены; длительность всего элемента, с. Для дезинфекции это НЕ заданная экспозиция. Не сокращать ниже требований утверждённых средств.</t>
        </r>
      </text>
    </comment>
    <comment ref="G13" authorId="0">
      <text>
        <r>
          <rPr>
            <sz val="8"/>
            <color indexed="81"/>
            <rFont val="Tahoma"/>
            <family val="2"/>
          </rPr>
          <t>ЗАМЕНИТЕ НА РЕАЛЬНЫЕ ДАННЫЕ.
ДЕМО: периодичность и время заменить наблюдениями; не входит в фиксированную подготовку смены; длительность всего элемента, с. Для дезинфекции это НЕ заданная экспозиция. Не сокращать ниже требований утверждённых средств.</t>
        </r>
      </text>
    </comment>
    <comment ref="J13" authorId="0">
      <text>
        <r>
          <rPr>
            <sz val="8"/>
            <color indexed="81"/>
            <rFont val="Tahoma"/>
            <family val="2"/>
          </rPr>
          <t>ЗАМЕНИТЕ НА РЕАЛЬНЫЕ ДАННЫЕ.
Прогноз улучшения логистики. Санитарные операции не сокращаются.</t>
        </r>
      </text>
    </comment>
    <comment ref="K13" authorId="0">
      <text>
        <r>
          <rPr>
            <sz val="8"/>
            <color indexed="81"/>
            <rFont val="Tahoma"/>
            <family val="2"/>
          </rPr>
          <t>ЗАМЕНИТЕ НА РЕАЛЬНЫЕ ДАННЫЕ.
Прогноз улучшения логистики. Санитарные операции не сокращаются.</t>
        </r>
      </text>
    </comment>
    <comment ref="L13" authorId="0">
      <text>
        <r>
          <rPr>
            <sz val="8"/>
            <color indexed="81"/>
            <rFont val="Tahoma"/>
            <family val="2"/>
          </rPr>
          <t>ЗАМЕНИТЕ НА РЕАЛЬНЫЕ ДАННЫЕ.
Прогноз улучшения логистики. Санитарные операции не сокращаются.</t>
        </r>
      </text>
    </comment>
  </commentList>
</comments>
</file>

<file path=xl/comments6.xml><?xml version="1.0" encoding="utf-8"?>
<comments xmlns="http://schemas.openxmlformats.org/spreadsheetml/2006/main">
  <authors>
    <author>Расчётная книга</author>
  </authors>
  <commentList>
    <comment ref="C8"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8"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8"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8"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C9"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9"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9"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9"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C10"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10"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10"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10"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C11"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11"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11"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11"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C12"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12"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12"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12"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C13"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D13"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E13"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 ref="F13" authorId="0">
      <text>
        <r>
          <rPr>
            <sz val="8"/>
            <color indexed="81"/>
            <rFont val="Tahoma"/>
            <family val="2"/>
          </rPr>
          <t>ЗАМЕНИТЕ НА РЕАЛЬНЫЕ ДАННЫЕ.
ДЕМО: координата точки в метрах. Замените по планировке. Прямые отрезки — иллюстрация; реальные препятствия и разделение потоков учитываются в натурной карте.</t>
        </r>
      </text>
    </comment>
  </commentList>
</comments>
</file>

<file path=xl/comments7.xml><?xml version="1.0" encoding="utf-8"?>
<comments xmlns="http://schemas.openxmlformats.org/spreadsheetml/2006/main">
  <authors>
    <author>Расчётная книга</author>
  </authors>
  <commentList>
    <comment ref="B8"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8"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8"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8"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 ref="B9"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9"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9"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9"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 ref="B10"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10"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10"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10"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 ref="B11"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11"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11"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11"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 ref="B12"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12"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12"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12"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 ref="B13" authorId="0">
      <text>
        <r>
          <rPr>
            <sz val="8"/>
            <color indexed="81"/>
            <rFont val="Tahoma"/>
            <family val="2"/>
          </rPr>
          <t>ЗАМЕНИТЕ НА РЕАЛЬНЫЕ ДАННЫЕ.
ДЕМО: заменить подтверждённой проблемой из фактических наблюдений.</t>
        </r>
      </text>
    </comment>
    <comment ref="C13" authorId="0">
      <text>
        <r>
          <rPr>
            <sz val="8"/>
            <color indexed="81"/>
            <rFont val="Tahoma"/>
            <family val="2"/>
          </rPr>
          <t>ЗАМЕНИТЕ НА РЕАЛЬНЫЕ ДАННЫЕ.
Планируемое улучшение. Согласовать с технологом и ОТ до реализации.</t>
        </r>
      </text>
    </comment>
    <comment ref="H13" authorId="0">
      <text>
        <r>
          <rPr>
            <sz val="8"/>
            <color indexed="81"/>
            <rFont val="Tahoma"/>
            <family val="2"/>
          </rPr>
          <t>ЗАМЕНИТЕ НА РЕАЛЬНЫЕ ДАННЫЕ.
Замените числом только после внедрения и контрольного хронометража; тот же ассортимент и база с/партию. Не вводите прогноз как факт.</t>
        </r>
      </text>
    </comment>
    <comment ref="K13" authorId="0">
      <text>
        <r>
          <rPr>
            <sz val="8"/>
            <color indexed="81"/>
            <rFont val="Tahoma"/>
            <family val="2"/>
          </rPr>
          <t>ЗАМЕНИТЕ НА РЕАЛЬНЫЕ ДАННЫЕ.
Фактический статус. «Проверено» допустим только при наличии контрольных замеров.</t>
        </r>
      </text>
    </comment>
  </commentList>
</comments>
</file>

<file path=xl/comments8.xml><?xml version="1.0" encoding="utf-8"?>
<comments xmlns="http://schemas.openxmlformats.org/spreadsheetml/2006/main">
  <authors>
    <author>Расчётная книга</author>
  </authors>
  <commentList>
    <comment ref="E22" authorId="0">
      <text>
        <r>
          <rPr>
            <sz val="8"/>
            <color indexed="81"/>
            <rFont val="Tahoma"/>
            <family val="2"/>
          </rPr>
          <t>ЗАМЕНИТЕ НА РЕАЛЬНЫЕ ДАННЫЕ.
Фактический результат при том же плане и границах процесса. Заполнить только после наблюдений.</t>
        </r>
      </text>
    </comment>
    <comment ref="E23" authorId="0">
      <text>
        <r>
          <rPr>
            <sz val="8"/>
            <color indexed="81"/>
            <rFont val="Tahoma"/>
            <family val="2"/>
          </rPr>
          <t>ЗАМЕНИТЕ НА РЕАЛЬНЫЕ ДАННЫЕ.
Фактический результат при том же плане и границах процесса. Заполнить только после наблюдений.</t>
        </r>
      </text>
    </comment>
    <comment ref="E24" authorId="0">
      <text>
        <r>
          <rPr>
            <sz val="8"/>
            <color indexed="81"/>
            <rFont val="Tahoma"/>
            <family val="2"/>
          </rPr>
          <t>ЗАМЕНИТЕ НА РЕАЛЬНЫЕ ДАННЫЕ.
Фактический результат при том же плане и границах процесса. Заполнить только после наблюдений.</t>
        </r>
      </text>
    </comment>
    <comment ref="E25" authorId="0">
      <text>
        <r>
          <rPr>
            <sz val="8"/>
            <color indexed="81"/>
            <rFont val="Tahoma"/>
            <family val="2"/>
          </rPr>
          <t>ЗАМЕНИТЕ НА РЕАЛЬНЫЕ ДАННЫЕ.
Фактический результат при том же плане и границах процесса. Заполнить только после наблюдений.</t>
        </r>
      </text>
    </comment>
    <comment ref="E26" authorId="0">
      <text>
        <r>
          <rPr>
            <sz val="8"/>
            <color indexed="81"/>
            <rFont val="Tahoma"/>
            <family val="2"/>
          </rPr>
          <t>ЗАМЕНИТЕ НА РЕАЛЬНЫЕ ДАННЫЕ.
Фактический результат при том же плане и границах процесса. Заполнить только после наблюдений.</t>
        </r>
      </text>
    </comment>
  </commentList>
</comments>
</file>

<file path=xl/comments9.xml><?xml version="1.0" encoding="utf-8"?>
<comments xmlns="http://schemas.openxmlformats.org/spreadsheetml/2006/main">
  <authors>
    <author>Расчётная книга</author>
  </authors>
  <commentList>
    <comment ref="G8" authorId="0">
      <text>
        <r>
          <rPr>
            <sz val="8"/>
            <color indexed="81"/>
            <rFont val="Tahoma"/>
            <family val="2"/>
          </rPr>
          <t>ЗАМЕНИТЕ НА РЕАЛЬНЫЕ ДАННЫЕ.
План не доказывает выполнение этапа. Замените реальным статусом.</t>
        </r>
      </text>
    </comment>
    <comment ref="H8"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9" authorId="0">
      <text>
        <r>
          <rPr>
            <sz val="8"/>
            <color indexed="81"/>
            <rFont val="Tahoma"/>
            <family val="2"/>
          </rPr>
          <t>ЗАМЕНИТЕ НА РЕАЛЬНЫЕ ДАННЫЕ.
План не доказывает выполнение этапа. Замените реальным статусом.</t>
        </r>
      </text>
    </comment>
    <comment ref="H9"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0" authorId="0">
      <text>
        <r>
          <rPr>
            <sz val="8"/>
            <color indexed="81"/>
            <rFont val="Tahoma"/>
            <family val="2"/>
          </rPr>
          <t>ЗАМЕНИТЕ НА РЕАЛЬНЫЕ ДАННЫЕ.
План не доказывает выполнение этапа. Замените реальным статусом.</t>
        </r>
      </text>
    </comment>
    <comment ref="H10"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1" authorId="0">
      <text>
        <r>
          <rPr>
            <sz val="8"/>
            <color indexed="81"/>
            <rFont val="Tahoma"/>
            <family val="2"/>
          </rPr>
          <t>ЗАМЕНИТЕ НА РЕАЛЬНЫЕ ДАННЫЕ.
План не доказывает выполнение этапа. Замените реальным статусом.</t>
        </r>
      </text>
    </comment>
    <comment ref="H11"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2" authorId="0">
      <text>
        <r>
          <rPr>
            <sz val="8"/>
            <color indexed="81"/>
            <rFont val="Tahoma"/>
            <family val="2"/>
          </rPr>
          <t>ЗАМЕНИТЕ НА РЕАЛЬНЫЕ ДАННЫЕ.
План не доказывает выполнение этапа. Замените реальным статусом.</t>
        </r>
      </text>
    </comment>
    <comment ref="H12"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3" authorId="0">
      <text>
        <r>
          <rPr>
            <sz val="8"/>
            <color indexed="81"/>
            <rFont val="Tahoma"/>
            <family val="2"/>
          </rPr>
          <t>ЗАМЕНИТЕ НА РЕАЛЬНЫЕ ДАННЫЕ.
План не доказывает выполнение этапа. Замените реальным статусом.</t>
        </r>
      </text>
    </comment>
    <comment ref="H13"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4" authorId="0">
      <text>
        <r>
          <rPr>
            <sz val="8"/>
            <color indexed="81"/>
            <rFont val="Tahoma"/>
            <family val="2"/>
          </rPr>
          <t>ЗАМЕНИТЕ НА РЕАЛЬНЫЕ ДАННЫЕ.
План не доказывает выполнение этапа. Замените реальным статусом.</t>
        </r>
      </text>
    </comment>
    <comment ref="H14"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5" authorId="0">
      <text>
        <r>
          <rPr>
            <sz val="8"/>
            <color indexed="81"/>
            <rFont val="Tahoma"/>
            <family val="2"/>
          </rPr>
          <t>ЗАМЕНИТЕ НА РЕАЛЬНЫЕ ДАННЫЕ.
План не доказывает выполнение этапа. Замените реальным статусом.</t>
        </r>
      </text>
    </comment>
    <comment ref="H15"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6" authorId="0">
      <text>
        <r>
          <rPr>
            <sz val="8"/>
            <color indexed="81"/>
            <rFont val="Tahoma"/>
            <family val="2"/>
          </rPr>
          <t>ЗАМЕНИТЕ НА РЕАЛЬНЫЕ ДАННЫЕ.
План не доказывает выполнение этапа. Замените реальным статусом.</t>
        </r>
      </text>
    </comment>
    <comment ref="H16"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 ref="G17" authorId="0">
      <text>
        <r>
          <rPr>
            <sz val="8"/>
            <color indexed="81"/>
            <rFont val="Tahoma"/>
            <family val="2"/>
          </rPr>
          <t>ЗАМЕНИТЕ НА РЕАЛЬНЫЕ ДАННЫЕ.
План не доказывает выполнение этапа. Замените реальным статусом.</t>
        </r>
      </text>
    </comment>
    <comment ref="H17" authorId="0">
      <text>
        <r>
          <rPr>
            <sz val="8"/>
            <color indexed="81"/>
            <rFont val="Tahoma"/>
            <family val="2"/>
          </rPr>
          <t>ЗАМЕНИТЕ НА РЕАЛЬНЫЕ ДАННЫЕ.
Ссылка на реальные замеры, протокол, фото, утверждение или лист обучения.</t>
        </r>
      </text>
    </comment>
  </commentList>
</comments>
</file>

<file path=xl/comments10.xml><?xml version="1.0" encoding="utf-8"?>
<comments xmlns="http://schemas.openxmlformats.org/spreadsheetml/2006/main">
  <authors>
    <author>Расчётная книга</author>
  </authors>
  <commentList>
    <comment ref="H8" authorId="0">
      <text>
        <r>
          <rPr>
            <sz val="8"/>
            <color indexed="81"/>
            <rFont val="Tahoma"/>
            <family val="2"/>
          </rPr>
          <t>ЗАМЕНИТЕ НА РЕАЛЬНЫЕ ДАННЫЕ.
Оценивать только по подтверждённому выполнению всех требований. Модельные данные не подтверждают соответствие.</t>
        </r>
      </text>
    </comment>
    <comment ref="I8" authorId="0">
      <text>
        <r>
          <rPr>
            <sz val="8"/>
            <color indexed="81"/>
            <rFont val="Tahoma"/>
            <family val="2"/>
          </rPr>
          <t>ЗАМЕНИТЕ НА РЕАЛЬНЫЕ ДАННЫЕ.
Замените ссылкой на фактическое доказательство после проверки.</t>
        </r>
      </text>
    </comment>
    <comment ref="H9" authorId="0">
      <text>
        <r>
          <rPr>
            <sz val="8"/>
            <color indexed="81"/>
            <rFont val="Tahoma"/>
            <family val="2"/>
          </rPr>
          <t>ЗАМЕНИТЕ НА РЕАЛЬНЫЕ ДАННЫЕ.
Оценивать только по подтверждённому выполнению всех требований. Модельные данные не подтверждают соответствие.</t>
        </r>
      </text>
    </comment>
    <comment ref="I9" authorId="0">
      <text>
        <r>
          <rPr>
            <sz val="8"/>
            <color indexed="81"/>
            <rFont val="Tahoma"/>
            <family val="2"/>
          </rPr>
          <t>ЗАМЕНИТЕ НА РЕАЛЬНЫЕ ДАННЫЕ.
Замените ссылкой на фактическое доказательство после проверки.</t>
        </r>
      </text>
    </comment>
    <comment ref="H10" authorId="0">
      <text>
        <r>
          <rPr>
            <sz val="8"/>
            <color indexed="81"/>
            <rFont val="Tahoma"/>
            <family val="2"/>
          </rPr>
          <t>ЗАМЕНИТЕ НА РЕАЛЬНЫЕ ДАННЫЕ.
Оценивать только по подтверждённому выполнению всех требований. Модельные данные не подтверждают соответствие.</t>
        </r>
      </text>
    </comment>
    <comment ref="I10" authorId="0">
      <text>
        <r>
          <rPr>
            <sz val="8"/>
            <color indexed="81"/>
            <rFont val="Tahoma"/>
            <family val="2"/>
          </rPr>
          <t>ЗАМЕНИТЕ НА РЕАЛЬНЫЕ ДАННЫЕ.
Замените ссылкой на фактическое доказательство после проверки.</t>
        </r>
      </text>
    </comment>
    <comment ref="H11" authorId="0">
      <text>
        <r>
          <rPr>
            <sz val="8"/>
            <color indexed="81"/>
            <rFont val="Tahoma"/>
            <family val="2"/>
          </rPr>
          <t>ЗАМЕНИТЕ НА РЕАЛЬНЫЕ ДАННЫЕ.
Оценивать только по подтверждённому выполнению всех требований. Модельные данные не подтверждают соответствие.</t>
        </r>
      </text>
    </comment>
    <comment ref="I11" authorId="0">
      <text>
        <r>
          <rPr>
            <sz val="8"/>
            <color indexed="81"/>
            <rFont val="Tahoma"/>
            <family val="2"/>
          </rPr>
          <t>ЗАМЕНИТЕ НА РЕАЛЬНЫЕ ДАННЫЕ.
Замените ссылкой на фактическое доказательство после проверки.</t>
        </r>
      </text>
    </comment>
    <comment ref="H12" authorId="0">
      <text>
        <r>
          <rPr>
            <sz val="8"/>
            <color indexed="81"/>
            <rFont val="Tahoma"/>
            <family val="2"/>
          </rPr>
          <t>ЗАМЕНИТЕ НА РЕАЛЬНЫЕ ДАННЫЕ.
Оценивать только по подтверждённому выполнению всех требований. Модельные данные не подтверждают соответствие.</t>
        </r>
      </text>
    </comment>
    <comment ref="I12" authorId="0">
      <text>
        <r>
          <rPr>
            <sz val="8"/>
            <color indexed="81"/>
            <rFont val="Tahoma"/>
            <family val="2"/>
          </rPr>
          <t>ЗАМЕНИТЕ НА РЕАЛЬНЫЕ ДАННЫЕ.
Замените ссылкой на фактическое доказательство после проверки.</t>
        </r>
      </text>
    </comment>
  </commentList>
</comments>
</file>

<file path=xl/comments11.xml><?xml version="1.0" encoding="utf-8"?>
<comments xmlns="http://schemas.openxmlformats.org/spreadsheetml/2006/main">
  <authors>
    <author>Расчётная книга</author>
  </authors>
  <commentList>
    <comment ref="C8"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8"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9"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9"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0"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0"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1"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1"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2"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2"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3"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3"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4"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4"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5"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5"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6"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6"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7"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7"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8"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8"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19"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19"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0"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0"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1"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1"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2"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2"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3"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3"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4"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4"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5"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5" authorId="0">
      <text>
        <r>
          <rPr>
            <sz val="8"/>
            <color indexed="81"/>
            <rFont val="Tahoma"/>
            <family val="2"/>
          </rPr>
          <t>ЗАМЕНИТЕ НА РЕАЛЬНЫЕ ДАННЫЕ.
Укажите фактическое доказательство или выявленное несоответствие.</t>
        </r>
      </text>
    </comment>
    <comment ref="C26" authorId="0">
      <text>
        <r>
          <rPr>
            <sz val="8"/>
            <color indexed="81"/>
            <rFont val="Tahoma"/>
            <family val="2"/>
          </rPr>
          <t>ЗАМЕНИТЕ НА РЕАЛЬНЫЕ ДАННЫЕ.
Выполнено = 1, не выполнено = 0; «Не проверено» не является нулевой оценкой. Заполняет проверяющий по доказательствам.</t>
        </r>
      </text>
    </comment>
    <comment ref="E26" authorId="0">
      <text>
        <r>
          <rPr>
            <sz val="8"/>
            <color indexed="81"/>
            <rFont val="Tahoma"/>
            <family val="2"/>
          </rPr>
          <t>ЗАМЕНИТЕ НА РЕАЛЬНЫЕ ДАННЫЕ.
Укажите фактическое доказательство или выявленное несоответствие.</t>
        </r>
      </text>
    </comment>
  </commentList>
</comments>
</file>

<file path=xl/comments12.xml><?xml version="1.0" encoding="utf-8"?>
<comments xmlns="http://schemas.openxmlformats.org/spreadsheetml/2006/main">
  <authors>
    <author>Расчётная книга</author>
  </authors>
  <commentList>
    <comment ref="B8" authorId="0">
      <text>
        <r>
          <rPr>
            <sz val="8"/>
            <color indexed="81"/>
            <rFont val="Tahoma"/>
            <family val="2"/>
          </rPr>
          <t>ЗАМЕНИТЕ НА РЕАЛЬНЫЕ ДАННЫЕ.
Одинаковая база для брака и трудоёмкости. Это демонстрационный отчётный объём, а не сменный заказ.</t>
        </r>
      </text>
    </comment>
    <comment ref="C8" authorId="0">
      <text>
        <r>
          <rPr>
            <sz val="8"/>
            <color indexed="81"/>
            <rFont val="Tahoma"/>
            <family val="2"/>
          </rPr>
          <t>ЗАМЕНИТЕ НА РЕАЛЬНЫЕ ДАННЫЕ.
Одинаковая база для брака и трудоёмкости. Это демонстрационный отчётный объём, а не сменный заказ.</t>
        </r>
      </text>
    </comment>
    <comment ref="B9" authorId="0">
      <text>
        <r>
          <rPr>
            <sz val="8"/>
            <color indexed="81"/>
            <rFont val="Tahoma"/>
            <family val="2"/>
          </rPr>
          <t>ЗАМЕНИТЕ НА РЕАЛЬНЫЕ ДАННЫЕ.
Среднесписочная / средняя численность за тот же период; не смешивать периоды.</t>
        </r>
      </text>
    </comment>
    <comment ref="C9" authorId="0">
      <text>
        <r>
          <rPr>
            <sz val="8"/>
            <color indexed="81"/>
            <rFont val="Tahoma"/>
            <family val="2"/>
          </rPr>
          <t>ЗАМЕНИТЕ НА РЕАЛЬНЫЕ ДАННЫЕ.
Среднесписочная / средняя численность за тот же период; не смешивать периоды.</t>
        </r>
      </text>
    </comment>
    <comment ref="B10" authorId="0">
      <text>
        <r>
          <rPr>
            <sz val="8"/>
            <color indexed="81"/>
            <rFont val="Tahoma"/>
            <family val="2"/>
          </rPr>
          <t>ЗАМЕНИТЕ НА РЕАЛЬНЫЕ ДАННЫЕ.
Фактический суммарный фонд отработанного времени. Не равен сумме лучших ручных элементов.</t>
        </r>
      </text>
    </comment>
    <comment ref="C10" authorId="0">
      <text>
        <r>
          <rPr>
            <sz val="8"/>
            <color indexed="81"/>
            <rFont val="Tahoma"/>
            <family val="2"/>
          </rPr>
          <t>ЗАМЕНИТЕ НА РЕАЛЬНЫЕ ДАННЫЕ.
Фактический суммарный фонд отработанного времени. Не равен сумме лучших ручных элементов.</t>
        </r>
      </text>
    </comment>
    <comment ref="B11" authorId="0">
      <text>
        <r>
          <rPr>
            <sz val="8"/>
            <color indexed="81"/>
            <rFont val="Tahoma"/>
            <family val="2"/>
          </rPr>
          <t>ЗАМЕНИТЕ НА РЕАЛЬНЫЕ ДАННЫЕ.
Не больше общего выпуска. Не считать предварительный отсев сырья производственным браком автоматически.</t>
        </r>
      </text>
    </comment>
    <comment ref="C11" authorId="0">
      <text>
        <r>
          <rPr>
            <sz val="8"/>
            <color indexed="81"/>
            <rFont val="Tahoma"/>
            <family val="2"/>
          </rPr>
          <t>ЗАМЕНИТЕ НА РЕАЛЬНЫЕ ДАННЫЕ.
Не больше общего выпуска. Не считать предварительный отсев сырья производственным браком автоматически.</t>
        </r>
      </text>
    </comment>
    <comment ref="B12" authorId="0">
      <text>
        <r>
          <rPr>
            <sz val="8"/>
            <color indexed="81"/>
            <rFont val="Tahoma"/>
            <family val="2"/>
          </rPr>
          <t>ЗАМЕНИТЕ НА РЕАЛЬНЫЕ ДАННЫЕ.
Фактический запас в выбранный момент или среднее за согласованный период.</t>
        </r>
      </text>
    </comment>
    <comment ref="C12" authorId="0">
      <text>
        <r>
          <rPr>
            <sz val="8"/>
            <color indexed="81"/>
            <rFont val="Tahoma"/>
            <family val="2"/>
          </rPr>
          <t>ЗАМЕНИТЕ НА РЕАЛЬНЫЕ ДАННЫЕ.
Фактический запас в выбранный момент или среднее за согласованный период.</t>
        </r>
      </text>
    </comment>
    <comment ref="B13" authorId="0">
      <text>
        <r>
          <rPr>
            <sz val="8"/>
            <color indexed="81"/>
            <rFont val="Tahoma"/>
            <family val="2"/>
          </rPr>
          <t>ЗАМЕНИТЕ НА РЕАЛЬНЫЕ ДАННЫЕ.
Отдельно от запаса сырья и готовой продукции. Не подменять проектом стандартного запаса.</t>
        </r>
      </text>
    </comment>
    <comment ref="C13" authorId="0">
      <text>
        <r>
          <rPr>
            <sz val="8"/>
            <color indexed="81"/>
            <rFont val="Tahoma"/>
            <family val="2"/>
          </rPr>
          <t>ЗАМЕНИТЕ НА РЕАЛЬНЫЕ ДАННЫЕ.
Отдельно от запаса сырья и готовой продукции. Не подменять проектом стандартного запаса.</t>
        </r>
      </text>
    </comment>
    <comment ref="B14" authorId="0">
      <text>
        <r>
          <rPr>
            <sz val="8"/>
            <color indexed="81"/>
            <rFont val="Tahoma"/>
            <family val="2"/>
          </rPr>
          <t>ЗАМЕНИТЕ НА РЕАЛЬНЫЕ ДАННЫЕ.
Условия и допустимые сроки хранения задаются отдельной технологией.</t>
        </r>
      </text>
    </comment>
    <comment ref="C14" authorId="0">
      <text>
        <r>
          <rPr>
            <sz val="8"/>
            <color indexed="81"/>
            <rFont val="Tahoma"/>
            <family val="2"/>
          </rPr>
          <t>ЗАМЕНИТЕ НА РЕАЛЬНЫЕ ДАННЫЕ.
Условия и допустимые сроки хранения задаются отдельной технологией.</t>
        </r>
      </text>
    </comment>
    <comment ref="B16" authorId="0">
      <text>
        <r>
          <rPr>
            <sz val="8"/>
            <color indexed="81"/>
            <rFont val="Tahoma"/>
            <family val="2"/>
          </rPr>
          <t>ЗАМЕНИТЕ НА РЕАЛЬНЫЕ ДАННЫЕ.
Автоматическое ожидание уже входит в цикл строки 15 — не вводить его повторно.</t>
        </r>
      </text>
    </comment>
    <comment ref="C16" authorId="0">
      <text>
        <r>
          <rPr>
            <sz val="8"/>
            <color indexed="81"/>
            <rFont val="Tahoma"/>
            <family val="2"/>
          </rPr>
          <t>ЗАМЕНИТЕ НА РЕАЛЬНЫЕ ДАННЫЕ.
Автоматическое ожидание уже входит в цикл строки 15 — не вводить его повторно.</t>
        </r>
      </text>
    </comment>
    <comment ref="B17" authorId="0">
      <text>
        <r>
          <rPr>
            <sz val="8"/>
            <color indexed="81"/>
            <rFont val="Tahoma"/>
            <family val="2"/>
          </rPr>
          <t>ЗАМЕНИТЕ НА РЕАЛЬНЫЕ ДАННЫЕ.
Только время вне границ хронометрируемой операции.</t>
        </r>
      </text>
    </comment>
    <comment ref="C17" authorId="0">
      <text>
        <r>
          <rPr>
            <sz val="8"/>
            <color indexed="81"/>
            <rFont val="Tahoma"/>
            <family val="2"/>
          </rPr>
          <t>ЗАМЕНИТЕ НА РЕАЛЬНЫЕ ДАННЫЕ.
Только время вне границ хронометрируемой операции.</t>
        </r>
      </text>
    </comment>
    <comment ref="B18" authorId="0">
      <text>
        <r>
          <rPr>
            <sz val="8"/>
            <color indexed="81"/>
            <rFont val="Tahoma"/>
            <family val="2"/>
          </rPr>
          <t>ЗАМЕНИТЕ НА РЕАЛЬНЫЕ ДАННЫЕ.
Внутренние переходы уже входят в цикл, здесь только внешняя транспортировка.</t>
        </r>
      </text>
    </comment>
    <comment ref="C18" authorId="0">
      <text>
        <r>
          <rPr>
            <sz val="8"/>
            <color indexed="81"/>
            <rFont val="Tahoma"/>
            <family val="2"/>
          </rPr>
          <t>ЗАМЕНИТЕ НА РЕАЛЬНЫЕ ДАННЫЕ.
Внутренние переходы уже входят в цикл, здесь только внешняя транспортировка.</t>
        </r>
      </text>
    </comment>
    <comment ref="B19" authorId="0">
      <text>
        <r>
          <rPr>
            <sz val="8"/>
            <color indexed="81"/>
            <rFont val="Tahoma"/>
            <family val="2"/>
          </rPr>
          <t>ЗАМЕНИТЕ НА РЕАЛЬНЫЕ ДАННЫЕ.
Выбранное окно планового производства. Зафиксировать единую политику учёта остановок, не менять её ради OEE.</t>
        </r>
      </text>
    </comment>
    <comment ref="C19" authorId="0">
      <text>
        <r>
          <rPr>
            <sz val="8"/>
            <color indexed="81"/>
            <rFont val="Tahoma"/>
            <family val="2"/>
          </rPr>
          <t>ЗАМЕНИТЕ НА РЕАЛЬНЫЕ ДАННЫЕ.
Выбранное окно планового производства. Зафиксировать единую политику учёта остановок, не менять её ради OEE.</t>
        </r>
      </text>
    </comment>
    <comment ref="B20" authorId="0">
      <text>
        <r>
          <rPr>
            <sz val="8"/>
            <color indexed="81"/>
            <rFont val="Tahoma"/>
            <family val="2"/>
          </rPr>
          <t>ЗАМЕНИТЕ НА РЕАЛЬНЫЕ ДАННЫЕ.
В пределах планового окна. Пример отчётной наработки, заменить реальной.</t>
        </r>
      </text>
    </comment>
    <comment ref="C20" authorId="0">
      <text>
        <r>
          <rPr>
            <sz val="8"/>
            <color indexed="81"/>
            <rFont val="Tahoma"/>
            <family val="2"/>
          </rPr>
          <t>ЗАМЕНИТЕ НА РЕАЛЬНЫЕ ДАННЫЕ.
В пределах планового окна. Пример отчётной наработки, заменить реальной.</t>
        </r>
      </text>
    </comment>
    <comment ref="B21" authorId="0">
      <text>
        <r>
          <rPr>
            <sz val="8"/>
            <color indexed="81"/>
            <rFont val="Tahoma"/>
            <family val="2"/>
          </rPr>
          <t>ЗАМЕНИТЕ НА РЕАЛЬНЫЕ ДАННЫЕ.
Счётчик фактически выполненных полных циклов, включая негодные; не сменный план.</t>
        </r>
      </text>
    </comment>
    <comment ref="C21" authorId="0">
      <text>
        <r>
          <rPr>
            <sz val="8"/>
            <color indexed="81"/>
            <rFont val="Tahoma"/>
            <family val="2"/>
          </rPr>
          <t>ЗАМЕНИТЕ НА РЕАЛЬНЫЕ ДАННЫЕ.
Счётчик фактически выполненных полных циклов, включая негодные; не сменный план.</t>
        </r>
      </text>
    </comment>
    <comment ref="B22" authorId="0">
      <text>
        <r>
          <rPr>
            <sz val="8"/>
            <color indexed="81"/>
            <rFont val="Tahoma"/>
            <family val="2"/>
          </rPr>
          <t>ЗАМЕНИТЕ НА РЕАЛЬНЫЕ ДАННЫЕ.
Та же единица учёта: партии.</t>
        </r>
      </text>
    </comment>
    <comment ref="C22" authorId="0">
      <text>
        <r>
          <rPr>
            <sz val="8"/>
            <color indexed="81"/>
            <rFont val="Tahoma"/>
            <family val="2"/>
          </rPr>
          <t>ЗАМЕНИТЕ НА РЕАЛЬНЫЕ ДАННЫЕ.
Та же единица учёта: партии.</t>
        </r>
      </text>
    </comment>
    <comment ref="B23" authorId="0">
      <text>
        <r>
          <rPr>
            <sz val="8"/>
            <color indexed="81"/>
            <rFont val="Tahoma"/>
            <family val="2"/>
          </rPr>
          <t>ЗАМЕНИТЕ НА РЕАЛЬНЫЕ ДАННЫЕ.
Та же единица учёта: партии.</t>
        </r>
      </text>
    </comment>
    <comment ref="C23" authorId="0">
      <text>
        <r>
          <rPr>
            <sz val="8"/>
            <color indexed="81"/>
            <rFont val="Tahoma"/>
            <family val="2"/>
          </rPr>
          <t>ЗАМЕНИТЕ НА РЕАЛЬНЫЕ ДАННЫЕ.
Та же единица учёта: партии.</t>
        </r>
      </text>
    </comment>
    <comment ref="B24" authorId="0">
      <text>
        <r>
          <rPr>
            <sz val="8"/>
            <color indexed="81"/>
            <rFont val="Tahoma"/>
            <family val="2"/>
          </rPr>
          <t>ЗАМЕНИТЕ НА РЕАЛЬНЫЕ ДАННЫЕ.
Полностью соответствующих партий; не кг. Не больше суммы партий строк 21–23.</t>
        </r>
      </text>
    </comment>
    <comment ref="C24" authorId="0">
      <text>
        <r>
          <rPr>
            <sz val="8"/>
            <color indexed="81"/>
            <rFont val="Tahoma"/>
            <family val="2"/>
          </rPr>
          <t>ЗАМЕНИТЕ НА РЕАЛЬНЫЕ ДАННЫЕ.
Полностью соответствующих партий; не кг. Не больше суммы партий строк 21–23.</t>
        </r>
      </text>
    </comment>
  </commentList>
</comments>
</file>

<file path=xl/comments13.xml><?xml version="1.0" encoding="utf-8"?>
<comments xmlns="http://schemas.openxmlformats.org/spreadsheetml/2006/main">
  <authors>
    <author>Расчётная книга</author>
  </authors>
  <commentList>
    <comment ref="B8" authorId="0">
      <text>
        <r>
          <rPr>
            <sz val="8"/>
            <color indexed="81"/>
            <rFont val="Tahoma"/>
            <family val="2"/>
          </rPr>
          <t>ЗАМЕНИТЕ НА РЕАЛЬНЫЕ ДАННЫЕ.
Фактическая должность.</t>
        </r>
      </text>
    </comment>
    <comment ref="C8" authorId="0">
      <text>
        <r>
          <rPr>
            <sz val="8"/>
            <color indexed="81"/>
            <rFont val="Tahoma"/>
            <family val="2"/>
          </rPr>
          <t>ЗАМЕНИТЕ НА РЕАЛЬНЫЕ ДАННЫЕ.
ФИО реально обученного сотрудника.</t>
        </r>
      </text>
    </comment>
    <comment ref="D8" authorId="0">
      <text>
        <r>
          <rPr>
            <sz val="8"/>
            <color indexed="81"/>
            <rFont val="Tahoma"/>
            <family val="2"/>
          </rPr>
          <t>ЗАМЕНИТЕ НА РЕАЛЬНЫЕ ДАННЫЕ.
Внести фактическую дату после обучения.</t>
        </r>
      </text>
    </comment>
    <comment ref="E8" authorId="0">
      <text>
        <r>
          <rPr>
            <sz val="8"/>
            <color indexed="81"/>
            <rFont val="Tahoma"/>
            <family val="2"/>
          </rPr>
          <t>ЗАМЕНИТЕ НА РЕАЛЬНЫЕ ДАННЫЕ.
Указать номер и версию реально утверждённого стандарта.</t>
        </r>
      </text>
    </comment>
    <comment ref="F8" authorId="0">
      <text>
        <r>
          <rPr>
            <sz val="8"/>
            <color indexed="81"/>
            <rFont val="Tahoma"/>
            <family val="2"/>
          </rPr>
          <t>ЗАМЕНИТЕ НА РЕАЛЬНЫЕ ДАННЫЕ.
Результат практического выполнения под наблюдением наставника.</t>
        </r>
      </text>
    </comment>
    <comment ref="G8"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9" authorId="0">
      <text>
        <r>
          <rPr>
            <sz val="8"/>
            <color indexed="81"/>
            <rFont val="Tahoma"/>
            <family val="2"/>
          </rPr>
          <t>ЗАМЕНИТЕ НА РЕАЛЬНЫЕ ДАННЫЕ.
Фактическая должность.</t>
        </r>
      </text>
    </comment>
    <comment ref="C9" authorId="0">
      <text>
        <r>
          <rPr>
            <sz val="8"/>
            <color indexed="81"/>
            <rFont val="Tahoma"/>
            <family val="2"/>
          </rPr>
          <t>ЗАМЕНИТЕ НА РЕАЛЬНЫЕ ДАННЫЕ.
ФИО реально обученного сотрудника.</t>
        </r>
      </text>
    </comment>
    <comment ref="D9" authorId="0">
      <text>
        <r>
          <rPr>
            <sz val="8"/>
            <color indexed="81"/>
            <rFont val="Tahoma"/>
            <family val="2"/>
          </rPr>
          <t>ЗАМЕНИТЕ НА РЕАЛЬНЫЕ ДАННЫЕ.
Внести фактическую дату после обучения.</t>
        </r>
      </text>
    </comment>
    <comment ref="E9" authorId="0">
      <text>
        <r>
          <rPr>
            <sz val="8"/>
            <color indexed="81"/>
            <rFont val="Tahoma"/>
            <family val="2"/>
          </rPr>
          <t>ЗАМЕНИТЕ НА РЕАЛЬНЫЕ ДАННЫЕ.
Указать номер и версию реально утверждённого стандарта.</t>
        </r>
      </text>
    </comment>
    <comment ref="F9" authorId="0">
      <text>
        <r>
          <rPr>
            <sz val="8"/>
            <color indexed="81"/>
            <rFont val="Tahoma"/>
            <family val="2"/>
          </rPr>
          <t>ЗАМЕНИТЕ НА РЕАЛЬНЫЕ ДАННЫЕ.
Результат практического выполнения под наблюдением наставника.</t>
        </r>
      </text>
    </comment>
    <comment ref="G9"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0" authorId="0">
      <text>
        <r>
          <rPr>
            <sz val="8"/>
            <color indexed="81"/>
            <rFont val="Tahoma"/>
            <family val="2"/>
          </rPr>
          <t>ЗАМЕНИТЕ НА РЕАЛЬНЫЕ ДАННЫЕ.
Фактическая должность.</t>
        </r>
      </text>
    </comment>
    <comment ref="C10" authorId="0">
      <text>
        <r>
          <rPr>
            <sz val="8"/>
            <color indexed="81"/>
            <rFont val="Tahoma"/>
            <family val="2"/>
          </rPr>
          <t>ЗАМЕНИТЕ НА РЕАЛЬНЫЕ ДАННЫЕ.
ФИО реально обученного сотрудника.</t>
        </r>
      </text>
    </comment>
    <comment ref="D10" authorId="0">
      <text>
        <r>
          <rPr>
            <sz val="8"/>
            <color indexed="81"/>
            <rFont val="Tahoma"/>
            <family val="2"/>
          </rPr>
          <t>ЗАМЕНИТЕ НА РЕАЛЬНЫЕ ДАННЫЕ.
Внести фактическую дату после обучения.</t>
        </r>
      </text>
    </comment>
    <comment ref="E10" authorId="0">
      <text>
        <r>
          <rPr>
            <sz val="8"/>
            <color indexed="81"/>
            <rFont val="Tahoma"/>
            <family val="2"/>
          </rPr>
          <t>ЗАМЕНИТЕ НА РЕАЛЬНЫЕ ДАННЫЕ.
Указать номер и версию реально утверждённого стандарта.</t>
        </r>
      </text>
    </comment>
    <comment ref="F10" authorId="0">
      <text>
        <r>
          <rPr>
            <sz val="8"/>
            <color indexed="81"/>
            <rFont val="Tahoma"/>
            <family val="2"/>
          </rPr>
          <t>ЗАМЕНИТЕ НА РЕАЛЬНЫЕ ДАННЫЕ.
Результат практического выполнения под наблюдением наставника.</t>
        </r>
      </text>
    </comment>
    <comment ref="G10"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1" authorId="0">
      <text>
        <r>
          <rPr>
            <sz val="8"/>
            <color indexed="81"/>
            <rFont val="Tahoma"/>
            <family val="2"/>
          </rPr>
          <t>ЗАМЕНИТЕ НА РЕАЛЬНЫЕ ДАННЫЕ.
Фактическая должность.</t>
        </r>
      </text>
    </comment>
    <comment ref="C11" authorId="0">
      <text>
        <r>
          <rPr>
            <sz val="8"/>
            <color indexed="81"/>
            <rFont val="Tahoma"/>
            <family val="2"/>
          </rPr>
          <t>ЗАМЕНИТЕ НА РЕАЛЬНЫЕ ДАННЫЕ.
ФИО реально обученного сотрудника.</t>
        </r>
      </text>
    </comment>
    <comment ref="D11" authorId="0">
      <text>
        <r>
          <rPr>
            <sz val="8"/>
            <color indexed="81"/>
            <rFont val="Tahoma"/>
            <family val="2"/>
          </rPr>
          <t>ЗАМЕНИТЕ НА РЕАЛЬНЫЕ ДАННЫЕ.
Внести фактическую дату после обучения.</t>
        </r>
      </text>
    </comment>
    <comment ref="E11" authorId="0">
      <text>
        <r>
          <rPr>
            <sz val="8"/>
            <color indexed="81"/>
            <rFont val="Tahoma"/>
            <family val="2"/>
          </rPr>
          <t>ЗАМЕНИТЕ НА РЕАЛЬНЫЕ ДАННЫЕ.
Указать номер и версию реально утверждённого стандарта.</t>
        </r>
      </text>
    </comment>
    <comment ref="F11" authorId="0">
      <text>
        <r>
          <rPr>
            <sz val="8"/>
            <color indexed="81"/>
            <rFont val="Tahoma"/>
            <family val="2"/>
          </rPr>
          <t>ЗАМЕНИТЕ НА РЕАЛЬНЫЕ ДАННЫЕ.
Результат практического выполнения под наблюдением наставника.</t>
        </r>
      </text>
    </comment>
    <comment ref="G11"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2" authorId="0">
      <text>
        <r>
          <rPr>
            <sz val="8"/>
            <color indexed="81"/>
            <rFont val="Tahoma"/>
            <family val="2"/>
          </rPr>
          <t>ЗАМЕНИТЕ НА РЕАЛЬНЫЕ ДАННЫЕ.
Фактическая должность.</t>
        </r>
      </text>
    </comment>
    <comment ref="C12" authorId="0">
      <text>
        <r>
          <rPr>
            <sz val="8"/>
            <color indexed="81"/>
            <rFont val="Tahoma"/>
            <family val="2"/>
          </rPr>
          <t>ЗАМЕНИТЕ НА РЕАЛЬНЫЕ ДАННЫЕ.
ФИО реально обученного сотрудника.</t>
        </r>
      </text>
    </comment>
    <comment ref="D12" authorId="0">
      <text>
        <r>
          <rPr>
            <sz val="8"/>
            <color indexed="81"/>
            <rFont val="Tahoma"/>
            <family val="2"/>
          </rPr>
          <t>ЗАМЕНИТЕ НА РЕАЛЬНЫЕ ДАННЫЕ.
Внести фактическую дату после обучения.</t>
        </r>
      </text>
    </comment>
    <comment ref="E12" authorId="0">
      <text>
        <r>
          <rPr>
            <sz val="8"/>
            <color indexed="81"/>
            <rFont val="Tahoma"/>
            <family val="2"/>
          </rPr>
          <t>ЗАМЕНИТЕ НА РЕАЛЬНЫЕ ДАННЫЕ.
Указать номер и версию реально утверждённого стандарта.</t>
        </r>
      </text>
    </comment>
    <comment ref="F12" authorId="0">
      <text>
        <r>
          <rPr>
            <sz val="8"/>
            <color indexed="81"/>
            <rFont val="Tahoma"/>
            <family val="2"/>
          </rPr>
          <t>ЗАМЕНИТЕ НА РЕАЛЬНЫЕ ДАННЫЕ.
Результат практического выполнения под наблюдением наставника.</t>
        </r>
      </text>
    </comment>
    <comment ref="G12"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3" authorId="0">
      <text>
        <r>
          <rPr>
            <sz val="8"/>
            <color indexed="81"/>
            <rFont val="Tahoma"/>
            <family val="2"/>
          </rPr>
          <t>ЗАМЕНИТЕ НА РЕАЛЬНЫЕ ДАННЫЕ.
Фактическая должность.</t>
        </r>
      </text>
    </comment>
    <comment ref="C13" authorId="0">
      <text>
        <r>
          <rPr>
            <sz val="8"/>
            <color indexed="81"/>
            <rFont val="Tahoma"/>
            <family val="2"/>
          </rPr>
          <t>ЗАМЕНИТЕ НА РЕАЛЬНЫЕ ДАННЫЕ.
ФИО реально обученного сотрудника.</t>
        </r>
      </text>
    </comment>
    <comment ref="D13" authorId="0">
      <text>
        <r>
          <rPr>
            <sz val="8"/>
            <color indexed="81"/>
            <rFont val="Tahoma"/>
            <family val="2"/>
          </rPr>
          <t>ЗАМЕНИТЕ НА РЕАЛЬНЫЕ ДАННЫЕ.
Внести фактическую дату после обучения.</t>
        </r>
      </text>
    </comment>
    <comment ref="E13" authorId="0">
      <text>
        <r>
          <rPr>
            <sz val="8"/>
            <color indexed="81"/>
            <rFont val="Tahoma"/>
            <family val="2"/>
          </rPr>
          <t>ЗАМЕНИТЕ НА РЕАЛЬНЫЕ ДАННЫЕ.
Указать номер и версию реально утверждённого стандарта.</t>
        </r>
      </text>
    </comment>
    <comment ref="F13" authorId="0">
      <text>
        <r>
          <rPr>
            <sz val="8"/>
            <color indexed="81"/>
            <rFont val="Tahoma"/>
            <family val="2"/>
          </rPr>
          <t>ЗАМЕНИТЕ НА РЕАЛЬНЫЕ ДАННЫЕ.
Результат практического выполнения под наблюдением наставника.</t>
        </r>
      </text>
    </comment>
    <comment ref="G13"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4" authorId="0">
      <text>
        <r>
          <rPr>
            <sz val="8"/>
            <color indexed="81"/>
            <rFont val="Tahoma"/>
            <family val="2"/>
          </rPr>
          <t>ЗАМЕНИТЕ НА РЕАЛЬНЫЕ ДАННЫЕ.
Фактическая должность.</t>
        </r>
      </text>
    </comment>
    <comment ref="C14" authorId="0">
      <text>
        <r>
          <rPr>
            <sz val="8"/>
            <color indexed="81"/>
            <rFont val="Tahoma"/>
            <family val="2"/>
          </rPr>
          <t>ЗАМЕНИТЕ НА РЕАЛЬНЫЕ ДАННЫЕ.
ФИО реально обученного сотрудника.</t>
        </r>
      </text>
    </comment>
    <comment ref="D14" authorId="0">
      <text>
        <r>
          <rPr>
            <sz val="8"/>
            <color indexed="81"/>
            <rFont val="Tahoma"/>
            <family val="2"/>
          </rPr>
          <t>ЗАМЕНИТЕ НА РЕАЛЬНЫЕ ДАННЫЕ.
Внести фактическую дату после обучения.</t>
        </r>
      </text>
    </comment>
    <comment ref="E14" authorId="0">
      <text>
        <r>
          <rPr>
            <sz val="8"/>
            <color indexed="81"/>
            <rFont val="Tahoma"/>
            <family val="2"/>
          </rPr>
          <t>ЗАМЕНИТЕ НА РЕАЛЬНЫЕ ДАННЫЕ.
Указать номер и версию реально утверждённого стандарта.</t>
        </r>
      </text>
    </comment>
    <comment ref="F14" authorId="0">
      <text>
        <r>
          <rPr>
            <sz val="8"/>
            <color indexed="81"/>
            <rFont val="Tahoma"/>
            <family val="2"/>
          </rPr>
          <t>ЗАМЕНИТЕ НА РЕАЛЬНЫЕ ДАННЫЕ.
Результат практического выполнения под наблюдением наставника.</t>
        </r>
      </text>
    </comment>
    <comment ref="G14"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5" authorId="0">
      <text>
        <r>
          <rPr>
            <sz val="8"/>
            <color indexed="81"/>
            <rFont val="Tahoma"/>
            <family val="2"/>
          </rPr>
          <t>ЗАМЕНИТЕ НА РЕАЛЬНЫЕ ДАННЫЕ.
Фактическая должность.</t>
        </r>
      </text>
    </comment>
    <comment ref="C15" authorId="0">
      <text>
        <r>
          <rPr>
            <sz val="8"/>
            <color indexed="81"/>
            <rFont val="Tahoma"/>
            <family val="2"/>
          </rPr>
          <t>ЗАМЕНИТЕ НА РЕАЛЬНЫЕ ДАННЫЕ.
ФИО реально обученного сотрудника.</t>
        </r>
      </text>
    </comment>
    <comment ref="D15" authorId="0">
      <text>
        <r>
          <rPr>
            <sz val="8"/>
            <color indexed="81"/>
            <rFont val="Tahoma"/>
            <family val="2"/>
          </rPr>
          <t>ЗАМЕНИТЕ НА РЕАЛЬНЫЕ ДАННЫЕ.
Внести фактическую дату после обучения.</t>
        </r>
      </text>
    </comment>
    <comment ref="E15" authorId="0">
      <text>
        <r>
          <rPr>
            <sz val="8"/>
            <color indexed="81"/>
            <rFont val="Tahoma"/>
            <family val="2"/>
          </rPr>
          <t>ЗАМЕНИТЕ НА РЕАЛЬНЫЕ ДАННЫЕ.
Указать номер и версию реально утверждённого стандарта.</t>
        </r>
      </text>
    </comment>
    <comment ref="F15" authorId="0">
      <text>
        <r>
          <rPr>
            <sz val="8"/>
            <color indexed="81"/>
            <rFont val="Tahoma"/>
            <family val="2"/>
          </rPr>
          <t>ЗАМЕНИТЕ НА РЕАЛЬНЫЕ ДАННЫЕ.
Результат практического выполнения под наблюдением наставника.</t>
        </r>
      </text>
    </comment>
    <comment ref="G15"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6" authorId="0">
      <text>
        <r>
          <rPr>
            <sz val="8"/>
            <color indexed="81"/>
            <rFont val="Tahoma"/>
            <family val="2"/>
          </rPr>
          <t>ЗАМЕНИТЕ НА РЕАЛЬНЫЕ ДАННЫЕ.
Фактическая должность.</t>
        </r>
      </text>
    </comment>
    <comment ref="C16" authorId="0">
      <text>
        <r>
          <rPr>
            <sz val="8"/>
            <color indexed="81"/>
            <rFont val="Tahoma"/>
            <family val="2"/>
          </rPr>
          <t>ЗАМЕНИТЕ НА РЕАЛЬНЫЕ ДАННЫЕ.
ФИО реально обученного сотрудника.</t>
        </r>
      </text>
    </comment>
    <comment ref="D16" authorId="0">
      <text>
        <r>
          <rPr>
            <sz val="8"/>
            <color indexed="81"/>
            <rFont val="Tahoma"/>
            <family val="2"/>
          </rPr>
          <t>ЗАМЕНИТЕ НА РЕАЛЬНЫЕ ДАННЫЕ.
Внести фактическую дату после обучения.</t>
        </r>
      </text>
    </comment>
    <comment ref="E16" authorId="0">
      <text>
        <r>
          <rPr>
            <sz val="8"/>
            <color indexed="81"/>
            <rFont val="Tahoma"/>
            <family val="2"/>
          </rPr>
          <t>ЗАМЕНИТЕ НА РЕАЛЬНЫЕ ДАННЫЕ.
Указать номер и версию реально утверждённого стандарта.</t>
        </r>
      </text>
    </comment>
    <comment ref="F16" authorId="0">
      <text>
        <r>
          <rPr>
            <sz val="8"/>
            <color indexed="81"/>
            <rFont val="Tahoma"/>
            <family val="2"/>
          </rPr>
          <t>ЗАМЕНИТЕ НА РЕАЛЬНЫЕ ДАННЫЕ.
Результат практического выполнения под наблюдением наставника.</t>
        </r>
      </text>
    </comment>
    <comment ref="G16"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 ref="B17" authorId="0">
      <text>
        <r>
          <rPr>
            <sz val="8"/>
            <color indexed="81"/>
            <rFont val="Tahoma"/>
            <family val="2"/>
          </rPr>
          <t>ЗАМЕНИТЕ НА РЕАЛЬНЫЕ ДАННЫЕ.
Фактическая должность.</t>
        </r>
      </text>
    </comment>
    <comment ref="C17" authorId="0">
      <text>
        <r>
          <rPr>
            <sz val="8"/>
            <color indexed="81"/>
            <rFont val="Tahoma"/>
            <family val="2"/>
          </rPr>
          <t>ЗАМЕНИТЕ НА РЕАЛЬНЫЕ ДАННЫЕ.
ФИО реально обученного сотрудника.</t>
        </r>
      </text>
    </comment>
    <comment ref="D17" authorId="0">
      <text>
        <r>
          <rPr>
            <sz val="8"/>
            <color indexed="81"/>
            <rFont val="Tahoma"/>
            <family val="2"/>
          </rPr>
          <t>ЗАМЕНИТЕ НА РЕАЛЬНЫЕ ДАННЫЕ.
Внести фактическую дату после обучения.</t>
        </r>
      </text>
    </comment>
    <comment ref="E17" authorId="0">
      <text>
        <r>
          <rPr>
            <sz val="8"/>
            <color indexed="81"/>
            <rFont val="Tahoma"/>
            <family val="2"/>
          </rPr>
          <t>ЗАМЕНИТЕ НА РЕАЛЬНЫЕ ДАННЫЕ.
Указать номер и версию реально утверждённого стандарта.</t>
        </r>
      </text>
    </comment>
    <comment ref="F17" authorId="0">
      <text>
        <r>
          <rPr>
            <sz val="8"/>
            <color indexed="81"/>
            <rFont val="Tahoma"/>
            <family val="2"/>
          </rPr>
          <t>ЗАМЕНИТЕ НА РЕАЛЬНЫЕ ДАННЫЕ.
Результат практического выполнения под наблюдением наставника.</t>
        </r>
      </text>
    </comment>
    <comment ref="G17" authorId="0">
      <text>
        <r>
          <rPr>
            <sz val="8"/>
            <color indexed="81"/>
            <rFont val="Tahoma"/>
            <family val="2"/>
          </rPr>
          <t>ЗАМЕНИТЕ НА РЕАЛЬНЫЕ ДАННЫЕ.
Подпись ставится реально; эта строка не является электронной подписью.</t>
        </r>
      </text>
    </comment>
  </commentList>
</comments>
</file>

<file path=xl/sharedStrings.xml><?xml version="1.0" encoding="utf-8"?>
<sst xmlns="http://schemas.openxmlformats.org/spreadsheetml/2006/main" count="4572" uniqueCount="1111">
  <si>
    <t>01 / ИСХОДНЫЕ ДАННЫЕ И ВЫБОР ПРОДУКТА</t>
  </si>
  <si>
    <t>ДЕМО / ПРОЕКТ • Жёлтые ячейки — ваш ввод. Расчёты не являются утверждёнными нормативами.</t>
  </si>
  <si>
    <t>← Начало</t>
  </si>
  <si>
    <t>Синий фон — формула; серый — инструкция; жёлтый — ввод. Защита снимается без пароля.</t>
  </si>
  <si>
    <t>Параметр</t>
  </si>
  <si>
    <t>Ваше значение</t>
  </si>
  <si>
    <t>Единица</t>
  </si>
  <si>
    <t>Что заменить / источник</t>
  </si>
  <si>
    <t>Предприятие</t>
  </si>
  <si>
    <t>АО «ПП «Русский хлеб» — уточнить юрлицо</t>
  </si>
  <si>
    <t>В титуле И-ГЦ-02 также указано ООО «Курортное кафе». Перед утверждением сверить реквизиты.</t>
  </si>
  <si>
    <t>Цех</t>
  </si>
  <si>
    <t>Кулинарный цех</t>
  </si>
  <si>
    <t>Уточнить наименование цеха.</t>
  </si>
  <si>
    <t>Рабочее место</t>
  </si>
  <si>
    <t>Овощной участок / SOLIA</t>
  </si>
  <si>
    <t>Фактическое рабочее место и инвентарный номер оборудования.</t>
  </si>
  <si>
    <t>Подготовил</t>
  </si>
  <si>
    <t>Впишите ФИО составителя</t>
  </si>
  <si>
    <t>Без вымышленных подписей и подтверждения проведения наблюдений.</t>
  </si>
  <si>
    <t>Дата начала проекта</t>
  </si>
  <si>
    <t>дата</t>
  </si>
  <si>
    <t>Демонстрационная дата; от неё рассчитываются плановые сроки.</t>
  </si>
  <si>
    <t>Продукт для подробных бланков</t>
  </si>
  <si>
    <t>Латук</t>
  </si>
  <si>
    <t>Выбор перестраивает наблюдения, ручную работу, ОТ, карту и СОП. Общие расчёты всегда учитывают все 18 продуктов.</t>
  </si>
  <si>
    <t>Сценарий подробных наблюдений</t>
  </si>
  <si>
    <t>ДО</t>
  </si>
  <si>
    <t>ДО — модель исходного состояния; ЦЕЛЬ — прогноз. Ни один не является фактом до замены замеров.</t>
  </si>
  <si>
    <t>Основание данных ДО</t>
  </si>
  <si>
    <t>ДЕМО: синтетические замеры; заменить фактическими</t>
  </si>
  <si>
    <t>Укажите дату, смену, исполнителя и ссылку на лист/видеозапись реальных замеров.</t>
  </si>
  <si>
    <t>Основание данных ЦЕЛЬ</t>
  </si>
  <si>
    <t>ДЕМО: прогноз; улучшения не внедрены</t>
  </si>
  <si>
    <t>Не переименовывать прогноз в факт без контрольных наблюдений.</t>
  </si>
  <si>
    <t>Продолжительность одной смены</t>
  </si>
  <si>
    <t>мин/смену</t>
  </si>
  <si>
    <t>Модель рассчитывает ОДНУ смену. Для разных смен используйте отдельные копии книги.</t>
  </si>
  <si>
    <t>Обед</t>
  </si>
  <si>
    <t>Только регламентированное время. Не включайте сюда периодическую санобработку.</t>
  </si>
  <si>
    <t>Прочие регламентные перерывы</t>
  </si>
  <si>
    <t>Сумма перерывов; не учитывать повторно в периодической работе.</t>
  </si>
  <si>
    <t>Фиксированная подготовка смены</t>
  </si>
  <si>
    <t>Не включает подачу тары и санобработку бака, учтённые отдельно.</t>
  </si>
  <si>
    <t>Фиксированное завершение смены</t>
  </si>
  <si>
    <t>Не включает санобработку бака. Она целиком находится в периодической работе.</t>
  </si>
  <si>
    <t>Доступно моечных машин</t>
  </si>
  <si>
    <t>ед.</t>
  </si>
  <si>
    <t>При значении не 1 ресурсные оценки агрегированные. ОТ и карта описывают только одну ячейку; нужен фактический график распределения.</t>
  </si>
  <si>
    <t>Операторов в смене</t>
  </si>
  <si>
    <t>чел.</t>
  </si>
  <si>
    <t>В базовой схеме оператор не выполняет другую работу во время автоматической программы. Дополнительные люди не ускоряют машину автоматически.</t>
  </si>
  <si>
    <t>Помывок с последней санобработки к началу смены</t>
  </si>
  <si>
    <t>0…3</t>
  </si>
  <si>
    <t>Фактический счётчик. 0 означает подготовленный чистый бак. Для неполного предыдущего блока введите 1–3.</t>
  </si>
  <si>
    <t>Резерв завершающей санобработки неполного блока</t>
  </si>
  <si>
    <t>1 / 0</t>
  </si>
  <si>
    <t>ДЕМО: 1 — резерв полного комплекса после неполной четвёрки в конце смены. Это плановое допущение; уточнить по санпрограмме. Регулярную обработку после 4 помывок отключить нельзя.</t>
  </si>
  <si>
    <t>Ответственный за внедрение</t>
  </si>
  <si>
    <t>Начальник кулинарного цеха — впишите ФИО</t>
  </si>
  <si>
    <t>Проект распределения ролей, не назначение приказом.</t>
  </si>
  <si>
    <t>Ответственный за технологию</t>
  </si>
  <si>
    <t>Инженер-технолог — впишите ФИО</t>
  </si>
  <si>
    <t>Проверяет режимы, нормы загрузки, санпрограмму и качество.</t>
  </si>
  <si>
    <t>Исполнитель</t>
  </si>
  <si>
    <t>Оператор SOLIA — впишите ФИО</t>
  </si>
  <si>
    <t>Указать реально наблюдаемого и обученного исполнителя.</t>
  </si>
  <si>
    <t>Ответственный за ОТ</t>
  </si>
  <si>
    <t>Ответственный по ОТ — впишите ФИО</t>
  </si>
  <si>
    <t>Согласовать безопасные действия, СИЗ, инструкции и допуск.</t>
  </si>
  <si>
    <t>Утверждает</t>
  </si>
  <si>
    <t>Уполномоченный руководитель — впишите ФИО</t>
  </si>
  <si>
    <t>Утверждение выполняется вне расчётной модели в установленном порядке.</t>
  </si>
  <si>
    <t>Статус утверждения</t>
  </si>
  <si>
    <t>Не утверждено</t>
  </si>
  <si>
    <t>Редактировать только после реального согласования и утверждения; подпись не генерируется.</t>
  </si>
  <si>
    <t>Номер улучшения для отчёта</t>
  </si>
  <si>
    <t>1…6</t>
  </si>
  <si>
    <t>Переключает подробный отчёт об улучшении.</t>
  </si>
  <si>
    <t>Принятый тип работы</t>
  </si>
  <si>
    <t>II — многономенклатурная работа</t>
  </si>
  <si>
    <t>II</t>
  </si>
  <si>
    <t>Обязательная периодичность санобработки</t>
  </si>
  <si>
    <t>4 помывки</t>
  </si>
  <si>
    <t>Фонд рабочего времени одной ячейки</t>
  </si>
  <si>
    <t>с/смену</t>
  </si>
  <si>
    <t>Всего партий в плане</t>
  </si>
  <si>
    <t>партий/смену</t>
  </si>
  <si>
    <t>Индекс выбранного продукта</t>
  </si>
  <si>
    <t>Такт выпуска по всему ассортименту</t>
  </si>
  <si>
    <t>с/партию</t>
  </si>
  <si>
    <t>Принят для модели; подтвердить наблюдением. Внутри каждого продукта используется поэлементный подход I типа.</t>
  </si>
  <si>
    <t>И-ГЦ-02, стр. 3. Частота — требование источника, не объект оптимизации.</t>
  </si>
  <si>
    <t>Проверяйте лист «Контроль» после каждого изменения. Количество людей не умножает время такта. Для нескольких ячеек нужна отдельная балансировка и распределение целых партий.</t>
  </si>
  <si>
    <t>02 / ТЕХНОЛОГИЧЕСКИЕ ДАННЫЕ ИЗ ИНСТРУКЦИИ</t>
  </si>
  <si>
    <t>Программа</t>
  </si>
  <si>
    <t>Мытьё, об/мин</t>
  </si>
  <si>
    <t>Мытьё, с</t>
  </si>
  <si>
    <t>Ополаск., об/мин</t>
  </si>
  <si>
    <t>Ополаск., с</t>
  </si>
  <si>
    <t>Вращение, об/мин</t>
  </si>
  <si>
    <t>Вращение, с</t>
  </si>
  <si>
    <t>Всего авто, с</t>
  </si>
  <si>
    <t>Тара после обработки</t>
  </si>
  <si>
    <t>Источник</t>
  </si>
  <si>
    <t>«ЗЕЛЕНЬ» для зелени; «СО» для овощей</t>
  </si>
  <si>
    <t>И-ГЦ-02, PDF стр. 3, таблица №1</t>
  </si>
  <si>
    <t>ВАЖНО: 01 = 450 с; 02 = 180 с; 03 = 300 с. Значения «1:00 мин:сек» переведены в 60 секунд, «6:00» — в 360 секунд. Это не 1 и не 6 секунд.</t>
  </si>
  <si>
    <t>После каждой 4-й помывки: слить бак → после слива выключить и обесточить оборудование → промыть бак моющими средствами и продезинфицировать. В книге это отдельный периодический комплекс, а не вычет из фонда времени.</t>
  </si>
  <si>
    <t>И-ГЦ-02 не задаёт средство, концентрацию, температуру и экспозицию дезинфекции, перечень СИЗ и длительности ручных действий. Они НЕ придуманы как технологические нормы. Демонстрационное время в периодических замерах служит только иллюстрацией расчёта.</t>
  </si>
  <si>
    <t>Названия и загрузки всех 18 позиций перенесены в «Ассортимент». Группировка для расчёта — проектная; отдельные названия («сельдерей ствол») сохранены как в источнике. Предел трактуется консервативно как верхняя масса одной загрузки.</t>
  </si>
  <si>
    <t>03 / ПЛАН СМЕНЫ · МАССОВЫЙ БАЛАНС · ЧИСЛО ПАРТИЙ</t>
  </si>
  <si>
    <t>Меняйте F:J. План задаётся в кг годного после мойки. Выход подготовки и выход мойки — разные показатели. Партии считаются по массе, поступающей непосредственно в SOLIA.</t>
  </si>
  <si>
    <t>№</t>
  </si>
  <si>
    <t>Продукт</t>
  </si>
  <si>
    <t>Группа</t>
  </si>
  <si>
    <t>Предел загрузки, кг</t>
  </si>
  <si>
    <t>План годного, кг</t>
  </si>
  <si>
    <t>Выход подготовки</t>
  </si>
  <si>
    <t>Выход мойки</t>
  </si>
  <si>
    <t>Партия план, кг</t>
  </si>
  <si>
    <t>Партия замера, кг</t>
  </si>
  <si>
    <t>В мойку, кг</t>
  </si>
  <si>
    <t>Исходное сырьё, кг</t>
  </si>
  <si>
    <t>Отсев до мойки, кг</t>
  </si>
  <si>
    <t>Потери при мойке, кг</t>
  </si>
  <si>
    <t>Партий, шт.</t>
  </si>
  <si>
    <t>Последняя партия, кг</t>
  </si>
  <si>
    <t>Доля партий</t>
  </si>
  <si>
    <t>Авто, с/партию</t>
  </si>
  <si>
    <t>Контроль вводов</t>
  </si>
  <si>
    <t>Сопоставимость замеров</t>
  </si>
  <si>
    <t>Зелень</t>
  </si>
  <si>
    <t>Базилик</t>
  </si>
  <si>
    <t>Петрушка</t>
  </si>
  <si>
    <t>Томат</t>
  </si>
  <si>
    <t>Овощи и прочее</t>
  </si>
  <si>
    <t>Белокочанная капуста</t>
  </si>
  <si>
    <t>Укроп</t>
  </si>
  <si>
    <t>Зеленый лук</t>
  </si>
  <si>
    <t>Кинза</t>
  </si>
  <si>
    <t>Шампиньоны</t>
  </si>
  <si>
    <t>Перец болгарский красный</t>
  </si>
  <si>
    <t>Огурец</t>
  </si>
  <si>
    <t>Редис</t>
  </si>
  <si>
    <t>Сельдерей ствол</t>
  </si>
  <si>
    <t>Сельдерей корень</t>
  </si>
  <si>
    <t>Тыква</t>
  </si>
  <si>
    <t>Имбирь</t>
  </si>
  <si>
    <t>Лимон</t>
  </si>
  <si>
    <t>Апельсин</t>
  </si>
  <si>
    <t>ИТОГО</t>
  </si>
  <si>
    <t>Число партий = ROUNDUP(масса в мойку / плановая партия). Усреднение времени ведётся по количеству партий, НЕ по кг. Для неполной партии сохранены полные ручные и автоматические времена — консервативное допущение. Значение 0 в плане допустимо; пустые/ошибочные исходные данные не означают нулевой спрос.</t>
  </si>
  <si>
    <t>04 / ПОЭЛЕМЕНТНЫЕ ЗАМЕРЫ · ДО · ВСЕ 18 ПРОДУКТОВ</t>
  </si>
  <si>
    <t>Вводите длительность каждого элемента в секундах, НЕ накопительные отсечки. Флаг 0 исключает ВЕСЬ цикл. Если хотя бы один элемент пустой/ошибочный — весь цикл автоматически исключается.</t>
  </si>
  <si>
    <t>01. Латук · ДО · 10 демонстрационных циклов, заменить реальными</t>
  </si>
  <si>
    <t>Рабочий элемент</t>
  </si>
  <si>
    <t>Тип</t>
  </si>
  <si>
    <t>Точка отсчёта</t>
  </si>
  <si>
    <t>1</t>
  </si>
  <si>
    <t>2</t>
  </si>
  <si>
    <t>3</t>
  </si>
  <si>
    <t>4</t>
  </si>
  <si>
    <t>5</t>
  </si>
  <si>
    <t>6</t>
  </si>
  <si>
    <t>7</t>
  </si>
  <si>
    <t>8</t>
  </si>
  <si>
    <t>9</t>
  </si>
  <si>
    <t>10</t>
  </si>
  <si>
    <t>t min</t>
  </si>
  <si>
    <t>t max</t>
  </si>
  <si>
    <t>Размах</t>
  </si>
  <si>
    <t>Рег. с</t>
  </si>
  <si>
    <t>t отрег.</t>
  </si>
  <si>
    <t>Колебания</t>
  </si>
  <si>
    <t>Среднее</t>
  </si>
  <si>
    <t>Контроль</t>
  </si>
  <si>
    <t>Служебно</t>
  </si>
  <si>
    <t>Статус</t>
  </si>
  <si>
    <t>Учитывать цикл: 1 / 0</t>
  </si>
  <si>
    <t>Причина исключения / условия</t>
  </si>
  <si>
    <t>ДЕМО</t>
  </si>
  <si>
    <t>Осмотреть упаковку и сырьё</t>
  </si>
  <si>
    <t>Ручная</t>
  </si>
  <si>
    <t>Осмотр партии завершён</t>
  </si>
  <si>
    <t>Отсортировать / подготовить сырьё</t>
  </si>
  <si>
    <t>Подготовленное сырьё отложено</t>
  </si>
  <si>
    <t>Отвесить допустимую партию</t>
  </si>
  <si>
    <t>Масса партии проверена</t>
  </si>
  <si>
    <t>—</t>
  </si>
  <si>
    <t>Перейти с партией к SOLIA</t>
  </si>
  <si>
    <t>Переход</t>
  </si>
  <si>
    <t>Оператор у SOLIA</t>
  </si>
  <si>
    <t>Загрузить, выбрать программу, запустить</t>
  </si>
  <si>
    <t>Программа запущена</t>
  </si>
  <si>
    <t>Автоматическая программа / ожидание</t>
  </si>
  <si>
    <t>Авто/ожидание</t>
  </si>
  <si>
    <t>Полный цикл программы завершён</t>
  </si>
  <si>
    <t>Выгрузить в чистую маркированную тару</t>
  </si>
  <si>
    <t>Выгрузка завершена</t>
  </si>
  <si>
    <t>Проверить качество и маркировку</t>
  </si>
  <si>
    <t>Результат проверки подтверждён</t>
  </si>
  <si>
    <t>Передать в зону чистой продукции</t>
  </si>
  <si>
    <t>Партия передана</t>
  </si>
  <si>
    <t>Вернуться к началу цикла</t>
  </si>
  <si>
    <t>Возврат на исходную позицию</t>
  </si>
  <si>
    <t>Внеплановый поиск тары / ожидание</t>
  </si>
  <si>
    <t>Потери</t>
  </si>
  <si>
    <t>Причина задержки устранена</t>
  </si>
  <si>
    <t>ИТОГИ: все элементы цикла</t>
  </si>
  <si>
    <t>ТОЛЬКО полные учтённые циклы</t>
  </si>
  <si>
    <t>В строке учтённых циклов: O = T min; P = T max; Q = размах цикла; R = T min − сумма t min; S = сумма размахов ручных элементов; T = число циклов; U = среднее; V = сумма t отрег − T min (должно быть 0).</t>
  </si>
  <si>
    <t>02. Базилик · ДО · 10 демонстрационных циклов, заменить реальными</t>
  </si>
  <si>
    <t>03. Петрушка · ДО · 10 демонстрационных циклов, заменить реальными</t>
  </si>
  <si>
    <t>04. Томат · ДО · 10 демонстрационных циклов, заменить реальными</t>
  </si>
  <si>
    <t>05. Белокочанная капуста · ДО · 10 демонстрационных циклов, заменить реальными</t>
  </si>
  <si>
    <t>06. Укроп · ДО · 10 демонстрационных циклов, заменить реальными</t>
  </si>
  <si>
    <t>07. Зеленый лук · ДО · 10 демонстрационных циклов, заменить реальными</t>
  </si>
  <si>
    <t>08. Кинза · ДО · 10 демонстрационных циклов, заменить реальными</t>
  </si>
  <si>
    <t>09. Шампиньоны · ДО · 10 демонстрационных циклов, заменить реальными</t>
  </si>
  <si>
    <t>10. Перец болгарский красный · ДО · 10 демонстрационных циклов, заменить реальными</t>
  </si>
  <si>
    <t>11. Огурец · ДО · 10 демонстрационных циклов, заменить реальными</t>
  </si>
  <si>
    <t>12. Редис · ДО · 10 демонстрационных циклов, заменить реальными</t>
  </si>
  <si>
    <t>13. Сельдерей ствол · ДО · 10 демонстрационных циклов, заменить реальными</t>
  </si>
  <si>
    <t>14. Сельдерей корень · ДО · 10 демонстрационных циклов, заменить реальными</t>
  </si>
  <si>
    <t>15. Тыква · ДО · 10 демонстрационных циклов, заменить реальными</t>
  </si>
  <si>
    <t>16. Имбирь · ДО · 10 демонстрационных циклов, заменить реальными</t>
  </si>
  <si>
    <t>17. Лимон · ДО · 10 демонстрационных циклов, заменить реальными</t>
  </si>
  <si>
    <t>18. Апельсин · ДО · 10 демонстрационных циклов, заменить реальными</t>
  </si>
  <si>
    <t>04 / ПОЭЛЕМЕНТНЫЕ ЗАМЕРЫ · ЦЕЛЬ · ВСЕ 18 ПРОДУКТОВ</t>
  </si>
  <si>
    <t>01. Латук · ЦЕЛЬ · 10 демонстрационных циклов, заменить реальными</t>
  </si>
  <si>
    <t>02. Базилик · ЦЕЛЬ · 10 демонстрационных циклов, заменить реальными</t>
  </si>
  <si>
    <t>03. Петрушка · ЦЕЛЬ · 10 демонстрационных циклов, заменить реальными</t>
  </si>
  <si>
    <t>04. Томат · ЦЕЛЬ · 10 демонстрационных циклов, заменить реальными</t>
  </si>
  <si>
    <t>05. Белокочанная капуста · ЦЕЛЬ · 10 демонстрационных циклов, заменить реальными</t>
  </si>
  <si>
    <t>06. Укроп · ЦЕЛЬ · 10 демонстрационных циклов, заменить реальными</t>
  </si>
  <si>
    <t>07. Зеленый лук · ЦЕЛЬ · 10 демонстрационных циклов, заменить реальными</t>
  </si>
  <si>
    <t>08. Кинза · ЦЕЛЬ · 10 демонстрационных циклов, заменить реальными</t>
  </si>
  <si>
    <t>09. Шампиньоны · ЦЕЛЬ · 10 демонстрационных циклов, заменить реальными</t>
  </si>
  <si>
    <t>10. Перец болгарский красный · ЦЕЛЬ · 10 демонстрационных циклов, заменить реальными</t>
  </si>
  <si>
    <t>11. Огурец · ЦЕЛЬ · 10 демонстрационных циклов, заменить реальными</t>
  </si>
  <si>
    <t>12. Редис · ЦЕЛЬ · 10 демонстрационных циклов, заменить реальными</t>
  </si>
  <si>
    <t>13. Сельдерей ствол · ЦЕЛЬ · 10 демонстрационных циклов, заменить реальными</t>
  </si>
  <si>
    <t>14. Сельдерей корень · ЦЕЛЬ · 10 демонстрационных циклов, заменить реальными</t>
  </si>
  <si>
    <t>15. Тыква · ЦЕЛЬ · 10 демонстрационных циклов, заменить реальными</t>
  </si>
  <si>
    <t>16. Имбирь · ЦЕЛЬ · 10 демонстрационных циклов, заменить реальными</t>
  </si>
  <si>
    <t>17. Лимон · ЦЕЛЬ · 10 демонстрационных циклов, заменить реальными</t>
  </si>
  <si>
    <t>18. Апельсин · ЦЕЛЬ · 10 демонстрационных циклов, заменить реальными</t>
  </si>
  <si>
    <t>05 / ЛИСТ НАБЛЮДЕНИЯ ПЕРИОДИЧЕСКОЙ РАБОТЫ</t>
  </si>
  <si>
    <t>Минимум из 3 замеров / периодичность = нормативное распределение на цикл. Для проверки плана применяются ЦЕЛЫЕ события и отдельный резерв завершения неполного блока.</t>
  </si>
  <si>
    <t>Событие</t>
  </si>
  <si>
    <t>Каждые N циклов</t>
  </si>
  <si>
    <t>ДО 1, с</t>
  </si>
  <si>
    <t>ДО 2, с</t>
  </si>
  <si>
    <t>ДО 3, с</t>
  </si>
  <si>
    <t>min ДО, с</t>
  </si>
  <si>
    <t>ДО, с/цикл</t>
  </si>
  <si>
    <t>ЦЕЛЬ 1, с</t>
  </si>
  <si>
    <t>ЦЕЛЬ 2, с</t>
  </si>
  <si>
    <t>ЦЕЛЬ 3, с</t>
  </si>
  <si>
    <t>min ЦЕЛЬ, с</t>
  </si>
  <si>
    <t>ЦЕЛЬ, с/цикл</t>
  </si>
  <si>
    <t>Событий/смену</t>
  </si>
  <si>
    <t>ДО за смену, с</t>
  </si>
  <si>
    <t>ЦЕЛЬ за смену, с</t>
  </si>
  <si>
    <t>Источник / ограничения</t>
  </si>
  <si>
    <t>Слить бак после каждой 4-й помывки</t>
  </si>
  <si>
    <t>Санобработка</t>
  </si>
  <si>
    <t>И-ГЦ-02, стр. 3: обязательная последовательность; время — ДЕМО</t>
  </si>
  <si>
    <t>После слива выключить и обесточить оборудование</t>
  </si>
  <si>
    <t>Промыть бак моющими средствами</t>
  </si>
  <si>
    <t>И-ГЦ-02, стр. 3; средство, режим и фактическое время уточнить</t>
  </si>
  <si>
    <t>Продезинфицировать бак по утверждённой программе</t>
  </si>
  <si>
    <t>Время — только ДЕМО, НЕ экспозиция средства. Не задаёт концентрацию, температуру или выдержку</t>
  </si>
  <si>
    <t>Восстановить готовность SOLIA по паспорту оборудования</t>
  </si>
  <si>
    <t>Плановое дополнение: действия и время сверить с паспортом SOLIA и санпрограммой</t>
  </si>
  <si>
    <t>Подать комплект чистой тары до 1-го цикла и далее каждые 8 циклов</t>
  </si>
  <si>
    <t>Подача тары</t>
  </si>
  <si>
    <t>ДЕМО: периодичность и время заменить наблюдениями; не входит в фиксированную подготовку смены</t>
  </si>
  <si>
    <t>Регулярных полных санобработок</t>
  </si>
  <si>
    <t>Дополнительных после неполного блока</t>
  </si>
  <si>
    <t>Всего полных комплексов за смену</t>
  </si>
  <si>
    <t>Частота 4 — фиксированное требование И-ГЦ-02. Комплекс состоит из 5 строк, но число санобработок НЕ суммируется по этим строкам. Завершение неполного блока — отдельный резерв, не утверждённое требование источника. Не вычитать эти же секунды ещё раз из фонда рабочего времени.</t>
  </si>
  <si>
    <t>ДО и ЦЕЛЬ используют одинаковые санитарные времена. Улучшение не достигается за счёт экспозиции, концентрации, температуры или пропуска очистки. Обесточивание следует ПОСЛЕ слива, как указано в И-ГЦ-02. Восстановление готовности — проектное дополнение по паспорту машины, который требуется проверить.</t>
  </si>
  <si>
    <t>06 / II ТИП · СРЕДНЕВЗВЕШЕННЫЕ ВРЕМЕНА · ДО</t>
  </si>
  <si>
    <t>Партий</t>
  </si>
  <si>
    <t>Вес</t>
  </si>
  <si>
    <t>Ручная, с</t>
  </si>
  <si>
    <t>Переходы, с</t>
  </si>
  <si>
    <t>Потери, с</t>
  </si>
  <si>
    <t>Авто/ожид., с</t>
  </si>
  <si>
    <t>Цикл min = отрег., с</t>
  </si>
  <si>
    <t>Цикл сред., с</t>
  </si>
  <si>
    <t>Цикл max, с</t>
  </si>
  <si>
    <t>Σ колебаний элементов, с</t>
  </si>
  <si>
    <t>Периодич. норматив, с/цикл</t>
  </si>
  <si>
    <t>Цикл + периодич., с</t>
  </si>
  <si>
    <t>Циклическое min, с/смену</t>
  </si>
  <si>
    <t>Циклическое сред., с/смену</t>
  </si>
  <si>
    <t>Активное занятие, с/цикл</t>
  </si>
  <si>
    <t>Машина, с/цикл</t>
  </si>
  <si>
    <t>Учтено циклов</t>
  </si>
  <si>
    <t>Контроль регулировки</t>
  </si>
  <si>
    <t>Полнота данных</t>
  </si>
  <si>
    <t>Ср. вз. / итоги</t>
  </si>
  <si>
    <t>Циклическое время плана по отрегулированному циклу</t>
  </si>
  <si>
    <t>Циклическое время плана по среднему наблюдаемому циклу</t>
  </si>
  <si>
    <t>Периодическая работа: точное число целых событий</t>
  </si>
  <si>
    <t>Полное время плана, отрегулированный цикл + целые события</t>
  </si>
  <si>
    <t>Полное время плана, средний цикл + целые события</t>
  </si>
  <si>
    <t>Доступный фонд ОДНОЙ ячейки</t>
  </si>
  <si>
    <t>Загрузка одной последовательной ячейки — отрегулированная</t>
  </si>
  <si>
    <t>%</t>
  </si>
  <si>
    <t>Загрузка одной последовательной ячейки — средняя</t>
  </si>
  <si>
    <t>Активное занятие оператора, включая переходы и потери, без автоожидания</t>
  </si>
  <si>
    <t>чел·с/смену</t>
  </si>
  <si>
    <t>Теоретическая потребность по активному занятию, НЕ штатный норматив</t>
  </si>
  <si>
    <t>экв. чел.</t>
  </si>
  <si>
    <t>Нижняя оценка операторов при ПОЛНОМ ожидании программы</t>
  </si>
  <si>
    <t>Занятость машины: загрузка + авто + выгрузка + санобработка</t>
  </si>
  <si>
    <t>маш·с/смену</t>
  </si>
  <si>
    <t>Теоретическая потребность в машинах по их занятости</t>
  </si>
  <si>
    <t>экв. машин</t>
  </si>
  <si>
    <t>Нижняя целая оценка числа машин</t>
  </si>
  <si>
    <t>Периодическая работа с завершением неполного блока</t>
  </si>
  <si>
    <t>Ср. вз. средний цикл + точная доля периодической работы</t>
  </si>
  <si>
    <t>Ср. вз. отрег. цикл + точная доля периодической работы</t>
  </si>
  <si>
    <t>Ориентир способности по нормативному усреднению (не точный сменный выпуск)</t>
  </si>
  <si>
    <t>экв. партий</t>
  </si>
  <si>
    <t>Проверка плана для 1 машины + 1 оператора, отрег. цикл</t>
  </si>
  <si>
    <t>Проверка плана для 1 машины + 1 оператора, средний цикл</t>
  </si>
  <si>
    <t>Машинное время и одновременное ожидание оператора не складываются дважды. В этой модели нет перекрытия подготовки следующей партии с мойкой. Ресурсные оценки для нескольких операторов/машин — нижние агрегированные границы, не готовый график. Ориентир выпуска по усреднению может отличаться от точного плана из-за целых партий и санобработок; основной критерий — строки 33–37 и 49–50.</t>
  </si>
  <si>
    <t>Агрегированная загрузка доступных машин (нижняя оценка)</t>
  </si>
  <si>
    <t>Агрегированная занятость доступных операторов с ожиданием (нижняя оценка)</t>
  </si>
  <si>
    <t>Агрегированное активное занятие доступных операторов (нижняя оценка)</t>
  </si>
  <si>
    <t>Строки 56–58 используют фактическое число доступных ресурсов. Это только нижние агрегированные оценки: не учитывают неравномерное распределение целых партий, отдельные счётчики санобработки машин, перемещения между ними и ограничения многомашинного обслуживания. При числе ресурсов не 1 требуется отдельный график; проверка на листе «Контроль» напоминает об этом.</t>
  </si>
  <si>
    <t>06 / II ТИП · СРЕДНЕВЗВЕШЕННЫЕ ВРЕМЕНА · ЦЕЛЬ</t>
  </si>
  <si>
    <t>07 / ЛИСТ ВЫЧИСЛЕНИЯ ВРЕМЕНИ ТАКТА</t>
  </si>
  <si>
    <t>Код</t>
  </si>
  <si>
    <t>Вопрос бланка ФЦК</t>
  </si>
  <si>
    <t>Результат</t>
  </si>
  <si>
    <t>Расчёт / пояснение</t>
  </si>
  <si>
    <t>A</t>
  </si>
  <si>
    <t>Сколько секунд в смене?</t>
  </si>
  <si>
    <t>с</t>
  </si>
  <si>
    <t>Длительность смены × 60; не умножать на количество сотрудников.</t>
  </si>
  <si>
    <t>B</t>
  </si>
  <si>
    <t>Сколько секунд уходит на регламентные перерывы?</t>
  </si>
  <si>
    <t>Обед + прочие перерывы + фиксированная подготовка/завершение. Санобработка отдельно.</t>
  </si>
  <si>
    <t>C</t>
  </si>
  <si>
    <t>Сколько рабочих секунд в смене (A − B)?</t>
  </si>
  <si>
    <t>Фонд одной последовательной ячейки.</t>
  </si>
  <si>
    <t>D</t>
  </si>
  <si>
    <t>Общее число изделий всех типов за смену</t>
  </si>
  <si>
    <t>партий</t>
  </si>
  <si>
    <t>Единица процесса — одна загрузка SOLIA. Сумма целых партий всех 18 видов, а не килограммы.</t>
  </si>
  <si>
    <t>E</t>
  </si>
  <si>
    <t>Время такта (C / D)</t>
  </si>
  <si>
    <t>Такт по всему ассортименту, согласно разделу 7.2 и приложению 1 МУ-41-2024.</t>
  </si>
  <si>
    <t>Заказчик в модели — следующий производственный передел. На выходе: промытая продукция в чистой таре «СО» или «ЗЕЛЕНЬ». При нулевом спросе такт не определяется (пустое значение и сообщение в «Контроль»), а не принимается равным нулю.</t>
  </si>
  <si>
    <t>Расчётная единица выбрана по аналогии с загрузкой/плавкой из приложения 1. Если на предприятии применяется иная единица учёта, сначала согласуйте единицу и пересчитайте спрос, а не смешивайте кг и партии в одной формуле.</t>
  </si>
  <si>
    <t>08 / ПОДГОТОВИТЕЛЬНЫЙ ЛИСТ НАБЛЮДЕНИЯ</t>
  </si>
  <si>
    <t>№ замера</t>
  </si>
  <si>
    <t>Время цикла, с</t>
  </si>
  <si>
    <t>Учтён (1/0)</t>
  </si>
  <si>
    <t>Причина / условия</t>
  </si>
  <si>
    <t>Элемент</t>
  </si>
  <si>
    <t>Список рабочих элементов и переходов</t>
  </si>
  <si>
    <t>T min, с</t>
  </si>
  <si>
    <t>T max, с</t>
  </si>
  <si>
    <t>Размах цикла, с</t>
  </si>
  <si>
    <t>Колебания / T min</t>
  </si>
  <si>
    <t>Среднее, с</t>
  </si>
  <si>
    <t>Такт, с/партию</t>
  </si>
  <si>
    <t>Наблюдения выше — представление выбранного продукта и сценария из «Ввод». Все 18 наборов хранятся в «Замеры ДО» и «Замеры ЦЕЛЬ». Изменяйте жёлтые исходные клетки там. Флаг 0 или неполный цикл исключает всю колонку из статистики; требуется не менее 10 полных сопоставимых замеров.</t>
  </si>
  <si>
    <t>09 / ЛИСТ НАБЛЮДЕНИЯ РУЧНОЙ РАБОТЫ</t>
  </si>
  <si>
    <t>t min, с</t>
  </si>
  <si>
    <t>t max − min, с</t>
  </si>
  <si>
    <t>Рег. секунды</t>
  </si>
  <si>
    <t>t отрег., с</t>
  </si>
  <si>
    <t>Колебания, с</t>
  </si>
  <si>
    <t>Комментарий</t>
  </si>
  <si>
    <t>Регулировка допустима</t>
  </si>
  <si>
    <t>Не распределять регулировочные секунды на переходы, ожидание и потери.</t>
  </si>
  <si>
    <t>T — минимальное время полного учтённого цикла</t>
  </si>
  <si>
    <t>T − Σt min — время регулировки</t>
  </si>
  <si>
    <t>Сумма размахов элементов, не относящихся к потерям</t>
  </si>
  <si>
    <t>Контроль: Σt отрег − T (должно быть 0)</t>
  </si>
  <si>
    <t>МУ-41-2024, стр. 17: регулировка распределяется пропорционально размахам элементов, не относящихся к потерям. В модели это необходимые ручные действия, включая обязательный контроль. На переходы и ожидания регулировка не назначается. Если размахи допустимых элементов нулевые, остаток относится к самому длительному допустимому элементу.</t>
  </si>
  <si>
    <t>10 / КАРТА СТАНДАРТИЗИРОВАННОЙ РАБОТЫ</t>
  </si>
  <si>
    <t>Точка</t>
  </si>
  <si>
    <t>Место / действие</t>
  </si>
  <si>
    <t>X ДО, м</t>
  </si>
  <si>
    <t>Y ДО, м</t>
  </si>
  <si>
    <t>X ЦЕЛЬ, м</t>
  </si>
  <si>
    <t>Y ЦЕЛЬ, м</t>
  </si>
  <si>
    <t>Путь ДО, м</t>
  </si>
  <si>
    <t>Путь ЦЕЛЬ, м</t>
  </si>
  <si>
    <t>Особое внимание</t>
  </si>
  <si>
    <t>Периодичность контроля</t>
  </si>
  <si>
    <t>1. Осмотр / подготовка</t>
  </si>
  <si>
    <t>Качество: упаковка, отсутствие порчи</t>
  </si>
  <si>
    <t>Каждая партия</t>
  </si>
  <si>
    <t>2. Взвешивание</t>
  </si>
  <si>
    <t>Качество: масса не выше предела</t>
  </si>
  <si>
    <t>Каждая загрузка</t>
  </si>
  <si>
    <t>3. SOLIA</t>
  </si>
  <si>
    <t>Безопасность: программа; полная остановка перед доступом по паспорту</t>
  </si>
  <si>
    <t>Каждый цикл; санобработка после 4</t>
  </si>
  <si>
    <t>4. Чистая тара / контроль</t>
  </si>
  <si>
    <t>Качество: чистая маркированная тара</t>
  </si>
  <si>
    <t>5. Передача годной продукции</t>
  </si>
  <si>
    <t>Не допускать перекрёстного загрязнения</t>
  </si>
  <si>
    <t>6. Возврат к началу (пунктир в натурной карте)</t>
  </si>
  <si>
    <t>Возврат не является транспортировкой сырья</t>
  </si>
  <si>
    <t>Каждый цикл</t>
  </si>
  <si>
    <t>Длина замкнутого маршрута</t>
  </si>
  <si>
    <t>Порядок движения задан номерами 1→2→3→4→5; возврат — пунктиром. Контроль качества и точки безопасности приведены в таблице. После изменения координат графики и длины пересчитаются, но времена переходов НЕ масштабируются по расстоянию: их нужно повторно измерить.</t>
  </si>
  <si>
    <t>Проект стандартного запаса в процессе</t>
  </si>
  <si>
    <t>партия максимум</t>
  </si>
  <si>
    <t>Масса партии в SOLIA</t>
  </si>
  <si>
    <t>кг</t>
  </si>
  <si>
    <t>Межоперационный буфер в последовательной схеме</t>
  </si>
  <si>
    <t>Принят поток одной партии: в момент мойки в машине находится 1 партия; дополнительных межоперационных заделов не предусмотрено. Это проектная схема, не расчёт запасов по закону Литтла и не разрешение на хранение скоропортящейся продукции. Сырьё до первой операции и готовая продукция после последней не относятся к стандартному запасу (МУ, стр. 4, 47–50).</t>
  </si>
  <si>
    <t>11 / ЛИСТ ПРОИЗВОДСТВЕННОЙ СПОСОБНОСТИ ОБОРУДОВАНИЯ</t>
  </si>
  <si>
    <t>Одна SOLIA: загрузка/выгрузка не перекрывают автоматическую программу. Пределы ниже относятся к машине без внешней подготовки сырья; выполнимость всего потока — в «Расчет ДО/ЦЕЛЬ».</t>
  </si>
  <si>
    <t>Операция / продукт</t>
  </si>
  <si>
    <t>Машина</t>
  </si>
  <si>
    <t>Ручная у машины ДО, с</t>
  </si>
  <si>
    <t>Авто, с</t>
  </si>
  <si>
    <t>Цикл машины ДО, с</t>
  </si>
  <si>
    <t>Санобработка каждые N</t>
  </si>
  <si>
    <t>Комплекс санобработки, с</t>
  </si>
  <si>
    <t>Способность ДО, партий*</t>
  </si>
  <si>
    <t>Цикл машины ЦЕЛЬ, с</t>
  </si>
  <si>
    <t>Способность ЦЕЛЬ, партий*</t>
  </si>
  <si>
    <t>План партий</t>
  </si>
  <si>
    <t>Занятость ДО, с/смену**</t>
  </si>
  <si>
    <t>Занятость ЦЕЛЬ, с/смену**</t>
  </si>
  <si>
    <t>Доля ресурса ДО</t>
  </si>
  <si>
    <t>Доля ресурса ЦЕЛЬ</t>
  </si>
  <si>
    <t>План / способность ДО</t>
  </si>
  <si>
    <t>Примечание</t>
  </si>
  <si>
    <t>SOLIA</t>
  </si>
  <si>
    <t>* Если всю смену мыть только этот продукт. Не суммировать мощности разных продуктов.</t>
  </si>
  <si>
    <t>Общая загрузка одной машины</t>
  </si>
  <si>
    <t>** Санобработка — общий ресурс для смешанного плана. В строках её сменное время распределено пропорционально партиям исключительно для аналитики; фактическое число событий рассчитано один раз на «Периодическая работа». Суммировать способности I/K нельзя: это одна и та же машина в разных сценариях монопродуктового выпуска.</t>
  </si>
  <si>
    <t>Доступно машин</t>
  </si>
  <si>
    <t>Нижняя потребность ДО, ед.</t>
  </si>
  <si>
    <t>Нижняя потребность ЦЕЛЬ, ед.</t>
  </si>
  <si>
    <t>При нескольких машинах целые партии, порядок санобработки каждой машины и занятость сотрудников надо распределить по реальному графику. Агрегированная оценка не гарантирует выполнение плана. Для принятой схемы 1 машина + 1 оператор проверяйте также средний цикл, а не только лучшие времена.</t>
  </si>
  <si>
    <t>12 / ОБЪЕДИНЁННАЯ ТАБЛИЦА СТАНДАРТИЗИРОВАННОЙ РАБОТЫ · ДО</t>
  </si>
  <si>
    <t>Масштаб = максимум (такт; время цикла × 1,05) / 36 клеток</t>
  </si>
  <si>
    <t>с / клетку</t>
  </si>
  <si>
    <t>Ожидание, с</t>
  </si>
  <si>
    <t>Переход, с</t>
  </si>
  <si>
    <t>Начало, с</t>
  </si>
  <si>
    <t>Конец, с</t>
  </si>
  <si>
    <t>Исполнитель / ресурс</t>
  </si>
  <si>
    <t>Оператор №1</t>
  </si>
  <si>
    <t>SOLIA + оператор (ожидание)</t>
  </si>
  <si>
    <t>ИТОГО (авто и ожидание НЕ складывать)</t>
  </si>
  <si>
    <t>Разница такт − цикл (положительная = резерв)</t>
  </si>
  <si>
    <t>Периодическая работа, норматив с/цикл</t>
  </si>
  <si>
    <t>Цикл + периодическая работа, с/партию</t>
  </si>
  <si>
    <t>Контроль ОТ − цикл листа наблюдений</t>
  </si>
  <si>
    <t>Фиолетовый интервал — одновременно работа SOLIA и ожидание оператора; в длительности процесса учитывается ОДИН раз через MAX(авто; ожидание). График показывает один обычный цикл без санобработки. Через каждые 4 цикла добавляется полный санитарный комплекс. Нормативное распределение на цикл — аналитика, а не разрешение выполнять четверть санобработки.</t>
  </si>
  <si>
    <t>Синий = ручная работа; оранжевый = переход; фиолетовый = автоматическая программа / ожидание; серый = внеплановые потери. Состав и численность в этом бланке фиксированы: оператор №1 и одна SOLIA. Для иных схем требуется отдельная ОТ; число людей во «Ввод» само по себе не создаёт параллельную работу.</t>
  </si>
  <si>
    <t>12 / ОБЪЕДИНЁННАЯ ТАБЛИЦА СТАНДАРТИЗИРОВАННОЙ РАБОТЫ · ЦЕЛЬ</t>
  </si>
  <si>
    <t>13 / ДИАГРАММА СБАЛАНСИРОВАННОЙ РАБОТЫ</t>
  </si>
  <si>
    <t>Состояние</t>
  </si>
  <si>
    <t>Автоожидание, с</t>
  </si>
  <si>
    <t>Прочие потери, с</t>
  </si>
  <si>
    <t>Периодич., с</t>
  </si>
  <si>
    <t>Σ колебаний, с</t>
  </si>
  <si>
    <t>Такт, с</t>
  </si>
  <si>
    <t>Без колебаний, с</t>
  </si>
  <si>
    <t>Загрузка</t>
  </si>
  <si>
    <t>Нижняя оценка чел.</t>
  </si>
  <si>
    <t>Оператор №1 / ДО</t>
  </si>
  <si>
    <t>Оператор №1 / ЦЕЛЬ</t>
  </si>
  <si>
    <t>Вес каждого продукта — его доля в числе партий. Колебания сверху — сумма (t max элемента − t отрег), а не добавка к нормативу. Программа мойки учитывается как ожидание оператора, т.к. в принятой последовательной схеме другой работы в это время нет. Точная сменная загрузка с целыми санобработками приведена в «Расчет ДО/ЦЕЛЬ».</t>
  </si>
  <si>
    <t>Цикл ДО, с</t>
  </si>
  <si>
    <t>Период ДО, с</t>
  </si>
  <si>
    <t>Колеб. ДО, с</t>
  </si>
  <si>
    <t>Цикл ЦЕЛЬ, с</t>
  </si>
  <si>
    <t>Период ЦЕЛЬ, с</t>
  </si>
  <si>
    <t>Колеб. ЦЕЛЬ, с</t>
  </si>
  <si>
    <t>Доля</t>
  </si>
  <si>
    <t>Анализ отдельного вида; план — по смеси</t>
  </si>
  <si>
    <t>14 / ОБЩИЙ СПИСОК УЛУЧШЕНИЙ · ПЛАН, НЕ ОТЧЁТ О ВНЕДРЕНИИ</t>
  </si>
  <si>
    <t>Проблема (гипотеза по ДЕМО)</t>
  </si>
  <si>
    <t>Предлагаемое изменение</t>
  </si>
  <si>
    <t>Ответственный / роль</t>
  </si>
  <si>
    <t>Срок (план)</t>
  </si>
  <si>
    <t>ДО, с/партию</t>
  </si>
  <si>
    <t>ЦЕЛЬ, с/партию</t>
  </si>
  <si>
    <t>ПОСЛЕ, факт с/партию</t>
  </si>
  <si>
    <t>Потенциал, с</t>
  </si>
  <si>
    <t>Подтверждённый эффект, с</t>
  </si>
  <si>
    <t>Поиск чистой тары в цикле</t>
  </si>
  <si>
    <t>Закрепить и обозначить место чистой маркированной тары. Исключить поиск; не исключать проверку чистоты.</t>
  </si>
  <si>
    <t>Не измерено</t>
  </si>
  <si>
    <t>Запланировано</t>
  </si>
  <si>
    <t>Лишние переходы оператора</t>
  </si>
  <si>
    <t>Уточнить планировку, сблизить разрешённые зоны без пересечения сырого и чистого потоков.</t>
  </si>
  <si>
    <t>Неудобное взвешивание</t>
  </si>
  <si>
    <t>Организовать рабочую позицию весов и тары. Сохранить контроль массы каждой загрузки.</t>
  </si>
  <si>
    <t>Организационные задержки загрузки</t>
  </si>
  <si>
    <t>Разместить памятку программ и инвентарь в зоне доступа. Не сокращать длительности программ.</t>
  </si>
  <si>
    <t>Неудобная выгрузка в чистую тару</t>
  </si>
  <si>
    <t>Обеспечить подготовленную чистую тару «СО» / «ЗЕЛЕНЬ» рядом с разрешённой точкой выгрузки.</t>
  </si>
  <si>
    <t>Избыточные затраты на подачу тары</t>
  </si>
  <si>
    <t>Уточнить маршрут снабжения. Сохранить чистоту, разделение потоков и достаточное число ёмкостей.</t>
  </si>
  <si>
    <t>Числа ДО/ЦЕЛЬ — автоматические средневзвешенные оценки. Факт намеренно не выдуман. Эффекты строк НЕ следует механически суммировать: регулировочные секунды перераспределяются, а санитарный комплекс обязателен. Общий эффект считается по полному сменному времени в «Отчет об улучшении».</t>
  </si>
  <si>
    <t>15 / ОТЧЁТ ОБ УЛУЧШЕНИИ · РАСЧЁТНЫЙ ПРОЕКТ</t>
  </si>
  <si>
    <t>Формат приложения №3; «внедрённое изменение» заменено на «планируемое», т.к. факт внедрения не подтверждён.</t>
  </si>
  <si>
    <t>№ выбранного улучшения</t>
  </si>
  <si>
    <t>Проблема</t>
  </si>
  <si>
    <t>Планируемое изменение</t>
  </si>
  <si>
    <t>Ответственный</t>
  </si>
  <si>
    <t>Показатель выбранного улучшения</t>
  </si>
  <si>
    <t>ЦЕЛЬ</t>
  </si>
  <si>
    <t>ФАКТ</t>
  </si>
  <si>
    <t>База измерения</t>
  </si>
  <si>
    <t>Длительность, с/партию</t>
  </si>
  <si>
    <t>Одна и та же смесь продуктов и одинаковые единицы. «Не измерено» не трактуется как 0.</t>
  </si>
  <si>
    <t>Общий результат сменного плана</t>
  </si>
  <si>
    <t>ДО (ДЕМО)</t>
  </si>
  <si>
    <t>ЦЕЛЬ (модель)</t>
  </si>
  <si>
    <t>Полное сменное время по отрегулированным циклам, с</t>
  </si>
  <si>
    <t>Нет замеров</t>
  </si>
  <si>
    <t>Включает целые санобработки и подачу тары.</t>
  </si>
  <si>
    <t>Полное сменное время по средним циклам, с</t>
  </si>
  <si>
    <t>Проверка устойчивости выполнения плана.</t>
  </si>
  <si>
    <t>Загрузка одной ячейки</t>
  </si>
  <si>
    <t>Не является загрузкой всех людей, если изменена численность.</t>
  </si>
  <si>
    <t>Активное занятие без автоожидания, чел·с</t>
  </si>
  <si>
    <t>Включает переходы и потери; не путать с выработкой.</t>
  </si>
  <si>
    <t>Занятость машины, маш·с</t>
  </si>
  <si>
    <t>Загрузка/выгрузка, автоцикл и санитарные остановки.</t>
  </si>
  <si>
    <t>Прогноз высвобождения времени, мин/смену</t>
  </si>
  <si>
    <t>Прогноз сокращения полного времени</t>
  </si>
  <si>
    <t>Подтверждённое сокращение полного времени</t>
  </si>
  <si>
    <t>Это не акт внедрения и не экономия фонда оплаты труда. Свободное время становится экономическим эффектом только при подтверждённом изменении выпуска, затрат или использования ресурсов. Эскизы ДО/ЦЕЛЬ — на листе «Карта СР»; фактические фото добавить при проверке.</t>
  </si>
  <si>
    <t>16 / СТАНДАРТ ОПЕРАЦИОННОЙ ПРОЦЕДУРЫ · ПРОЕКТ</t>
  </si>
  <si>
    <t>СОП-И-ГЦ-02/ПРОЕКТ. Исполнитель — обученный оператор SOLIA. СИЗ и санитарная одежда: состав уточнить по действующим инструкциям ОТ, санитарной программе и применяемым средствам. До проверки технологом и ОТ и утверждения не вводить как обязательный стандарт.</t>
  </si>
  <si>
    <t>Основной этап</t>
  </si>
  <si>
    <t>Ключевой момент</t>
  </si>
  <si>
    <t>Зачем это важно</t>
  </si>
  <si>
    <t>Инструмент / ресурс</t>
  </si>
  <si>
    <t>Время ЦЕЛЬ, с*</t>
  </si>
  <si>
    <t>Схема / точка</t>
  </si>
  <si>
    <t>Осмотр сырья</t>
  </si>
  <si>
    <t>Проверить целостность упаковки; отсутствие порчи, гнили, плесени и посторонних запахов.</t>
  </si>
  <si>
    <t>Безопасность пищевой продукции.</t>
  </si>
  <si>
    <t>Сырьё, рабочая поверхность</t>
  </si>
  <si>
    <t>Сырьё → осмотр</t>
  </si>
  <si>
    <t>Подготовка сырья</t>
  </si>
  <si>
    <t>Не допускать дефектное сырьё и перекрёстное загрязнение.</t>
  </si>
  <si>
    <t>Выделенное место подготовки</t>
  </si>
  <si>
    <t>Осмотр → подготовка</t>
  </si>
  <si>
    <t>Взвешивание партии</t>
  </si>
  <si>
    <t>Не превышать массу загрузки по таблице №1.</t>
  </si>
  <si>
    <t>Весы; тара (проект — сверить на месте)</t>
  </si>
  <si>
    <t>Подготовка → весы</t>
  </si>
  <si>
    <t>Передача к SOLIA</t>
  </si>
  <si>
    <t>Следовать согласованному маршруту. Не пересекать сырой и чистый потоки.</t>
  </si>
  <si>
    <t>Исключить перекрёстное загрязнение.</t>
  </si>
  <si>
    <t>Тара для подготовленного сырья</t>
  </si>
  <si>
    <t>Весы → SOLIA</t>
  </si>
  <si>
    <t>Загрузка и запуск</t>
  </si>
  <si>
    <t>Правильная программа под конкретный продукт.</t>
  </si>
  <si>
    <t>Овощемойка SOLIA</t>
  </si>
  <si>
    <t>Каждый запуск</t>
  </si>
  <si>
    <t>SOLIA / панель</t>
  </si>
  <si>
    <t>Полная автоматическая программа</t>
  </si>
  <si>
    <t>Не сокращать этапы мойки, ополаскивания и вращения.</t>
  </si>
  <si>
    <t>Мытьё → ополаскивание → вращение</t>
  </si>
  <si>
    <t>Выгрузка</t>
  </si>
  <si>
    <t>Сохранить чистоту после мойки.</t>
  </si>
  <si>
    <t>Чистая маркированная гастроёмкость</t>
  </si>
  <si>
    <t>SOLIA → чистая тара</t>
  </si>
  <si>
    <t>Контроль результата</t>
  </si>
  <si>
    <t>Проверить чистоту тары, нужную маркировку и качество продукции согласно требованиям предприятия; при сомнении изолировать и сообщить технологу.</t>
  </si>
  <si>
    <t>Не передавать несоответствующую продукцию.</t>
  </si>
  <si>
    <t>Маркировка; действующие критерии качества</t>
  </si>
  <si>
    <t>Чистая тара → контроль</t>
  </si>
  <si>
    <t>Передача продукции</t>
  </si>
  <si>
    <t>Передать следующему переделу в чистой маркированной таре. Условия и срок хранения — по действующей технологии, не по этой модели.</t>
  </si>
  <si>
    <t>Исключить повторное загрязнение и порчу.</t>
  </si>
  <si>
    <t>Выделенная зона чистой продукции</t>
  </si>
  <si>
    <t>Контроль → получатель</t>
  </si>
  <si>
    <t>Возврат / учёт циклов</t>
  </si>
  <si>
    <t>Вернуться к исходной позиции. После каждой 4-й помывки выполнить СОП санобработки; до следующего запуска восстановить готовность по паспорту.</t>
  </si>
  <si>
    <t>Не пропустить обязательную санобработку.</t>
  </si>
  <si>
    <t>Счётчик помывок / журнал (проект)</t>
  </si>
  <si>
    <t>Возврат к осмотру</t>
  </si>
  <si>
    <t>* Сумма этапов проекта СОП</t>
  </si>
  <si>
    <t>Внеплановые потери ЦЕЛЬ (не включены в СОП)</t>
  </si>
  <si>
    <t>Времена ручных действий — модельные, не утверждённые нормативы. При замене жёлтых замеров ЦЕЛЬ пересчитывается колонка F. Технологические режимы не оптимизируются. Периодический санитарный комплекс вынесен в отдельный СОП. Источник обязательных требований: И-ГЦ-02, PDF стр. 2–3.</t>
  </si>
  <si>
    <t>При отклонении программы, неисправности, сомнении в безопасности или качестве: действовать по утверждённым инструкциям предприятия, не передавать несоответствующую продукцию, уведомить ответственного. Не разрабатывать на ходу новые концентрации, выдержки и способы доступа к машине. Действия должны быть согласованы с технологом и ОТ.</t>
  </si>
  <si>
    <t>Подписи разработчика, согласующих и утверждающего: НЕ ПОДПИСАНО. Внести после реальной проверки. Фотографии ОК/NOK, точные СИЗ, санитарные средства и паспортные требования требуют дополнения на предприятии. Текстовые схемы выше не являются фотографиями рабочего места.</t>
  </si>
  <si>
    <t>17 / СОП ПЕРИОДИЧЕСКОЙ САНОБРАБОТКИ SOLIA · ПРОЕКТ</t>
  </si>
  <si>
    <t>Событие: после каждой 4-й помывки, независимо от продукта и смены программы. Периодичность относится к одной машине. Сначала СЛИВ, затем ВЫКЛЮЧЕНИЕ И ОБЕСТОЧИВАНИЕ, затем очистка и дезинфекция. Основание: И-ГЦ-02, таблица №1, примечание (PDF стр. 3).</t>
  </si>
  <si>
    <t>Причина / контроль</t>
  </si>
  <si>
    <t>ДЕМО занятость, с*</t>
  </si>
  <si>
    <t>Инструмент / СИЗ</t>
  </si>
  <si>
    <t>Статус данных</t>
  </si>
  <si>
    <t>Слив после четвёртой помывки</t>
  </si>
  <si>
    <t>Слить бак в порядке, разрешённом паспортом SOLIA.</t>
  </si>
  <si>
    <t>Удаление использованной воды; начало обязательного комплекса.</t>
  </si>
  <si>
    <t>Уточнить по паспорту, инструкциям средств и ОТ; не назначено этой моделью.</t>
  </si>
  <si>
    <t>Время — ДЕМО; не технологическая норма</t>
  </si>
  <si>
    <t>Выключение и обесточивание</t>
  </si>
  <si>
    <t>После слива выключить и обесточить оборудование. Способ и проверка безопасного состояния — по действующей инструкции ОТ.</t>
  </si>
  <si>
    <t>Исключение опасного движения/пуска при последующих действиях.</t>
  </si>
  <si>
    <t>Промывка бака</t>
  </si>
  <si>
    <t>Промыть бак моющим средством по утверждённой санитарной программе.</t>
  </si>
  <si>
    <t>Удаление загрязнений перед дезинфекцией.</t>
  </si>
  <si>
    <t>Дезинфекция</t>
  </si>
  <si>
    <t>Продезинфицировать бак. Средство, концентрация, температура, экспозиция и необходимость ополаскивания — ТОЛЬКО по утверждённым документам.</t>
  </si>
  <si>
    <t>И-ГЦ-02 не содержит этих параметров. Не применять пример 480 с как экспозицию.</t>
  </si>
  <si>
    <t>Готовность к следующему циклу</t>
  </si>
  <si>
    <t>Восстановить готовность по паспорту машины и санпрограмме; выполнить предусмотренный контроль.</t>
  </si>
  <si>
    <t>Проектное дополнение: уточнить действия и время перед утверждением.</t>
  </si>
  <si>
    <t>Общее плановое занятие комплекса</t>
  </si>
  <si>
    <t>* Столбец времени нужен исключительно для примера расчёта загрузки. Это НЕ инструкция по приготовлению растворов и НЕ разрешённая длительность дезинфекционной выдержки. Точные режимы, контроль готовности и СИЗ должен подтвердить технолог / специалист ОТ. В прогнозе санитарные времена не сокращены.</t>
  </si>
  <si>
    <t>Если к концу смены осталось менее четырёх помывок, книга по умолчанию резервирует ещё один полный комплекс. Это консервативное плановое допущение, а не цитата из И-ГЦ-02. Уточнить порядок завершения смены по санитарной программе. Не засчитывать эту работу повторно в фиксированном завершении смены.</t>
  </si>
  <si>
    <t>18 / ПЛАН ВНЕДРЕНИЯ, ОБУЧЕНИЯ И ПЕРЕСМОТРА</t>
  </si>
  <si>
    <t>Этап МУ-41-2024</t>
  </si>
  <si>
    <t>Результат / действие</t>
  </si>
  <si>
    <t>Начало</t>
  </si>
  <si>
    <t>Окончание</t>
  </si>
  <si>
    <t>Подтверждение</t>
  </si>
  <si>
    <t>Выбор операций и типа</t>
  </si>
  <si>
    <t>Сверить границы, тип II, все 18 позиций; подтвердить критичность SOLIA картой потока.</t>
  </si>
  <si>
    <t>Нет подтверждения; внести документ / дату</t>
  </si>
  <si>
    <t>Наблюдения</t>
  </si>
  <si>
    <t>Провести ≥10 сопоставимых циклов каждого планового вида; периодическая работа — 3 наблюдения. Заменить жёлтые данные.</t>
  </si>
  <si>
    <t>Анализ</t>
  </si>
  <si>
    <t>Проверить ошибки, колебания, загрузку по средним временам и целые санобработки.</t>
  </si>
  <si>
    <t>Улучшение операций</t>
  </si>
  <si>
    <t>Согласовать и проверить мероприятия без изменения мойки/дезинфекции и без пропуска качества.</t>
  </si>
  <si>
    <t>Оценка эффективности</t>
  </si>
  <si>
    <t>Контрольные замеры после улучшений; заполнить ФАКТ, сравнить при одинаковом плане и границах.</t>
  </si>
  <si>
    <t>Разработка стандартов</t>
  </si>
  <si>
    <t>Дополнить СИЗ, фото ОК/NOK, паспортные и санитарные документы; проверить по чек-листу; утвердить СОП.</t>
  </si>
  <si>
    <t>Обучение персонала</t>
  </si>
  <si>
    <t>Показать правильный метод, провести практическую проверку. Внести реальный лист ознакомления.</t>
  </si>
  <si>
    <t>Работа по стандартам</t>
  </si>
  <si>
    <t>Разместить читаемые цветные СОП, обеспечить чистую маркированную тару и отслеживание помывок.</t>
  </si>
  <si>
    <t>Мониторинг</t>
  </si>
  <si>
    <t>План: ежедневная проверка последовательности мастером; еженедельный анализ отклонений технологом. Частоту утвердить.</t>
  </si>
  <si>
    <t>Совершенствование</t>
  </si>
  <si>
    <t>Пересматривать при изменении ассортимента/спроса, технологии, оборудования, состава работ или после отклонений; обучать повторно.</t>
  </si>
  <si>
    <t>Роли и сроки — предложенный план, не приказ о назначении. Начало проекта изменяется во «Ввод». Подписи и завершённые мероприятия не вымышлены. Архивируйте предыдущую утверждённую версию; изменения расчётных параметров не являются автоматическим утверждением нового СОП.</t>
  </si>
  <si>
    <t>19 / КРИТЕРИИ КАЧЕСТВА СТАНДАРТИЗИРОВАННОЙ РАБОТЫ</t>
  </si>
  <si>
    <t>Пункт</t>
  </si>
  <si>
    <t>Уровень</t>
  </si>
  <si>
    <t>Требование к потоку-образцу</t>
  </si>
  <si>
    <t>Критерий соответствия (из приложения №7)</t>
  </si>
  <si>
    <t>Документы</t>
  </si>
  <si>
    <t>Ссылки в исходном шаблоне</t>
  </si>
  <si>
    <t>Срок источника</t>
  </si>
  <si>
    <t>Проверка</t>
  </si>
  <si>
    <t>Доказательство / что требуется</t>
  </si>
  <si>
    <t>Балл</t>
  </si>
  <si>
    <t>8.1</t>
  </si>
  <si>
    <t>На основе проведённого анализа определены критические операции в потоке (с наибольшей трудоемкостью), требующие проведения стандартизированной работы. Составлен план проведения стандартизированной работы для повышения производительности труда.</t>
  </si>
  <si>
    <t xml:space="preserve">1. Составлена карта потока создания ценности. Рассчитано время цикла по каждому элементу КПСЦ. 
2. Выявлены узкие места -  явления, при которых производительность или пропускная способность ограничена одним или несколькими компонентами, или ресурсами, и критические операции (ограничивающие производительность узкого места).
3. Определён тип СР
4. Составлен план проведения стандартизированной работы. План содержит: 1. Тип СР, 2. Список операций/рабочих мест, на которых будет проводиться "стандартизированная работа", 3. ФИО ответственных за проведение "Стандартизированной работы" 4. Даты начала и завершения работ по реализации "Стандартизированной работы".  План утверждён руководителем программы ППТ/ГД в соответствии с процедурами предприятия.  </t>
  </si>
  <si>
    <t xml:space="preserve">План мероприятий по СР  -  в составе Плана создания эталонного участка и/или в составе Плана достижения целевого состояния </t>
  </si>
  <si>
    <t>МР "Стандартизация процессов", редакция 3
- МР "Реализация программы повышения производительности труда на предприятиях"
- МУ «Составление карт потоков по производству продукции»</t>
  </si>
  <si>
    <t>3 месяца</t>
  </si>
  <si>
    <t>Не проверено</t>
  </si>
  <si>
    <t>Есть проект плана и расчёты. Требуются фактическая КПСЦ, обоснование критических операций, назначение ответственных и утверждение плана.</t>
  </si>
  <si>
    <t>8.2</t>
  </si>
  <si>
    <t>Проведена стандартизированная работа пилотных критических операций и разработаны комплекты карт стандартизированной работы и стандартные операционные процедуры (стандарты выполнения работ).</t>
  </si>
  <si>
    <t xml:space="preserve">     В соответствии с актуальной версией МР "Стандартизация процессов" проведены следующие мероприятия: 
1. Заполнен, соответствующий типу СР, полный комплект бланков. 
2. Выявлены потери, разработаны ППУ для их устранения и ППУ направленные на повышение эффективности, результативности и оптимизации процесса.
3. Потери устранены
4. Разработаны СОПы с учётом внедрённых ППУ и устранённых потерь. 
5. Проведены контрольные измерения улучшений. 
6. Стандартизированная работа проведена для всех операций, указанных в утверждённом "Плане стандартизированной работы". 
7. В легкодоступных местах для операторов и непосредственной близости к рабочему месту находятся утверждённые руководством СОПы. Операторы ознакомлены с СОП, что подтверждается листом ознакомления. 
   Выполнение требований СОП наблюдается во время посещения рабочих мест на производстве.  </t>
  </si>
  <si>
    <t>- Бланки стандартизированной работы
- СОП и лист(ы) ознакомления</t>
  </si>
  <si>
    <t>МР "Стандартизация процессов", редакция 3</t>
  </si>
  <si>
    <t>Бланки заполнены моделью. Требуются наблюдения, реальное внедрение, контрольные замеры, утверждение и обучение. ДЕМО не доказывает соответствие.</t>
  </si>
  <si>
    <t>8.3</t>
  </si>
  <si>
    <t>Утверждённые нормативы трудоёмкости соответствуют разработанным стандартным операционным процедурам (стандартам выполнения работ).</t>
  </si>
  <si>
    <t>1. Норматив утвержден ЛНА предприятия
2. Нормы введены в действие в соответствие с процедурами предприятия, в т.ч.  используются при планировании производства, в расчете трудоемкости, себестоимости изделия и калькуляции зп (опционально).</t>
  </si>
  <si>
    <t>ЛНА предприятия</t>
  </si>
  <si>
    <t>См. приложение №7</t>
  </si>
  <si>
    <t>6 месяцев</t>
  </si>
  <si>
    <t>Локальный нормативный акт и введённые нормы пока отсутствуют. Подготовленные расчёты не являются утверждёнными нормами.</t>
  </si>
  <si>
    <t>8.4</t>
  </si>
  <si>
    <t>Проведена перебалансировка работы между операторами / внедрено многостаночное обслуживание / расширены зоны обслуживания с результатом увеличения выработки.</t>
  </si>
  <si>
    <t>Составлены объединённая таблица стандартизированной работы для нескольких операторов потока. Разработаны таблицы текущего и целевого состояния. В целевой таблице стандартизированной работы рабочие элементы пераспределены между операторами для выравнивания загрузки и увеличения производительности труда. Новая рабочая последовательность операций закреплена в СОПах и применяется на практике. Во время посещения потока можно наблюдать работу операторов, которая полностью соответствует последовательности из целевой  таблицы стандартизированной работы.</t>
  </si>
  <si>
    <t>Таблицы стандартизированной работы (текущая, целевая)</t>
  </si>
  <si>
    <t>Даны ДО/ЦЕЛЬ для одной ячейки. Перебалансировка и рост выработки фактически не проверены; при нескольких операторах нужна новая ОТ.</t>
  </si>
  <si>
    <t>8.5</t>
  </si>
  <si>
    <t>Стандарты выполнения операций на регулярной основе проверяются, пересматриваются в случае выявления отклонений фактических замеров от нормативных или внедрения улучшений.</t>
  </si>
  <si>
    <t xml:space="preserve">1. Процесс контроля и пересмотра СОП формализован (описаны шаги процесса, роли участников, определены и закреплены в ЛНА предприятия/подразделения ответственность и периодичность пересмотра)
2. На производстве хранятся версии СОП от первоначальной до актуализирвоанной
</t>
  </si>
  <si>
    <t>ЛНА предприятия/ подразделения, регламентирующий процесс контроля и пересмотра СОП</t>
  </si>
  <si>
    <t>В «План внедрения» предложен порядок. Нужны утверждённый регламент, ответственное лицо и архив версий.</t>
  </si>
  <si>
    <t>Проверено критериев</t>
  </si>
  <si>
    <t>Достигнутый уровень (последовательное прохождение)</t>
  </si>
  <si>
    <t>Все пять критериев видимого листа приложения №7 сохранены. Его скрытые «Бланк6/7», «Чек6/7», «Инф РМР» — общепроектный аудит 2020 г. и справочник контактов; они не относятся к бланкам данной операции и оставлены только в неизменённом исходном файле. Ссылки на старые редакции внутри приложения сохранены как в источнике.</t>
  </si>
  <si>
    <t>20 / ЧЕК-ЛИСТ ПРОВЕРКИ СОП · 19 КРИТЕРИЕВ ПРИЛОЖЕНИЯ №8</t>
  </si>
  <si>
    <t>Критерий оценки (текст исходного шаблона)</t>
  </si>
  <si>
    <t>Результат проверки</t>
  </si>
  <si>
    <t>Доказательство / замечание</t>
  </si>
  <si>
    <t>Раздел</t>
  </si>
  <si>
    <t>Составлен план пересмотра/разработки СОП. Список операций/рабочих мест, на которых будет размещаться СОП</t>
  </si>
  <si>
    <t>Проект плана — лист «План внедрения»; реальное утверждение не подтверждено.</t>
  </si>
  <si>
    <t>План</t>
  </si>
  <si>
    <t>Имеются ФИО ответственных за разработку, утверждение и пересмотр СОП</t>
  </si>
  <si>
    <t>Роли указаны, ФИО необходимо внести во «Ввод».</t>
  </si>
  <si>
    <t>Даты начала и завершения работ по разработки СОП не превышают срок более 1 месяца</t>
  </si>
  <si>
    <t>В примере разработка до 23-го дня. Проверить фактические сроки.</t>
  </si>
  <si>
    <t>В архиве/на производстве хранятся версии СОП от первоначальной до актуализирвоанной</t>
  </si>
  <si>
    <t>Создать архив утверждённых версий; исходные шаблоны — не архив внедрения.</t>
  </si>
  <si>
    <t xml:space="preserve">План утверждён генеральным директором/директором в соответствии с процедурами предприятия.  </t>
  </si>
  <si>
    <t>Требуется реальное утверждение плана руководством.</t>
  </si>
  <si>
    <t>Имеется актуальный  СОП на рабочем месте. Операции выполняются последовательно и применяется на практике</t>
  </si>
  <si>
    <t>Проект СОП есть; размещение и применение на рабочем месте не проверялись.</t>
  </si>
  <si>
    <t>Содержание</t>
  </si>
  <si>
    <t>Имеются пересмотренные СОПы  с учётом внедрённых УМШ. С учетом изменения технологии. Обновленных инструментов и оснастки</t>
  </si>
  <si>
    <t>Улучшения пока расчётные; актуализация после фактического внедрения.</t>
  </si>
  <si>
    <t>Проведены контрольные измерения улучшений. Имеется время выполнения операций.</t>
  </si>
  <si>
    <t>Замеры синтетические. Провести контрольные измерения на производстве.</t>
  </si>
  <si>
    <t xml:space="preserve">Операторы ознакомлены с СОП. Имееется лист ознакомления. </t>
  </si>
  <si>
    <t>Лист ознакомления подготовлен, но обучение/подписи не подтверждены.</t>
  </si>
  <si>
    <t>В СОП имеются фотографии, которые отображают критичные моменты. ФОТО в формате  "ОК"/ "NOK"</t>
  </si>
  <si>
    <t>Есть текстовые схемы и условный маршрут; реальные фото ОК/NOK отсутствуют.</t>
  </si>
  <si>
    <t xml:space="preserve">В СОП указаны требования к ОТ и ТБ. </t>
  </si>
  <si>
    <t>Обесточивание включено; паспортные требования и точные СИЗ проверить с ОТ.</t>
  </si>
  <si>
    <t xml:space="preserve">В СОП указаны инструменты для выполнения работ </t>
  </si>
  <si>
    <t>SOLIA, весы и тара указаны; состав сверить на месте.</t>
  </si>
  <si>
    <t>В СОП указаны требования к оценке качества выполения работ</t>
  </si>
  <si>
    <t>Требования И-ГЦ-02 включены; критерии результата сверить с технологом.</t>
  </si>
  <si>
    <t>Выполнение требований СОП наблюдается во время посещения рабочих мест на производстве. Работа операторов полностью соответствует последовательности СОП.</t>
  </si>
  <si>
    <t>Нужен реальный обход и наблюдение последовательности.</t>
  </si>
  <si>
    <t>Применение</t>
  </si>
  <si>
    <t xml:space="preserve">СОПы расположены в легкодоступных местах для операторов и непосредственной близости к рабочему месту. Не перекрываются посторонними элементами. </t>
  </si>
  <si>
    <t>Подтвердить фактическое размещение, доступность и отсутствие перекрытий.</t>
  </si>
  <si>
    <t>СОП легко читаем на расстоянии более 1 метра. Расположенный на рабочем месте СОП в цветном исполнении.</t>
  </si>
  <si>
    <t>Распечатать в цвете и проверить читаемость с расстояния более 1 м.</t>
  </si>
  <si>
    <t>В СОП указаны действия в случае отклонений от последовательной работы</t>
  </si>
  <si>
    <t>Проект действий при отклонениях включён; утвердить локальный порядок.</t>
  </si>
  <si>
    <t>Расположенный СОП актуальный и утвержден всеми указанными лицами</t>
  </si>
  <si>
    <t>СОП не утверждён. Подписи и актуальность проверить документально.</t>
  </si>
  <si>
    <t xml:space="preserve">Операторы используют инструменты указанные в СОП </t>
  </si>
  <si>
    <t>Проверить фактически используемый инструмент наблюдением.</t>
  </si>
  <si>
    <t>1. План (5 критериев)</t>
  </si>
  <si>
    <t>2. Содержание (8 критериев)</t>
  </si>
  <si>
    <t>3. Применение (6 критериев)</t>
  </si>
  <si>
    <t>ИТОГО / 19</t>
  </si>
  <si>
    <t>Пороговые оценки взяты из приложения №8 без изменения. Баллы не подставлены автоматически за наличие файла: утверждение, фото, применение на производстве и обучение нельзя подтвердить расчётом. Проверяющий и представитель производства подписывают результаты только после проверки.</t>
  </si>
  <si>
    <t>21 / ПОКАЗАТЕЛИ ИЗ ПРИЛОЖЕНИЯ №8 · ОТЧЁТНЫЙ ПРИМЕР</t>
  </si>
  <si>
    <t>Самостоятельный блок отчётных данных: жёлтые объёмы/запасы/наработка — пример, НЕ фактический выпуск и НЕ автоматически план из «Ассортимент». Цикл обработки (строка 15) связан с моделью.</t>
  </si>
  <si>
    <t>Исходный показатель</t>
  </si>
  <si>
    <t>ЦЕЛЬ (ДЕМО)</t>
  </si>
  <si>
    <t>Определение / что измерить</t>
  </si>
  <si>
    <t>Выпущено всего (годное + дефектное)</t>
  </si>
  <si>
    <t>кг/смену</t>
  </si>
  <si>
    <t>Одинаковая база для брака и трудоёмкости. Это демонстрационный отчётный объём, а не сменный заказ.</t>
  </si>
  <si>
    <t>Средняя численность работников потока</t>
  </si>
  <si>
    <t>Среднесписочная / средняя численность за тот же период; не смешивать периоды.</t>
  </si>
  <si>
    <t>Суммарно отработано работниками</t>
  </si>
  <si>
    <t>чел·ч</t>
  </si>
  <si>
    <t>Фактический суммарный фонд отработанного времени. Не равен сумме лучших ручных элементов.</t>
  </si>
  <si>
    <t>Дефектная продукция</t>
  </si>
  <si>
    <t>Не больше общего выпуска. Не считать предварительный отсев сырья производственным браком автоматически.</t>
  </si>
  <si>
    <t>Запас сырья и материалов</t>
  </si>
  <si>
    <t>Фактический запас в выбранный момент или среднее за согласованный период.</t>
  </si>
  <si>
    <t>Запас незавершённого производства</t>
  </si>
  <si>
    <t>Отдельно от запаса сырья и готовой продукции. Не подменять проектом стандартного запаса.</t>
  </si>
  <si>
    <t>Запас готовой продукции</t>
  </si>
  <si>
    <t>Условия и допустимые сроки хранения задаются отдельной технологией.</t>
  </si>
  <si>
    <t>Ожидание обработки ВНЕ измеренного цикла</t>
  </si>
  <si>
    <t>Автоматическое ожидание уже входит в цикл строки 15 — не вводить его повторно.</t>
  </si>
  <si>
    <t>Пролеживание на складах/временном хранении</t>
  </si>
  <si>
    <t>Только время вне границ хронометрируемой операции.</t>
  </si>
  <si>
    <t>Транспортировка на склады/от заказчика вне цикла</t>
  </si>
  <si>
    <t>Внутренние переходы уже входят в цикл, здесь только внешняя транспортировка.</t>
  </si>
  <si>
    <t>Плановое время производства для OEE</t>
  </si>
  <si>
    <t>Выбранное окно планового производства. Зафиксировать единую политику учёта остановок, не менять её ради OEE.</t>
  </si>
  <si>
    <t>Фактическое время работы для OEE</t>
  </si>
  <si>
    <t>В пределах планового окна. Пример отчётной наработки, заменить реальной.</t>
  </si>
  <si>
    <t>Всего обработано партий программы 01</t>
  </si>
  <si>
    <t>Счётчик фактически выполненных полных циклов, включая негодные; не сменный план.</t>
  </si>
  <si>
    <t>Всего обработано партий программы 02</t>
  </si>
  <si>
    <t>Та же единица учёта: партии.</t>
  </si>
  <si>
    <t>Всего обработано партий программы 03</t>
  </si>
  <si>
    <t>Годных партий для OEE</t>
  </si>
  <si>
    <t>Полностью соответствующих партий; не кг. Не больше суммы партий строк 21–23.</t>
  </si>
  <si>
    <t>Время обработки внутри границ операции</t>
  </si>
  <si>
    <t>Средневзвешенный цикл без периодической работы, со всеми внутренними ожиданиями и переходами.</t>
  </si>
  <si>
    <t>Идеальное машинное время (сумма по программам)</t>
  </si>
  <si>
    <t>Для демонстрации идеал = полное автоматическое время И-ГЦ-02. Базу идеального цикла OEE необходимо согласовать; неизбежная загрузка/выгрузка может потребовать другой базы.</t>
  </si>
  <si>
    <t>Всего обработанных партий для OEE</t>
  </si>
  <si>
    <t>Показатель</t>
  </si>
  <si>
    <t>ДО — расчёт</t>
  </si>
  <si>
    <t>ЦЕЛЬ — расчёт</t>
  </si>
  <si>
    <t>Формула / ограничение</t>
  </si>
  <si>
    <t>Время протекания процесса</t>
  </si>
  <si>
    <t>Тцикл + Тожидания вне цикла + Тпролеживания + Ттранспортировки вне цикла. Это пример границ, не измеренный ВПП.</t>
  </si>
  <si>
    <t>Выработка</t>
  </si>
  <si>
    <t>кг/чел. за смену</t>
  </si>
  <si>
    <t>Выпуск / численность за один и тот же период.</t>
  </si>
  <si>
    <t>Запасы в потоке</t>
  </si>
  <si>
    <t>Сырьё + НЗП + готовая продукция; в источнике строка названа «Незавершённое производство», но формула считает все три компонента.</t>
  </si>
  <si>
    <t>Уровень брака</t>
  </si>
  <si>
    <t>Дефектный объём / общий выпуск.</t>
  </si>
  <si>
    <t>Трудоёмкость продукции</t>
  </si>
  <si>
    <t>чел·ч/кг</t>
  </si>
  <si>
    <t>Отработанное время / общий выпуск. Не нормированная трудоёмкость по лучшим элементам.</t>
  </si>
  <si>
    <t>OEE: готовность (A)</t>
  </si>
  <si>
    <t>Фактическая работа / плановое время производства.</t>
  </si>
  <si>
    <t>OEE: производительность (P)</t>
  </si>
  <si>
    <t>Идеальное машинное время всех выполненных партий / фактическая работа.</t>
  </si>
  <si>
    <t>OEE: качество (Q)</t>
  </si>
  <si>
    <t>Годные партии / все обработанные партии. Для разных размеров партии это выбранная отчётная база, её согласовать.</t>
  </si>
  <si>
    <t>OEE = A × P × Q</t>
  </si>
  <si>
    <t>Не усреднять проценты OEE по продуктам; единицы учёта и окно наблюдения должны совпадать.</t>
  </si>
  <si>
    <t>Исходные показатели здесь — самостоятельный демонстрационный отчёт. Они не используются для подтверждения внедрения. Снижение нормативного цикла при неизменном заказе не означает автоматического роста фактической выработки, сокращения штатной численности или роста OEE. «Отчет об улучшении» хранит подтверждаемые факты отдельно.</t>
  </si>
  <si>
    <t>22 / КОНТРОЛЬ ВВОДА, ФОРМУЛ И ГОТОВНОСТИ К ВНЕДРЕНИЮ</t>
  </si>
  <si>
    <t>Что проверяется</t>
  </si>
  <si>
    <t>Действие при отклонении</t>
  </si>
  <si>
    <t>Фонд времени положителен</t>
  </si>
  <si>
    <t>Критично</t>
  </si>
  <si>
    <t>Сверьте длительность смены и вычеты B17:B21. Периодическую работу сюда не добавлять.</t>
  </si>
  <si>
    <t>Все 18 строк плана корректны</t>
  </si>
  <si>
    <t>План &gt;= 0; выходы (0;1]; партии &gt;0 и не выше предела. Пустой ввод не равен 0.</t>
  </si>
  <si>
    <t>В плане есть хотя бы одна партия</t>
  </si>
  <si>
    <t>Уточнить</t>
  </si>
  <si>
    <t>При нулевом спросе такт и средневзвешенные времена не определены.</t>
  </si>
  <si>
    <t>Сумма долей партий равна 100%</t>
  </si>
  <si>
    <t>Проверить количество партий и знаменатель веса, не заменять веса долями кг.</t>
  </si>
  <si>
    <t>Автоматические программы сохранены (450/180/300 с)</t>
  </si>
  <si>
    <t>Не менять режимы мойки ради производительности. Сверить полный набор скоростей и этапов с оригиналом.</t>
  </si>
  <si>
    <t>Санобработка назначена после каждой четвёртой помывки</t>
  </si>
  <si>
    <t>Это фиксированное требование инструкции. Не снижать частоту.</t>
  </si>
  <si>
    <t>Счётчик к началу смены — целое 0…3</t>
  </si>
  <si>
    <t>Внести фактическое число помывок с последней санобработки.</t>
  </si>
  <si>
    <t>Резерв неполного блока — 0 или 1</t>
  </si>
  <si>
    <t>Параметр B26 относится только к дополнительному завершению неполного блока.</t>
  </si>
  <si>
    <t>Число операторов и машин — положительные целые</t>
  </si>
  <si>
    <t>Укажите реально доступные ресурсы; новая численность не создаёт автоматически новый график.</t>
  </si>
  <si>
    <t>Схема ОТ соответствует одной ячейке</t>
  </si>
  <si>
    <t>ОТ/карта описывают 1 SOLIA + 1 оператор. Если ресурсов больше — требуется балансировка и распределение партий; агрегированные нижние оценки недостаточны.</t>
  </si>
  <si>
    <t>Масса замера совпадает с плановой партией</t>
  </si>
  <si>
    <t>При другом размере партии повторить замеры. Времена не масштабируются автоматически по кг.</t>
  </si>
  <si>
    <t>Все флаги наблюдений заданы 0 или 1</t>
  </si>
  <si>
    <t>Использовать только 0/1. При 0 указать причину; исключается весь цикл.</t>
  </si>
  <si>
    <t>ДО: ≥10 полных учтённых циклов каждого планового вида</t>
  </si>
  <si>
    <t>Дозамерить исключённые/неполные циклы. Статистика по меньшему числу считается, но не удовлетворяет рекомендации о 10 наблюдениях.</t>
  </si>
  <si>
    <t>ЦЕЛЬ: ≥10 полных учтённых циклов каждого планового вида</t>
  </si>
  <si>
    <t>Прогнозные числа заменить контрольными наблюдениями перед утверждением норм.</t>
  </si>
  <si>
    <t>ДО: сумма отрегулированных элементов = T min</t>
  </si>
  <si>
    <t>Разность должна быть меньше 0,000001 с. Не редактируйте синие клетки.</t>
  </si>
  <si>
    <t>ЦЕЛЬ: сумма отрегулированных элементов = T min</t>
  </si>
  <si>
    <t>Проверить допустимые элементы и распределение регулировки.</t>
  </si>
  <si>
    <t>Периодическая работа: полные положительные замеры</t>
  </si>
  <si>
    <t>Нужны 3 положительных наблюдения каждого события и положительная периодичность.</t>
  </si>
  <si>
    <t>Санитарное время не сокращено в прогнозе</t>
  </si>
  <si>
    <t>Не уменьшать очистку, дезинфекцию и обязательные действия за счёт качества/безопасности.</t>
  </si>
  <si>
    <t>ОТ ДО/ЦЕЛЬ не удваивают автоматическое ожидание</t>
  </si>
  <si>
    <t>Машина и одновременное ожидание считаются один раз в длительности процесса.</t>
  </si>
  <si>
    <t>План ДО помещается в одну смену по среднему циклу</t>
  </si>
  <si>
    <t>Не занижать нормативы. Проверить план, потери и реальные ресурсы/балансировку.</t>
  </si>
  <si>
    <t>План ЦЕЛЬ помещается в одну смену по среднему циклу</t>
  </si>
  <si>
    <t>Это прогноз, не гарантия выполнения. Подтвердить экспериментом.</t>
  </si>
  <si>
    <t>Подробный продукт и номер улучшения выбраны корректно</t>
  </si>
  <si>
    <t>Использовать выпадающий список и номер 1–6.</t>
  </si>
  <si>
    <t>Показатели OEE/брака рассчитаны для обоих сценариев</t>
  </si>
  <si>
    <t>В отчётных данных: брак &lt;= выпуск; годные партии &lt;= все; идеальное время &lt;= работа &lt;= плановое время. Нулевой знаменатель даёт пустой результат, не 0%.</t>
  </si>
  <si>
    <t>Чек-лист СОП действительно проверен полностью</t>
  </si>
  <si>
    <t>До внедрения</t>
  </si>
  <si>
    <t>Отсутствие проверки не равно невыполнению. Заполнить после осмотра и документальной проверки.</t>
  </si>
  <si>
    <t>Критерии качества СР проверены</t>
  </si>
  <si>
    <t>Модель не подтверждает КПСЦ, обучение, нормативные акты или внедрение.</t>
  </si>
  <si>
    <t>СОП утверждён в реальном процессе</t>
  </si>
  <si>
    <t>Текстовый статус не заменяет реальных подписей и полномочий. Обязательно проверить документы.</t>
  </si>
  <si>
    <t>Проверок, требующих внимания</t>
  </si>
  <si>
    <t>Критических ошибок ввода/формул</t>
  </si>
  <si>
    <t>Даже если арифметические проверки показывают «ОК», исходные замеры остаются демонстрационными до их замены. Проверки не удостоверяют фактическую безопасность, качество, прохождение обучения или действительность подписи. Контроль комплектности и утверждение выполняются людьми на предприятии.</t>
  </si>
  <si>
    <t>23 / РЕЕСТР ДОПУЩЕНИЙ, ПОЛЕЙ ВВОДА И ИСТОЧНИКОВ</t>
  </si>
  <si>
    <t>Данные / допущение</t>
  </si>
  <si>
    <t>Где заменить</t>
  </si>
  <si>
    <t>Принято в примере</t>
  </si>
  <si>
    <t>Обоснование / ограничение</t>
  </si>
  <si>
    <t>Одна смена, одна последовательная ячейка</t>
  </si>
  <si>
    <t>Ввод!B17:B23</t>
  </si>
  <si>
    <t>480 минут; 1 SOLIA; 1 оператор</t>
  </si>
  <si>
    <t>Оператор ожидает всю автообработку. Новое число ресурсов не перестраивает ОТ; оценки агрегированные.</t>
  </si>
  <si>
    <t>Перерывы и фиксированные работы</t>
  </si>
  <si>
    <t>Ввод!B18:B21</t>
  </si>
  <si>
    <t>30 + 20 + 10 + 10 мин</t>
  </si>
  <si>
    <t>Не включает санобработку бака и периодическую подачу тары — они посчитаны отдельно.</t>
  </si>
  <si>
    <t>ДЕМО; МУ, стр. 34</t>
  </si>
  <si>
    <t>План по 18 видам</t>
  </si>
  <si>
    <t>Ассортимент!F8:F25</t>
  </si>
  <si>
    <t>Положительный пример по всем 18 видам</t>
  </si>
  <si>
    <t>План годного после мойки в кг, одна смена. Нулевая потребность допустима.</t>
  </si>
  <si>
    <t>Выход подготовки и мойки</t>
  </si>
  <si>
    <t>Ассортимент!G8:H25</t>
  </si>
  <si>
    <t>Подготовка 95%/98%; мойка 100%</t>
  </si>
  <si>
    <t>Не нормы отходов. Сначала рассчитывается масса в мойку, затем исходное сырьё.</t>
  </si>
  <si>
    <t>Размер партии / сопоставимость</t>
  </si>
  <si>
    <t>Ассортимент!I8:J25</t>
  </si>
  <si>
    <t>Как в таблице И-ГЦ-02</t>
  </si>
  <si>
    <t>I — план; J — масса при наблюдениях. Времена не масштабируются по кг автоматически.</t>
  </si>
  <si>
    <t>Предел — И-ГЦ-02, стр. 3</t>
  </si>
  <si>
    <t>Хронометраж ДО и ЦЕЛЬ</t>
  </si>
  <si>
    <t>Замеры ДО / Замеры ЦЕЛЬ, жёлтые клетки E:N каждого блока</t>
  </si>
  <si>
    <t>10 синтетических циклов каждого вида</t>
  </si>
  <si>
    <t>Вводить длительности, не накопительные отсечки. При пропуске/ошибке или флаге 0 исключается весь цикл.</t>
  </si>
  <si>
    <t>ДЕМО; МУ, стр. 16–17</t>
  </si>
  <si>
    <t>Неполная последняя партия</t>
  </si>
  <si>
    <t>Ассортимент: O/P; времена в Замерах</t>
  </si>
  <si>
    <t>Полный ручной и автоцикл</t>
  </si>
  <si>
    <t>Консервативно; требует проверки на фактических неполных партиях. Полная программа неизменна.</t>
  </si>
  <si>
    <t>Расчётное допущение</t>
  </si>
  <si>
    <t>Выбор типологии</t>
  </si>
  <si>
    <t>Ввод!B11 (фиксированная запись модели)</t>
  </si>
  <si>
    <t>II тип для смеси</t>
  </si>
  <si>
    <t>Группы имеют разный состав/трудоёмкость подготовки; по каждому виду — отдельные замеры. Подтвердить на месте.</t>
  </si>
  <si>
    <t>МУ, стр. 9–11, 33–38</t>
  </si>
  <si>
    <t>Периодическая санобработка</t>
  </si>
  <si>
    <t>Периодическая работа!E8:G12</t>
  </si>
  <si>
    <t>Комплекс 915 с; пример, НЕ норматив</t>
  </si>
  <si>
    <t>После каждой четвёртой помывки — требование. Ручные времена не даны в источнике и являются ДЕМО.</t>
  </si>
  <si>
    <t>И-ГЦ-02, стр. 3; время ДЕМО</t>
  </si>
  <si>
    <t>Средства и режим дезинфекции</t>
  </si>
  <si>
    <t>СОП санобработка; утвердить на предприятии</t>
  </si>
  <si>
    <t>Не назначены</t>
  </si>
  <si>
    <t>Нет исходных концентраций, температур, экспозиций и СИЗ. Число 480 с — модель занятости, НЕ инструкция выдержки.</t>
  </si>
  <si>
    <t>И-ГЦ-02 этих данных не содержит</t>
  </si>
  <si>
    <t>Счётчик и конец неполного блока</t>
  </si>
  <si>
    <t>Ввод!B25:B26</t>
  </si>
  <si>
    <t>0 / резерв включён (1)</t>
  </si>
  <si>
    <t>Обязательные события считаются INT((N+c)/4); дополнительное завершение — только после неполного блока.</t>
  </si>
  <si>
    <t>Частота — источник; завершение — допущение</t>
  </si>
  <si>
    <t>Периодическая работа!D13, E13:G13, J13:L13</t>
  </si>
  <si>
    <t>До первого цикла и далее каждые 8</t>
  </si>
  <si>
    <t>Число подач = ROUNDUP(N/частота). Не засчитывать эту работу в подготовке смены второй раз.</t>
  </si>
  <si>
    <t>Планировка</t>
  </si>
  <si>
    <t>Карта СР!C8:F13</t>
  </si>
  <si>
    <t>Условные координаты, м</t>
  </si>
  <si>
    <t>Графики и расстояния пересчитываются. Прямые отрезки не учитывают препятствия; реальный санитарный маршрут проверить.</t>
  </si>
  <si>
    <t>Стандартный запас</t>
  </si>
  <si>
    <t>Карта СР!G38:G40</t>
  </si>
  <si>
    <t>1 партия в обработке; дополнительный буфер 0</t>
  </si>
  <si>
    <t>Не включает сырьё до первой и готовый продукт после последней операции. Не устанавливает сроки хранения.</t>
  </si>
  <si>
    <t>Проект; МУ, стр. 47–50</t>
  </si>
  <si>
    <t>Факты внедрения</t>
  </si>
  <si>
    <t>Общий список улучшений!H8:H13; Отчет об улучшении!E22:E26</t>
  </si>
  <si>
    <t>ЦЕЛЬ — прогноз, не факт. Не подставлены вымышленные результаты, подписи или завершённые мероприятия.</t>
  </si>
  <si>
    <t>Требуется натурная проверка</t>
  </si>
  <si>
    <t>Отчётные показатели приложения №8</t>
  </si>
  <si>
    <t>Показатели: жёлтые B:C</t>
  </si>
  <si>
    <t>Отдельный демонстрационный отчёт</t>
  </si>
  <si>
    <t>Эти данные не выдаются за выполненный сменный план. База OEE = партии; идеальное время — автоматическая программа, уточнить политику учёта.</t>
  </si>
  <si>
    <t>ДЕМО; приложение №8</t>
  </si>
  <si>
    <t>Реквизиты, сроки, роли</t>
  </si>
  <si>
    <t>Ввод!B6:B15, B33:B38; План внедрения</t>
  </si>
  <si>
    <t>Дата 05.09.2026; роли без подписей</t>
  </si>
  <si>
    <t>На титуле источника разные юрлица; сверить. Автоматическая дата плана не доказывает факт выполнения.</t>
  </si>
  <si>
    <t>И-ГЦ-02, стр. 1; план — ДЕМО</t>
  </si>
  <si>
    <t>Готовность СОП и качество СР</t>
  </si>
  <si>
    <t>Критерии качества СР; Чек-лист СОП; Лист ознакомления</t>
  </si>
  <si>
    <t>Не проверено / не обучен</t>
  </si>
  <si>
    <t>Оценка не выставляется автоматически по наличию файла. Нужны документы и наблюдения.</t>
  </si>
  <si>
    <t>Приложения №7 и №8</t>
  </si>
  <si>
    <t>Исходный бланк приложения №3</t>
  </si>
  <si>
    <t>Расчётная реализация</t>
  </si>
  <si>
    <t>Дополнение</t>
  </si>
  <si>
    <t>Границы использования</t>
  </si>
  <si>
    <t>Время такта</t>
  </si>
  <si>
    <t>Ввод + Ассортимент</t>
  </si>
  <si>
    <t>Все 18 продуктов</t>
  </si>
  <si>
    <t>Приложение №3, структура бланка</t>
  </si>
  <si>
    <t>Лист наблюдений</t>
  </si>
  <si>
    <t>Замеры ДО / ЦЕЛЬ</t>
  </si>
  <si>
    <t>Подробный вид выбирается во Ввод</t>
  </si>
  <si>
    <t>Карта СР</t>
  </si>
  <si>
    <t>Координаты, маршрут и запас</t>
  </si>
  <si>
    <t>Эскиз, не обмер</t>
  </si>
  <si>
    <t>Ручная работа</t>
  </si>
  <si>
    <t>Все 18 блоков в Замерах</t>
  </si>
  <si>
    <t>Регулировка по МУ, стр. 17</t>
  </si>
  <si>
    <t>Периодическая работа</t>
  </si>
  <si>
    <t>Целое число санобработок</t>
  </si>
  <si>
    <t>Полный комплекс, не дробная работа</t>
  </si>
  <si>
    <t>Производственная способность</t>
  </si>
  <si>
    <t>Расчет ДО / ЦЕЛЬ</t>
  </si>
  <si>
    <t>Общий ресурс, не сумма мощностей</t>
  </si>
  <si>
    <t>Объединённая таблица</t>
  </si>
  <si>
    <t>ОТ ДО / ОТ ЦЕЛЬ</t>
  </si>
  <si>
    <t>Динамическая временная шкала</t>
  </si>
  <si>
    <t>1 оператор; 1 SOLIA</t>
  </si>
  <si>
    <t>Диаграмма</t>
  </si>
  <si>
    <t>Вес по партиям; все виды</t>
  </si>
  <si>
    <t>Одна ячейка + разрез продуктов</t>
  </si>
  <si>
    <t>Отчет об улучшении</t>
  </si>
  <si>
    <t>Отделены ЦЕЛЬ и ФАКТ</t>
  </si>
  <si>
    <t>Без утверждения внедрения</t>
  </si>
  <si>
    <t>Общий список улучшений</t>
  </si>
  <si>
    <t>6 проектных мероприятий</t>
  </si>
  <si>
    <t>Роли и статусы изменяемые</t>
  </si>
  <si>
    <t>СОП</t>
  </si>
  <si>
    <t>СОП / СОП санобработка</t>
  </si>
  <si>
    <t>План внедрения / ознакомление</t>
  </si>
  <si>
    <t>Проект до согласования</t>
  </si>
  <si>
    <t>Источник файлов: GitHub mrvladislavtkachenko-debug/5cCheckList; ветка arena/01a0706d-5cchecklist; коммит 3fdca2bd9f76e52ae0ac5778e7d35fdd8186002f. Исходные PDF/XLSX сохранены без изменения в sources/.</t>
  </si>
  <si>
    <t>Методика: МУ-41-2024 «Стандартизированная работа», редакция №4, утверждена 12.12.2024, введена 01.01.2025. В части внутренних колонтитулов осталась «редакция №3» — в расчёте используется предоставленный документ целиком.</t>
  </si>
  <si>
    <t>Книга — адаптированная расчётная версия всех 11 форм приложения №3, а не побайтовая/графическая копия оригинала. Компоновка расширена под 18 продуктов и пересчёт. Примеры приложений №4–6 использованы как примеры структуры; значения кирпичей, окраски и ремонтов в процесс не переносились.</t>
  </si>
  <si>
    <t>Приложение №7: перенесён видимый лист с пятью критериями 8.1–8.5; посторонние скрытые аудиты/контакты не включены. Приложение №8: включены все 19 пунктов проверки СОП и все 6 групп показателей (OEE раскрыт на три множителя).</t>
  </si>
  <si>
    <t>Защита листов без пароля — от случайной порчи формул, не средство безопасности. Рецензирование → Снять защиту листа. Все вычисления внутри этой XLSX, без макросов, Python на компьютере пользователя и внешних формульных ссылок.</t>
  </si>
  <si>
    <t>Excel: Формулы → Параметры вычислений → Автоматически. При необходимости Ctrl+Alt+F9. LibreOffice Calc: Данные → Вычислить → Автовычисление. Файловый предпросмотр может не вычислять формулы; редактировать в полноценном табличном редакторе.</t>
  </si>
  <si>
    <t>Изменение числа продуктов, типов оборудования, параллельной работы или состава этапов выходит за пределы фиксированной модели. Требуется расширение таблиц/формул и новая балансировка, а не ввод новых строк поверх защищённых данных.</t>
  </si>
  <si>
    <t>24 / ЛИСТ ОБУЧЕНИЯ И ОЗНАКОМЛЕНИЯ · ЗАПОЛНЯЕТСЯ ПО ФАКТУ</t>
  </si>
  <si>
    <t>Должность</t>
  </si>
  <si>
    <t>ФИО</t>
  </si>
  <si>
    <t>Дата обучения</t>
  </si>
  <si>
    <t>Документ / версия</t>
  </si>
  <si>
    <t>Практическая проверка</t>
  </si>
  <si>
    <t>Подпись / подтверждение</t>
  </si>
  <si>
    <t>Оператор SOLIA</t>
  </si>
  <si>
    <t>Впишите ФИО</t>
  </si>
  <si>
    <t>Не проведено</t>
  </si>
  <si>
    <t>СОП-И-ГЦ-02 / утверждённая версия не назначена</t>
  </si>
  <si>
    <t>Не подписано</t>
  </si>
  <si>
    <t>Укажите должность</t>
  </si>
  <si>
    <t>Заполнять только после фактического обучения и проверки. Наличие проекта СОП и этой таблицы не означает, что сотрудники ознакомлены. Не копировать подписи из исходной инструкции и не создавать вымышленные подтверждения.</t>
  </si>
  <si>
    <t>СТАНДАРТИЗИРОВАННАЯ РАБОТА / И-ГЦ-02</t>
  </si>
  <si>
    <t>Готовая расчётная модель: 18 продуктов · 3 программы SOLIA · 11 бланков ФЦК · критерии качества и чек-лист СОП. Все демонстрационные числа подписаны, обязательная технология отделена от предположений.</t>
  </si>
  <si>
    <t>1. Откройте «Ввод» и «Ассортимент». Замените жёлтые значения своими. 2. Внесите реальные замеры в оба набора наблюдений и периодическую работу. 3. Проверьте «Контроль». Подробные бланки переключаются выбором продукта во «Ввод».</t>
  </si>
  <si>
    <t>Партий в смену</t>
  </si>
  <si>
    <t>Доступно времени, с</t>
  </si>
  <si>
    <t>Полных санобработок, событий</t>
  </si>
  <si>
    <t>Время ДО, мин/смену</t>
  </si>
  <si>
    <t>Время ЦЕЛЬ, мин/смену</t>
  </si>
  <si>
    <t>Прогноз высвобождения, мин/смену</t>
  </si>
  <si>
    <t>ЖЁЛТЫЙ = ввод: заменяйте числа и текст. СИНИЙ = формулы: пересчёт автоматический. СЕРЫЙ = требования источника: не менять ради улучшений.</t>
  </si>
  <si>
    <t>Модель исходно предполагает 1 машину и 1 оператора без перекрытия ручной работы с автоматической. Изменение числа ресурсов не строит новый производственный график. Подписи, обучение, результаты проверок и факты внедрения не вымышлены.</t>
  </si>
  <si>
    <t>Лист / раздел</t>
  </si>
  <si>
    <t>Назначение</t>
  </si>
  <si>
    <t>Где менять</t>
  </si>
  <si>
    <t>Ввод</t>
  </si>
  <si>
    <t>Смена, ресурсы, реквизиты, выбор продукта</t>
  </si>
  <si>
    <t>Жёлтые клетки B</t>
  </si>
  <si>
    <t>Режимы И-ГЦ-02</t>
  </si>
  <si>
    <t>Неизменяемые программы мойки</t>
  </si>
  <si>
    <t>Серые требования источника</t>
  </si>
  <si>
    <t>Ассортимент</t>
  </si>
  <si>
    <t>План, выходы, партии, сырьё и остатки</t>
  </si>
  <si>
    <t>F8:J25</t>
  </si>
  <si>
    <t>Замеры ДО</t>
  </si>
  <si>
    <t>10 замеров × 18 продуктов, исходная модель</t>
  </si>
  <si>
    <t>Жёлтые E:N каждого блока</t>
  </si>
  <si>
    <t>Замеры ЦЕЛЬ</t>
  </si>
  <si>
    <t>Прогнозные / контрольные замеры</t>
  </si>
  <si>
    <t>Санобработка и подача тары</t>
  </si>
  <si>
    <t>Жёлтые длительности / частота тары</t>
  </si>
  <si>
    <t>Расчет ДО</t>
  </si>
  <si>
    <t>Сводная нагрузка исходного состояния</t>
  </si>
  <si>
    <t>Формулы</t>
  </si>
  <si>
    <t>Расчет ЦЕЛЬ</t>
  </si>
  <si>
    <t>Сводная нагрузка прогноза</t>
  </si>
  <si>
    <t>Форма 1: такт по всем видам</t>
  </si>
  <si>
    <t>Ввод / Ассортимент</t>
  </si>
  <si>
    <t>Форма 2: общие времена циклов</t>
  </si>
  <si>
    <t>Продукт / сценарий во Ввод</t>
  </si>
  <si>
    <t>Форма 4: поэлементная регулировка</t>
  </si>
  <si>
    <t>Форма 3: маршрут, качество, безопасность, запас</t>
  </si>
  <si>
    <t>Жёлтые координаты C:F</t>
  </si>
  <si>
    <t>Форма 6: расчёт мощности SOLIA</t>
  </si>
  <si>
    <t>Исходные листы</t>
  </si>
  <si>
    <t>ОТ ДО</t>
  </si>
  <si>
    <t>Форма 7: временной график ДО</t>
  </si>
  <si>
    <t>Продукт во Ввод</t>
  </si>
  <si>
    <t>ОТ ЦЕЛЬ</t>
  </si>
  <si>
    <t>Форма 7: временной график ЦЕЛЬ</t>
  </si>
  <si>
    <t>Форма 8: баланс и все виды</t>
  </si>
  <si>
    <t>Форма 10: шесть мероприятий</t>
  </si>
  <si>
    <t>Проблемы, мероприятия, ФАКТ и статус</t>
  </si>
  <si>
    <t>Форма 9: прогноз и отдельный ФАКТ</t>
  </si>
  <si>
    <t>Номер во Ввод; факты жёлтые</t>
  </si>
  <si>
    <t>Форма 11: динамический проект стандарта</t>
  </si>
  <si>
    <t>Продукт во Ввод; ЦЕЛЬ в замерах</t>
  </si>
  <si>
    <t>СОП санобработка</t>
  </si>
  <si>
    <t>Форма 11: периодический комплекс</t>
  </si>
  <si>
    <t>Времена в периодической работе</t>
  </si>
  <si>
    <t>План внедрения</t>
  </si>
  <si>
    <t>10 этапов, сроки, роли, доказательства</t>
  </si>
  <si>
    <t>Статусы / доказательства</t>
  </si>
  <si>
    <t>Критерии качества СР</t>
  </si>
  <si>
    <t>Приложение 7: все пять критериев</t>
  </si>
  <si>
    <t>Оценки и доказательства</t>
  </si>
  <si>
    <t>Чек-лист СОП</t>
  </si>
  <si>
    <t>Приложение 8: 19 критериев и итог</t>
  </si>
  <si>
    <t>Показатели</t>
  </si>
  <si>
    <t>Приложение 8: ВПП, выработка, запасы, брак, трудоёмкость, OEE</t>
  </si>
  <si>
    <t>Самостоятельный отчётный пример B:C</t>
  </si>
  <si>
    <t>Автоматическая проверка качества ввода</t>
  </si>
  <si>
    <t>Исправлять исходные данные</t>
  </si>
  <si>
    <t>Допущения и источники</t>
  </si>
  <si>
    <t>Адреса ввода, ограничения, соответствие шаблонам</t>
  </si>
  <si>
    <t>Прочитать перед внедрением</t>
  </si>
  <si>
    <t>Лист ознакомления</t>
  </si>
  <si>
    <t>Реальные обучение и подписи</t>
  </si>
  <si>
    <t>Жёлтые поля после обучения</t>
  </si>
  <si>
    <t>Использование: Microsoft Excel (автовычисление включено) или LibreOffice Calc. Макросы не нужны. Формулы защищены без пароля от случайного изменения. Исходные PDF/XLSX лежат в sources/; книга представляет расчётную адаптацию шаблонов, а не изменённую методику.</t>
  </si>
  <si>
    <t>Перед вводом в работу: заменить ДЕМО-замеры, проверить состав этапов и натурную планировку, уточнить СИЗ и режимы санитарных средств, провести контрольные наблюдения, согласовать/утвердить СОП и обучить персонал. Числа прогноза не являются фактом внедрения и не подтверждают безопасность или соответствие стандартам.</t>
  </si>
</sst>
</file>

<file path=xl/styles.xml><?xml version="1.0" encoding="utf-8"?>
<styleSheet xmlns="http://schemas.openxmlformats.org/spreadsheetml/2006/main">
  <numFmts count="3">
    <numFmt numFmtId="164" formatCode="0.00"/>
    <numFmt numFmtId="165" formatCode="dd.mm.yyyy"/>
    <numFmt numFmtId="166" formatCode="0.0%"/>
  </numFmts>
  <fonts count="12">
    <font>
      <sz val="11"/>
      <color theme="1"/>
      <name val="Calibri"/>
      <family val="2"/>
      <scheme val="minor"/>
    </font>
    <font>
      <b/>
      <sz val="20"/>
      <color rgb="FFFFFFFF"/>
      <name val="Arial"/>
      <family val="2"/>
    </font>
    <font>
      <b/>
      <sz val="10"/>
      <color rgb="FF7B4600"/>
      <name val="Arial"/>
      <family val="2"/>
    </font>
    <font>
      <u/>
      <sz val="10"/>
      <color rgb="FF006C8E"/>
      <name val="Arial"/>
      <family val="2"/>
    </font>
    <font>
      <b/>
      <sz val="10"/>
      <color rgb="FF163444"/>
      <name val="Arial"/>
      <family val="2"/>
    </font>
    <font>
      <sz val="10"/>
      <color rgb="FF213547"/>
      <name val="Arial"/>
      <family val="2"/>
    </font>
    <font>
      <sz val="9"/>
      <color rgb="FF556778"/>
      <name val="Arial"/>
      <family val="2"/>
    </font>
    <font>
      <b/>
      <sz val="10"/>
      <color rgb="FFFFFFFF"/>
      <name val="Arial"/>
      <family val="2"/>
    </font>
    <font>
      <sz val="10"/>
      <color rgb="FF163444"/>
      <name val="Arial"/>
      <family val="2"/>
    </font>
    <font>
      <sz val="10"/>
      <color rgb="FF445468"/>
      <name val="Arial"/>
      <family val="2"/>
    </font>
    <font>
      <sz val="10"/>
      <color rgb="FF165B7A"/>
      <name val="Arial"/>
      <family val="2"/>
    </font>
    <font>
      <sz val="8"/>
      <color indexed="81"/>
      <name val="Tahoma"/>
      <family val="2"/>
    </font>
  </fonts>
  <fills count="10">
    <fill>
      <patternFill patternType="none"/>
    </fill>
    <fill>
      <patternFill patternType="gray125"/>
    </fill>
    <fill>
      <patternFill patternType="solid">
        <fgColor rgb="FF163444"/>
        <bgColor indexed="64"/>
      </patternFill>
    </fill>
    <fill>
      <patternFill patternType="solid">
        <fgColor rgb="FFFFF1D2"/>
        <bgColor indexed="64"/>
      </patternFill>
    </fill>
    <fill>
      <patternFill patternType="solid">
        <fgColor rgb="FFDCEEF0"/>
        <bgColor indexed="64"/>
      </patternFill>
    </fill>
    <fill>
      <patternFill patternType="solid">
        <fgColor rgb="FFF5F7F9"/>
        <bgColor indexed="64"/>
      </patternFill>
    </fill>
    <fill>
      <patternFill patternType="solid">
        <fgColor rgb="FF246577"/>
        <bgColor indexed="64"/>
      </patternFill>
    </fill>
    <fill>
      <patternFill patternType="solid">
        <fgColor rgb="FFFFF2AC"/>
        <bgColor indexed="64"/>
      </patternFill>
    </fill>
    <fill>
      <patternFill patternType="solid">
        <fgColor rgb="FFE9EDF1"/>
        <bgColor indexed="64"/>
      </patternFill>
    </fill>
    <fill>
      <patternFill patternType="solid">
        <fgColor rgb="FFEDF6FC"/>
        <bgColor indexed="64"/>
      </patternFill>
    </fill>
  </fills>
  <borders count="3">
    <border>
      <left/>
      <right/>
      <top/>
      <bottom/>
      <diagonal/>
    </border>
    <border>
      <left/>
      <right/>
      <top/>
      <bottom/>
      <diagonal/>
    </border>
    <border>
      <left style="thin">
        <color rgb="FFDDE5EA"/>
      </left>
      <right style="thin">
        <color rgb="FFDDE5EA"/>
      </right>
      <top style="thin">
        <color rgb="FFDDE5EA"/>
      </top>
      <bottom style="thin">
        <color rgb="FFDDE5EA"/>
      </bottom>
      <diagonal/>
    </border>
  </borders>
  <cellStyleXfs count="1">
    <xf numFmtId="0" fontId="0" fillId="0" borderId="0"/>
  </cellStyleXfs>
  <cellXfs count="20">
    <xf numFmtId="0" fontId="0" fillId="0" borderId="0" xfId="0"/>
    <xf numFmtId="0" fontId="1" fillId="2" borderId="1" xfId="0" applyFont="1" applyFill="1" applyBorder="1" applyAlignment="1">
      <alignment vertical="center" wrapText="1"/>
    </xf>
    <xf numFmtId="0" fontId="2" fillId="3" borderId="1" xfId="0" applyFont="1" applyFill="1" applyBorder="1" applyAlignment="1">
      <alignment vertical="center" wrapText="1"/>
    </xf>
    <xf numFmtId="0" fontId="3" fillId="0" borderId="1" xfId="0" applyFont="1" applyBorder="1" applyAlignment="1">
      <alignment vertical="center" wrapText="1"/>
    </xf>
    <xf numFmtId="0" fontId="4" fillId="4" borderId="2" xfId="0" applyFont="1" applyFill="1" applyBorder="1" applyAlignment="1">
      <alignment vertical="center" wrapText="1"/>
    </xf>
    <xf numFmtId="0" fontId="5" fillId="0" borderId="2" xfId="0" applyFont="1" applyBorder="1" applyAlignment="1">
      <alignment vertical="center" wrapText="1"/>
    </xf>
    <xf numFmtId="164" fontId="4" fillId="4" borderId="2" xfId="0" applyNumberFormat="1" applyFont="1" applyFill="1" applyBorder="1" applyAlignment="1">
      <alignment vertical="center" wrapText="1"/>
    </xf>
    <xf numFmtId="0" fontId="6" fillId="5" borderId="2" xfId="0" applyFont="1" applyFill="1" applyBorder="1" applyAlignment="1">
      <alignment vertical="center" wrapText="1"/>
    </xf>
    <xf numFmtId="0" fontId="7" fillId="6" borderId="2" xfId="0" applyFont="1" applyFill="1" applyBorder="1" applyAlignment="1">
      <alignment horizontal="center" vertical="center" wrapText="1"/>
    </xf>
    <xf numFmtId="0" fontId="8" fillId="7" borderId="2" xfId="0" applyFont="1" applyFill="1" applyBorder="1" applyAlignment="1" applyProtection="1">
      <alignment vertical="center" wrapText="1"/>
      <protection locked="0"/>
    </xf>
    <xf numFmtId="165" fontId="8" fillId="7" borderId="2" xfId="0" applyNumberFormat="1" applyFont="1" applyFill="1" applyBorder="1" applyAlignment="1" applyProtection="1">
      <alignment vertical="center" wrapText="1"/>
      <protection locked="0"/>
    </xf>
    <xf numFmtId="0" fontId="9" fillId="8" borderId="2" xfId="0" applyFont="1" applyFill="1" applyBorder="1" applyAlignment="1">
      <alignment vertical="center" wrapText="1"/>
    </xf>
    <xf numFmtId="164" fontId="8" fillId="7" borderId="2" xfId="0" applyNumberFormat="1" applyFont="1" applyFill="1" applyBorder="1" applyAlignment="1" applyProtection="1">
      <alignment vertical="center" wrapText="1"/>
      <protection locked="0"/>
    </xf>
    <xf numFmtId="164" fontId="10" fillId="9" borderId="2" xfId="0" applyNumberFormat="1" applyFont="1" applyFill="1" applyBorder="1" applyAlignment="1">
      <alignment vertical="center" wrapText="1"/>
    </xf>
    <xf numFmtId="166" fontId="8" fillId="7" borderId="2" xfId="0" applyNumberFormat="1" applyFont="1" applyFill="1" applyBorder="1" applyAlignment="1" applyProtection="1">
      <alignment vertical="center" wrapText="1"/>
      <protection locked="0"/>
    </xf>
    <xf numFmtId="1" fontId="10" fillId="9" borderId="2" xfId="0" applyNumberFormat="1" applyFont="1" applyFill="1" applyBorder="1" applyAlignment="1">
      <alignment vertical="center" wrapText="1"/>
    </xf>
    <xf numFmtId="166" fontId="10" fillId="9" borderId="2" xfId="0" applyNumberFormat="1" applyFont="1" applyFill="1" applyBorder="1" applyAlignment="1">
      <alignment vertical="center" wrapText="1"/>
    </xf>
    <xf numFmtId="0" fontId="10" fillId="9" borderId="2" xfId="0" applyFont="1" applyFill="1" applyBorder="1" applyAlignment="1">
      <alignment vertical="center" wrapText="1"/>
    </xf>
    <xf numFmtId="164" fontId="9" fillId="8" borderId="2" xfId="0" applyNumberFormat="1" applyFont="1" applyFill="1" applyBorder="1" applyAlignment="1">
      <alignment vertical="center" wrapText="1"/>
    </xf>
    <xf numFmtId="165" fontId="10" fillId="9" borderId="2" xfId="0" applyNumberFormat="1" applyFont="1" applyFill="1" applyBorder="1" applyAlignment="1">
      <alignment vertical="center" wrapText="1"/>
    </xf>
  </cellXfs>
  <cellStyles count="1">
    <cellStyle name="Normal" xfId="0" builtinId="0"/>
  </cellStyles>
  <dxfs count="9">
    <dxf>
      <font>
        <b/>
        <color rgb="FF8F263A"/>
      </font>
      <fill>
        <patternFill>
          <bgColor rgb="FFFCE4E8"/>
        </patternFill>
      </fill>
      <border>
        <left style="thin">
          <color rgb="FFDDE5EA"/>
        </left>
        <right style="thin">
          <color rgb="FFDDE5EA"/>
        </right>
        <top style="thin">
          <color rgb="FFDDE5EA"/>
        </top>
        <bottom style="thin">
          <color rgb="FFDDE5EA"/>
        </bottom>
        <vertical/>
        <horizontal/>
      </border>
    </dxf>
    <dxf>
      <font>
        <strike/>
        <color rgb="FF999999"/>
      </font>
      <fill>
        <patternFill>
          <bgColor rgb="FFEFEFEF"/>
        </patternFill>
      </fill>
      <border>
        <left style="thin">
          <color rgb="FFDDE5EA"/>
        </left>
        <right style="thin">
          <color rgb="FFDDE5EA"/>
        </right>
        <top style="thin">
          <color rgb="FFDDE5EA"/>
        </top>
        <bottom style="thin">
          <color rgb="FFDDE5EA"/>
        </bottom>
        <vertical/>
        <horizontal/>
      </border>
    </dxf>
    <dxf>
      <font>
        <u/>
        <color rgb="FF176647"/>
      </font>
      <border>
        <left style="thin">
          <color rgb="FFDDE5EA"/>
        </left>
        <right style="thin">
          <color rgb="FFDDE5EA"/>
        </right>
        <top style="thin">
          <color rgb="FFDDE5EA"/>
        </top>
        <bottom style="thin">
          <color rgb="FFDDE5EA"/>
        </bottom>
        <vertical/>
        <horizontal/>
      </border>
    </dxf>
    <dxf>
      <font>
        <b/>
        <color rgb="FF9B233B"/>
      </font>
      <border>
        <left style="thin">
          <color rgb="FFDDE5EA"/>
        </left>
        <right style="thin">
          <color rgb="FFDDE5EA"/>
        </right>
        <top style="thin">
          <color rgb="FFDDE5EA"/>
        </top>
        <bottom style="thin">
          <color rgb="FFDDE5EA"/>
        </bottom>
        <vertical/>
        <horizontal/>
      </border>
    </dxf>
    <dxf>
      <font>
        <color rgb="FF2789A7"/>
      </font>
      <fill>
        <patternFill>
          <bgColor rgb="FF2789A7"/>
        </patternFill>
      </fill>
      <border>
        <left/>
        <right/>
        <top/>
        <bottom/>
        <vertical/>
        <horizontal/>
      </border>
    </dxf>
    <dxf>
      <font>
        <color rgb="FFEBA84A"/>
      </font>
      <fill>
        <patternFill>
          <bgColor rgb="FFEBA84A"/>
        </patternFill>
      </fill>
      <border>
        <left/>
        <right/>
        <top/>
        <bottom/>
        <vertical/>
        <horizontal/>
      </border>
    </dxf>
    <dxf>
      <font>
        <color rgb="FF7A6AB2"/>
      </font>
      <fill>
        <patternFill>
          <bgColor rgb="FF7A6AB2"/>
        </patternFill>
      </fill>
      <border>
        <left/>
        <right/>
        <top/>
        <bottom/>
        <vertical/>
        <horizontal/>
      </border>
    </dxf>
    <dxf>
      <font>
        <color rgb="FFA1ADB7"/>
      </font>
      <fill>
        <patternFill>
          <bgColor rgb="FFA1ADB7"/>
        </patternFill>
      </fill>
      <border>
        <left/>
        <right/>
        <top/>
        <bottom/>
        <vertical/>
        <horizontal/>
      </border>
    </dxf>
    <dxf>
      <font>
        <color rgb="FF176647"/>
      </font>
      <fill>
        <patternFill>
          <bgColor rgb="FFDCF3E8"/>
        </patternFill>
      </fill>
      <border>
        <left style="thin">
          <color rgb="FFDDE5EA"/>
        </left>
        <right style="thin">
          <color rgb="FFDDE5EA"/>
        </right>
        <top style="thin">
          <color rgb="FFDDE5EA"/>
        </top>
        <bottom style="thin">
          <color rgb="FFDDE5EA"/>
        </bottom>
        <vertical/>
        <horizontal/>
      </border>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theme" Target="theme/theme1.xml"/><Relationship Id="rId30" Type="http://schemas.openxmlformats.org/officeDocument/2006/relationships/styles" Target="styles.xml"/><Relationship Id="rId31"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ДО · условный эскиз; не обмер помещения</a:t>
            </a:r>
          </a:p>
        </c:rich>
      </c:tx>
      <c:layout/>
    </c:title>
    <c:plotArea>
      <c:layout/>
      <c:scatterChart>
        <c:scatterStyle val="lineMarker"/>
        <c:ser>
          <c:idx val="0"/>
          <c:order val="0"/>
          <c:tx>
            <c:v>1 → 2 → 3 → 4 → 5</c:v>
          </c:tx>
          <c:spPr>
            <a:ln w="25400">
              <a:solidFill>
                <a:srgbClr val="2789A7"/>
              </a:solidFill>
            </a:ln>
          </c:spPr>
          <c:marker>
            <c:symbol val="circle"/>
            <c:size val="6"/>
          </c:marker>
          <c:xVal>
            <c:numRef>
              <c:f>'Карта СР'!$C$8:$C$12</c:f>
              <c:numCache>
                <c:formatCode>General</c:formatCode>
                <c:ptCount val="5"/>
                <c:pt idx="0">
                  <c:v>0</c:v>
                </c:pt>
                <c:pt idx="1">
                  <c:v>2</c:v>
                </c:pt>
                <c:pt idx="2">
                  <c:v>4</c:v>
                </c:pt>
                <c:pt idx="3">
                  <c:v>4</c:v>
                </c:pt>
                <c:pt idx="4">
                  <c:v>2</c:v>
                </c:pt>
              </c:numCache>
            </c:numRef>
          </c:xVal>
          <c:yVal>
            <c:numRef>
              <c:f>'Карта СР'!$D$8:$D$12</c:f>
              <c:numCache>
                <c:formatCode>General</c:formatCode>
                <c:ptCount val="5"/>
                <c:pt idx="0">
                  <c:v>0</c:v>
                </c:pt>
                <c:pt idx="1">
                  <c:v>0</c:v>
                </c:pt>
                <c:pt idx="2">
                  <c:v>0</c:v>
                </c:pt>
                <c:pt idx="3">
                  <c:v>3</c:v>
                </c:pt>
                <c:pt idx="4">
                  <c:v>3</c:v>
                </c:pt>
              </c:numCache>
            </c:numRef>
          </c:yVal>
        </c:ser>
        <c:ser>
          <c:idx val="1"/>
          <c:order val="1"/>
          <c:tx>
            <c:v>5 ⇢ 1: возврат</c:v>
          </c:tx>
          <c:spPr>
            <a:ln>
              <a:solidFill>
                <a:srgbClr val="2789A7"/>
              </a:solidFill>
              <a:prstDash val="dash"/>
            </a:ln>
          </c:spPr>
          <c:marker>
            <c:symbol val="none"/>
          </c:marker>
          <c:xVal>
            <c:numRef>
              <c:f>'Карта СР'!$C$12:$C$13</c:f>
              <c:numCache>
                <c:formatCode>General</c:formatCode>
                <c:ptCount val="2"/>
                <c:pt idx="0">
                  <c:v>2</c:v>
                </c:pt>
                <c:pt idx="1">
                  <c:v>0</c:v>
                </c:pt>
              </c:numCache>
            </c:numRef>
          </c:xVal>
          <c:yVal>
            <c:numRef>
              <c:f>'Карта СР'!$D$12:$D$13</c:f>
              <c:numCache>
                <c:formatCode>General</c:formatCode>
                <c:ptCount val="2"/>
                <c:pt idx="0">
                  <c:v>3</c:v>
                </c:pt>
                <c:pt idx="1">
                  <c:v>0</c:v>
                </c:pt>
              </c:numCache>
            </c:numRef>
          </c:yVal>
        </c:ser>
        <c:axId val="50010001"/>
        <c:axId val="50010002"/>
      </c:scatterChart>
      <c:valAx>
        <c:axId val="50010001"/>
        <c:scaling>
          <c:orientation val="minMax"/>
        </c:scaling>
        <c:axPos val="b"/>
        <c:majorGridlines/>
        <c:title>
          <c:tx>
            <c:rich>
              <a:bodyPr/>
              <a:lstStyle/>
              <a:p>
                <a:pPr>
                  <a:defRPr/>
                </a:pPr>
                <a:r>
                  <a:rPr lang="en-US"/>
                  <a:t>X, м</a:t>
                </a:r>
              </a:p>
            </c:rich>
          </c:tx>
          <c:layout/>
        </c:title>
        <c:numFmt formatCode="General" sourceLinked="1"/>
        <c:tickLblPos val="nextTo"/>
        <c:crossAx val="50010002"/>
        <c:crosses val="autoZero"/>
        <c:crossBetween val="midCat"/>
      </c:valAx>
      <c:valAx>
        <c:axId val="50010002"/>
        <c:scaling>
          <c:orientation val="minMax"/>
        </c:scaling>
        <c:axPos val="l"/>
        <c:majorGridlines/>
        <c:title>
          <c:tx>
            <c:rich>
              <a:bodyPr rot="-5400000" vert="horz"/>
              <a:lstStyle/>
              <a:p>
                <a:pPr>
                  <a:defRPr/>
                </a:pPr>
                <a:r>
                  <a:rPr lang="en-US"/>
                  <a:t>Y, м</a:t>
                </a:r>
              </a:p>
            </c:rich>
          </c:tx>
          <c:layout/>
        </c:title>
        <c:numFmt formatCode="General" sourceLinked="1"/>
        <c:tickLblPos val="nextTo"/>
        <c:crossAx val="50010001"/>
        <c:crosses val="autoZero"/>
        <c:crossBetween val="midCat"/>
      </c:valAx>
    </c:plotArea>
    <c:legend>
      <c:legendPos val="b"/>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ЦЕЛЬ · условный эскиз; не обмер помещения</a:t>
            </a:r>
          </a:p>
        </c:rich>
      </c:tx>
      <c:layout/>
    </c:title>
    <c:plotArea>
      <c:layout/>
      <c:scatterChart>
        <c:scatterStyle val="lineMarker"/>
        <c:ser>
          <c:idx val="0"/>
          <c:order val="0"/>
          <c:tx>
            <c:v>1 → 2 → 3 → 4 → 5</c:v>
          </c:tx>
          <c:spPr>
            <a:ln w="25400">
              <a:solidFill>
                <a:srgbClr val="24966D"/>
              </a:solidFill>
            </a:ln>
          </c:spPr>
          <c:marker>
            <c:symbol val="circle"/>
            <c:size val="6"/>
          </c:marker>
          <c:xVal>
            <c:numRef>
              <c:f>'Карта СР'!$E$8:$E$12</c:f>
              <c:numCache>
                <c:formatCode>General</c:formatCode>
                <c:ptCount val="5"/>
                <c:pt idx="0">
                  <c:v>0</c:v>
                </c:pt>
                <c:pt idx="1">
                  <c:v>1</c:v>
                </c:pt>
                <c:pt idx="2">
                  <c:v>2</c:v>
                </c:pt>
                <c:pt idx="3">
                  <c:v>2</c:v>
                </c:pt>
                <c:pt idx="4">
                  <c:v>1</c:v>
                </c:pt>
              </c:numCache>
            </c:numRef>
          </c:xVal>
          <c:yVal>
            <c:numRef>
              <c:f>'Карта СР'!$F$8:$F$12</c:f>
              <c:numCache>
                <c:formatCode>General</c:formatCode>
                <c:ptCount val="5"/>
                <c:pt idx="0">
                  <c:v>0</c:v>
                </c:pt>
                <c:pt idx="1">
                  <c:v>0</c:v>
                </c:pt>
                <c:pt idx="2">
                  <c:v>0</c:v>
                </c:pt>
                <c:pt idx="3">
                  <c:v>2</c:v>
                </c:pt>
                <c:pt idx="4">
                  <c:v>2</c:v>
                </c:pt>
              </c:numCache>
            </c:numRef>
          </c:yVal>
        </c:ser>
        <c:ser>
          <c:idx val="1"/>
          <c:order val="1"/>
          <c:tx>
            <c:v>5 ⇢ 1: возврат</c:v>
          </c:tx>
          <c:spPr>
            <a:ln>
              <a:solidFill>
                <a:srgbClr val="24966D"/>
              </a:solidFill>
              <a:prstDash val="dash"/>
            </a:ln>
          </c:spPr>
          <c:marker>
            <c:symbol val="none"/>
          </c:marker>
          <c:xVal>
            <c:numRef>
              <c:f>'Карта СР'!$E$12:$E$13</c:f>
              <c:numCache>
                <c:formatCode>General</c:formatCode>
                <c:ptCount val="2"/>
                <c:pt idx="0">
                  <c:v>1</c:v>
                </c:pt>
                <c:pt idx="1">
                  <c:v>0</c:v>
                </c:pt>
              </c:numCache>
            </c:numRef>
          </c:xVal>
          <c:yVal>
            <c:numRef>
              <c:f>'Карта СР'!$F$12:$F$13</c:f>
              <c:numCache>
                <c:formatCode>General</c:formatCode>
                <c:ptCount val="2"/>
                <c:pt idx="0">
                  <c:v>2</c:v>
                </c:pt>
                <c:pt idx="1">
                  <c:v>0</c:v>
                </c:pt>
              </c:numCache>
            </c:numRef>
          </c:yVal>
        </c:ser>
        <c:axId val="50020001"/>
        <c:axId val="50020002"/>
      </c:scatterChart>
      <c:valAx>
        <c:axId val="50020001"/>
        <c:scaling>
          <c:orientation val="minMax"/>
        </c:scaling>
        <c:axPos val="b"/>
        <c:majorGridlines/>
        <c:title>
          <c:tx>
            <c:rich>
              <a:bodyPr/>
              <a:lstStyle/>
              <a:p>
                <a:pPr>
                  <a:defRPr/>
                </a:pPr>
                <a:r>
                  <a:rPr lang="en-US"/>
                  <a:t>X, м</a:t>
                </a:r>
              </a:p>
            </c:rich>
          </c:tx>
          <c:layout/>
        </c:title>
        <c:numFmt formatCode="General" sourceLinked="1"/>
        <c:tickLblPos val="nextTo"/>
        <c:crossAx val="50020002"/>
        <c:crosses val="autoZero"/>
        <c:crossBetween val="midCat"/>
      </c:valAx>
      <c:valAx>
        <c:axId val="50020002"/>
        <c:scaling>
          <c:orientation val="minMax"/>
        </c:scaling>
        <c:axPos val="l"/>
        <c:majorGridlines/>
        <c:title>
          <c:tx>
            <c:rich>
              <a:bodyPr rot="-5400000" vert="horz"/>
              <a:lstStyle/>
              <a:p>
                <a:pPr>
                  <a:defRPr/>
                </a:pPr>
                <a:r>
                  <a:rPr lang="en-US"/>
                  <a:t>Y, м</a:t>
                </a:r>
              </a:p>
            </c:rich>
          </c:tx>
          <c:layout/>
        </c:title>
        <c:numFmt formatCode="General" sourceLinked="1"/>
        <c:tickLblPos val="nextTo"/>
        <c:crossAx val="50020001"/>
        <c:crosses val="autoZero"/>
        <c:crossBetween val="midCat"/>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Средневзвешенная загрузка одного оператора</a:t>
            </a:r>
          </a:p>
        </c:rich>
      </c:tx>
      <c:layout/>
    </c:title>
    <c:plotArea>
      <c:layout/>
      <c:barChart>
        <c:barDir val="col"/>
        <c:grouping val="stacked"/>
        <c:ser>
          <c:idx val="0"/>
          <c:order val="0"/>
          <c:tx>
            <c:strRef>
              <c:f>'Диаграмма'!$B$7</c:f>
              <c:strCache>
                <c:ptCount val="1"/>
                <c:pt idx="0">
                  <c:v>Ручная, с</c:v>
                </c:pt>
              </c:strCache>
            </c:strRef>
          </c:tx>
          <c:spPr>
            <a:solidFill>
              <a:srgbClr val="2789A7"/>
            </a:solidFill>
            <a:ln>
              <a:noFill/>
            </a:ln>
          </c:spPr>
          <c:cat>
            <c:strRef>
              <c:f>'Диаграмма'!$A$8:$A$9</c:f>
              <c:strCache>
                <c:ptCount val="2"/>
                <c:pt idx="0">
                  <c:v>Оператор №1 / ДО</c:v>
                </c:pt>
                <c:pt idx="1">
                  <c:v>Оператор №1 / ЦЕЛЬ</c:v>
                </c:pt>
              </c:strCache>
            </c:strRef>
          </c:cat>
          <c:val>
            <c:numRef>
              <c:f>'Диаграмма'!$B$8:$B$9</c:f>
              <c:numCache>
                <c:formatCode>General</c:formatCode>
                <c:ptCount val="2"/>
                <c:pt idx="0">
                  <c:v>199.4925</c:v>
                </c:pt>
                <c:pt idx="1">
                  <c:v>187.565</c:v>
                </c:pt>
              </c:numCache>
            </c:numRef>
          </c:val>
        </c:ser>
        <c:ser>
          <c:idx val="1"/>
          <c:order val="1"/>
          <c:tx>
            <c:strRef>
              <c:f>'Диаграмма'!$C$7</c:f>
              <c:strCache>
                <c:ptCount val="1"/>
                <c:pt idx="0">
                  <c:v>Переходы, с</c:v>
                </c:pt>
              </c:strCache>
            </c:strRef>
          </c:tx>
          <c:spPr>
            <a:solidFill>
              <a:srgbClr val="EBA84A"/>
            </a:solidFill>
            <a:ln>
              <a:noFill/>
            </a:ln>
          </c:spPr>
          <c:cat>
            <c:strRef>
              <c:f>'Диаграмма'!$A$8:$A$9</c:f>
              <c:strCache>
                <c:ptCount val="2"/>
                <c:pt idx="0">
                  <c:v>Оператор №1 / ДО</c:v>
                </c:pt>
                <c:pt idx="1">
                  <c:v>Оператор №1 / ЦЕЛЬ</c:v>
                </c:pt>
              </c:strCache>
            </c:strRef>
          </c:cat>
          <c:val>
            <c:numRef>
              <c:f>'Диаграмма'!$C$8:$C$9</c:f>
              <c:numCache>
                <c:formatCode>General</c:formatCode>
                <c:ptCount val="2"/>
                <c:pt idx="0">
                  <c:v>32</c:v>
                </c:pt>
                <c:pt idx="1">
                  <c:v>16</c:v>
                </c:pt>
              </c:numCache>
            </c:numRef>
          </c:val>
        </c:ser>
        <c:ser>
          <c:idx val="2"/>
          <c:order val="2"/>
          <c:tx>
            <c:strRef>
              <c:f>'Диаграмма'!$D$7</c:f>
              <c:strCache>
                <c:ptCount val="1"/>
                <c:pt idx="0">
                  <c:v>Автоожидание, с</c:v>
                </c:pt>
              </c:strCache>
            </c:strRef>
          </c:tx>
          <c:spPr>
            <a:solidFill>
              <a:srgbClr val="7A6AB2"/>
            </a:solidFill>
            <a:ln>
              <a:noFill/>
            </a:ln>
          </c:spPr>
          <c:cat>
            <c:strRef>
              <c:f>'Диаграмма'!$A$8:$A$9</c:f>
              <c:strCache>
                <c:ptCount val="2"/>
                <c:pt idx="0">
                  <c:v>Оператор №1 / ДО</c:v>
                </c:pt>
                <c:pt idx="1">
                  <c:v>Оператор №1 / ЦЕЛЬ</c:v>
                </c:pt>
              </c:strCache>
            </c:strRef>
          </c:cat>
          <c:val>
            <c:numRef>
              <c:f>'Диаграмма'!$D$8:$D$9</c:f>
              <c:numCache>
                <c:formatCode>General</c:formatCode>
                <c:ptCount val="2"/>
                <c:pt idx="0">
                  <c:v>288.75</c:v>
                </c:pt>
                <c:pt idx="1">
                  <c:v>288.75</c:v>
                </c:pt>
              </c:numCache>
            </c:numRef>
          </c:val>
        </c:ser>
        <c:ser>
          <c:idx val="3"/>
          <c:order val="3"/>
          <c:tx>
            <c:strRef>
              <c:f>'Диаграмма'!$E$7</c:f>
              <c:strCache>
                <c:ptCount val="1"/>
                <c:pt idx="0">
                  <c:v>Прочие потери, с</c:v>
                </c:pt>
              </c:strCache>
            </c:strRef>
          </c:tx>
          <c:spPr>
            <a:solidFill>
              <a:srgbClr val="A1ADB7"/>
            </a:solidFill>
            <a:ln>
              <a:noFill/>
            </a:ln>
          </c:spPr>
          <c:cat>
            <c:strRef>
              <c:f>'Диаграмма'!$A$8:$A$9</c:f>
              <c:strCache>
                <c:ptCount val="2"/>
                <c:pt idx="0">
                  <c:v>Оператор №1 / ДО</c:v>
                </c:pt>
                <c:pt idx="1">
                  <c:v>Оператор №1 / ЦЕЛЬ</c:v>
                </c:pt>
              </c:strCache>
            </c:strRef>
          </c:cat>
          <c:val>
            <c:numRef>
              <c:f>'Диаграмма'!$E$8:$E$9</c:f>
              <c:numCache>
                <c:formatCode>General</c:formatCode>
                <c:ptCount val="2"/>
                <c:pt idx="0">
                  <c:v>12</c:v>
                </c:pt>
                <c:pt idx="1">
                  <c:v>0</c:v>
                </c:pt>
              </c:numCache>
            </c:numRef>
          </c:val>
        </c:ser>
        <c:ser>
          <c:idx val="4"/>
          <c:order val="4"/>
          <c:tx>
            <c:strRef>
              <c:f>'Диаграмма'!$F$7</c:f>
              <c:strCache>
                <c:ptCount val="1"/>
                <c:pt idx="0">
                  <c:v>Периодич., с</c:v>
                </c:pt>
              </c:strCache>
            </c:strRef>
          </c:tx>
          <c:spPr>
            <a:solidFill>
              <a:srgbClr val="69BCA6"/>
            </a:solidFill>
            <a:ln>
              <a:noFill/>
            </a:ln>
          </c:spPr>
          <c:cat>
            <c:strRef>
              <c:f>'Диаграмма'!$A$8:$A$9</c:f>
              <c:strCache>
                <c:ptCount val="2"/>
                <c:pt idx="0">
                  <c:v>Оператор №1 / ДО</c:v>
                </c:pt>
                <c:pt idx="1">
                  <c:v>Оператор №1 / ЦЕЛЬ</c:v>
                </c:pt>
              </c:strCache>
            </c:strRef>
          </c:cat>
          <c:val>
            <c:numRef>
              <c:f>'Диаграмма'!$F$8:$F$9</c:f>
              <c:numCache>
                <c:formatCode>General</c:formatCode>
                <c:ptCount val="2"/>
                <c:pt idx="0">
                  <c:v>236.25</c:v>
                </c:pt>
                <c:pt idx="1">
                  <c:v>234.375</c:v>
                </c:pt>
              </c:numCache>
            </c:numRef>
          </c:val>
        </c:ser>
        <c:ser>
          <c:idx val="5"/>
          <c:order val="5"/>
          <c:tx>
            <c:strRef>
              <c:f>'Диаграмма'!$G$7</c:f>
              <c:strCache>
                <c:ptCount val="1"/>
                <c:pt idx="0">
                  <c:v>Σ колебаний, с</c:v>
                </c:pt>
              </c:strCache>
            </c:strRef>
          </c:tx>
          <c:spPr>
            <a:solidFill>
              <a:srgbClr val="D9DFE3"/>
            </a:solidFill>
            <a:ln>
              <a:noFill/>
            </a:ln>
          </c:spPr>
          <c:cat>
            <c:strRef>
              <c:f>'Диаграмма'!$A$8:$A$9</c:f>
              <c:strCache>
                <c:ptCount val="2"/>
                <c:pt idx="0">
                  <c:v>Оператор №1 / ДО</c:v>
                </c:pt>
                <c:pt idx="1">
                  <c:v>Оператор №1 / ЦЕЛЬ</c:v>
                </c:pt>
              </c:strCache>
            </c:strRef>
          </c:cat>
          <c:val>
            <c:numRef>
              <c:f>'Диаграмма'!$G$8:$G$9</c:f>
              <c:numCache>
                <c:formatCode>General</c:formatCode>
                <c:ptCount val="2"/>
                <c:pt idx="0">
                  <c:v>15.97</c:v>
                </c:pt>
                <c:pt idx="1">
                  <c:v>13.6075</c:v>
                </c:pt>
              </c:numCache>
            </c:numRef>
          </c:val>
        </c:ser>
        <c:overlap val="100"/>
        <c:axId val="50030001"/>
        <c:axId val="50030002"/>
      </c:barChart>
      <c:lineChart>
        <c:grouping val="standard"/>
        <c:ser>
          <c:idx val="6"/>
          <c:order val="6"/>
          <c:tx>
            <c:v>Время такта</c:v>
          </c:tx>
          <c:spPr>
            <a:ln w="31750">
              <a:solidFill>
                <a:srgbClr val="C83D54"/>
              </a:solidFill>
            </a:ln>
          </c:spPr>
          <c:marker>
            <c:symbol val="none"/>
          </c:marker>
          <c:cat>
            <c:strRef>
              <c:f>'Диаграмма'!$A$8:$A$9</c:f>
              <c:strCache>
                <c:ptCount val="2"/>
                <c:pt idx="0">
                  <c:v>Оператор №1 / ДО</c:v>
                </c:pt>
                <c:pt idx="1">
                  <c:v>Оператор №1 / ЦЕЛЬ</c:v>
                </c:pt>
              </c:strCache>
            </c:strRef>
          </c:cat>
          <c:val>
            <c:numRef>
              <c:f>'Диаграмма'!$H$8:$H$9</c:f>
              <c:numCache>
                <c:formatCode>General</c:formatCode>
                <c:ptCount val="2"/>
                <c:pt idx="0">
                  <c:v>768.75</c:v>
                </c:pt>
                <c:pt idx="1">
                  <c:v>768.75</c:v>
                </c:pt>
              </c:numCache>
            </c:numRef>
          </c:val>
        </c:ser>
        <c:marker val="1"/>
        <c:axId val="50030001"/>
        <c:axId val="50030002"/>
      </c:line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title>
          <c:tx>
            <c:rich>
              <a:bodyPr/>
              <a:lstStyle/>
              <a:p>
                <a:pPr>
                  <a:defRPr/>
                </a:pPr>
                <a:r>
                  <a:rPr lang="en-US"/>
                  <a:t>Секунд на партию</a:t>
                </a:r>
              </a:p>
            </c:rich>
          </c:tx>
          <c:layout/>
        </c:title>
        <c:numFmt formatCode="General" sourceLinked="1"/>
        <c:tickLblPos val="nextTo"/>
        <c:crossAx val="50030001"/>
        <c:crosses val="autoZero"/>
        <c:crossBetween val="between"/>
      </c:valAx>
    </c:plotArea>
    <c:legend>
      <c:legendPos val="b"/>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Все продукты · исходное состояние</a:t>
            </a:r>
          </a:p>
        </c:rich>
      </c:tx>
      <c:layout/>
    </c:title>
    <c:plotArea>
      <c:layout/>
      <c:barChart>
        <c:barDir val="col"/>
        <c:grouping val="stacked"/>
        <c:ser>
          <c:idx val="0"/>
          <c:order val="0"/>
          <c:tx>
            <c:strRef>
              <c:f>'Диаграмма'!$B$37</c:f>
              <c:strCache>
                <c:ptCount val="1"/>
                <c:pt idx="0">
                  <c:v>Цикл ДО, с</c:v>
                </c:pt>
              </c:strCache>
            </c:strRef>
          </c:tx>
          <c:spPr>
            <a:solidFill>
              <a:srgbClr val="2789A7"/>
            </a:solidFill>
            <a:ln>
              <a:noFill/>
            </a:ln>
          </c:spPr>
          <c:cat>
            <c:strRef>
              <c:f>'Диаграмма'!$A$38:$A$55</c:f>
              <c:strCache>
                <c:ptCount val="18"/>
                <c:pt idx="0">
                  <c:v>Латук</c:v>
                </c:pt>
                <c:pt idx="1">
                  <c:v>Базилик</c:v>
                </c:pt>
                <c:pt idx="2">
                  <c:v>Петрушка</c:v>
                </c:pt>
                <c:pt idx="3">
                  <c:v>Томат</c:v>
                </c:pt>
                <c:pt idx="4">
                  <c:v>Белокочанная капуста</c:v>
                </c:pt>
                <c:pt idx="5">
                  <c:v>Укроп</c:v>
                </c:pt>
                <c:pt idx="6">
                  <c:v>Зеленый лук</c:v>
                </c:pt>
                <c:pt idx="7">
                  <c:v>Кинза</c:v>
                </c:pt>
                <c:pt idx="8">
                  <c:v>Шампиньоны</c:v>
                </c:pt>
                <c:pt idx="9">
                  <c:v>Перец болгарский красный</c:v>
                </c:pt>
                <c:pt idx="10">
                  <c:v>Огурец</c:v>
                </c:pt>
                <c:pt idx="11">
                  <c:v>Редис</c:v>
                </c:pt>
                <c:pt idx="12">
                  <c:v>Сельдерей ствол</c:v>
                </c:pt>
                <c:pt idx="13">
                  <c:v>Сельдерей корень</c:v>
                </c:pt>
                <c:pt idx="14">
                  <c:v>Тыква</c:v>
                </c:pt>
                <c:pt idx="15">
                  <c:v>Имбирь</c:v>
                </c:pt>
                <c:pt idx="16">
                  <c:v>Лимон</c:v>
                </c:pt>
                <c:pt idx="17">
                  <c:v>Апельсин</c:v>
                </c:pt>
              </c:strCache>
            </c:strRef>
          </c:cat>
          <c:val>
            <c:numRef>
              <c:f>'Диаграмма'!$B$38:$B$55</c:f>
              <c:numCache>
                <c:formatCode>General</c:formatCode>
                <c:ptCount val="18"/>
                <c:pt idx="0">
                  <c:v>732.38</c:v>
                </c:pt>
                <c:pt idx="1">
                  <c:v>742.58</c:v>
                </c:pt>
                <c:pt idx="2">
                  <c:v>752.78</c:v>
                </c:pt>
                <c:pt idx="3">
                  <c:v>396.08</c:v>
                </c:pt>
                <c:pt idx="4">
                  <c:v>416.48</c:v>
                </c:pt>
                <c:pt idx="5">
                  <c:v>597.68</c:v>
                </c:pt>
                <c:pt idx="6">
                  <c:v>582.38</c:v>
                </c:pt>
                <c:pt idx="7">
                  <c:v>602.78</c:v>
                </c:pt>
                <c:pt idx="8">
                  <c:v>546.68</c:v>
                </c:pt>
                <c:pt idx="9">
                  <c:v>526.28</c:v>
                </c:pt>
                <c:pt idx="10">
                  <c:v>516.08</c:v>
                </c:pt>
                <c:pt idx="11">
                  <c:v>541.58</c:v>
                </c:pt>
                <c:pt idx="12">
                  <c:v>551.78</c:v>
                </c:pt>
                <c:pt idx="13">
                  <c:v>546.68</c:v>
                </c:pt>
                <c:pt idx="14">
                  <c:v>526.28</c:v>
                </c:pt>
                <c:pt idx="15">
                  <c:v>536.48</c:v>
                </c:pt>
                <c:pt idx="16">
                  <c:v>510.98</c:v>
                </c:pt>
                <c:pt idx="17">
                  <c:v>510.98</c:v>
                </c:pt>
              </c:numCache>
            </c:numRef>
          </c:val>
        </c:ser>
        <c:ser>
          <c:idx val="1"/>
          <c:order val="1"/>
          <c:tx>
            <c:strRef>
              <c:f>'Диаграмма'!$C$37</c:f>
              <c:strCache>
                <c:ptCount val="1"/>
                <c:pt idx="0">
                  <c:v>Период ДО, с</c:v>
                </c:pt>
              </c:strCache>
            </c:strRef>
          </c:tx>
          <c:spPr>
            <a:solidFill>
              <a:srgbClr val="69BCA6"/>
            </a:solidFill>
            <a:ln>
              <a:noFill/>
            </a:ln>
          </c:spPr>
          <c:cat>
            <c:strRef>
              <c:f>'Диаграмма'!$A$38:$A$55</c:f>
              <c:strCache>
                <c:ptCount val="18"/>
                <c:pt idx="0">
                  <c:v>Латук</c:v>
                </c:pt>
                <c:pt idx="1">
                  <c:v>Базилик</c:v>
                </c:pt>
                <c:pt idx="2">
                  <c:v>Петрушка</c:v>
                </c:pt>
                <c:pt idx="3">
                  <c:v>Томат</c:v>
                </c:pt>
                <c:pt idx="4">
                  <c:v>Белокочанная капуста</c:v>
                </c:pt>
                <c:pt idx="5">
                  <c:v>Укроп</c:v>
                </c:pt>
                <c:pt idx="6">
                  <c:v>Зеленый лук</c:v>
                </c:pt>
                <c:pt idx="7">
                  <c:v>Кинза</c:v>
                </c:pt>
                <c:pt idx="8">
                  <c:v>Шампиньоны</c:v>
                </c:pt>
                <c:pt idx="9">
                  <c:v>Перец болгарский красный</c:v>
                </c:pt>
                <c:pt idx="10">
                  <c:v>Огурец</c:v>
                </c:pt>
                <c:pt idx="11">
                  <c:v>Редис</c:v>
                </c:pt>
                <c:pt idx="12">
                  <c:v>Сельдерей ствол</c:v>
                </c:pt>
                <c:pt idx="13">
                  <c:v>Сельдерей корень</c:v>
                </c:pt>
                <c:pt idx="14">
                  <c:v>Тыква</c:v>
                </c:pt>
                <c:pt idx="15">
                  <c:v>Имбирь</c:v>
                </c:pt>
                <c:pt idx="16">
                  <c:v>Лимон</c:v>
                </c:pt>
                <c:pt idx="17">
                  <c:v>Апельсин</c:v>
                </c:pt>
              </c:strCache>
            </c:strRef>
          </c:cat>
          <c:val>
            <c:numRef>
              <c:f>'Диаграмма'!$C$38:$C$55</c:f>
              <c:numCache>
                <c:formatCode>General</c:formatCode>
                <c:ptCount val="18"/>
                <c:pt idx="0">
                  <c:v>236.25</c:v>
                </c:pt>
                <c:pt idx="1">
                  <c:v>236.25</c:v>
                </c:pt>
                <c:pt idx="2">
                  <c:v>236.25</c:v>
                </c:pt>
                <c:pt idx="3">
                  <c:v>236.25</c:v>
                </c:pt>
                <c:pt idx="4">
                  <c:v>236.25</c:v>
                </c:pt>
                <c:pt idx="5">
                  <c:v>236.25</c:v>
                </c:pt>
                <c:pt idx="6">
                  <c:v>236.25</c:v>
                </c:pt>
                <c:pt idx="7">
                  <c:v>236.25</c:v>
                </c:pt>
                <c:pt idx="8">
                  <c:v>236.25</c:v>
                </c:pt>
                <c:pt idx="9">
                  <c:v>236.25</c:v>
                </c:pt>
                <c:pt idx="10">
                  <c:v>236.25</c:v>
                </c:pt>
                <c:pt idx="11">
                  <c:v>236.25</c:v>
                </c:pt>
                <c:pt idx="12">
                  <c:v>236.25</c:v>
                </c:pt>
                <c:pt idx="13">
                  <c:v>236.25</c:v>
                </c:pt>
                <c:pt idx="14">
                  <c:v>236.25</c:v>
                </c:pt>
                <c:pt idx="15">
                  <c:v>236.25</c:v>
                </c:pt>
                <c:pt idx="16">
                  <c:v>236.25</c:v>
                </c:pt>
                <c:pt idx="17">
                  <c:v>236.25</c:v>
                </c:pt>
              </c:numCache>
            </c:numRef>
          </c:val>
        </c:ser>
        <c:ser>
          <c:idx val="2"/>
          <c:order val="2"/>
          <c:tx>
            <c:strRef>
              <c:f>'Диаграмма'!$D$37</c:f>
              <c:strCache>
                <c:ptCount val="1"/>
                <c:pt idx="0">
                  <c:v>Колеб. ДО, с</c:v>
                </c:pt>
              </c:strCache>
            </c:strRef>
          </c:tx>
          <c:spPr>
            <a:solidFill>
              <a:srgbClr val="D9DFE3"/>
            </a:solidFill>
            <a:ln>
              <a:noFill/>
            </a:ln>
          </c:spPr>
          <c:cat>
            <c:strRef>
              <c:f>'Диаграмма'!$A$38:$A$55</c:f>
              <c:strCache>
                <c:ptCount val="18"/>
                <c:pt idx="0">
                  <c:v>Латук</c:v>
                </c:pt>
                <c:pt idx="1">
                  <c:v>Базилик</c:v>
                </c:pt>
                <c:pt idx="2">
                  <c:v>Петрушка</c:v>
                </c:pt>
                <c:pt idx="3">
                  <c:v>Томат</c:v>
                </c:pt>
                <c:pt idx="4">
                  <c:v>Белокочанная капуста</c:v>
                </c:pt>
                <c:pt idx="5">
                  <c:v>Укроп</c:v>
                </c:pt>
                <c:pt idx="6">
                  <c:v>Зеленый лук</c:v>
                </c:pt>
                <c:pt idx="7">
                  <c:v>Кинза</c:v>
                </c:pt>
                <c:pt idx="8">
                  <c:v>Шампиньоны</c:v>
                </c:pt>
                <c:pt idx="9">
                  <c:v>Перец болгарский красный</c:v>
                </c:pt>
                <c:pt idx="10">
                  <c:v>Огурец</c:v>
                </c:pt>
                <c:pt idx="11">
                  <c:v>Редис</c:v>
                </c:pt>
                <c:pt idx="12">
                  <c:v>Сельдерей ствол</c:v>
                </c:pt>
                <c:pt idx="13">
                  <c:v>Сельдерей корень</c:v>
                </c:pt>
                <c:pt idx="14">
                  <c:v>Тыква</c:v>
                </c:pt>
                <c:pt idx="15">
                  <c:v>Имбирь</c:v>
                </c:pt>
                <c:pt idx="16">
                  <c:v>Лимон</c:v>
                </c:pt>
                <c:pt idx="17">
                  <c:v>Апельсин</c:v>
                </c:pt>
              </c:strCache>
            </c:strRef>
          </c:cat>
          <c:val>
            <c:numRef>
              <c:f>'Диаграмма'!$D$38:$D$55</c:f>
              <c:numCache>
                <c:formatCode>General</c:formatCode>
                <c:ptCount val="18"/>
                <c:pt idx="0">
                  <c:v>19.0199999999999</c:v>
                </c:pt>
                <c:pt idx="1">
                  <c:v>19.82</c:v>
                </c:pt>
                <c:pt idx="2">
                  <c:v>20.6199999999999</c:v>
                </c:pt>
                <c:pt idx="3">
                  <c:v>13.82</c:v>
                </c:pt>
                <c:pt idx="4">
                  <c:v>15.42</c:v>
                </c:pt>
                <c:pt idx="5">
                  <c:v>20.2199999999999</c:v>
                </c:pt>
                <c:pt idx="6">
                  <c:v>19.02</c:v>
                </c:pt>
                <c:pt idx="7">
                  <c:v>20.6199999999999</c:v>
                </c:pt>
                <c:pt idx="8">
                  <c:v>16.2199999999999</c:v>
                </c:pt>
                <c:pt idx="9">
                  <c:v>14.6199999999999</c:v>
                </c:pt>
                <c:pt idx="10">
                  <c:v>13.8200000000001</c:v>
                </c:pt>
                <c:pt idx="11">
                  <c:v>15.82</c:v>
                </c:pt>
                <c:pt idx="12">
                  <c:v>16.6199999999999</c:v>
                </c:pt>
                <c:pt idx="13">
                  <c:v>16.2199999999999</c:v>
                </c:pt>
                <c:pt idx="14">
                  <c:v>14.6199999999999</c:v>
                </c:pt>
                <c:pt idx="15">
                  <c:v>15.42</c:v>
                </c:pt>
                <c:pt idx="16">
                  <c:v>13.42</c:v>
                </c:pt>
                <c:pt idx="17">
                  <c:v>13.42</c:v>
                </c:pt>
              </c:numCache>
            </c:numRef>
          </c:val>
        </c:ser>
        <c:overlap val="100"/>
        <c:axId val="50040001"/>
        <c:axId val="50040002"/>
      </c:barChart>
      <c:lineChart>
        <c:grouping val="standard"/>
        <c:ser>
          <c:idx val="3"/>
          <c:order val="3"/>
          <c:tx>
            <c:v>Такт</c:v>
          </c:tx>
          <c:spPr>
            <a:ln>
              <a:solidFill>
                <a:srgbClr val="C83D54"/>
              </a:solidFill>
            </a:ln>
          </c:spPr>
          <c:marker>
            <c:symbol val="none"/>
          </c:marker>
          <c:cat>
            <c:strRef>
              <c:f>'Диаграмма'!$A$38:$A$55</c:f>
              <c:strCache>
                <c:ptCount val="18"/>
                <c:pt idx="0">
                  <c:v>Латук</c:v>
                </c:pt>
                <c:pt idx="1">
                  <c:v>Базилик</c:v>
                </c:pt>
                <c:pt idx="2">
                  <c:v>Петрушка</c:v>
                </c:pt>
                <c:pt idx="3">
                  <c:v>Томат</c:v>
                </c:pt>
                <c:pt idx="4">
                  <c:v>Белокочанная капуста</c:v>
                </c:pt>
                <c:pt idx="5">
                  <c:v>Укроп</c:v>
                </c:pt>
                <c:pt idx="6">
                  <c:v>Зеленый лук</c:v>
                </c:pt>
                <c:pt idx="7">
                  <c:v>Кинза</c:v>
                </c:pt>
                <c:pt idx="8">
                  <c:v>Шампиньоны</c:v>
                </c:pt>
                <c:pt idx="9">
                  <c:v>Перец болгарский красный</c:v>
                </c:pt>
                <c:pt idx="10">
                  <c:v>Огурец</c:v>
                </c:pt>
                <c:pt idx="11">
                  <c:v>Редис</c:v>
                </c:pt>
                <c:pt idx="12">
                  <c:v>Сельдерей ствол</c:v>
                </c:pt>
                <c:pt idx="13">
                  <c:v>Сельдерей корень</c:v>
                </c:pt>
                <c:pt idx="14">
                  <c:v>Тыква</c:v>
                </c:pt>
                <c:pt idx="15">
                  <c:v>Имбирь</c:v>
                </c:pt>
                <c:pt idx="16">
                  <c:v>Лимон</c:v>
                </c:pt>
                <c:pt idx="17">
                  <c:v>Апельсин</c:v>
                </c:pt>
              </c:strCache>
            </c:strRef>
          </c:cat>
          <c:val>
            <c:numRef>
              <c:f>'Диаграмма'!$E$38:$E$55</c:f>
              <c:numCache>
                <c:formatCode>General</c:formatCode>
                <c:ptCount val="18"/>
                <c:pt idx="0">
                  <c:v>768.75</c:v>
                </c:pt>
                <c:pt idx="1">
                  <c:v>768.75</c:v>
                </c:pt>
                <c:pt idx="2">
                  <c:v>768.75</c:v>
                </c:pt>
                <c:pt idx="3">
                  <c:v>768.75</c:v>
                </c:pt>
                <c:pt idx="4">
                  <c:v>768.75</c:v>
                </c:pt>
                <c:pt idx="5">
                  <c:v>768.75</c:v>
                </c:pt>
                <c:pt idx="6">
                  <c:v>768.75</c:v>
                </c:pt>
                <c:pt idx="7">
                  <c:v>768.75</c:v>
                </c:pt>
                <c:pt idx="8">
                  <c:v>768.75</c:v>
                </c:pt>
                <c:pt idx="9">
                  <c:v>768.75</c:v>
                </c:pt>
                <c:pt idx="10">
                  <c:v>768.75</c:v>
                </c:pt>
                <c:pt idx="11">
                  <c:v>768.75</c:v>
                </c:pt>
                <c:pt idx="12">
                  <c:v>768.75</c:v>
                </c:pt>
                <c:pt idx="13">
                  <c:v>768.75</c:v>
                </c:pt>
                <c:pt idx="14">
                  <c:v>768.75</c:v>
                </c:pt>
                <c:pt idx="15">
                  <c:v>768.75</c:v>
                </c:pt>
                <c:pt idx="16">
                  <c:v>768.75</c:v>
                </c:pt>
                <c:pt idx="17">
                  <c:v>768.75</c:v>
                </c:pt>
              </c:numCache>
            </c:numRef>
          </c:val>
        </c:ser>
        <c:marker val="1"/>
        <c:axId val="50040001"/>
        <c:axId val="50040002"/>
      </c:lineChart>
      <c:catAx>
        <c:axId val="50040001"/>
        <c:scaling>
          <c:orientation val="minMax"/>
        </c:scaling>
        <c:axPos val="b"/>
        <c:tickLblPos val="nextTo"/>
        <c:txPr>
          <a:bodyPr rot="-2700000" vert="horz"/>
          <a:lstStyle/>
          <a:p>
            <a:pPr>
              <a:defRPr sz="800" baseline="0"/>
            </a:pPr>
            <a:endParaRPr lang="en-US"/>
          </a:p>
        </c:txPr>
        <c:crossAx val="50040002"/>
        <c:crosses val="autoZero"/>
        <c:auto val="1"/>
        <c:lblAlgn val="ctr"/>
        <c:lblOffset val="100"/>
      </c:catAx>
      <c:valAx>
        <c:axId val="50040002"/>
        <c:scaling>
          <c:orientation val="minMax"/>
        </c:scaling>
        <c:axPos val="l"/>
        <c:majorGridlines/>
        <c:title>
          <c:tx>
            <c:rich>
              <a:bodyPr/>
              <a:lstStyle/>
              <a:p>
                <a:pPr>
                  <a:defRPr/>
                </a:pPr>
                <a:r>
                  <a:rPr lang="en-US"/>
                  <a:t>с/партию</a:t>
                </a:r>
              </a:p>
            </c:rich>
          </c:tx>
          <c:layout/>
        </c:title>
        <c:numFmt formatCode="General" sourceLinked="1"/>
        <c:tickLblPos val="nextTo"/>
        <c:crossAx val="50040001"/>
        <c:crosses val="autoZero"/>
        <c:crossBetween val="between"/>
      </c:valAx>
    </c:plotArea>
    <c:legend>
      <c:legendPos val="b"/>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17</xdr:row>
      <xdr:rowOff>0</xdr:rowOff>
    </xdr:from>
    <xdr:to>
      <xdr:col>4</xdr:col>
      <xdr:colOff>476250</xdr:colOff>
      <xdr:row>28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0</xdr:rowOff>
    </xdr:from>
    <xdr:to>
      <xdr:col>8</xdr:col>
      <xdr:colOff>2190750</xdr:colOff>
      <xdr:row>28</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0</xdr:rowOff>
    </xdr:from>
    <xdr:to>
      <xdr:col>8</xdr:col>
      <xdr:colOff>952500</xdr:colOff>
      <xdr:row>24</xdr:row>
      <xdr:rowOff>238125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57</xdr:row>
      <xdr:rowOff>0</xdr:rowOff>
    </xdr:from>
    <xdr:to>
      <xdr:col>8</xdr:col>
      <xdr:colOff>952500</xdr:colOff>
      <xdr:row>71</xdr:row>
      <xdr:rowOff>95250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6.vml"/><Relationship Id="rId3" Type="http://schemas.openxmlformats.org/officeDocument/2006/relationships/comments" Target="../comments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sheet1.xml><?xml version="1.0" encoding="utf-8"?>
<worksheet xmlns="http://schemas.openxmlformats.org/spreadsheetml/2006/main" xmlns:r="http://schemas.openxmlformats.org/officeDocument/2006/relationships">
  <sheetPr>
    <tabColor rgb="FF147D92"/>
    <pageSetUpPr fitToPage="1"/>
  </sheetPr>
  <dimension ref="A1:H58"/>
  <sheetViews>
    <sheetView showGridLines="0" tabSelected="1" zoomScale="85" zoomScaleNormal="85" workbookViewId="0">
      <pane xSplit="2" ySplit="21" topLeftCell="C22" activePane="bottomRight" state="frozen"/>
      <selection pane="topRight" activeCell="C1" sqref="C1"/>
      <selection pane="bottomLeft" activeCell="A22" sqref="A22"/>
      <selection pane="bottomRight"/>
    </sheetView>
  </sheetViews>
  <sheetFormatPr defaultRowHeight="23" customHeight="1"/>
  <cols>
    <col min="1" max="1" width="6.7109375" customWidth="1"/>
    <col min="2" max="2" width="51.7109375" customWidth="1"/>
    <col min="3" max="8" width="23.7109375" customWidth="1"/>
  </cols>
  <sheetData>
    <row r="1" spans="1:8" ht="35" customHeight="1">
      <c r="A1" s="1" t="s">
        <v>1031</v>
      </c>
      <c r="B1" s="1"/>
      <c r="C1" s="1"/>
      <c r="D1" s="1"/>
      <c r="E1" s="1"/>
      <c r="F1" s="1"/>
      <c r="G1" s="1"/>
      <c r="H1" s="1"/>
    </row>
    <row r="2" spans="1:8" ht="31" customHeight="1">
      <c r="A2" s="2" t="s">
        <v>1</v>
      </c>
      <c r="B2" s="2"/>
      <c r="C2" s="2"/>
      <c r="D2" s="2"/>
      <c r="E2" s="2"/>
      <c r="F2" s="2"/>
      <c r="G2" s="2"/>
      <c r="H2" s="2"/>
    </row>
    <row r="3" spans="1:8" ht="23" customHeight="1">
      <c r="A3" s="3" t="s">
        <v>2</v>
      </c>
    </row>
    <row r="4" spans="1:8" ht="23" customHeight="1">
      <c r="A4" s="4" t="s">
        <v>1032</v>
      </c>
      <c r="B4" s="4"/>
      <c r="C4" s="4"/>
      <c r="D4" s="4"/>
      <c r="E4" s="4"/>
      <c r="F4" s="4"/>
      <c r="G4" s="4"/>
      <c r="H4" s="4"/>
    </row>
    <row r="5" spans="1:8" ht="23" customHeight="1">
      <c r="A5" s="4"/>
      <c r="B5" s="4"/>
      <c r="C5" s="4"/>
      <c r="D5" s="4"/>
      <c r="E5" s="4"/>
      <c r="F5" s="4"/>
      <c r="G5" s="4"/>
      <c r="H5" s="4"/>
    </row>
    <row r="7" spans="1:8" ht="23" customHeight="1">
      <c r="A7" s="5" t="s">
        <v>1033</v>
      </c>
      <c r="B7" s="5"/>
      <c r="C7" s="5"/>
      <c r="D7" s="5"/>
      <c r="E7" s="5"/>
      <c r="F7" s="5"/>
      <c r="G7" s="5"/>
      <c r="H7" s="5"/>
    </row>
    <row r="8" spans="1:8" ht="23" customHeight="1">
      <c r="A8" s="5"/>
      <c r="B8" s="5"/>
      <c r="C8" s="5"/>
      <c r="D8" s="5"/>
      <c r="E8" s="5"/>
      <c r="F8" s="5"/>
      <c r="G8" s="5"/>
      <c r="H8" s="5"/>
    </row>
    <row r="10" spans="1:8" ht="23" customHeight="1">
      <c r="A10" s="5" t="s">
        <v>117</v>
      </c>
      <c r="B10" s="5"/>
      <c r="C10" s="6">
        <f>'Ассортимент'!F27</f>
        <v>107</v>
      </c>
      <c r="E10" s="2" t="s">
        <v>1040</v>
      </c>
      <c r="F10" s="2"/>
      <c r="G10" s="2"/>
      <c r="H10" s="2"/>
    </row>
    <row r="11" spans="1:8" ht="23" customHeight="1">
      <c r="A11" s="5" t="s">
        <v>1034</v>
      </c>
      <c r="B11" s="5"/>
      <c r="C11" s="6">
        <f>'Ввод'!B28</f>
        <v>32</v>
      </c>
      <c r="E11" s="2"/>
      <c r="F11" s="2"/>
      <c r="G11" s="2"/>
      <c r="H11" s="2"/>
    </row>
    <row r="12" spans="1:8" ht="23" customHeight="1">
      <c r="A12" s="5" t="s">
        <v>1035</v>
      </c>
      <c r="B12" s="5"/>
      <c r="C12" s="6">
        <f>'Ввод'!B27</f>
        <v>24600</v>
      </c>
      <c r="E12" s="2"/>
      <c r="F12" s="2"/>
      <c r="G12" s="2"/>
      <c r="H12" s="2"/>
    </row>
    <row r="13" spans="1:8" ht="23" customHeight="1">
      <c r="A13" s="5" t="s">
        <v>373</v>
      </c>
      <c r="B13" s="5"/>
      <c r="C13" s="6">
        <f>'Ввод'!B30</f>
        <v>768.75</v>
      </c>
    </row>
    <row r="14" spans="1:8" ht="23" customHeight="1">
      <c r="A14" s="5" t="s">
        <v>1036</v>
      </c>
      <c r="B14" s="5"/>
      <c r="C14" s="6">
        <f>'Периодическая работа'!B20</f>
        <v>8</v>
      </c>
      <c r="E14" s="7" t="s">
        <v>1041</v>
      </c>
      <c r="F14" s="7"/>
      <c r="G14" s="7"/>
      <c r="H14" s="7"/>
    </row>
    <row r="15" spans="1:8" ht="23" customHeight="1">
      <c r="A15" s="5" t="s">
        <v>1037</v>
      </c>
      <c r="B15" s="5"/>
      <c r="C15" s="6">
        <f>IF(ISNUMBER('Расчет ДО'!B33),'Расчет ДО'!B33/60,"")</f>
        <v>409.862666666667</v>
      </c>
      <c r="E15" s="7"/>
      <c r="F15" s="7"/>
      <c r="G15" s="7"/>
      <c r="H15" s="7"/>
    </row>
    <row r="16" spans="1:8" ht="23" customHeight="1">
      <c r="A16" s="5" t="s">
        <v>1038</v>
      </c>
      <c r="B16" s="5"/>
      <c r="C16" s="6">
        <f>IF(ISNUMBER('Расчет ЦЕЛЬ'!B33),'Расчет ЦЕЛЬ'!B33/60,"")</f>
        <v>387.568</v>
      </c>
      <c r="E16" s="7"/>
      <c r="F16" s="7"/>
      <c r="G16" s="7"/>
      <c r="H16" s="7"/>
    </row>
    <row r="17" spans="1:8" ht="23" customHeight="1">
      <c r="A17" s="5" t="s">
        <v>1039</v>
      </c>
      <c r="B17" s="5"/>
      <c r="C17" s="6">
        <f>'Отчет об улучшении'!D28</f>
        <v>22.2946666666667</v>
      </c>
      <c r="E17" s="7"/>
      <c r="F17" s="7"/>
      <c r="G17" s="7"/>
      <c r="H17" s="7"/>
    </row>
    <row r="18" spans="1:8" ht="23" customHeight="1">
      <c r="A18" s="5" t="s">
        <v>880</v>
      </c>
      <c r="B18" s="5"/>
      <c r="C18" s="6">
        <f>'Контроль'!C37</f>
        <v>0</v>
      </c>
      <c r="E18" s="7"/>
      <c r="F18" s="7"/>
      <c r="G18" s="7"/>
      <c r="H18" s="7"/>
    </row>
    <row r="21" spans="1:8" ht="44" customHeight="1">
      <c r="A21" s="8" t="s">
        <v>113</v>
      </c>
      <c r="B21" s="8" t="s">
        <v>1042</v>
      </c>
      <c r="C21" s="8" t="s">
        <v>1043</v>
      </c>
      <c r="D21" s="8" t="s">
        <v>1044</v>
      </c>
      <c r="E21" s="8"/>
      <c r="F21" s="8"/>
      <c r="G21" s="8"/>
      <c r="H21" s="8"/>
    </row>
    <row r="22" spans="1:8" ht="36" customHeight="1">
      <c r="A22" s="5">
        <v>1</v>
      </c>
      <c r="B22" s="3" t="s">
        <v>1045</v>
      </c>
      <c r="C22" s="5" t="s">
        <v>1046</v>
      </c>
      <c r="D22" s="5"/>
      <c r="E22" s="5"/>
      <c r="F22" s="5"/>
      <c r="G22" s="7" t="s">
        <v>1047</v>
      </c>
      <c r="H22" s="7"/>
    </row>
    <row r="23" spans="1:8" ht="36" customHeight="1">
      <c r="A23" s="5">
        <v>2</v>
      </c>
      <c r="B23" s="3" t="s">
        <v>1048</v>
      </c>
      <c r="C23" s="5" t="s">
        <v>1049</v>
      </c>
      <c r="D23" s="5"/>
      <c r="E23" s="5"/>
      <c r="F23" s="5"/>
      <c r="G23" s="7" t="s">
        <v>1050</v>
      </c>
      <c r="H23" s="7"/>
    </row>
    <row r="24" spans="1:8" ht="36" customHeight="1">
      <c r="A24" s="5">
        <v>3</v>
      </c>
      <c r="B24" s="3" t="s">
        <v>1051</v>
      </c>
      <c r="C24" s="5" t="s">
        <v>1052</v>
      </c>
      <c r="D24" s="5"/>
      <c r="E24" s="5"/>
      <c r="F24" s="5"/>
      <c r="G24" s="7" t="s">
        <v>1053</v>
      </c>
      <c r="H24" s="7"/>
    </row>
    <row r="25" spans="1:8" ht="36" customHeight="1">
      <c r="A25" s="5">
        <v>4</v>
      </c>
      <c r="B25" s="3" t="s">
        <v>1054</v>
      </c>
      <c r="C25" s="5" t="s">
        <v>1055</v>
      </c>
      <c r="D25" s="5"/>
      <c r="E25" s="5"/>
      <c r="F25" s="5"/>
      <c r="G25" s="7" t="s">
        <v>1056</v>
      </c>
      <c r="H25" s="7"/>
    </row>
    <row r="26" spans="1:8" ht="36" customHeight="1">
      <c r="A26" s="5">
        <v>5</v>
      </c>
      <c r="B26" s="3" t="s">
        <v>1057</v>
      </c>
      <c r="C26" s="5" t="s">
        <v>1058</v>
      </c>
      <c r="D26" s="5"/>
      <c r="E26" s="5"/>
      <c r="F26" s="5"/>
      <c r="G26" s="7" t="s">
        <v>1056</v>
      </c>
      <c r="H26" s="7"/>
    </row>
    <row r="27" spans="1:8" ht="36" customHeight="1">
      <c r="A27" s="5">
        <v>6</v>
      </c>
      <c r="B27" s="3" t="s">
        <v>987</v>
      </c>
      <c r="C27" s="5" t="s">
        <v>1059</v>
      </c>
      <c r="D27" s="5"/>
      <c r="E27" s="5"/>
      <c r="F27" s="5"/>
      <c r="G27" s="7" t="s">
        <v>1060</v>
      </c>
      <c r="H27" s="7"/>
    </row>
    <row r="28" spans="1:8" ht="36" customHeight="1">
      <c r="A28" s="5">
        <v>7</v>
      </c>
      <c r="B28" s="3" t="s">
        <v>1061</v>
      </c>
      <c r="C28" s="5" t="s">
        <v>1062</v>
      </c>
      <c r="D28" s="5"/>
      <c r="E28" s="5"/>
      <c r="F28" s="5"/>
      <c r="G28" s="7" t="s">
        <v>1063</v>
      </c>
      <c r="H28" s="7"/>
    </row>
    <row r="29" spans="1:8" ht="36" customHeight="1">
      <c r="A29" s="5">
        <v>8</v>
      </c>
      <c r="B29" s="3" t="s">
        <v>1064</v>
      </c>
      <c r="C29" s="5" t="s">
        <v>1065</v>
      </c>
      <c r="D29" s="5"/>
      <c r="E29" s="5"/>
      <c r="F29" s="5"/>
      <c r="G29" s="7" t="s">
        <v>1063</v>
      </c>
      <c r="H29" s="7"/>
    </row>
    <row r="30" spans="1:8" ht="36" customHeight="1">
      <c r="A30" s="5">
        <v>9</v>
      </c>
      <c r="B30" s="3" t="s">
        <v>974</v>
      </c>
      <c r="C30" s="5" t="s">
        <v>1066</v>
      </c>
      <c r="D30" s="5"/>
      <c r="E30" s="5"/>
      <c r="F30" s="5"/>
      <c r="G30" s="7" t="s">
        <v>1067</v>
      </c>
      <c r="H30" s="7"/>
    </row>
    <row r="31" spans="1:8" ht="36" customHeight="1">
      <c r="A31" s="5">
        <v>10</v>
      </c>
      <c r="B31" s="3" t="s">
        <v>978</v>
      </c>
      <c r="C31" s="5" t="s">
        <v>1068</v>
      </c>
      <c r="D31" s="5"/>
      <c r="E31" s="5"/>
      <c r="F31" s="5"/>
      <c r="G31" s="7" t="s">
        <v>1069</v>
      </c>
      <c r="H31" s="7"/>
    </row>
    <row r="32" spans="1:8" ht="36" customHeight="1">
      <c r="A32" s="5">
        <v>11</v>
      </c>
      <c r="B32" s="3" t="s">
        <v>984</v>
      </c>
      <c r="C32" s="5" t="s">
        <v>1070</v>
      </c>
      <c r="D32" s="5"/>
      <c r="E32" s="5"/>
      <c r="F32" s="5"/>
      <c r="G32" s="7" t="s">
        <v>1069</v>
      </c>
      <c r="H32" s="7"/>
    </row>
    <row r="33" spans="1:8" ht="36" customHeight="1">
      <c r="A33" s="5">
        <v>12</v>
      </c>
      <c r="B33" s="3" t="s">
        <v>981</v>
      </c>
      <c r="C33" s="5" t="s">
        <v>1071</v>
      </c>
      <c r="D33" s="5"/>
      <c r="E33" s="5"/>
      <c r="F33" s="5"/>
      <c r="G33" s="7" t="s">
        <v>1072</v>
      </c>
      <c r="H33" s="7"/>
    </row>
    <row r="34" spans="1:8" ht="36" customHeight="1">
      <c r="A34" s="5">
        <v>13</v>
      </c>
      <c r="B34" s="3" t="s">
        <v>990</v>
      </c>
      <c r="C34" s="5" t="s">
        <v>1073</v>
      </c>
      <c r="D34" s="5"/>
      <c r="E34" s="5"/>
      <c r="F34" s="5"/>
      <c r="G34" s="7" t="s">
        <v>1074</v>
      </c>
      <c r="H34" s="7"/>
    </row>
    <row r="35" spans="1:8" ht="36" customHeight="1">
      <c r="A35" s="5">
        <v>14</v>
      </c>
      <c r="B35" s="3" t="s">
        <v>1075</v>
      </c>
      <c r="C35" s="5" t="s">
        <v>1076</v>
      </c>
      <c r="D35" s="5"/>
      <c r="E35" s="5"/>
      <c r="F35" s="5"/>
      <c r="G35" s="7" t="s">
        <v>1077</v>
      </c>
      <c r="H35" s="7"/>
    </row>
    <row r="36" spans="1:8" ht="36" customHeight="1">
      <c r="A36" s="5">
        <v>15</v>
      </c>
      <c r="B36" s="3" t="s">
        <v>1078</v>
      </c>
      <c r="C36" s="5" t="s">
        <v>1079</v>
      </c>
      <c r="D36" s="5"/>
      <c r="E36" s="5"/>
      <c r="F36" s="5"/>
      <c r="G36" s="7" t="s">
        <v>1077</v>
      </c>
      <c r="H36" s="7"/>
    </row>
    <row r="37" spans="1:8" ht="36" customHeight="1">
      <c r="A37" s="5">
        <v>16</v>
      </c>
      <c r="B37" s="3" t="s">
        <v>997</v>
      </c>
      <c r="C37" s="5" t="s">
        <v>1080</v>
      </c>
      <c r="D37" s="5"/>
      <c r="E37" s="5"/>
      <c r="F37" s="5"/>
      <c r="G37" s="7" t="s">
        <v>1074</v>
      </c>
      <c r="H37" s="7"/>
    </row>
    <row r="38" spans="1:8" ht="36" customHeight="1">
      <c r="A38" s="5">
        <v>17</v>
      </c>
      <c r="B38" s="3" t="s">
        <v>1003</v>
      </c>
      <c r="C38" s="5" t="s">
        <v>1081</v>
      </c>
      <c r="D38" s="5"/>
      <c r="E38" s="5"/>
      <c r="F38" s="5"/>
      <c r="G38" s="7" t="s">
        <v>1082</v>
      </c>
      <c r="H38" s="7"/>
    </row>
    <row r="39" spans="1:8" ht="36" customHeight="1">
      <c r="A39" s="5">
        <v>18</v>
      </c>
      <c r="B39" s="3" t="s">
        <v>1000</v>
      </c>
      <c r="C39" s="5" t="s">
        <v>1083</v>
      </c>
      <c r="D39" s="5"/>
      <c r="E39" s="5"/>
      <c r="F39" s="5"/>
      <c r="G39" s="7" t="s">
        <v>1084</v>
      </c>
      <c r="H39" s="7"/>
    </row>
    <row r="40" spans="1:8" ht="36" customHeight="1">
      <c r="A40" s="5">
        <v>19</v>
      </c>
      <c r="B40" s="3" t="s">
        <v>1006</v>
      </c>
      <c r="C40" s="5" t="s">
        <v>1085</v>
      </c>
      <c r="D40" s="5"/>
      <c r="E40" s="5"/>
      <c r="F40" s="5"/>
      <c r="G40" s="7" t="s">
        <v>1086</v>
      </c>
      <c r="H40" s="7"/>
    </row>
    <row r="41" spans="1:8" ht="36" customHeight="1">
      <c r="A41" s="5">
        <v>20</v>
      </c>
      <c r="B41" s="3" t="s">
        <v>1087</v>
      </c>
      <c r="C41" s="5" t="s">
        <v>1088</v>
      </c>
      <c r="D41" s="5"/>
      <c r="E41" s="5"/>
      <c r="F41" s="5"/>
      <c r="G41" s="7" t="s">
        <v>1089</v>
      </c>
      <c r="H41" s="7"/>
    </row>
    <row r="42" spans="1:8" ht="36" customHeight="1">
      <c r="A42" s="5">
        <v>21</v>
      </c>
      <c r="B42" s="3" t="s">
        <v>1090</v>
      </c>
      <c r="C42" s="5" t="s">
        <v>1091</v>
      </c>
      <c r="D42" s="5"/>
      <c r="E42" s="5"/>
      <c r="F42" s="5"/>
      <c r="G42" s="7" t="s">
        <v>1092</v>
      </c>
      <c r="H42" s="7"/>
    </row>
    <row r="43" spans="1:8" ht="36" customHeight="1">
      <c r="A43" s="5">
        <v>22</v>
      </c>
      <c r="B43" s="3" t="s">
        <v>1093</v>
      </c>
      <c r="C43" s="5" t="s">
        <v>1094</v>
      </c>
      <c r="D43" s="5"/>
      <c r="E43" s="5"/>
      <c r="F43" s="5"/>
      <c r="G43" s="7" t="s">
        <v>1095</v>
      </c>
      <c r="H43" s="7"/>
    </row>
    <row r="44" spans="1:8" ht="36" customHeight="1">
      <c r="A44" s="5">
        <v>23</v>
      </c>
      <c r="B44" s="3" t="s">
        <v>1096</v>
      </c>
      <c r="C44" s="5" t="s">
        <v>1097</v>
      </c>
      <c r="D44" s="5"/>
      <c r="E44" s="5"/>
      <c r="F44" s="5"/>
      <c r="G44" s="7" t="s">
        <v>1095</v>
      </c>
      <c r="H44" s="7"/>
    </row>
    <row r="45" spans="1:8" ht="36" customHeight="1">
      <c r="A45" s="5">
        <v>24</v>
      </c>
      <c r="B45" s="3" t="s">
        <v>1098</v>
      </c>
      <c r="C45" s="5" t="s">
        <v>1099</v>
      </c>
      <c r="D45" s="5"/>
      <c r="E45" s="5"/>
      <c r="F45" s="5"/>
      <c r="G45" s="7" t="s">
        <v>1100</v>
      </c>
      <c r="H45" s="7"/>
    </row>
    <row r="46" spans="1:8" ht="36" customHeight="1">
      <c r="A46" s="5">
        <v>25</v>
      </c>
      <c r="B46" s="3" t="s">
        <v>176</v>
      </c>
      <c r="C46" s="5" t="s">
        <v>1101</v>
      </c>
      <c r="D46" s="5"/>
      <c r="E46" s="5"/>
      <c r="F46" s="5"/>
      <c r="G46" s="7" t="s">
        <v>1102</v>
      </c>
      <c r="H46" s="7"/>
    </row>
    <row r="47" spans="1:8" ht="36" customHeight="1">
      <c r="A47" s="5">
        <v>26</v>
      </c>
      <c r="B47" s="3" t="s">
        <v>1103</v>
      </c>
      <c r="C47" s="5" t="s">
        <v>1104</v>
      </c>
      <c r="D47" s="5"/>
      <c r="E47" s="5"/>
      <c r="F47" s="5"/>
      <c r="G47" s="7" t="s">
        <v>1105</v>
      </c>
      <c r="H47" s="7"/>
    </row>
    <row r="48" spans="1:8" ht="36" customHeight="1">
      <c r="A48" s="5">
        <v>27</v>
      </c>
      <c r="B48" s="3" t="s">
        <v>1106</v>
      </c>
      <c r="C48" s="5" t="s">
        <v>1107</v>
      </c>
      <c r="D48" s="5"/>
      <c r="E48" s="5"/>
      <c r="F48" s="5"/>
      <c r="G48" s="7" t="s">
        <v>1108</v>
      </c>
      <c r="H48" s="7"/>
    </row>
    <row r="51" spans="1:8" ht="23" customHeight="1">
      <c r="A51" s="5" t="s">
        <v>1109</v>
      </c>
      <c r="B51" s="5"/>
      <c r="C51" s="5"/>
      <c r="D51" s="5"/>
      <c r="E51" s="5"/>
      <c r="F51" s="5"/>
      <c r="G51" s="5"/>
      <c r="H51" s="5"/>
    </row>
    <row r="52" spans="1:8" ht="23" customHeight="1">
      <c r="A52" s="5"/>
      <c r="B52" s="5"/>
      <c r="C52" s="5"/>
      <c r="D52" s="5"/>
      <c r="E52" s="5"/>
      <c r="F52" s="5"/>
      <c r="G52" s="5"/>
      <c r="H52" s="5"/>
    </row>
    <row r="53" spans="1:8" ht="23" customHeight="1">
      <c r="A53" s="5"/>
      <c r="B53" s="5"/>
      <c r="C53" s="5"/>
      <c r="D53" s="5"/>
      <c r="E53" s="5"/>
      <c r="F53" s="5"/>
      <c r="G53" s="5"/>
      <c r="H53" s="5"/>
    </row>
    <row r="55" spans="1:8" ht="23" customHeight="1">
      <c r="A55" s="2" t="s">
        <v>1110</v>
      </c>
      <c r="B55" s="2"/>
      <c r="C55" s="2"/>
      <c r="D55" s="2"/>
      <c r="E55" s="2"/>
      <c r="F55" s="2"/>
      <c r="G55" s="2"/>
      <c r="H55" s="2"/>
    </row>
    <row r="56" spans="1:8" ht="23" customHeight="1">
      <c r="A56" s="2"/>
      <c r="B56" s="2"/>
      <c r="C56" s="2"/>
      <c r="D56" s="2"/>
      <c r="E56" s="2"/>
      <c r="F56" s="2"/>
      <c r="G56" s="2"/>
      <c r="H56" s="2"/>
    </row>
    <row r="57" spans="1:8" ht="23" customHeight="1">
      <c r="A57" s="2"/>
      <c r="B57" s="2"/>
      <c r="C57" s="2"/>
      <c r="D57" s="2"/>
      <c r="E57" s="2"/>
      <c r="F57" s="2"/>
      <c r="G57" s="2"/>
      <c r="H57" s="2"/>
    </row>
    <row r="58" spans="1:8" ht="23" customHeight="1">
      <c r="A58" s="2"/>
      <c r="B58" s="2"/>
      <c r="C58" s="2"/>
      <c r="D58" s="2"/>
      <c r="E58" s="2"/>
      <c r="F58" s="2"/>
      <c r="G58" s="2"/>
      <c r="H58" s="2"/>
    </row>
  </sheetData>
  <sheetProtection sheet="1" objects="1" scenarios="1" sort="0" autoFilter="0"/>
  <mergeCells count="71">
    <mergeCell ref="A1:H1"/>
    <mergeCell ref="A2:H2"/>
    <mergeCell ref="A4:H5"/>
    <mergeCell ref="A7:H8"/>
    <mergeCell ref="A10:B10"/>
    <mergeCell ref="A11:B11"/>
    <mergeCell ref="A12:B12"/>
    <mergeCell ref="A13:B13"/>
    <mergeCell ref="A14:B14"/>
    <mergeCell ref="A15:B15"/>
    <mergeCell ref="A16:B16"/>
    <mergeCell ref="A17:B17"/>
    <mergeCell ref="A18:B18"/>
    <mergeCell ref="E10:H12"/>
    <mergeCell ref="E14:H18"/>
    <mergeCell ref="C22:F22"/>
    <mergeCell ref="G22:H22"/>
    <mergeCell ref="C23:F23"/>
    <mergeCell ref="G23:H23"/>
    <mergeCell ref="C24:F24"/>
    <mergeCell ref="G24:H24"/>
    <mergeCell ref="C25:F25"/>
    <mergeCell ref="G25:H25"/>
    <mergeCell ref="C26:F26"/>
    <mergeCell ref="G26:H26"/>
    <mergeCell ref="C27:F27"/>
    <mergeCell ref="G27:H27"/>
    <mergeCell ref="C28:F28"/>
    <mergeCell ref="G28:H28"/>
    <mergeCell ref="C29:F29"/>
    <mergeCell ref="G29:H29"/>
    <mergeCell ref="C30:F30"/>
    <mergeCell ref="G30:H30"/>
    <mergeCell ref="C31:F31"/>
    <mergeCell ref="G31:H31"/>
    <mergeCell ref="C32:F32"/>
    <mergeCell ref="G32:H32"/>
    <mergeCell ref="C33:F33"/>
    <mergeCell ref="G33:H33"/>
    <mergeCell ref="C34:F34"/>
    <mergeCell ref="G34:H34"/>
    <mergeCell ref="C35:F35"/>
    <mergeCell ref="G35:H35"/>
    <mergeCell ref="C36:F36"/>
    <mergeCell ref="G36:H36"/>
    <mergeCell ref="C37:F37"/>
    <mergeCell ref="G37:H37"/>
    <mergeCell ref="C38:F38"/>
    <mergeCell ref="G38:H38"/>
    <mergeCell ref="C39:F39"/>
    <mergeCell ref="G39:H39"/>
    <mergeCell ref="C40:F40"/>
    <mergeCell ref="G40:H40"/>
    <mergeCell ref="C41:F41"/>
    <mergeCell ref="G41:H41"/>
    <mergeCell ref="C42:F42"/>
    <mergeCell ref="G42:H42"/>
    <mergeCell ref="C43:F43"/>
    <mergeCell ref="G43:H43"/>
    <mergeCell ref="C44:F44"/>
    <mergeCell ref="G44:H44"/>
    <mergeCell ref="C45:F45"/>
    <mergeCell ref="G45:H45"/>
    <mergeCell ref="C46:F46"/>
    <mergeCell ref="G46:H46"/>
    <mergeCell ref="C47:F47"/>
    <mergeCell ref="G47:H47"/>
    <mergeCell ref="C48:F48"/>
    <mergeCell ref="G48:H48"/>
    <mergeCell ref="A51:H53"/>
    <mergeCell ref="A55:H58"/>
  </mergeCells>
  <hyperlinks>
    <hyperlink ref="A3" location="'Начало'!A1" display="← Начало"/>
    <hyperlink ref="B22" location="'Ввод'!A1" display="Ввод"/>
    <hyperlink ref="B23" location="'Режимы И-ГЦ-02'!A1" display="Режимы И-ГЦ-02"/>
    <hyperlink ref="B24" location="'Ассортимент'!A1" display="Ассортимент"/>
    <hyperlink ref="B25" location="'Замеры ДО'!A1" display="Замеры ДО"/>
    <hyperlink ref="B26" location="'Замеры ЦЕЛЬ'!A1" display="Замеры ЦЕЛЬ"/>
    <hyperlink ref="B27" location="'Периодическая работа'!A1" display="Периодическая работа"/>
    <hyperlink ref="B28" location="'Расчет ДО'!A1" display="Расчет ДО"/>
    <hyperlink ref="B29" location="'Расчет ЦЕЛЬ'!A1" display="Расчет ЦЕЛЬ"/>
    <hyperlink ref="B30" location="'Время такта'!A1" display="Время такта"/>
    <hyperlink ref="B31" location="'Лист наблюдений'!A1" display="Лист наблюдений"/>
    <hyperlink ref="B32" location="'Ручная работа'!A1" display="Ручная работа"/>
    <hyperlink ref="B33" location="'Карта СР'!A1" display="Карта СР"/>
    <hyperlink ref="B34" location="'Производственная способность'!A1" display="Производственная способность"/>
    <hyperlink ref="B35" location="'ОТ ДО'!A1" display="ОТ ДО"/>
    <hyperlink ref="B36" location="'ОТ ЦЕЛЬ'!A1" display="ОТ ЦЕЛЬ"/>
    <hyperlink ref="B37" location="'Диаграмма'!A1" display="Диаграмма"/>
    <hyperlink ref="B38" location="'Общий список улучшений'!A1" display="Общий список улучшений"/>
    <hyperlink ref="B39" location="'Отчет об улучшении'!A1" display="Отчет об улучшении"/>
    <hyperlink ref="B40" location="'СОП'!A1" display="СОП"/>
    <hyperlink ref="B41" location="'СОП санобработка'!A1" display="СОП санобработка"/>
    <hyperlink ref="B42" location="'План внедрения'!A1" display="План внедрения"/>
    <hyperlink ref="B43" location="'Критерии качества СР'!A1" display="Критерии качества СР"/>
    <hyperlink ref="B44" location="'Чек-лист СОП'!A1" display="Чек-лист СОП"/>
    <hyperlink ref="B45" location="'Показатели'!A1" display="Показатели"/>
    <hyperlink ref="B46" location="'Контроль'!A1" display="Контроль"/>
    <hyperlink ref="B47" location="'Допущения и источники'!A1" display="Допущения и источники"/>
    <hyperlink ref="B48" location="'Лист ознакомления'!A1" display="Лист ознакомления"/>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&amp;LНачало&amp;RСтр. &amp;P / &amp;N</oddFooter>
  </headerFooter>
  <rowBreaks count="2" manualBreakCount="2">
    <brk id="20" max="16383" man="1"/>
    <brk id="40" max="16383" man="1"/>
  </rowBreaks>
</worksheet>
</file>

<file path=xl/worksheets/sheet2.xml><?xml version="1.0" encoding="utf-8"?>
<worksheet xmlns="http://schemas.openxmlformats.org/spreadsheetml/2006/main" xmlns:r="http://schemas.openxmlformats.org/officeDocument/2006/relationships">
  <sheetPr>
    <tabColor rgb="FFE9B949"/>
    <pageSetUpPr fitToPage="1"/>
  </sheetPr>
  <dimension ref="A1:D43"/>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44.7109375" customWidth="1"/>
    <col min="2" max="2" width="58.7109375" customWidth="1"/>
    <col min="3" max="3" width="15.7109375" customWidth="1"/>
    <col min="4" max="4" width="76.7109375" customWidth="1"/>
    <col min="5" max="8" width="17.7109375" customWidth="1"/>
  </cols>
  <sheetData>
    <row r="1" spans="1:4" ht="35" customHeight="1">
      <c r="A1" s="1" t="s">
        <v>0</v>
      </c>
      <c r="B1" s="1"/>
      <c r="C1" s="1"/>
      <c r="D1" s="1"/>
    </row>
    <row r="2" spans="1:4" ht="31" customHeight="1">
      <c r="A2" s="2" t="s">
        <v>1</v>
      </c>
      <c r="B2" s="2"/>
      <c r="C2" s="2"/>
      <c r="D2" s="2"/>
    </row>
    <row r="3" spans="1:4" ht="23" customHeight="1">
      <c r="A3" s="3" t="s">
        <v>2</v>
      </c>
      <c r="B3" s="7" t="s">
        <v>3</v>
      </c>
      <c r="C3" s="7"/>
      <c r="D3" s="7"/>
    </row>
    <row r="5" spans="1:4" ht="44" customHeight="1">
      <c r="A5" s="8" t="s">
        <v>4</v>
      </c>
      <c r="B5" s="8" t="s">
        <v>5</v>
      </c>
      <c r="C5" s="8" t="s">
        <v>6</v>
      </c>
      <c r="D5" s="8" t="s">
        <v>7</v>
      </c>
    </row>
    <row r="6" spans="1:4" ht="43" customHeight="1">
      <c r="A6" s="5" t="s">
        <v>8</v>
      </c>
      <c r="B6" s="9" t="s">
        <v>9</v>
      </c>
      <c r="C6" s="7"/>
      <c r="D6" s="5" t="s">
        <v>10</v>
      </c>
    </row>
    <row r="7" spans="1:4" ht="43" customHeight="1">
      <c r="A7" s="5" t="s">
        <v>11</v>
      </c>
      <c r="B7" s="9" t="s">
        <v>12</v>
      </c>
      <c r="C7" s="7"/>
      <c r="D7" s="5" t="s">
        <v>13</v>
      </c>
    </row>
    <row r="8" spans="1:4" ht="43" customHeight="1">
      <c r="A8" s="5" t="s">
        <v>14</v>
      </c>
      <c r="B8" s="9" t="s">
        <v>15</v>
      </c>
      <c r="C8" s="7"/>
      <c r="D8" s="5" t="s">
        <v>16</v>
      </c>
    </row>
    <row r="9" spans="1:4" ht="43" customHeight="1">
      <c r="A9" s="5" t="s">
        <v>17</v>
      </c>
      <c r="B9" s="9" t="s">
        <v>18</v>
      </c>
      <c r="C9" s="7"/>
      <c r="D9" s="5" t="s">
        <v>19</v>
      </c>
    </row>
    <row r="10" spans="1:4" ht="43" customHeight="1">
      <c r="A10" s="5" t="s">
        <v>20</v>
      </c>
      <c r="B10" s="10">
        <v>46270</v>
      </c>
      <c r="C10" s="7" t="s">
        <v>21</v>
      </c>
      <c r="D10" s="5" t="s">
        <v>22</v>
      </c>
    </row>
    <row r="11" spans="1:4" ht="23" customHeight="1">
      <c r="A11" s="5" t="s">
        <v>79</v>
      </c>
      <c r="B11" s="11" t="s">
        <v>80</v>
      </c>
      <c r="C11" s="7" t="s">
        <v>81</v>
      </c>
      <c r="D11" s="5" t="s">
        <v>91</v>
      </c>
    </row>
    <row r="12" spans="1:4" ht="43" customHeight="1">
      <c r="A12" s="5" t="s">
        <v>23</v>
      </c>
      <c r="B12" s="9" t="s">
        <v>24</v>
      </c>
      <c r="C12" s="7"/>
      <c r="D12" s="5" t="s">
        <v>25</v>
      </c>
    </row>
    <row r="13" spans="1:4" ht="43" customHeight="1">
      <c r="A13" s="5" t="s">
        <v>26</v>
      </c>
      <c r="B13" s="9" t="s">
        <v>27</v>
      </c>
      <c r="C13" s="7"/>
      <c r="D13" s="5" t="s">
        <v>28</v>
      </c>
    </row>
    <row r="14" spans="1:4" ht="60" customHeight="1">
      <c r="A14" s="5" t="s">
        <v>29</v>
      </c>
      <c r="B14" s="9" t="s">
        <v>30</v>
      </c>
      <c r="C14" s="7"/>
      <c r="D14" s="5" t="s">
        <v>31</v>
      </c>
    </row>
    <row r="15" spans="1:4" ht="60" customHeight="1">
      <c r="A15" s="5" t="s">
        <v>32</v>
      </c>
      <c r="B15" s="9" t="s">
        <v>33</v>
      </c>
      <c r="C15" s="7"/>
      <c r="D15" s="5" t="s">
        <v>34</v>
      </c>
    </row>
    <row r="17" spans="1:4" ht="43" customHeight="1">
      <c r="A17" s="5" t="s">
        <v>35</v>
      </c>
      <c r="B17" s="12">
        <v>480</v>
      </c>
      <c r="C17" s="7" t="s">
        <v>36</v>
      </c>
      <c r="D17" s="5" t="s">
        <v>37</v>
      </c>
    </row>
    <row r="18" spans="1:4" ht="43" customHeight="1">
      <c r="A18" s="5" t="s">
        <v>38</v>
      </c>
      <c r="B18" s="12">
        <v>30</v>
      </c>
      <c r="C18" s="7" t="s">
        <v>36</v>
      </c>
      <c r="D18" s="5" t="s">
        <v>39</v>
      </c>
    </row>
    <row r="19" spans="1:4" ht="43" customHeight="1">
      <c r="A19" s="5" t="s">
        <v>40</v>
      </c>
      <c r="B19" s="12">
        <v>20</v>
      </c>
      <c r="C19" s="7" t="s">
        <v>36</v>
      </c>
      <c r="D19" s="5" t="s">
        <v>41</v>
      </c>
    </row>
    <row r="20" spans="1:4" ht="43" customHeight="1">
      <c r="A20" s="5" t="s">
        <v>42</v>
      </c>
      <c r="B20" s="12">
        <v>10</v>
      </c>
      <c r="C20" s="7" t="s">
        <v>36</v>
      </c>
      <c r="D20" s="5" t="s">
        <v>43</v>
      </c>
    </row>
    <row r="21" spans="1:4" ht="43" customHeight="1">
      <c r="A21" s="5" t="s">
        <v>44</v>
      </c>
      <c r="B21" s="12">
        <v>10</v>
      </c>
      <c r="C21" s="7" t="s">
        <v>36</v>
      </c>
      <c r="D21" s="5" t="s">
        <v>45</v>
      </c>
    </row>
    <row r="22" spans="1:4" ht="43" customHeight="1">
      <c r="A22" s="5" t="s">
        <v>46</v>
      </c>
      <c r="B22" s="12">
        <v>1</v>
      </c>
      <c r="C22" s="7" t="s">
        <v>47</v>
      </c>
      <c r="D22" s="5" t="s">
        <v>48</v>
      </c>
    </row>
    <row r="23" spans="1:4" ht="43" customHeight="1">
      <c r="A23" s="5" t="s">
        <v>49</v>
      </c>
      <c r="B23" s="12">
        <v>1</v>
      </c>
      <c r="C23" s="7" t="s">
        <v>50</v>
      </c>
      <c r="D23" s="5" t="s">
        <v>51</v>
      </c>
    </row>
    <row r="24" spans="1:4" ht="23" customHeight="1">
      <c r="A24" s="5" t="s">
        <v>82</v>
      </c>
      <c r="B24" s="11">
        <v>4</v>
      </c>
      <c r="C24" s="7" t="s">
        <v>83</v>
      </c>
      <c r="D24" s="5" t="s">
        <v>92</v>
      </c>
    </row>
    <row r="25" spans="1:4" ht="43" customHeight="1">
      <c r="A25" s="5" t="s">
        <v>52</v>
      </c>
      <c r="B25" s="12">
        <v>0</v>
      </c>
      <c r="C25" s="7" t="s">
        <v>53</v>
      </c>
      <c r="D25" s="5" t="s">
        <v>54</v>
      </c>
    </row>
    <row r="26" spans="1:4" ht="60" customHeight="1">
      <c r="A26" s="5" t="s">
        <v>55</v>
      </c>
      <c r="B26" s="12">
        <v>1</v>
      </c>
      <c r="C26" s="7" t="s">
        <v>56</v>
      </c>
      <c r="D26" s="5" t="s">
        <v>57</v>
      </c>
    </row>
    <row r="27" spans="1:4" ht="23" customHeight="1">
      <c r="A27" s="5" t="s">
        <v>84</v>
      </c>
      <c r="B27" s="13">
        <f>IF(AND(COUNT(B17:B21)=5,MIN(B17:B21)&gt;=0,B17&gt;SUM(B18:B21)),(B17-SUM(B18:B21))*60,"")</f>
        <v>24600</v>
      </c>
      <c r="C27" s="7" t="s">
        <v>85</v>
      </c>
    </row>
    <row r="28" spans="1:4" ht="23" customHeight="1">
      <c r="A28" s="5" t="s">
        <v>86</v>
      </c>
      <c r="B28" s="13">
        <f>IF(COUNT('Ассортимент'!O8:O25)=18,'Ассортимент'!O27,"")</f>
        <v>32</v>
      </c>
      <c r="C28" s="7" t="s">
        <v>87</v>
      </c>
    </row>
    <row r="29" spans="1:4" ht="23" customHeight="1">
      <c r="A29" s="5" t="s">
        <v>88</v>
      </c>
      <c r="B29" s="13">
        <f>IFERROR(MATCH(B12,'Ассортимент'!B8:B25,0),0)</f>
        <v>1</v>
      </c>
      <c r="C29" s="7"/>
    </row>
    <row r="30" spans="1:4" ht="23" customHeight="1">
      <c r="A30" s="5" t="s">
        <v>89</v>
      </c>
      <c r="B30" s="13">
        <f>IF(AND(ISNUMBER(B27),B27&gt;0,ISNUMBER(B28),B28&gt;0),B27/B28,"")</f>
        <v>768.75</v>
      </c>
      <c r="C30" s="7" t="s">
        <v>90</v>
      </c>
    </row>
    <row r="33" spans="1:4" ht="43" customHeight="1">
      <c r="A33" s="5" t="s">
        <v>58</v>
      </c>
      <c r="B33" s="9" t="s">
        <v>59</v>
      </c>
      <c r="C33" s="7"/>
      <c r="D33" s="5" t="s">
        <v>60</v>
      </c>
    </row>
    <row r="34" spans="1:4" ht="43" customHeight="1">
      <c r="A34" s="5" t="s">
        <v>61</v>
      </c>
      <c r="B34" s="9" t="s">
        <v>62</v>
      </c>
      <c r="C34" s="7"/>
      <c r="D34" s="5" t="s">
        <v>63</v>
      </c>
    </row>
    <row r="35" spans="1:4" ht="43" customHeight="1">
      <c r="A35" s="5" t="s">
        <v>64</v>
      </c>
      <c r="B35" s="9" t="s">
        <v>65</v>
      </c>
      <c r="C35" s="7"/>
      <c r="D35" s="5" t="s">
        <v>66</v>
      </c>
    </row>
    <row r="36" spans="1:4" ht="43" customHeight="1">
      <c r="A36" s="5" t="s">
        <v>67</v>
      </c>
      <c r="B36" s="9" t="s">
        <v>68</v>
      </c>
      <c r="C36" s="7"/>
      <c r="D36" s="5" t="s">
        <v>69</v>
      </c>
    </row>
    <row r="37" spans="1:4" ht="43" customHeight="1">
      <c r="A37" s="5" t="s">
        <v>70</v>
      </c>
      <c r="B37" s="9" t="s">
        <v>71</v>
      </c>
      <c r="C37" s="7"/>
      <c r="D37" s="5" t="s">
        <v>72</v>
      </c>
    </row>
    <row r="38" spans="1:4" ht="43" customHeight="1">
      <c r="A38" s="5" t="s">
        <v>73</v>
      </c>
      <c r="B38" s="9" t="s">
        <v>74</v>
      </c>
      <c r="C38" s="7"/>
      <c r="D38" s="5" t="s">
        <v>75</v>
      </c>
    </row>
    <row r="40" spans="1:4" ht="43" customHeight="1">
      <c r="A40" s="5" t="s">
        <v>76</v>
      </c>
      <c r="B40" s="12">
        <v>1</v>
      </c>
      <c r="C40" s="7" t="s">
        <v>77</v>
      </c>
      <c r="D40" s="5" t="s">
        <v>78</v>
      </c>
    </row>
    <row r="42" spans="1:4" ht="23" customHeight="1">
      <c r="A42" s="2" t="s">
        <v>93</v>
      </c>
      <c r="B42" s="2"/>
      <c r="C42" s="2"/>
      <c r="D42" s="2"/>
    </row>
    <row r="43" spans="1:4" ht="23" customHeight="1">
      <c r="A43" s="2"/>
      <c r="B43" s="2"/>
      <c r="C43" s="2"/>
      <c r="D43" s="2"/>
    </row>
  </sheetData>
  <sheetProtection sheet="1" objects="1" scenarios="1" sort="0" autoFilter="0"/>
  <mergeCells count="4">
    <mergeCell ref="A1:D1"/>
    <mergeCell ref="A2:D2"/>
    <mergeCell ref="B3:D3"/>
    <mergeCell ref="A42:D43"/>
  </mergeCells>
  <dataValidations count="13">
    <dataValidation type="list" allowBlank="1" showInputMessage="1" showErrorMessage="1" errorTitle="Проверьте ввод" error="Введите значение в допустимых пределах. См. примечание к ячейке." sqref="B12">
      <formula1>'Ассортимент'!$B$8:$B$25</formula1>
    </dataValidation>
    <dataValidation type="list" allowBlank="1" showInputMessage="1" showErrorMessage="1" errorTitle="Проверьте ввод" error="Введите значение в допустимых пределах. См. примечание к ячейке." sqref="B13">
      <formula1>"ДО,ЦЕЛЬ"</formula1>
    </dataValidation>
    <dataValidation type="whole" allowBlank="1" showInputMessage="1" showErrorMessage="1" errorTitle="Проверьте ввод" error="Введите значение в допустимых пределах. См. примечание к ячейке." sqref="B17">
      <formula1>0</formula1>
      <formula2>1440</formula2>
    </dataValidation>
    <dataValidation type="whole" allowBlank="1" showInputMessage="1" showErrorMessage="1" errorTitle="Проверьте ввод" error="Введите значение в допустимых пределах. См. примечание к ячейке." sqref="B18">
      <formula1>0</formula1>
      <formula2>1440</formula2>
    </dataValidation>
    <dataValidation type="whole" allowBlank="1" showInputMessage="1" showErrorMessage="1" errorTitle="Проверьте ввод" error="Введите значение в допустимых пределах. См. примечание к ячейке." sqref="B19">
      <formula1>0</formula1>
      <formula2>1440</formula2>
    </dataValidation>
    <dataValidation type="whole" allowBlank="1" showInputMessage="1" showErrorMessage="1" errorTitle="Проверьте ввод" error="Введите значение в допустимых пределах. См. примечание к ячейке." sqref="B20">
      <formula1>0</formula1>
      <formula2>1440</formula2>
    </dataValidation>
    <dataValidation type="whole" allowBlank="1" showInputMessage="1" showErrorMessage="1" errorTitle="Проверьте ввод" error="Введите значение в допустимых пределах. См. примечание к ячейке." sqref="B21">
      <formula1>0</formula1>
      <formula2>1440</formula2>
    </dataValidation>
    <dataValidation type="whole" allowBlank="1" showInputMessage="1" showErrorMessage="1" errorTitle="Проверьте ввод" error="Введите значение в допустимых пределах. См. примечание к ячейке." sqref="B22">
      <formula1>1</formula1>
      <formula2>100</formula2>
    </dataValidation>
    <dataValidation type="whole" allowBlank="1" showInputMessage="1" showErrorMessage="1" errorTitle="Проверьте ввод" error="Введите значение в допустимых пределах. См. примечание к ячейке." sqref="B23">
      <formula1>1</formula1>
      <formula2>100</formula2>
    </dataValidation>
    <dataValidation type="whole" allowBlank="1" showInputMessage="1" showErrorMessage="1" errorTitle="Проверьте ввод" error="Введите значение в допустимых пределах. См. примечание к ячейке." sqref="B25">
      <formula1>0</formula1>
      <formula2>3</formula2>
    </dataValidation>
    <dataValidation type="whole" allowBlank="1" showInputMessage="1" showErrorMessage="1" errorTitle="Проверьте ввод" error="Введите значение в допустимых пределах. См. примечание к ячейке." sqref="B26">
      <formula1>0</formula1>
      <formula2>1</formula2>
    </dataValidation>
    <dataValidation type="list" allowBlank="1" showInputMessage="1" showErrorMessage="1" errorTitle="Проверьте ввод" error="Введите значение в допустимых пределах. См. примечание к ячейке." sqref="B38">
      <formula1>"Не утверждено,На согласовании,Утверждено"</formula1>
    </dataValidation>
    <dataValidation type="whole" allowBlank="1" showInputMessage="1" showErrorMessage="1" errorTitle="Проверьте ввод" error="Введите значение в допустимых пределах. См. примечание к ячейке." sqref="B40">
      <formula1>1</formula1>
      <formula2>6</formula2>
    </dataValidation>
  </dataValidation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&amp;LВвод&amp;RСтр. &amp;P / &amp;N</oddFooter>
  </headerFooter>
  <legacyDrawing r:id="rId1"/>
</worksheet>
</file>

<file path=xl/worksheets/sheet3.xml><?xml version="1.0" encoding="utf-8"?>
<worksheet xmlns="http://schemas.openxmlformats.org/spreadsheetml/2006/main" xmlns:r="http://schemas.openxmlformats.org/officeDocument/2006/relationships">
  <sheetPr>
    <tabColor rgb="FF147D92"/>
    <pageSetUpPr fitToPage="1"/>
  </sheetPr>
  <dimension ref="A1:J2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12.7109375" customWidth="1"/>
    <col min="2" max="8" width="14.7109375" customWidth="1"/>
    <col min="9" max="10" width="24.7109375" customWidth="1"/>
  </cols>
  <sheetData>
    <row r="1" spans="1:10" ht="35" customHeight="1">
      <c r="A1" s="1" t="s">
        <v>94</v>
      </c>
      <c r="B1" s="1"/>
      <c r="C1" s="1"/>
      <c r="D1" s="1"/>
      <c r="E1" s="1"/>
      <c r="F1" s="1"/>
      <c r="G1" s="1"/>
      <c r="H1" s="1"/>
      <c r="I1" s="1"/>
      <c r="J1" s="1"/>
    </row>
    <row r="2" spans="1:10" ht="31" customHeight="1">
      <c r="A2" s="2" t="s">
        <v>1</v>
      </c>
      <c r="B2" s="2"/>
      <c r="C2" s="2"/>
      <c r="D2" s="2"/>
      <c r="E2" s="2"/>
      <c r="F2" s="2"/>
      <c r="G2" s="2"/>
      <c r="H2" s="2"/>
      <c r="I2" s="2"/>
      <c r="J2" s="2"/>
    </row>
    <row r="3" spans="1:10" ht="23" customHeight="1">
      <c r="A3" s="3" t="s">
        <v>2</v>
      </c>
      <c r="B3" s="7" t="s">
        <v>3</v>
      </c>
      <c r="C3" s="7"/>
      <c r="D3" s="7"/>
      <c r="E3" s="7"/>
      <c r="F3" s="7"/>
      <c r="G3" s="7"/>
      <c r="H3" s="7"/>
      <c r="I3" s="7"/>
      <c r="J3" s="7"/>
    </row>
    <row r="7" spans="1:10" ht="44" customHeight="1">
      <c r="A7" s="8" t="s">
        <v>95</v>
      </c>
      <c r="B7" s="8" t="s">
        <v>96</v>
      </c>
      <c r="C7" s="8" t="s">
        <v>97</v>
      </c>
      <c r="D7" s="8" t="s">
        <v>98</v>
      </c>
      <c r="E7" s="8" t="s">
        <v>99</v>
      </c>
      <c r="F7" s="8" t="s">
        <v>100</v>
      </c>
      <c r="G7" s="8" t="s">
        <v>101</v>
      </c>
      <c r="H7" s="8" t="s">
        <v>102</v>
      </c>
      <c r="I7" s="8" t="s">
        <v>103</v>
      </c>
      <c r="J7" s="8" t="s">
        <v>104</v>
      </c>
    </row>
    <row r="8" spans="1:10" ht="52" customHeight="1">
      <c r="A8" s="11">
        <v>1</v>
      </c>
      <c r="B8" s="11">
        <v>30</v>
      </c>
      <c r="C8" s="11">
        <v>60</v>
      </c>
      <c r="D8" s="11">
        <v>150</v>
      </c>
      <c r="E8" s="11">
        <v>30</v>
      </c>
      <c r="F8" s="11">
        <v>400</v>
      </c>
      <c r="G8" s="11">
        <v>360</v>
      </c>
      <c r="H8" s="13">
        <f>SUM(C8,E8,G8)</f>
        <v>450</v>
      </c>
      <c r="I8" s="11" t="s">
        <v>105</v>
      </c>
      <c r="J8" s="11" t="s">
        <v>106</v>
      </c>
    </row>
    <row r="9" spans="1:10" ht="52" customHeight="1">
      <c r="A9" s="11">
        <v>2</v>
      </c>
      <c r="B9" s="11">
        <v>30</v>
      </c>
      <c r="C9" s="11">
        <v>60</v>
      </c>
      <c r="D9" s="11">
        <v>150</v>
      </c>
      <c r="E9" s="11">
        <v>60</v>
      </c>
      <c r="F9" s="11">
        <v>150</v>
      </c>
      <c r="G9" s="11">
        <v>60</v>
      </c>
      <c r="H9" s="13">
        <f>SUM(C9,E9,G9)</f>
        <v>180</v>
      </c>
      <c r="I9" s="11" t="s">
        <v>105</v>
      </c>
      <c r="J9" s="11" t="s">
        <v>106</v>
      </c>
    </row>
    <row r="10" spans="1:10" ht="52" customHeight="1">
      <c r="A10" s="11">
        <v>3</v>
      </c>
      <c r="B10" s="11">
        <v>30</v>
      </c>
      <c r="C10" s="11">
        <v>120</v>
      </c>
      <c r="D10" s="11">
        <v>150</v>
      </c>
      <c r="E10" s="11">
        <v>60</v>
      </c>
      <c r="F10" s="11">
        <v>250</v>
      </c>
      <c r="G10" s="11">
        <v>120</v>
      </c>
      <c r="H10" s="13">
        <f>SUM(C10,E10,G10)</f>
        <v>300</v>
      </c>
      <c r="I10" s="11" t="s">
        <v>105</v>
      </c>
      <c r="J10" s="11" t="s">
        <v>106</v>
      </c>
    </row>
    <row r="13" spans="1:10" ht="23" customHeight="1">
      <c r="A13" s="2" t="s">
        <v>107</v>
      </c>
      <c r="B13" s="2"/>
      <c r="C13" s="2"/>
      <c r="D13" s="2"/>
      <c r="E13" s="2"/>
      <c r="F13" s="2"/>
      <c r="G13" s="2"/>
      <c r="H13" s="2"/>
      <c r="I13" s="2"/>
      <c r="J13" s="2"/>
    </row>
    <row r="14" spans="1:10" ht="23" customHeight="1">
      <c r="A14" s="2"/>
      <c r="B14" s="2"/>
      <c r="C14" s="2"/>
      <c r="D14" s="2"/>
      <c r="E14" s="2"/>
      <c r="F14" s="2"/>
      <c r="G14" s="2"/>
      <c r="H14" s="2"/>
      <c r="I14" s="2"/>
      <c r="J14" s="2"/>
    </row>
    <row r="16" spans="1:10" ht="23" customHeight="1">
      <c r="A16" s="11" t="s">
        <v>108</v>
      </c>
      <c r="B16" s="11"/>
      <c r="C16" s="11"/>
      <c r="D16" s="11"/>
      <c r="E16" s="11"/>
      <c r="F16" s="11"/>
      <c r="G16" s="11"/>
      <c r="H16" s="11"/>
      <c r="I16" s="11"/>
      <c r="J16" s="11"/>
    </row>
    <row r="17" spans="1:10" ht="23" customHeight="1">
      <c r="A17" s="11"/>
      <c r="B17" s="11"/>
      <c r="C17" s="11"/>
      <c r="D17" s="11"/>
      <c r="E17" s="11"/>
      <c r="F17" s="11"/>
      <c r="G17" s="11"/>
      <c r="H17" s="11"/>
      <c r="I17" s="11"/>
      <c r="J17" s="11"/>
    </row>
    <row r="18" spans="1:10" ht="23" customHeight="1">
      <c r="A18" s="11"/>
      <c r="B18" s="11"/>
      <c r="C18" s="11"/>
      <c r="D18" s="11"/>
      <c r="E18" s="11"/>
      <c r="F18" s="11"/>
      <c r="G18" s="11"/>
      <c r="H18" s="11"/>
      <c r="I18" s="11"/>
      <c r="J18" s="11"/>
    </row>
    <row r="20" spans="1:10" ht="23" customHeight="1">
      <c r="A20" s="2" t="s">
        <v>109</v>
      </c>
      <c r="B20" s="2"/>
      <c r="C20" s="2"/>
      <c r="D20" s="2"/>
      <c r="E20" s="2"/>
      <c r="F20" s="2"/>
      <c r="G20" s="2"/>
      <c r="H20" s="2"/>
      <c r="I20" s="2"/>
      <c r="J20" s="2"/>
    </row>
    <row r="21" spans="1:10" ht="23" customHeight="1">
      <c r="A21" s="2"/>
      <c r="B21" s="2"/>
      <c r="C21" s="2"/>
      <c r="D21" s="2"/>
      <c r="E21" s="2"/>
      <c r="F21" s="2"/>
      <c r="G21" s="2"/>
      <c r="H21" s="2"/>
      <c r="I21" s="2"/>
      <c r="J21" s="2"/>
    </row>
    <row r="22" spans="1:10" ht="23" customHeight="1">
      <c r="A22" s="2"/>
      <c r="B22" s="2"/>
      <c r="C22" s="2"/>
      <c r="D22" s="2"/>
      <c r="E22" s="2"/>
      <c r="F22" s="2"/>
      <c r="G22" s="2"/>
      <c r="H22" s="2"/>
      <c r="I22" s="2"/>
      <c r="J22" s="2"/>
    </row>
    <row r="24" spans="1:10" ht="23" customHeight="1">
      <c r="A24" s="7" t="s">
        <v>110</v>
      </c>
      <c r="B24" s="7"/>
      <c r="C24" s="7"/>
      <c r="D24" s="7"/>
      <c r="E24" s="7"/>
      <c r="F24" s="7"/>
      <c r="G24" s="7"/>
      <c r="H24" s="7"/>
      <c r="I24" s="7"/>
      <c r="J24" s="7"/>
    </row>
    <row r="25" spans="1:10" ht="23" customHeight="1">
      <c r="A25" s="7"/>
      <c r="B25" s="7"/>
      <c r="C25" s="7"/>
      <c r="D25" s="7"/>
      <c r="E25" s="7"/>
      <c r="F25" s="7"/>
      <c r="G25" s="7"/>
      <c r="H25" s="7"/>
      <c r="I25" s="7"/>
      <c r="J25" s="7"/>
    </row>
  </sheetData>
  <sheetProtection sheet="1" objects="1" scenarios="1" sort="0" autoFilter="0"/>
  <mergeCells count="7">
    <mergeCell ref="A1:J1"/>
    <mergeCell ref="A2:J2"/>
    <mergeCell ref="B3:J3"/>
    <mergeCell ref="A13:J14"/>
    <mergeCell ref="A16:J18"/>
    <mergeCell ref="A20:J22"/>
    <mergeCell ref="A24:J25"/>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&amp;LРежимы И-ГЦ-02&amp;RСтр. &amp;P / &amp;N</oddFooter>
  </headerFooter>
</worksheet>
</file>

<file path=xl/worksheets/sheet4.xml><?xml version="1.0" encoding="utf-8"?>
<worksheet xmlns="http://schemas.openxmlformats.org/spreadsheetml/2006/main" xmlns:r="http://schemas.openxmlformats.org/officeDocument/2006/relationships">
  <sheetPr>
    <tabColor rgb="FFE9B949"/>
    <pageSetUpPr fitToPage="1"/>
  </sheetPr>
  <dimension ref="A1:T30"/>
  <sheetViews>
    <sheetView showGridLines="0" zoomScale="85" zoomScaleNormal="85" workbookViewId="0">
      <pane xSplit="2" ySplit="7" topLeftCell="C8" activePane="bottomRight" state="frozen"/>
      <selection pane="topRight" activeCell="C1" sqref="C1"/>
      <selection pane="bottomLeft" activeCell="A8" sqref="A8"/>
      <selection pane="bottomRight"/>
    </sheetView>
  </sheetViews>
  <sheetFormatPr defaultRowHeight="23" customHeight="1"/>
  <cols>
    <col min="1" max="1" width="5.7109375" customWidth="1"/>
    <col min="2" max="2" width="29.7109375" customWidth="1"/>
    <col min="3" max="3" width="18.7109375" customWidth="1"/>
    <col min="4" max="18" width="12.7109375" customWidth="1"/>
    <col min="19" max="20" width="30.7109375" customWidth="1"/>
  </cols>
  <sheetData>
    <row r="1" spans="1:20" ht="35" customHeight="1">
      <c r="A1" s="1" t="s">
        <v>111</v>
      </c>
      <c r="B1" s="1"/>
      <c r="C1" s="1"/>
      <c r="D1" s="1"/>
      <c r="E1" s="1"/>
      <c r="F1" s="1"/>
      <c r="G1" s="1"/>
      <c r="H1" s="1"/>
      <c r="I1" s="1"/>
      <c r="J1" s="1"/>
      <c r="K1" s="1"/>
      <c r="L1" s="1"/>
      <c r="M1" s="1"/>
      <c r="N1" s="1"/>
      <c r="O1" s="1"/>
      <c r="P1" s="1"/>
      <c r="Q1" s="1"/>
      <c r="R1" s="1"/>
      <c r="S1" s="1"/>
      <c r="T1" s="1"/>
    </row>
    <row r="2" spans="1:20" ht="31" customHeight="1">
      <c r="A2" s="2" t="s">
        <v>1</v>
      </c>
      <c r="B2" s="2"/>
      <c r="C2" s="2"/>
      <c r="D2" s="2"/>
      <c r="E2" s="2"/>
      <c r="F2" s="2"/>
      <c r="G2" s="2"/>
      <c r="H2" s="2"/>
      <c r="I2" s="2"/>
      <c r="J2" s="2"/>
      <c r="K2" s="2"/>
      <c r="L2" s="2"/>
      <c r="M2" s="2"/>
      <c r="N2" s="2"/>
      <c r="O2" s="2"/>
      <c r="P2" s="2"/>
      <c r="Q2" s="2"/>
      <c r="R2" s="2"/>
      <c r="S2" s="2"/>
      <c r="T2" s="2"/>
    </row>
    <row r="3" spans="1:20" ht="23" customHeight="1">
      <c r="A3" s="3" t="s">
        <v>2</v>
      </c>
      <c r="B3" s="7" t="s">
        <v>3</v>
      </c>
      <c r="C3" s="7"/>
      <c r="D3" s="7"/>
      <c r="E3" s="7"/>
      <c r="F3" s="7"/>
      <c r="G3" s="7"/>
      <c r="H3" s="7"/>
      <c r="I3" s="7"/>
      <c r="J3" s="7"/>
      <c r="K3" s="7"/>
      <c r="L3" s="7"/>
      <c r="M3" s="7"/>
      <c r="N3" s="7"/>
      <c r="O3" s="7"/>
      <c r="P3" s="7"/>
      <c r="Q3" s="7"/>
      <c r="R3" s="7"/>
      <c r="S3" s="7"/>
      <c r="T3" s="7"/>
    </row>
    <row r="5" spans="1:20" ht="23" customHeight="1">
      <c r="A5" s="4" t="s">
        <v>112</v>
      </c>
      <c r="B5" s="4"/>
      <c r="C5" s="4"/>
      <c r="D5" s="4"/>
      <c r="E5" s="4"/>
      <c r="F5" s="4"/>
      <c r="G5" s="4"/>
      <c r="H5" s="4"/>
      <c r="I5" s="4"/>
      <c r="J5" s="4"/>
      <c r="K5" s="4"/>
      <c r="L5" s="4"/>
      <c r="M5" s="4"/>
      <c r="N5" s="4"/>
      <c r="O5" s="4"/>
      <c r="P5" s="4"/>
      <c r="Q5" s="4"/>
      <c r="R5" s="4"/>
      <c r="S5" s="4"/>
      <c r="T5" s="4"/>
    </row>
    <row r="7" spans="1:20" ht="44" customHeight="1">
      <c r="A7" s="8" t="s">
        <v>113</v>
      </c>
      <c r="B7" s="8" t="s">
        <v>114</v>
      </c>
      <c r="C7" s="8" t="s">
        <v>115</v>
      </c>
      <c r="D7" s="8" t="s">
        <v>95</v>
      </c>
      <c r="E7" s="8" t="s">
        <v>116</v>
      </c>
      <c r="F7" s="8" t="s">
        <v>117</v>
      </c>
      <c r="G7" s="8" t="s">
        <v>118</v>
      </c>
      <c r="H7" s="8" t="s">
        <v>119</v>
      </c>
      <c r="I7" s="8" t="s">
        <v>120</v>
      </c>
      <c r="J7" s="8" t="s">
        <v>121</v>
      </c>
      <c r="K7" s="8" t="s">
        <v>122</v>
      </c>
      <c r="L7" s="8" t="s">
        <v>123</v>
      </c>
      <c r="M7" s="8" t="s">
        <v>124</v>
      </c>
      <c r="N7" s="8" t="s">
        <v>125</v>
      </c>
      <c r="O7" s="8" t="s">
        <v>126</v>
      </c>
      <c r="P7" s="8" t="s">
        <v>127</v>
      </c>
      <c r="Q7" s="8" t="s">
        <v>128</v>
      </c>
      <c r="R7" s="8" t="s">
        <v>129</v>
      </c>
      <c r="S7" s="8" t="s">
        <v>130</v>
      </c>
      <c r="T7" s="8" t="s">
        <v>131</v>
      </c>
    </row>
    <row r="8" spans="1:20" ht="45" customHeight="1">
      <c r="A8" s="11">
        <v>1</v>
      </c>
      <c r="B8" s="11" t="s">
        <v>24</v>
      </c>
      <c r="C8" s="11" t="s">
        <v>132</v>
      </c>
      <c r="D8" s="11">
        <v>1</v>
      </c>
      <c r="E8" s="11">
        <v>1.5</v>
      </c>
      <c r="F8" s="12">
        <v>3</v>
      </c>
      <c r="G8" s="14">
        <v>0.95</v>
      </c>
      <c r="H8" s="14">
        <v>1</v>
      </c>
      <c r="I8" s="12">
        <v>1.5</v>
      </c>
      <c r="J8" s="12">
        <v>1.5</v>
      </c>
      <c r="K8" s="13">
        <f>IF(S8="ОК",F8/H8,"")</f>
        <v>3</v>
      </c>
      <c r="L8" s="13">
        <f>IF(S8="ОК",K8/G8,"")</f>
        <v>3.15789473684211</v>
      </c>
      <c r="M8" s="13">
        <f>IF(S8="ОК",L8-K8,"")</f>
        <v>0.157894736842105</v>
      </c>
      <c r="N8" s="13">
        <f>IF(S8="ОК",K8-F8,"")</f>
        <v>0</v>
      </c>
      <c r="O8" s="15">
        <f>IF(S8="ОК",ROUNDUP(ROUND(K8/I8,10),0),"")</f>
        <v>2</v>
      </c>
      <c r="P8" s="13">
        <f>IF(S8="ОК",IF(O8&gt;0,MAX(0,K8-(O8-1)*I8),0),"")</f>
        <v>1.5</v>
      </c>
      <c r="Q8" s="16">
        <f>IF(AND(ISNUMBER(O8),ISNUMBER($O$27),$O$27&gt;0),O8/$O$27,0)</f>
        <v>0.0625</v>
      </c>
      <c r="R8" s="13">
        <f>VLOOKUP(D8,'Режимы И-ГЦ-02'!$A$8:$H$10,8,FALSE)</f>
        <v>450</v>
      </c>
      <c r="S8" s="17" t="str">
        <f>IF(AND(COUNT(F8:J8)=5,F8&gt;=0,G8&gt;0,G8&lt;=1,H8&gt;0,H8&lt;=1,I8&gt;0,I8&lt;=E8,J8&gt;0,J8&lt;=E8),"ОК","ОШИБКА: проверьте F:J")</f>
        <v>ОК</v>
      </c>
      <c r="T8" s="17" t="str">
        <f>IF(S8&lt;&gt;"ОК","Исправьте ввод",IF(F8=0,"Нет в плане",IF(ABS(I8-J8)&lt;0.000001,"Партия совпадает","НУЖЕН НОВЫЙ ХРОНОМЕТРАЖ")))</f>
        <v>Партия совпадает</v>
      </c>
    </row>
    <row r="9" spans="1:20" ht="45" customHeight="1">
      <c r="A9" s="11">
        <v>2</v>
      </c>
      <c r="B9" s="11" t="s">
        <v>133</v>
      </c>
      <c r="C9" s="11" t="s">
        <v>132</v>
      </c>
      <c r="D9" s="11">
        <v>1</v>
      </c>
      <c r="E9" s="11">
        <v>1.5</v>
      </c>
      <c r="F9" s="12">
        <v>1.5</v>
      </c>
      <c r="G9" s="14">
        <v>0.95</v>
      </c>
      <c r="H9" s="14">
        <v>1</v>
      </c>
      <c r="I9" s="12">
        <v>1.5</v>
      </c>
      <c r="J9" s="12">
        <v>1.5</v>
      </c>
      <c r="K9" s="13">
        <f>IF(S9="ОК",F9/H9,"")</f>
        <v>1.5</v>
      </c>
      <c r="L9" s="13">
        <f>IF(S9="ОК",K9/G9,"")</f>
        <v>1.57894736842105</v>
      </c>
      <c r="M9" s="13">
        <f>IF(S9="ОК",L9-K9,"")</f>
        <v>0.0789473684210527</v>
      </c>
      <c r="N9" s="13">
        <f>IF(S9="ОК",K9-F9,"")</f>
        <v>0</v>
      </c>
      <c r="O9" s="15">
        <f>IF(S9="ОК",ROUNDUP(ROUND(K9/I9,10),0),"")</f>
        <v>1</v>
      </c>
      <c r="P9" s="13">
        <f>IF(S9="ОК",IF(O9&gt;0,MAX(0,K9-(O9-1)*I9),0),"")</f>
        <v>1.5</v>
      </c>
      <c r="Q9" s="16">
        <f>IF(AND(ISNUMBER(O9),ISNUMBER($O$27),$O$27&gt;0),O9/$O$27,0)</f>
        <v>0.03125</v>
      </c>
      <c r="R9" s="13">
        <f>VLOOKUP(D9,'Режимы И-ГЦ-02'!$A$8:$H$10,8,FALSE)</f>
        <v>450</v>
      </c>
      <c r="S9" s="17" t="str">
        <f>IF(AND(COUNT(F9:J9)=5,F9&gt;=0,G9&gt;0,G9&lt;=1,H9&gt;0,H9&lt;=1,I9&gt;0,I9&lt;=E9,J9&gt;0,J9&lt;=E9),"ОК","ОШИБКА: проверьте F:J")</f>
        <v>ОК</v>
      </c>
      <c r="T9" s="17" t="str">
        <f>IF(S9&lt;&gt;"ОК","Исправьте ввод",IF(F9=0,"Нет в плане",IF(ABS(I9-J9)&lt;0.000001,"Партия совпадает","НУЖЕН НОВЫЙ ХРОНОМЕТРАЖ")))</f>
        <v>Партия совпадает</v>
      </c>
    </row>
    <row r="10" spans="1:20" ht="45" customHeight="1">
      <c r="A10" s="11">
        <v>3</v>
      </c>
      <c r="B10" s="11" t="s">
        <v>134</v>
      </c>
      <c r="C10" s="11" t="s">
        <v>132</v>
      </c>
      <c r="D10" s="11">
        <v>1</v>
      </c>
      <c r="E10" s="11">
        <v>1.5</v>
      </c>
      <c r="F10" s="12">
        <v>1.5</v>
      </c>
      <c r="G10" s="14">
        <v>0.95</v>
      </c>
      <c r="H10" s="14">
        <v>1</v>
      </c>
      <c r="I10" s="12">
        <v>1.5</v>
      </c>
      <c r="J10" s="12">
        <v>1.5</v>
      </c>
      <c r="K10" s="13">
        <f>IF(S10="ОК",F10/H10,"")</f>
        <v>1.5</v>
      </c>
      <c r="L10" s="13">
        <f>IF(S10="ОК",K10/G10,"")</f>
        <v>1.57894736842105</v>
      </c>
      <c r="M10" s="13">
        <f>IF(S10="ОК",L10-K10,"")</f>
        <v>0.0789473684210527</v>
      </c>
      <c r="N10" s="13">
        <f>IF(S10="ОК",K10-F10,"")</f>
        <v>0</v>
      </c>
      <c r="O10" s="15">
        <f>IF(S10="ОК",ROUNDUP(ROUND(K10/I10,10),0),"")</f>
        <v>1</v>
      </c>
      <c r="P10" s="13">
        <f>IF(S10="ОК",IF(O10&gt;0,MAX(0,K10-(O10-1)*I10),0),"")</f>
        <v>1.5</v>
      </c>
      <c r="Q10" s="16">
        <f>IF(AND(ISNUMBER(O10),ISNUMBER($O$27),$O$27&gt;0),O10/$O$27,0)</f>
        <v>0.03125</v>
      </c>
      <c r="R10" s="13">
        <f>VLOOKUP(D10,'Режимы И-ГЦ-02'!$A$8:$H$10,8,FALSE)</f>
        <v>450</v>
      </c>
      <c r="S10" s="17" t="str">
        <f>IF(AND(COUNT(F10:J10)=5,F10&gt;=0,G10&gt;0,G10&lt;=1,H10&gt;0,H10&lt;=1,I10&gt;0,I10&lt;=E10,J10&gt;0,J10&lt;=E10),"ОК","ОШИБКА: проверьте F:J")</f>
        <v>ОК</v>
      </c>
      <c r="T10" s="17" t="str">
        <f>IF(S10&lt;&gt;"ОК","Исправьте ввод",IF(F10=0,"Нет в плане",IF(ABS(I10-J10)&lt;0.000001,"Партия совпадает","НУЖЕН НОВЫЙ ХРОНОМЕТРАЖ")))</f>
        <v>Партия совпадает</v>
      </c>
    </row>
    <row r="11" spans="1:20" ht="45" customHeight="1">
      <c r="A11" s="11">
        <v>4</v>
      </c>
      <c r="B11" s="11" t="s">
        <v>135</v>
      </c>
      <c r="C11" s="11" t="s">
        <v>136</v>
      </c>
      <c r="D11" s="11">
        <v>2</v>
      </c>
      <c r="E11" s="11">
        <v>5</v>
      </c>
      <c r="F11" s="12">
        <v>25</v>
      </c>
      <c r="G11" s="14">
        <v>0.98</v>
      </c>
      <c r="H11" s="14">
        <v>1</v>
      </c>
      <c r="I11" s="12">
        <v>5</v>
      </c>
      <c r="J11" s="12">
        <v>5</v>
      </c>
      <c r="K11" s="13">
        <f>IF(S11="ОК",F11/H11,"")</f>
        <v>25</v>
      </c>
      <c r="L11" s="13">
        <f>IF(S11="ОК",K11/G11,"")</f>
        <v>25.5102040816327</v>
      </c>
      <c r="M11" s="13">
        <f>IF(S11="ОК",L11-K11,"")</f>
        <v>0.510204081632654</v>
      </c>
      <c r="N11" s="13">
        <f>IF(S11="ОК",K11-F11,"")</f>
        <v>0</v>
      </c>
      <c r="O11" s="15">
        <f>IF(S11="ОК",ROUNDUP(ROUND(K11/I11,10),0),"")</f>
        <v>5</v>
      </c>
      <c r="P11" s="13">
        <f>IF(S11="ОК",IF(O11&gt;0,MAX(0,K11-(O11-1)*I11),0),"")</f>
        <v>5</v>
      </c>
      <c r="Q11" s="16">
        <f>IF(AND(ISNUMBER(O11),ISNUMBER($O$27),$O$27&gt;0),O11/$O$27,0)</f>
        <v>0.15625</v>
      </c>
      <c r="R11" s="13">
        <f>VLOOKUP(D11,'Режимы И-ГЦ-02'!$A$8:$H$10,8,FALSE)</f>
        <v>180</v>
      </c>
      <c r="S11" s="17" t="str">
        <f>IF(AND(COUNT(F11:J11)=5,F11&gt;=0,G11&gt;0,G11&lt;=1,H11&gt;0,H11&lt;=1,I11&gt;0,I11&lt;=E11,J11&gt;0,J11&lt;=E11),"ОК","ОШИБКА: проверьте F:J")</f>
        <v>ОК</v>
      </c>
      <c r="T11" s="17" t="str">
        <f>IF(S11&lt;&gt;"ОК","Исправьте ввод",IF(F11=0,"Нет в плане",IF(ABS(I11-J11)&lt;0.000001,"Партия совпадает","НУЖЕН НОВЫЙ ХРОНОМЕТРАЖ")))</f>
        <v>Партия совпадает</v>
      </c>
    </row>
    <row r="12" spans="1:20" ht="45" customHeight="1">
      <c r="A12" s="11">
        <v>5</v>
      </c>
      <c r="B12" s="11" t="s">
        <v>137</v>
      </c>
      <c r="C12" s="11" t="s">
        <v>136</v>
      </c>
      <c r="D12" s="11">
        <v>2</v>
      </c>
      <c r="E12" s="11">
        <v>3</v>
      </c>
      <c r="F12" s="12">
        <v>9</v>
      </c>
      <c r="G12" s="14">
        <v>0.98</v>
      </c>
      <c r="H12" s="14">
        <v>1</v>
      </c>
      <c r="I12" s="12">
        <v>3</v>
      </c>
      <c r="J12" s="12">
        <v>3</v>
      </c>
      <c r="K12" s="13">
        <f>IF(S12="ОК",F12/H12,"")</f>
        <v>9</v>
      </c>
      <c r="L12" s="13">
        <f>IF(S12="ОК",K12/G12,"")</f>
        <v>9.18367346938776</v>
      </c>
      <c r="M12" s="13">
        <f>IF(S12="ОК",L12-K12,"")</f>
        <v>0.183673469387756</v>
      </c>
      <c r="N12" s="13">
        <f>IF(S12="ОК",K12-F12,"")</f>
        <v>0</v>
      </c>
      <c r="O12" s="15">
        <f>IF(S12="ОК",ROUNDUP(ROUND(K12/I12,10),0),"")</f>
        <v>3</v>
      </c>
      <c r="P12" s="13">
        <f>IF(S12="ОК",IF(O12&gt;0,MAX(0,K12-(O12-1)*I12),0),"")</f>
        <v>3</v>
      </c>
      <c r="Q12" s="16">
        <f>IF(AND(ISNUMBER(O12),ISNUMBER($O$27),$O$27&gt;0),O12/$O$27,0)</f>
        <v>0.09375</v>
      </c>
      <c r="R12" s="13">
        <f>VLOOKUP(D12,'Режимы И-ГЦ-02'!$A$8:$H$10,8,FALSE)</f>
        <v>180</v>
      </c>
      <c r="S12" s="17" t="str">
        <f>IF(AND(COUNT(F12:J12)=5,F12&gt;=0,G12&gt;0,G12&lt;=1,H12&gt;0,H12&lt;=1,I12&gt;0,I12&lt;=E12,J12&gt;0,J12&lt;=E12),"ОК","ОШИБКА: проверьте F:J")</f>
        <v>ОК</v>
      </c>
      <c r="T12" s="17" t="str">
        <f>IF(S12&lt;&gt;"ОК","Исправьте ввод",IF(F12=0,"Нет в плане",IF(ABS(I12-J12)&lt;0.000001,"Партия совпадает","НУЖЕН НОВЫЙ ХРОНОМЕТРАЖ")))</f>
        <v>Партия совпадает</v>
      </c>
    </row>
    <row r="13" spans="1:20" ht="45" customHeight="1">
      <c r="A13" s="11">
        <v>6</v>
      </c>
      <c r="B13" s="11" t="s">
        <v>138</v>
      </c>
      <c r="C13" s="11" t="s">
        <v>132</v>
      </c>
      <c r="D13" s="11">
        <v>3</v>
      </c>
      <c r="E13" s="11">
        <v>1.5</v>
      </c>
      <c r="F13" s="12">
        <v>3</v>
      </c>
      <c r="G13" s="14">
        <v>0.95</v>
      </c>
      <c r="H13" s="14">
        <v>1</v>
      </c>
      <c r="I13" s="12">
        <v>1.5</v>
      </c>
      <c r="J13" s="12">
        <v>1.5</v>
      </c>
      <c r="K13" s="13">
        <f>IF(S13="ОК",F13/H13,"")</f>
        <v>3</v>
      </c>
      <c r="L13" s="13">
        <f>IF(S13="ОК",K13/G13,"")</f>
        <v>3.15789473684211</v>
      </c>
      <c r="M13" s="13">
        <f>IF(S13="ОК",L13-K13,"")</f>
        <v>0.157894736842105</v>
      </c>
      <c r="N13" s="13">
        <f>IF(S13="ОК",K13-F13,"")</f>
        <v>0</v>
      </c>
      <c r="O13" s="15">
        <f>IF(S13="ОК",ROUNDUP(ROUND(K13/I13,10),0),"")</f>
        <v>2</v>
      </c>
      <c r="P13" s="13">
        <f>IF(S13="ОК",IF(O13&gt;0,MAX(0,K13-(O13-1)*I13),0),"")</f>
        <v>1.5</v>
      </c>
      <c r="Q13" s="16">
        <f>IF(AND(ISNUMBER(O13),ISNUMBER($O$27),$O$27&gt;0),O13/$O$27,0)</f>
        <v>0.0625</v>
      </c>
      <c r="R13" s="13">
        <f>VLOOKUP(D13,'Режимы И-ГЦ-02'!$A$8:$H$10,8,FALSE)</f>
        <v>300</v>
      </c>
      <c r="S13" s="17" t="str">
        <f>IF(AND(COUNT(F13:J13)=5,F13&gt;=0,G13&gt;0,G13&lt;=1,H13&gt;0,H13&lt;=1,I13&gt;0,I13&lt;=E13,J13&gt;0,J13&lt;=E13),"ОК","ОШИБКА: проверьте F:J")</f>
        <v>ОК</v>
      </c>
      <c r="T13" s="17" t="str">
        <f>IF(S13&lt;&gt;"ОК","Исправьте ввод",IF(F13=0,"Нет в плане",IF(ABS(I13-J13)&lt;0.000001,"Партия совпадает","НУЖЕН НОВЫЙ ХРОНОМЕТРАЖ")))</f>
        <v>Партия совпадает</v>
      </c>
    </row>
    <row r="14" spans="1:20" ht="45" customHeight="1">
      <c r="A14" s="11">
        <v>7</v>
      </c>
      <c r="B14" s="11" t="s">
        <v>139</v>
      </c>
      <c r="C14" s="11" t="s">
        <v>132</v>
      </c>
      <c r="D14" s="11">
        <v>3</v>
      </c>
      <c r="E14" s="11">
        <v>1.5</v>
      </c>
      <c r="F14" s="12">
        <v>1.5</v>
      </c>
      <c r="G14" s="14">
        <v>0.95</v>
      </c>
      <c r="H14" s="14">
        <v>1</v>
      </c>
      <c r="I14" s="12">
        <v>1.5</v>
      </c>
      <c r="J14" s="12">
        <v>1.5</v>
      </c>
      <c r="K14" s="13">
        <f>IF(S14="ОК",F14/H14,"")</f>
        <v>1.5</v>
      </c>
      <c r="L14" s="13">
        <f>IF(S14="ОК",K14/G14,"")</f>
        <v>1.57894736842105</v>
      </c>
      <c r="M14" s="13">
        <f>IF(S14="ОК",L14-K14,"")</f>
        <v>0.0789473684210527</v>
      </c>
      <c r="N14" s="13">
        <f>IF(S14="ОК",K14-F14,"")</f>
        <v>0</v>
      </c>
      <c r="O14" s="15">
        <f>IF(S14="ОК",ROUNDUP(ROUND(K14/I14,10),0),"")</f>
        <v>1</v>
      </c>
      <c r="P14" s="13">
        <f>IF(S14="ОК",IF(O14&gt;0,MAX(0,K14-(O14-1)*I14),0),"")</f>
        <v>1.5</v>
      </c>
      <c r="Q14" s="16">
        <f>IF(AND(ISNUMBER(O14),ISNUMBER($O$27),$O$27&gt;0),O14/$O$27,0)</f>
        <v>0.03125</v>
      </c>
      <c r="R14" s="13">
        <f>VLOOKUP(D14,'Режимы И-ГЦ-02'!$A$8:$H$10,8,FALSE)</f>
        <v>300</v>
      </c>
      <c r="S14" s="17" t="str">
        <f>IF(AND(COUNT(F14:J14)=5,F14&gt;=0,G14&gt;0,G14&lt;=1,H14&gt;0,H14&lt;=1,I14&gt;0,I14&lt;=E14,J14&gt;0,J14&lt;=E14),"ОК","ОШИБКА: проверьте F:J")</f>
        <v>ОК</v>
      </c>
      <c r="T14" s="17" t="str">
        <f>IF(S14&lt;&gt;"ОК","Исправьте ввод",IF(F14=0,"Нет в плане",IF(ABS(I14-J14)&lt;0.000001,"Партия совпадает","НУЖЕН НОВЫЙ ХРОНОМЕТРАЖ")))</f>
        <v>Партия совпадает</v>
      </c>
    </row>
    <row r="15" spans="1:20" ht="45" customHeight="1">
      <c r="A15" s="11">
        <v>8</v>
      </c>
      <c r="B15" s="11" t="s">
        <v>140</v>
      </c>
      <c r="C15" s="11" t="s">
        <v>132</v>
      </c>
      <c r="D15" s="11">
        <v>3</v>
      </c>
      <c r="E15" s="11">
        <v>1.5</v>
      </c>
      <c r="F15" s="12">
        <v>1.5</v>
      </c>
      <c r="G15" s="14">
        <v>0.95</v>
      </c>
      <c r="H15" s="14">
        <v>1</v>
      </c>
      <c r="I15" s="12">
        <v>1.5</v>
      </c>
      <c r="J15" s="12">
        <v>1.5</v>
      </c>
      <c r="K15" s="13">
        <f>IF(S15="ОК",F15/H15,"")</f>
        <v>1.5</v>
      </c>
      <c r="L15" s="13">
        <f>IF(S15="ОК",K15/G15,"")</f>
        <v>1.57894736842105</v>
      </c>
      <c r="M15" s="13">
        <f>IF(S15="ОК",L15-K15,"")</f>
        <v>0.0789473684210527</v>
      </c>
      <c r="N15" s="13">
        <f>IF(S15="ОК",K15-F15,"")</f>
        <v>0</v>
      </c>
      <c r="O15" s="15">
        <f>IF(S15="ОК",ROUNDUP(ROUND(K15/I15,10),0),"")</f>
        <v>1</v>
      </c>
      <c r="P15" s="13">
        <f>IF(S15="ОК",IF(O15&gt;0,MAX(0,K15-(O15-1)*I15),0),"")</f>
        <v>1.5</v>
      </c>
      <c r="Q15" s="16">
        <f>IF(AND(ISNUMBER(O15),ISNUMBER($O$27),$O$27&gt;0),O15/$O$27,0)</f>
        <v>0.03125</v>
      </c>
      <c r="R15" s="13">
        <f>VLOOKUP(D15,'Режимы И-ГЦ-02'!$A$8:$H$10,8,FALSE)</f>
        <v>300</v>
      </c>
      <c r="S15" s="17" t="str">
        <f>IF(AND(COUNT(F15:J15)=5,F15&gt;=0,G15&gt;0,G15&lt;=1,H15&gt;0,H15&lt;=1,I15&gt;0,I15&lt;=E15,J15&gt;0,J15&lt;=E15),"ОК","ОШИБКА: проверьте F:J")</f>
        <v>ОК</v>
      </c>
      <c r="T15" s="17" t="str">
        <f>IF(S15&lt;&gt;"ОК","Исправьте ввод",IF(F15=0,"Нет в плане",IF(ABS(I15-J15)&lt;0.000001,"Партия совпадает","НУЖЕН НОВЫЙ ХРОНОМЕТРАЖ")))</f>
        <v>Партия совпадает</v>
      </c>
    </row>
    <row r="16" spans="1:20" ht="45" customHeight="1">
      <c r="A16" s="11">
        <v>9</v>
      </c>
      <c r="B16" s="11" t="s">
        <v>141</v>
      </c>
      <c r="C16" s="11" t="s">
        <v>136</v>
      </c>
      <c r="D16" s="11">
        <v>3</v>
      </c>
      <c r="E16" s="11">
        <v>5</v>
      </c>
      <c r="F16" s="12">
        <v>10</v>
      </c>
      <c r="G16" s="14">
        <v>0.98</v>
      </c>
      <c r="H16" s="14">
        <v>1</v>
      </c>
      <c r="I16" s="12">
        <v>5</v>
      </c>
      <c r="J16" s="12">
        <v>5</v>
      </c>
      <c r="K16" s="13">
        <f>IF(S16="ОК",F16/H16,"")</f>
        <v>10</v>
      </c>
      <c r="L16" s="13">
        <f>IF(S16="ОК",K16/G16,"")</f>
        <v>10.2040816326531</v>
      </c>
      <c r="M16" s="13">
        <f>IF(S16="ОК",L16-K16,"")</f>
        <v>0.204081632653061</v>
      </c>
      <c r="N16" s="13">
        <f>IF(S16="ОК",K16-F16,"")</f>
        <v>0</v>
      </c>
      <c r="O16" s="15">
        <f>IF(S16="ОК",ROUNDUP(ROUND(K16/I16,10),0),"")</f>
        <v>2</v>
      </c>
      <c r="P16" s="13">
        <f>IF(S16="ОК",IF(O16&gt;0,MAX(0,K16-(O16-1)*I16),0),"")</f>
        <v>5</v>
      </c>
      <c r="Q16" s="16">
        <f>IF(AND(ISNUMBER(O16),ISNUMBER($O$27),$O$27&gt;0),O16/$O$27,0)</f>
        <v>0.0625</v>
      </c>
      <c r="R16" s="13">
        <f>VLOOKUP(D16,'Режимы И-ГЦ-02'!$A$8:$H$10,8,FALSE)</f>
        <v>300</v>
      </c>
      <c r="S16" s="17" t="str">
        <f>IF(AND(COUNT(F16:J16)=5,F16&gt;=0,G16&gt;0,G16&lt;=1,H16&gt;0,H16&lt;=1,I16&gt;0,I16&lt;=E16,J16&gt;0,J16&lt;=E16),"ОК","ОШИБКА: проверьте F:J")</f>
        <v>ОК</v>
      </c>
      <c r="T16" s="17" t="str">
        <f>IF(S16&lt;&gt;"ОК","Исправьте ввод",IF(F16=0,"Нет в плане",IF(ABS(I16-J16)&lt;0.000001,"Партия совпадает","НУЖЕН НОВЫЙ ХРОНОМЕТРАЖ")))</f>
        <v>Партия совпадает</v>
      </c>
    </row>
    <row r="17" spans="1:20" ht="45" customHeight="1">
      <c r="A17" s="11">
        <v>10</v>
      </c>
      <c r="B17" s="11" t="s">
        <v>142</v>
      </c>
      <c r="C17" s="11" t="s">
        <v>136</v>
      </c>
      <c r="D17" s="11">
        <v>3</v>
      </c>
      <c r="E17" s="11">
        <v>5</v>
      </c>
      <c r="F17" s="12">
        <v>15</v>
      </c>
      <c r="G17" s="14">
        <v>0.98</v>
      </c>
      <c r="H17" s="14">
        <v>1</v>
      </c>
      <c r="I17" s="12">
        <v>5</v>
      </c>
      <c r="J17" s="12">
        <v>5</v>
      </c>
      <c r="K17" s="13">
        <f>IF(S17="ОК",F17/H17,"")</f>
        <v>15</v>
      </c>
      <c r="L17" s="13">
        <f>IF(S17="ОК",K17/G17,"")</f>
        <v>15.3061224489796</v>
      </c>
      <c r="M17" s="13">
        <f>IF(S17="ОК",L17-K17,"")</f>
        <v>0.306122448979592</v>
      </c>
      <c r="N17" s="13">
        <f>IF(S17="ОК",K17-F17,"")</f>
        <v>0</v>
      </c>
      <c r="O17" s="15">
        <f>IF(S17="ОК",ROUNDUP(ROUND(K17/I17,10),0),"")</f>
        <v>3</v>
      </c>
      <c r="P17" s="13">
        <f>IF(S17="ОК",IF(O17&gt;0,MAX(0,K17-(O17-1)*I17),0),"")</f>
        <v>5</v>
      </c>
      <c r="Q17" s="16">
        <f>IF(AND(ISNUMBER(O17),ISNUMBER($O$27),$O$27&gt;0),O17/$O$27,0)</f>
        <v>0.09375</v>
      </c>
      <c r="R17" s="13">
        <f>VLOOKUP(D17,'Режимы И-ГЦ-02'!$A$8:$H$10,8,FALSE)</f>
        <v>300</v>
      </c>
      <c r="S17" s="17" t="str">
        <f>IF(AND(COUNT(F17:J17)=5,F17&gt;=0,G17&gt;0,G17&lt;=1,H17&gt;0,H17&lt;=1,I17&gt;0,I17&lt;=E17,J17&gt;0,J17&lt;=E17),"ОК","ОШИБКА: проверьте F:J")</f>
        <v>ОК</v>
      </c>
      <c r="T17" s="17" t="str">
        <f>IF(S17&lt;&gt;"ОК","Исправьте ввод",IF(F17=0,"Нет в плане",IF(ABS(I17-J17)&lt;0.000001,"Партия совпадает","НУЖЕН НОВЫЙ ХРОНОМЕТРАЖ")))</f>
        <v>Партия совпадает</v>
      </c>
    </row>
    <row r="18" spans="1:20" ht="45" customHeight="1">
      <c r="A18" s="11">
        <v>11</v>
      </c>
      <c r="B18" s="11" t="s">
        <v>143</v>
      </c>
      <c r="C18" s="11" t="s">
        <v>136</v>
      </c>
      <c r="D18" s="11">
        <v>3</v>
      </c>
      <c r="E18" s="11">
        <v>5</v>
      </c>
      <c r="F18" s="12">
        <v>20</v>
      </c>
      <c r="G18" s="14">
        <v>0.98</v>
      </c>
      <c r="H18" s="14">
        <v>1</v>
      </c>
      <c r="I18" s="12">
        <v>5</v>
      </c>
      <c r="J18" s="12">
        <v>5</v>
      </c>
      <c r="K18" s="13">
        <f>IF(S18="ОК",F18/H18,"")</f>
        <v>20</v>
      </c>
      <c r="L18" s="13">
        <f>IF(S18="ОК",K18/G18,"")</f>
        <v>20.4081632653061</v>
      </c>
      <c r="M18" s="13">
        <f>IF(S18="ОК",L18-K18,"")</f>
        <v>0.408163265306122</v>
      </c>
      <c r="N18" s="13">
        <f>IF(S18="ОК",K18-F18,"")</f>
        <v>0</v>
      </c>
      <c r="O18" s="15">
        <f>IF(S18="ОК",ROUNDUP(ROUND(K18/I18,10),0),"")</f>
        <v>4</v>
      </c>
      <c r="P18" s="13">
        <f>IF(S18="ОК",IF(O18&gt;0,MAX(0,K18-(O18-1)*I18),0),"")</f>
        <v>5</v>
      </c>
      <c r="Q18" s="16">
        <f>IF(AND(ISNUMBER(O18),ISNUMBER($O$27),$O$27&gt;0),O18/$O$27,0)</f>
        <v>0.125</v>
      </c>
      <c r="R18" s="13">
        <f>VLOOKUP(D18,'Режимы И-ГЦ-02'!$A$8:$H$10,8,FALSE)</f>
        <v>300</v>
      </c>
      <c r="S18" s="17" t="str">
        <f>IF(AND(COUNT(F18:J18)=5,F18&gt;=0,G18&gt;0,G18&lt;=1,H18&gt;0,H18&lt;=1,I18&gt;0,I18&lt;=E18,J18&gt;0,J18&lt;=E18),"ОК","ОШИБКА: проверьте F:J")</f>
        <v>ОК</v>
      </c>
      <c r="T18" s="17" t="str">
        <f>IF(S18&lt;&gt;"ОК","Исправьте ввод",IF(F18=0,"Нет в плане",IF(ABS(I18-J18)&lt;0.000001,"Партия совпадает","НУЖЕН НОВЫЙ ХРОНОМЕТРАЖ")))</f>
        <v>Партия совпадает</v>
      </c>
    </row>
    <row r="19" spans="1:20" ht="45" customHeight="1">
      <c r="A19" s="11">
        <v>12</v>
      </c>
      <c r="B19" s="11" t="s">
        <v>144</v>
      </c>
      <c r="C19" s="11" t="s">
        <v>136</v>
      </c>
      <c r="D19" s="11">
        <v>3</v>
      </c>
      <c r="E19" s="11">
        <v>3</v>
      </c>
      <c r="F19" s="12">
        <v>3</v>
      </c>
      <c r="G19" s="14">
        <v>0.98</v>
      </c>
      <c r="H19" s="14">
        <v>1</v>
      </c>
      <c r="I19" s="12">
        <v>3</v>
      </c>
      <c r="J19" s="12">
        <v>3</v>
      </c>
      <c r="K19" s="13">
        <f>IF(S19="ОК",F19/H19,"")</f>
        <v>3</v>
      </c>
      <c r="L19" s="13">
        <f>IF(S19="ОК",K19/G19,"")</f>
        <v>3.06122448979592</v>
      </c>
      <c r="M19" s="13">
        <f>IF(S19="ОК",L19-K19,"")</f>
        <v>0.0612244897959182</v>
      </c>
      <c r="N19" s="13">
        <f>IF(S19="ОК",K19-F19,"")</f>
        <v>0</v>
      </c>
      <c r="O19" s="15">
        <f>IF(S19="ОК",ROUNDUP(ROUND(K19/I19,10),0),"")</f>
        <v>1</v>
      </c>
      <c r="P19" s="13">
        <f>IF(S19="ОК",IF(O19&gt;0,MAX(0,K19-(O19-1)*I19),0),"")</f>
        <v>3</v>
      </c>
      <c r="Q19" s="16">
        <f>IF(AND(ISNUMBER(O19),ISNUMBER($O$27),$O$27&gt;0),O19/$O$27,0)</f>
        <v>0.03125</v>
      </c>
      <c r="R19" s="13">
        <f>VLOOKUP(D19,'Режимы И-ГЦ-02'!$A$8:$H$10,8,FALSE)</f>
        <v>300</v>
      </c>
      <c r="S19" s="17" t="str">
        <f>IF(AND(COUNT(F19:J19)=5,F19&gt;=0,G19&gt;0,G19&lt;=1,H19&gt;0,H19&lt;=1,I19&gt;0,I19&lt;=E19,J19&gt;0,J19&lt;=E19),"ОК","ОШИБКА: проверьте F:J")</f>
        <v>ОК</v>
      </c>
      <c r="T19" s="17" t="str">
        <f>IF(S19&lt;&gt;"ОК","Исправьте ввод",IF(F19=0,"Нет в плане",IF(ABS(I19-J19)&lt;0.000001,"Партия совпадает","НУЖЕН НОВЫЙ ХРОНОМЕТРАЖ")))</f>
        <v>Партия совпадает</v>
      </c>
    </row>
    <row r="20" spans="1:20" ht="45" customHeight="1">
      <c r="A20" s="11">
        <v>13</v>
      </c>
      <c r="B20" s="11" t="s">
        <v>145</v>
      </c>
      <c r="C20" s="11" t="s">
        <v>136</v>
      </c>
      <c r="D20" s="11">
        <v>3</v>
      </c>
      <c r="E20" s="11">
        <v>1.5</v>
      </c>
      <c r="F20" s="12">
        <v>1.5</v>
      </c>
      <c r="G20" s="14">
        <v>0.98</v>
      </c>
      <c r="H20" s="14">
        <v>1</v>
      </c>
      <c r="I20" s="12">
        <v>1.5</v>
      </c>
      <c r="J20" s="12">
        <v>1.5</v>
      </c>
      <c r="K20" s="13">
        <f>IF(S20="ОК",F20/H20,"")</f>
        <v>1.5</v>
      </c>
      <c r="L20" s="13">
        <f>IF(S20="ОК",K20/G20,"")</f>
        <v>1.53061224489796</v>
      </c>
      <c r="M20" s="13">
        <f>IF(S20="ОК",L20-K20,"")</f>
        <v>0.0306122448979591</v>
      </c>
      <c r="N20" s="13">
        <f>IF(S20="ОК",K20-F20,"")</f>
        <v>0</v>
      </c>
      <c r="O20" s="15">
        <f>IF(S20="ОК",ROUNDUP(ROUND(K20/I20,10),0),"")</f>
        <v>1</v>
      </c>
      <c r="P20" s="13">
        <f>IF(S20="ОК",IF(O20&gt;0,MAX(0,K20-(O20-1)*I20),0),"")</f>
        <v>1.5</v>
      </c>
      <c r="Q20" s="16">
        <f>IF(AND(ISNUMBER(O20),ISNUMBER($O$27),$O$27&gt;0),O20/$O$27,0)</f>
        <v>0.03125</v>
      </c>
      <c r="R20" s="13">
        <f>VLOOKUP(D20,'Режимы И-ГЦ-02'!$A$8:$H$10,8,FALSE)</f>
        <v>300</v>
      </c>
      <c r="S20" s="17" t="str">
        <f>IF(AND(COUNT(F20:J20)=5,F20&gt;=0,G20&gt;0,G20&lt;=1,H20&gt;0,H20&lt;=1,I20&gt;0,I20&lt;=E20,J20&gt;0,J20&lt;=E20),"ОК","ОШИБКА: проверьте F:J")</f>
        <v>ОК</v>
      </c>
      <c r="T20" s="17" t="str">
        <f>IF(S20&lt;&gt;"ОК","Исправьте ввод",IF(F20=0,"Нет в плане",IF(ABS(I20-J20)&lt;0.000001,"Партия совпадает","НУЖЕН НОВЫЙ ХРОНОМЕТРАЖ")))</f>
        <v>Партия совпадает</v>
      </c>
    </row>
    <row r="21" spans="1:20" ht="45" customHeight="1">
      <c r="A21" s="11">
        <v>14</v>
      </c>
      <c r="B21" s="11" t="s">
        <v>146</v>
      </c>
      <c r="C21" s="11" t="s">
        <v>136</v>
      </c>
      <c r="D21" s="11">
        <v>3</v>
      </c>
      <c r="E21" s="11">
        <v>1.5</v>
      </c>
      <c r="F21" s="12">
        <v>1.5</v>
      </c>
      <c r="G21" s="14">
        <v>0.98</v>
      </c>
      <c r="H21" s="14">
        <v>1</v>
      </c>
      <c r="I21" s="12">
        <v>1.5</v>
      </c>
      <c r="J21" s="12">
        <v>1.5</v>
      </c>
      <c r="K21" s="13">
        <f>IF(S21="ОК",F21/H21,"")</f>
        <v>1.5</v>
      </c>
      <c r="L21" s="13">
        <f>IF(S21="ОК",K21/G21,"")</f>
        <v>1.53061224489796</v>
      </c>
      <c r="M21" s="13">
        <f>IF(S21="ОК",L21-K21,"")</f>
        <v>0.0306122448979591</v>
      </c>
      <c r="N21" s="13">
        <f>IF(S21="ОК",K21-F21,"")</f>
        <v>0</v>
      </c>
      <c r="O21" s="15">
        <f>IF(S21="ОК",ROUNDUP(ROUND(K21/I21,10),0),"")</f>
        <v>1</v>
      </c>
      <c r="P21" s="13">
        <f>IF(S21="ОК",IF(O21&gt;0,MAX(0,K21-(O21-1)*I21),0),"")</f>
        <v>1.5</v>
      </c>
      <c r="Q21" s="16">
        <f>IF(AND(ISNUMBER(O21),ISNUMBER($O$27),$O$27&gt;0),O21/$O$27,0)</f>
        <v>0.03125</v>
      </c>
      <c r="R21" s="13">
        <f>VLOOKUP(D21,'Режимы И-ГЦ-02'!$A$8:$H$10,8,FALSE)</f>
        <v>300</v>
      </c>
      <c r="S21" s="17" t="str">
        <f>IF(AND(COUNT(F21:J21)=5,F21&gt;=0,G21&gt;0,G21&lt;=1,H21&gt;0,H21&lt;=1,I21&gt;0,I21&lt;=E21,J21&gt;0,J21&lt;=E21),"ОК","ОШИБКА: проверьте F:J")</f>
        <v>ОК</v>
      </c>
      <c r="T21" s="17" t="str">
        <f>IF(S21&lt;&gt;"ОК","Исправьте ввод",IF(F21=0,"Нет в плане",IF(ABS(I21-J21)&lt;0.000001,"Партия совпадает","НУЖЕН НОВЫЙ ХРОНОМЕТРАЖ")))</f>
        <v>Партия совпадает</v>
      </c>
    </row>
    <row r="22" spans="1:20" ht="45" customHeight="1">
      <c r="A22" s="11">
        <v>15</v>
      </c>
      <c r="B22" s="11" t="s">
        <v>147</v>
      </c>
      <c r="C22" s="11" t="s">
        <v>136</v>
      </c>
      <c r="D22" s="11">
        <v>3</v>
      </c>
      <c r="E22" s="11">
        <v>3</v>
      </c>
      <c r="F22" s="12">
        <v>3</v>
      </c>
      <c r="G22" s="14">
        <v>0.98</v>
      </c>
      <c r="H22" s="14">
        <v>1</v>
      </c>
      <c r="I22" s="12">
        <v>3</v>
      </c>
      <c r="J22" s="12">
        <v>3</v>
      </c>
      <c r="K22" s="13">
        <f>IF(S22="ОК",F22/H22,"")</f>
        <v>3</v>
      </c>
      <c r="L22" s="13">
        <f>IF(S22="ОК",K22/G22,"")</f>
        <v>3.06122448979592</v>
      </c>
      <c r="M22" s="13">
        <f>IF(S22="ОК",L22-K22,"")</f>
        <v>0.0612244897959182</v>
      </c>
      <c r="N22" s="13">
        <f>IF(S22="ОК",K22-F22,"")</f>
        <v>0</v>
      </c>
      <c r="O22" s="15">
        <f>IF(S22="ОК",ROUNDUP(ROUND(K22/I22,10),0),"")</f>
        <v>1</v>
      </c>
      <c r="P22" s="13">
        <f>IF(S22="ОК",IF(O22&gt;0,MAX(0,K22-(O22-1)*I22),0),"")</f>
        <v>3</v>
      </c>
      <c r="Q22" s="16">
        <f>IF(AND(ISNUMBER(O22),ISNUMBER($O$27),$O$27&gt;0),O22/$O$27,0)</f>
        <v>0.03125</v>
      </c>
      <c r="R22" s="13">
        <f>VLOOKUP(D22,'Режимы И-ГЦ-02'!$A$8:$H$10,8,FALSE)</f>
        <v>300</v>
      </c>
      <c r="S22" s="17" t="str">
        <f>IF(AND(COUNT(F22:J22)=5,F22&gt;=0,G22&gt;0,G22&lt;=1,H22&gt;0,H22&lt;=1,I22&gt;0,I22&lt;=E22,J22&gt;0,J22&lt;=E22),"ОК","ОШИБКА: проверьте F:J")</f>
        <v>ОК</v>
      </c>
      <c r="T22" s="17" t="str">
        <f>IF(S22&lt;&gt;"ОК","Исправьте ввод",IF(F22=0,"Нет в плане",IF(ABS(I22-J22)&lt;0.000001,"Партия совпадает","НУЖЕН НОВЫЙ ХРОНОМЕТРАЖ")))</f>
        <v>Партия совпадает</v>
      </c>
    </row>
    <row r="23" spans="1:20" ht="45" customHeight="1">
      <c r="A23" s="11">
        <v>16</v>
      </c>
      <c r="B23" s="11" t="s">
        <v>148</v>
      </c>
      <c r="C23" s="11" t="s">
        <v>136</v>
      </c>
      <c r="D23" s="11">
        <v>3</v>
      </c>
      <c r="E23" s="11">
        <v>3</v>
      </c>
      <c r="F23" s="12">
        <v>3</v>
      </c>
      <c r="G23" s="14">
        <v>0.98</v>
      </c>
      <c r="H23" s="14">
        <v>1</v>
      </c>
      <c r="I23" s="12">
        <v>3</v>
      </c>
      <c r="J23" s="12">
        <v>3</v>
      </c>
      <c r="K23" s="13">
        <f>IF(S23="ОК",F23/H23,"")</f>
        <v>3</v>
      </c>
      <c r="L23" s="13">
        <f>IF(S23="ОК",K23/G23,"")</f>
        <v>3.06122448979592</v>
      </c>
      <c r="M23" s="13">
        <f>IF(S23="ОК",L23-K23,"")</f>
        <v>0.0612244897959182</v>
      </c>
      <c r="N23" s="13">
        <f>IF(S23="ОК",K23-F23,"")</f>
        <v>0</v>
      </c>
      <c r="O23" s="15">
        <f>IF(S23="ОК",ROUNDUP(ROUND(K23/I23,10),0),"")</f>
        <v>1</v>
      </c>
      <c r="P23" s="13">
        <f>IF(S23="ОК",IF(O23&gt;0,MAX(0,K23-(O23-1)*I23),0),"")</f>
        <v>3</v>
      </c>
      <c r="Q23" s="16">
        <f>IF(AND(ISNUMBER(O23),ISNUMBER($O$27),$O$27&gt;0),O23/$O$27,0)</f>
        <v>0.03125</v>
      </c>
      <c r="R23" s="13">
        <f>VLOOKUP(D23,'Режимы И-ГЦ-02'!$A$8:$H$10,8,FALSE)</f>
        <v>300</v>
      </c>
      <c r="S23" s="17" t="str">
        <f>IF(AND(COUNT(F23:J23)=5,F23&gt;=0,G23&gt;0,G23&lt;=1,H23&gt;0,H23&lt;=1,I23&gt;0,I23&lt;=E23,J23&gt;0,J23&lt;=E23),"ОК","ОШИБКА: проверьте F:J")</f>
        <v>ОК</v>
      </c>
      <c r="T23" s="17" t="str">
        <f>IF(S23&lt;&gt;"ОК","Исправьте ввод",IF(F23=0,"Нет в плане",IF(ABS(I23-J23)&lt;0.000001,"Партия совпадает","НУЖЕН НОВЫЙ ХРОНОМЕТРАЖ")))</f>
        <v>Партия совпадает</v>
      </c>
    </row>
    <row r="24" spans="1:20" ht="45" customHeight="1">
      <c r="A24" s="11">
        <v>17</v>
      </c>
      <c r="B24" s="11" t="s">
        <v>149</v>
      </c>
      <c r="C24" s="11" t="s">
        <v>136</v>
      </c>
      <c r="D24" s="11">
        <v>3</v>
      </c>
      <c r="E24" s="11">
        <v>2</v>
      </c>
      <c r="F24" s="12">
        <v>2</v>
      </c>
      <c r="G24" s="14">
        <v>0.98</v>
      </c>
      <c r="H24" s="14">
        <v>1</v>
      </c>
      <c r="I24" s="12">
        <v>2</v>
      </c>
      <c r="J24" s="12">
        <v>2</v>
      </c>
      <c r="K24" s="13">
        <f>IF(S24="ОК",F24/H24,"")</f>
        <v>2</v>
      </c>
      <c r="L24" s="13">
        <f>IF(S24="ОК",K24/G24,"")</f>
        <v>2.04081632653061</v>
      </c>
      <c r="M24" s="13">
        <f>IF(S24="ОК",L24-K24,"")</f>
        <v>0.0408163265306123</v>
      </c>
      <c r="N24" s="13">
        <f>IF(S24="ОК",K24-F24,"")</f>
        <v>0</v>
      </c>
      <c r="O24" s="15">
        <f>IF(S24="ОК",ROUNDUP(ROUND(K24/I24,10),0),"")</f>
        <v>1</v>
      </c>
      <c r="P24" s="13">
        <f>IF(S24="ОК",IF(O24&gt;0,MAX(0,K24-(O24-1)*I24),0),"")</f>
        <v>2</v>
      </c>
      <c r="Q24" s="16">
        <f>IF(AND(ISNUMBER(O24),ISNUMBER($O$27),$O$27&gt;0),O24/$O$27,0)</f>
        <v>0.03125</v>
      </c>
      <c r="R24" s="13">
        <f>VLOOKUP(D24,'Режимы И-ГЦ-02'!$A$8:$H$10,8,FALSE)</f>
        <v>300</v>
      </c>
      <c r="S24" s="17" t="str">
        <f>IF(AND(COUNT(F24:J24)=5,F24&gt;=0,G24&gt;0,G24&lt;=1,H24&gt;0,H24&lt;=1,I24&gt;0,I24&lt;=E24,J24&gt;0,J24&lt;=E24),"ОК","ОШИБКА: проверьте F:J")</f>
        <v>ОК</v>
      </c>
      <c r="T24" s="17" t="str">
        <f>IF(S24&lt;&gt;"ОК","Исправьте ввод",IF(F24=0,"Нет в плане",IF(ABS(I24-J24)&lt;0.000001,"Партия совпадает","НУЖЕН НОВЫЙ ХРОНОМЕТРАЖ")))</f>
        <v>Партия совпадает</v>
      </c>
    </row>
    <row r="25" spans="1:20" ht="45" customHeight="1">
      <c r="A25" s="11">
        <v>18</v>
      </c>
      <c r="B25" s="11" t="s">
        <v>150</v>
      </c>
      <c r="C25" s="11" t="s">
        <v>136</v>
      </c>
      <c r="D25" s="11">
        <v>3</v>
      </c>
      <c r="E25" s="11">
        <v>2</v>
      </c>
      <c r="F25" s="12">
        <v>2</v>
      </c>
      <c r="G25" s="14">
        <v>0.98</v>
      </c>
      <c r="H25" s="14">
        <v>1</v>
      </c>
      <c r="I25" s="12">
        <v>2</v>
      </c>
      <c r="J25" s="12">
        <v>2</v>
      </c>
      <c r="K25" s="13">
        <f>IF(S25="ОК",F25/H25,"")</f>
        <v>2</v>
      </c>
      <c r="L25" s="13">
        <f>IF(S25="ОК",K25/G25,"")</f>
        <v>2.04081632653061</v>
      </c>
      <c r="M25" s="13">
        <f>IF(S25="ОК",L25-K25,"")</f>
        <v>0.0408163265306123</v>
      </c>
      <c r="N25" s="13">
        <f>IF(S25="ОК",K25-F25,"")</f>
        <v>0</v>
      </c>
      <c r="O25" s="15">
        <f>IF(S25="ОК",ROUNDUP(ROUND(K25/I25,10),0),"")</f>
        <v>1</v>
      </c>
      <c r="P25" s="13">
        <f>IF(S25="ОК",IF(O25&gt;0,MAX(0,K25-(O25-1)*I25),0),"")</f>
        <v>2</v>
      </c>
      <c r="Q25" s="16">
        <f>IF(AND(ISNUMBER(O25),ISNUMBER($O$27),$O$27&gt;0),O25/$O$27,0)</f>
        <v>0.03125</v>
      </c>
      <c r="R25" s="13">
        <f>VLOOKUP(D25,'Режимы И-ГЦ-02'!$A$8:$H$10,8,FALSE)</f>
        <v>300</v>
      </c>
      <c r="S25" s="17" t="str">
        <f>IF(AND(COUNT(F25:J25)=5,F25&gt;=0,G25&gt;0,G25&lt;=1,H25&gt;0,H25&lt;=1,I25&gt;0,I25&lt;=E25,J25&gt;0,J25&lt;=E25),"ОК","ОШИБКА: проверьте F:J")</f>
        <v>ОК</v>
      </c>
      <c r="T25" s="17" t="str">
        <f>IF(S25&lt;&gt;"ОК","Исправьте ввод",IF(F25=0,"Нет в плане",IF(ABS(I25-J25)&lt;0.000001,"Партия совпадает","НУЖЕН НОВЫЙ ХРОНОМЕТРАЖ")))</f>
        <v>Партия совпадает</v>
      </c>
    </row>
    <row r="27" spans="1:20" ht="23" customHeight="1">
      <c r="B27" s="4" t="s">
        <v>151</v>
      </c>
      <c r="F27" s="6">
        <f>IF(COUNT(F8:F25)=18,SUM(F8:F25),"")</f>
        <v>107</v>
      </c>
      <c r="K27" s="6">
        <f>IF(COUNT(K8:K25)=18,SUM(K8:K25),"")</f>
        <v>107</v>
      </c>
      <c r="L27" s="6">
        <f>IF(COUNT(L8:L25)=18,SUM(L8:L25),"")</f>
        <v>109.570354457573</v>
      </c>
      <c r="M27" s="6">
        <f>IF(COUNT(M8:M25)=18,SUM(M8:M25),"")</f>
        <v>2.5703544575725</v>
      </c>
      <c r="N27" s="6">
        <f>IF(COUNT(N8:N25)=18,SUM(N8:N25),"")</f>
        <v>0</v>
      </c>
      <c r="O27" s="6">
        <f>IF(COUNT(O8:O25)=18,SUM(O8:O25),"")</f>
        <v>32</v>
      </c>
      <c r="Q27" s="16">
        <f>SUM(Q8:Q25)</f>
        <v>1</v>
      </c>
    </row>
    <row r="29" spans="1:20" ht="23" customHeight="1">
      <c r="A29" s="2" t="s">
        <v>152</v>
      </c>
      <c r="B29" s="2"/>
      <c r="C29" s="2"/>
      <c r="D29" s="2"/>
      <c r="E29" s="2"/>
      <c r="F29" s="2"/>
      <c r="G29" s="2"/>
      <c r="H29" s="2"/>
      <c r="I29" s="2"/>
      <c r="J29" s="2"/>
      <c r="K29" s="2"/>
      <c r="L29" s="2"/>
      <c r="M29" s="2"/>
      <c r="N29" s="2"/>
      <c r="O29" s="2"/>
      <c r="P29" s="2"/>
      <c r="Q29" s="2"/>
      <c r="R29" s="2"/>
      <c r="S29" s="2"/>
      <c r="T29" s="2"/>
    </row>
    <row r="30" spans="1:20" ht="23" customHeight="1">
      <c r="A30" s="2"/>
      <c r="B30" s="2"/>
      <c r="C30" s="2"/>
      <c r="D30" s="2"/>
      <c r="E30" s="2"/>
      <c r="F30" s="2"/>
      <c r="G30" s="2"/>
      <c r="H30" s="2"/>
      <c r="I30" s="2"/>
      <c r="J30" s="2"/>
      <c r="K30" s="2"/>
      <c r="L30" s="2"/>
      <c r="M30" s="2"/>
      <c r="N30" s="2"/>
      <c r="O30" s="2"/>
      <c r="P30" s="2"/>
      <c r="Q30" s="2"/>
      <c r="R30" s="2"/>
      <c r="S30" s="2"/>
      <c r="T30" s="2"/>
    </row>
  </sheetData>
  <sheetProtection sheet="1" objects="1" scenarios="1" sort="0" autoFilter="0"/>
  <autoFilter ref="A7:T25"/>
  <mergeCells count="5">
    <mergeCell ref="A1:T1"/>
    <mergeCell ref="A2:T2"/>
    <mergeCell ref="B3:T3"/>
    <mergeCell ref="A5:T5"/>
    <mergeCell ref="A29:T30"/>
  </mergeCells>
  <conditionalFormatting sqref="S8:T25">
    <cfRule type="containsText" dxfId="0" priority="1" operator="containsText" text="ОШИБКА">
      <formula>NOT(ISERROR(SEARCH("ОШИБКА",S8)))</formula>
    </cfRule>
  </conditionalFormatting>
  <dataValidations count="90">
    <dataValidation type="decimal" allowBlank="1" showInputMessage="1" showErrorMessage="1" errorTitle="Проверьте ввод" error="Введите значение в допустимых пределах. См. примечание к ячейке." sqref="F8">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8">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8">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8">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8">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9">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9">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9">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9">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9">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10">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0">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0">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0">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10">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11">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1">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1">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1">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J11">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F12">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2">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2">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2">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J12">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F13">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3">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3">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3">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13">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14">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4">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4">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4">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14">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15">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5">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5">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5">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15">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16">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6">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6">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6">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J16">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F17">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7">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7">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7">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J17">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F18">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8">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8">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8">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J18">
      <formula1>0.001</formula1>
      <formula2>5</formula2>
    </dataValidation>
    <dataValidation type="decimal" allowBlank="1" showInputMessage="1" showErrorMessage="1" errorTitle="Проверьте ввод" error="Введите значение в допустимых пределах. См. примечание к ячейке." sqref="F19">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19">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19">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19">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J19">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F20">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0">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0">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0">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20">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21">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1">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1">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1">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J21">
      <formula1>0.001</formula1>
      <formula2>1.5</formula2>
    </dataValidation>
    <dataValidation type="decimal" allowBlank="1" showInputMessage="1" showErrorMessage="1" errorTitle="Проверьте ввод" error="Введите значение в допустимых пределах. См. примечание к ячейке." sqref="F22">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2">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2">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2">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J22">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F23">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3">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3">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3">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J23">
      <formula1>0.001</formula1>
      <formula2>3</formula2>
    </dataValidation>
    <dataValidation type="decimal" allowBlank="1" showInputMessage="1" showErrorMessage="1" errorTitle="Проверьте ввод" error="Введите значение в допустимых пределах. См. примечание к ячейке." sqref="F24">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4">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4">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4">
      <formula1>0.001</formula1>
      <formula2>2</formula2>
    </dataValidation>
    <dataValidation type="decimal" allowBlank="1" showInputMessage="1" showErrorMessage="1" errorTitle="Проверьте ввод" error="Введите значение в допустимых пределах. См. примечание к ячейке." sqref="J24">
      <formula1>0.001</formula1>
      <formula2>2</formula2>
    </dataValidation>
    <dataValidation type="decimal" allowBlank="1" showInputMessage="1" showErrorMessage="1" errorTitle="Проверьте ввод" error="Введите значение в допустимых пределах. См. примечание к ячейке." sqref="F25">
      <formula1>0</formula1>
      <formula2>1000000</formula2>
    </dataValidation>
    <dataValidation type="decimal" allowBlank="1" showInputMessage="1" showErrorMessage="1" errorTitle="Проверьте ввод" error="Введите значение в допустимых пределах. См. примечание к ячейке." sqref="G25">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H25">
      <formula1>1e-06</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I25">
      <formula1>0.001</formula1>
      <formula2>2</formula2>
    </dataValidation>
    <dataValidation type="decimal" allowBlank="1" showInputMessage="1" showErrorMessage="1" errorTitle="Проверьте ввод" error="Введите значение в допустимых пределах. См. примечание к ячейке." sqref="J25">
      <formula1>0.001</formula1>
      <formula2>2</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&amp;LАссортимент&amp;RСтр. &amp;P / &amp;N</oddFooter>
  </headerFooter>
  <legacyDrawing r:id="rId1"/>
</worksheet>
</file>

<file path=xl/worksheets/sheet5.xml><?xml version="1.0" encoding="utf-8"?>
<worksheet xmlns="http://schemas.openxmlformats.org/spreadsheetml/2006/main" xmlns:r="http://schemas.openxmlformats.org/officeDocument/2006/relationships">
  <sheetPr>
    <tabColor rgb="FFE9B949"/>
    <pageSetUpPr fitToPage="1"/>
  </sheetPr>
  <dimension ref="A1:AQ382"/>
  <sheetViews>
    <sheetView showGridLines="0" zoomScale="85" zoomScaleNormal="85" workbookViewId="0">
      <pane xSplit="4" ySplit="5" topLeftCell="E6" activePane="bottomRight" state="frozen"/>
      <selection pane="topRight" activeCell="E1" sqref="E1"/>
      <selection pane="bottomLeft" activeCell="A6" sqref="A6"/>
      <selection pane="bottomRight"/>
    </sheetView>
  </sheetViews>
  <sheetFormatPr defaultRowHeight="23" customHeight="1"/>
  <cols>
    <col min="1" max="1" width="4.7109375" customWidth="1"/>
    <col min="2" max="2" width="36.7109375" customWidth="1"/>
    <col min="3" max="3" width="16.7109375" customWidth="1"/>
    <col min="4" max="4" width="27.7109375" customWidth="1"/>
    <col min="5" max="14" width="8.7109375" customWidth="1"/>
    <col min="15" max="21" width="10.7109375" customWidth="1"/>
    <col min="22" max="24" width="18.7109375" customWidth="1"/>
    <col min="25" max="43" width="0" hidden="1" customWidth="1"/>
  </cols>
  <sheetData>
    <row r="1" spans="1:43" ht="35" customHeight="1">
      <c r="A1" s="1" t="s">
        <v>153</v>
      </c>
      <c r="B1" s="1"/>
      <c r="C1" s="1"/>
      <c r="D1" s="1"/>
      <c r="E1" s="1"/>
      <c r="F1" s="1"/>
      <c r="G1" s="1"/>
      <c r="H1" s="1"/>
      <c r="I1" s="1"/>
      <c r="J1" s="1"/>
      <c r="K1" s="1"/>
      <c r="L1" s="1"/>
      <c r="M1" s="1"/>
      <c r="N1" s="1"/>
      <c r="O1" s="1"/>
      <c r="P1" s="1"/>
      <c r="Q1" s="1"/>
      <c r="R1" s="1"/>
      <c r="S1" s="1"/>
      <c r="T1" s="1"/>
      <c r="U1" s="1"/>
      <c r="V1" s="1"/>
      <c r="W1" s="1"/>
      <c r="X1" s="1"/>
    </row>
    <row r="2" spans="1:43" ht="31" customHeight="1">
      <c r="A2" s="2" t="s">
        <v>1</v>
      </c>
      <c r="B2" s="2"/>
      <c r="C2" s="2"/>
      <c r="D2" s="2"/>
      <c r="E2" s="2"/>
      <c r="F2" s="2"/>
      <c r="G2" s="2"/>
      <c r="H2" s="2"/>
      <c r="I2" s="2"/>
      <c r="J2" s="2"/>
      <c r="K2" s="2"/>
      <c r="L2" s="2"/>
      <c r="M2" s="2"/>
      <c r="N2" s="2"/>
      <c r="O2" s="2"/>
      <c r="P2" s="2"/>
      <c r="Q2" s="2"/>
      <c r="R2" s="2"/>
      <c r="S2" s="2"/>
      <c r="T2" s="2"/>
      <c r="U2" s="2"/>
      <c r="V2" s="2"/>
      <c r="W2" s="2"/>
      <c r="X2" s="2"/>
    </row>
    <row r="3" spans="1:43" ht="23" customHeight="1">
      <c r="A3" s="3" t="s">
        <v>2</v>
      </c>
      <c r="B3" s="7" t="s">
        <v>3</v>
      </c>
      <c r="C3" s="7"/>
      <c r="D3" s="7"/>
      <c r="E3" s="7"/>
      <c r="F3" s="7"/>
      <c r="G3" s="7"/>
      <c r="H3" s="7"/>
      <c r="I3" s="7"/>
      <c r="J3" s="7"/>
      <c r="K3" s="7"/>
      <c r="L3" s="7"/>
      <c r="M3" s="7"/>
      <c r="N3" s="7"/>
      <c r="O3" s="7"/>
      <c r="P3" s="7"/>
      <c r="Q3" s="7"/>
      <c r="R3" s="7"/>
      <c r="S3" s="7"/>
      <c r="T3" s="7"/>
      <c r="U3" s="7"/>
      <c r="V3" s="7"/>
      <c r="W3" s="7"/>
      <c r="X3" s="7"/>
    </row>
    <row r="5" spans="1:43" ht="23" customHeight="1">
      <c r="A5" s="4" t="s">
        <v>154</v>
      </c>
      <c r="B5" s="4"/>
      <c r="C5" s="4"/>
      <c r="D5" s="4"/>
      <c r="E5" s="4"/>
      <c r="F5" s="4"/>
      <c r="G5" s="4"/>
      <c r="H5" s="4"/>
      <c r="I5" s="4"/>
      <c r="J5" s="4"/>
      <c r="K5" s="4"/>
      <c r="L5" s="4"/>
      <c r="M5" s="4"/>
      <c r="N5" s="4"/>
      <c r="O5" s="4"/>
      <c r="P5" s="4"/>
      <c r="Q5" s="4"/>
      <c r="R5" s="4"/>
      <c r="S5" s="4"/>
      <c r="T5" s="4"/>
      <c r="U5" s="4"/>
      <c r="V5" s="4"/>
      <c r="W5" s="4"/>
      <c r="X5" s="4"/>
    </row>
    <row r="7" spans="1:43" ht="23" customHeight="1">
      <c r="A7" s="4" t="s">
        <v>155</v>
      </c>
      <c r="B7" s="4"/>
      <c r="C7" s="4"/>
      <c r="D7" s="4"/>
      <c r="E7" s="4"/>
      <c r="F7" s="4"/>
      <c r="G7" s="4"/>
      <c r="H7" s="4"/>
      <c r="I7" s="4"/>
      <c r="J7" s="4"/>
      <c r="K7" s="4"/>
      <c r="L7" s="4"/>
      <c r="M7" s="4"/>
      <c r="N7" s="4"/>
      <c r="O7" s="4"/>
      <c r="P7" s="4"/>
      <c r="Q7" s="4"/>
      <c r="R7" s="4"/>
      <c r="S7" s="4"/>
      <c r="T7" s="4"/>
      <c r="U7" s="4"/>
      <c r="V7" s="4"/>
      <c r="W7" s="4"/>
      <c r="X7" s="4"/>
    </row>
    <row r="8" spans="1:43" ht="23" customHeight="1">
      <c r="A8" s="7" t="str">
        <f>"Масса замера, кг: "&amp;'Ассортимент'!J8&amp;".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8" s="7"/>
      <c r="C8" s="7"/>
      <c r="D8" s="7"/>
      <c r="E8" s="7"/>
      <c r="F8" s="7"/>
      <c r="G8" s="7"/>
      <c r="H8" s="7"/>
      <c r="I8" s="7"/>
      <c r="J8" s="7"/>
      <c r="K8" s="7"/>
      <c r="L8" s="7"/>
      <c r="M8" s="7"/>
      <c r="N8" s="7"/>
      <c r="O8" s="7"/>
      <c r="P8" s="7"/>
      <c r="Q8" s="7"/>
      <c r="R8" s="7"/>
      <c r="S8" s="7"/>
      <c r="T8" s="7"/>
      <c r="U8" s="7"/>
      <c r="V8" s="7"/>
      <c r="W8" s="7"/>
      <c r="X8" s="7"/>
    </row>
    <row r="9" spans="1:43" ht="44" customHeight="1">
      <c r="A9" s="8" t="s">
        <v>113</v>
      </c>
      <c r="B9" s="8" t="s">
        <v>156</v>
      </c>
      <c r="C9" s="8" t="s">
        <v>157</v>
      </c>
      <c r="D9" s="8" t="s">
        <v>158</v>
      </c>
      <c r="E9" s="8" t="s">
        <v>159</v>
      </c>
      <c r="F9" s="8" t="s">
        <v>160</v>
      </c>
      <c r="G9" s="8" t="s">
        <v>161</v>
      </c>
      <c r="H9" s="8" t="s">
        <v>162</v>
      </c>
      <c r="I9" s="8" t="s">
        <v>163</v>
      </c>
      <c r="J9" s="8" t="s">
        <v>164</v>
      </c>
      <c r="K9" s="8" t="s">
        <v>165</v>
      </c>
      <c r="L9" s="8" t="s">
        <v>166</v>
      </c>
      <c r="M9" s="8" t="s">
        <v>167</v>
      </c>
      <c r="N9" s="8" t="s">
        <v>168</v>
      </c>
      <c r="O9" s="8" t="s">
        <v>169</v>
      </c>
      <c r="P9" s="8" t="s">
        <v>170</v>
      </c>
      <c r="Q9" s="8" t="s">
        <v>171</v>
      </c>
      <c r="R9" s="8" t="s">
        <v>172</v>
      </c>
      <c r="S9" s="8" t="s">
        <v>173</v>
      </c>
      <c r="T9" s="8" t="s">
        <v>174</v>
      </c>
      <c r="U9" s="8" t="s">
        <v>175</v>
      </c>
      <c r="V9" s="8" t="s">
        <v>176</v>
      </c>
      <c r="W9" s="8" t="s">
        <v>177</v>
      </c>
      <c r="X9" s="8" t="s">
        <v>178</v>
      </c>
    </row>
    <row r="10" spans="1:43" ht="23" customHeight="1">
      <c r="B10" s="5" t="s">
        <v>179</v>
      </c>
      <c r="E10" s="12">
        <v>1</v>
      </c>
      <c r="F10" s="12">
        <v>1</v>
      </c>
      <c r="G10" s="12">
        <v>1</v>
      </c>
      <c r="H10" s="12">
        <v>1</v>
      </c>
      <c r="I10" s="12">
        <v>1</v>
      </c>
      <c r="J10" s="12">
        <v>1</v>
      </c>
      <c r="K10" s="12">
        <v>1</v>
      </c>
      <c r="L10" s="12">
        <v>1</v>
      </c>
      <c r="M10" s="12">
        <v>1</v>
      </c>
      <c r="N10" s="12">
        <v>1</v>
      </c>
    </row>
    <row r="11" spans="1:43" ht="33" customHeight="1">
      <c r="B11" s="5" t="s">
        <v>180</v>
      </c>
      <c r="E11" s="9" t="s">
        <v>181</v>
      </c>
      <c r="F11" s="9" t="s">
        <v>181</v>
      </c>
      <c r="G11" s="9" t="s">
        <v>181</v>
      </c>
      <c r="H11" s="9" t="s">
        <v>181</v>
      </c>
      <c r="I11" s="9" t="s">
        <v>181</v>
      </c>
      <c r="J11" s="9" t="s">
        <v>181</v>
      </c>
      <c r="K11" s="9" t="s">
        <v>181</v>
      </c>
      <c r="L11" s="9" t="s">
        <v>181</v>
      </c>
      <c r="M11" s="9" t="s">
        <v>181</v>
      </c>
      <c r="N11" s="9" t="s">
        <v>181</v>
      </c>
    </row>
    <row r="12" spans="1:43" ht="40" customHeight="1">
      <c r="A12" s="5">
        <v>1</v>
      </c>
      <c r="B12" s="5" t="s">
        <v>182</v>
      </c>
      <c r="C12" s="11" t="s">
        <v>183</v>
      </c>
      <c r="D12" s="7" t="s">
        <v>184</v>
      </c>
      <c r="E12" s="12">
        <v>25</v>
      </c>
      <c r="F12" s="12">
        <v>26</v>
      </c>
      <c r="G12" s="12">
        <v>27</v>
      </c>
      <c r="H12" s="12">
        <v>25.5</v>
      </c>
      <c r="I12" s="12">
        <v>26.5</v>
      </c>
      <c r="J12" s="12">
        <v>27.5</v>
      </c>
      <c r="K12" s="12">
        <v>25.75</v>
      </c>
      <c r="L12" s="12">
        <v>26.75</v>
      </c>
      <c r="M12" s="12">
        <v>25.25</v>
      </c>
      <c r="N12" s="12">
        <v>26.25</v>
      </c>
      <c r="O12" s="13">
        <f>IF(COUNT(AG12:AP12)&gt;0,MIN(AG12:AP12),"")</f>
        <v>25</v>
      </c>
      <c r="P12" s="13">
        <f>IF(COUNT(AG12:AP12)&gt;0,MAX(AG12:AP12),"")</f>
        <v>27.5</v>
      </c>
      <c r="Q12" s="13">
        <f>IF(ISNUMBER(O12),P12-O12,"")</f>
        <v>2.5</v>
      </c>
      <c r="R12" s="13">
        <f>IF(ISNUMBER(O12),IF(C12="Ручная",IF($S$24&gt;0,$R$24*Q12/$S$24,IF($W$24=1,$R$24,0)),0),"")</f>
        <v>0.910869565217403</v>
      </c>
      <c r="S12" s="13">
        <f>IF(ISNUMBER(O12),O12+R12,"")</f>
        <v>25.9108695652174</v>
      </c>
      <c r="T12" s="13">
        <f>IF(ISNUMBER(S12),P12-S12,"")</f>
        <v>1.5891304347826</v>
      </c>
      <c r="U12" s="13">
        <f>IF(COUNT(AG12:AP12)&gt;0,AVERAGE(AG12:AP12),"")</f>
        <v>26.15</v>
      </c>
      <c r="AG12" s="13">
        <f>IF(ISNUMBER(E$24),E12,"")</f>
        <v>25</v>
      </c>
      <c r="AH12" s="13">
        <f>IF(ISNUMBER(F$24),F12,"")</f>
        <v>26</v>
      </c>
      <c r="AI12" s="13">
        <f>IF(ISNUMBER(G$24),G12,"")</f>
        <v>27</v>
      </c>
      <c r="AJ12" s="13">
        <f>IF(ISNUMBER(H$24),H12,"")</f>
        <v>25.5</v>
      </c>
      <c r="AK12" s="13">
        <f>IF(ISNUMBER(I$24),I12,"")</f>
        <v>26.5</v>
      </c>
      <c r="AL12" s="13">
        <f>IF(ISNUMBER(J$24),J12,"")</f>
        <v>27.5</v>
      </c>
      <c r="AM12" s="13">
        <f>IF(ISNUMBER(K$24),K12,"")</f>
        <v>25.75</v>
      </c>
      <c r="AN12" s="13">
        <f>IF(ISNUMBER(L$24),L12,"")</f>
        <v>26.75</v>
      </c>
      <c r="AO12" s="13">
        <f>IF(ISNUMBER(M$24),M12,"")</f>
        <v>25.25</v>
      </c>
      <c r="AP12" s="13">
        <f>IF(ISNUMBER(N$24),N12,"")</f>
        <v>26.25</v>
      </c>
      <c r="AQ12" s="13">
        <f>IF(C12="Ручная",O12,0)</f>
        <v>25</v>
      </c>
    </row>
    <row r="13" spans="1:43" ht="40" customHeight="1">
      <c r="A13" s="5">
        <v>2</v>
      </c>
      <c r="B13" s="5" t="s">
        <v>185</v>
      </c>
      <c r="C13" s="11" t="s">
        <v>183</v>
      </c>
      <c r="D13" s="7" t="s">
        <v>186</v>
      </c>
      <c r="E13" s="12">
        <v>102</v>
      </c>
      <c r="F13" s="12">
        <v>106</v>
      </c>
      <c r="G13" s="12">
        <v>110</v>
      </c>
      <c r="H13" s="12">
        <v>103</v>
      </c>
      <c r="I13" s="12">
        <v>107</v>
      </c>
      <c r="J13" s="12">
        <v>101</v>
      </c>
      <c r="K13" s="12">
        <v>105</v>
      </c>
      <c r="L13" s="12">
        <v>100</v>
      </c>
      <c r="M13" s="12">
        <v>104</v>
      </c>
      <c r="N13" s="12">
        <v>108</v>
      </c>
      <c r="O13" s="13">
        <f>IF(COUNT(AG13:AP13)&gt;0,MIN(AG13:AP13),"")</f>
        <v>100</v>
      </c>
      <c r="P13" s="13">
        <f>IF(COUNT(AG13:AP13)&gt;0,MAX(AG13:AP13),"")</f>
        <v>110</v>
      </c>
      <c r="Q13" s="13">
        <f>IF(ISNUMBER(O13),P13-O13,"")</f>
        <v>10</v>
      </c>
      <c r="R13" s="13">
        <f>IF(ISNUMBER(O13),IF(C13="Ручная",IF($S$24&gt;0,$R$24*Q13/$S$24,IF($W$24=2,$R$24,0)),0),"")</f>
        <v>3.64347826086961</v>
      </c>
      <c r="S13" s="13">
        <f>IF(ISNUMBER(O13),O13+R13,"")</f>
        <v>103.64347826087</v>
      </c>
      <c r="T13" s="13">
        <f>IF(ISNUMBER(S13),P13-S13,"")</f>
        <v>6.35652173913039</v>
      </c>
      <c r="U13" s="13">
        <f>IF(COUNT(AG13:AP13)&gt;0,AVERAGE(AG13:AP13),"")</f>
        <v>104.6</v>
      </c>
      <c r="AG13" s="13">
        <f>IF(ISNUMBER(E$24),E13,"")</f>
        <v>102</v>
      </c>
      <c r="AH13" s="13">
        <f>IF(ISNUMBER(F$24),F13,"")</f>
        <v>106</v>
      </c>
      <c r="AI13" s="13">
        <f>IF(ISNUMBER(G$24),G13,"")</f>
        <v>110</v>
      </c>
      <c r="AJ13" s="13">
        <f>IF(ISNUMBER(H$24),H13,"")</f>
        <v>103</v>
      </c>
      <c r="AK13" s="13">
        <f>IF(ISNUMBER(I$24),I13,"")</f>
        <v>107</v>
      </c>
      <c r="AL13" s="13">
        <f>IF(ISNUMBER(J$24),J13,"")</f>
        <v>101</v>
      </c>
      <c r="AM13" s="13">
        <f>IF(ISNUMBER(K$24),K13,"")</f>
        <v>105</v>
      </c>
      <c r="AN13" s="13">
        <f>IF(ISNUMBER(L$24),L13,"")</f>
        <v>100</v>
      </c>
      <c r="AO13" s="13">
        <f>IF(ISNUMBER(M$24),M13,"")</f>
        <v>104</v>
      </c>
      <c r="AP13" s="13">
        <f>IF(ISNUMBER(N$24),N13,"")</f>
        <v>108</v>
      </c>
      <c r="AQ13" s="13">
        <f>IF(C13="Ручная",O13,0)</f>
        <v>100</v>
      </c>
    </row>
    <row r="14" spans="1:43" ht="40" customHeight="1">
      <c r="A14" s="5">
        <v>3</v>
      </c>
      <c r="B14" s="5" t="s">
        <v>187</v>
      </c>
      <c r="C14" s="11" t="s">
        <v>183</v>
      </c>
      <c r="D14" s="7" t="s">
        <v>188</v>
      </c>
      <c r="E14" s="12">
        <v>22.66</v>
      </c>
      <c r="F14" s="12">
        <v>23.54</v>
      </c>
      <c r="G14" s="12">
        <v>22.22</v>
      </c>
      <c r="H14" s="12">
        <v>23.1</v>
      </c>
      <c r="I14" s="12">
        <v>22</v>
      </c>
      <c r="J14" s="12">
        <v>22.88</v>
      </c>
      <c r="K14" s="12">
        <v>23.76</v>
      </c>
      <c r="L14" s="12">
        <v>22.44</v>
      </c>
      <c r="M14" s="12">
        <v>23.32</v>
      </c>
      <c r="N14" s="12">
        <v>24.2</v>
      </c>
      <c r="O14" s="13">
        <f>IF(COUNT(AG14:AP14)&gt;0,MIN(AG14:AP14),"")</f>
        <v>22</v>
      </c>
      <c r="P14" s="13">
        <f>IF(COUNT(AG14:AP14)&gt;0,MAX(AG14:AP14),"")</f>
        <v>24.2</v>
      </c>
      <c r="Q14" s="13">
        <f>IF(ISNUMBER(O14),P14-O14,"")</f>
        <v>2.2</v>
      </c>
      <c r="R14" s="13">
        <f>IF(ISNUMBER(O14),IF(C14="Ручная",IF($S$24&gt;0,$R$24*Q14/$S$24,IF($W$24=3,$R$24,0)),0),"")</f>
        <v>0.801565217391315</v>
      </c>
      <c r="S14" s="13">
        <f>IF(ISNUMBER(O14),O14+R14,"")</f>
        <v>22.8015652173913</v>
      </c>
      <c r="T14" s="13">
        <f>IF(ISNUMBER(S14),P14-S14,"")</f>
        <v>1.39843478260869</v>
      </c>
      <c r="U14" s="13">
        <f>IF(COUNT(AG14:AP14)&gt;0,AVERAGE(AG14:AP14),"")</f>
        <v>23.012</v>
      </c>
      <c r="AG14" s="13">
        <f>IF(ISNUMBER(E$24),E14,"")</f>
        <v>22.66</v>
      </c>
      <c r="AH14" s="13">
        <f>IF(ISNUMBER(F$24),F14,"")</f>
        <v>23.54</v>
      </c>
      <c r="AI14" s="13">
        <f>IF(ISNUMBER(G$24),G14,"")</f>
        <v>22.22</v>
      </c>
      <c r="AJ14" s="13">
        <f>IF(ISNUMBER(H$24),H14,"")</f>
        <v>23.1</v>
      </c>
      <c r="AK14" s="13">
        <f>IF(ISNUMBER(I$24),I14,"")</f>
        <v>22</v>
      </c>
      <c r="AL14" s="13">
        <f>IF(ISNUMBER(J$24),J14,"")</f>
        <v>22.88</v>
      </c>
      <c r="AM14" s="13">
        <f>IF(ISNUMBER(K$24),K14,"")</f>
        <v>23.76</v>
      </c>
      <c r="AN14" s="13">
        <f>IF(ISNUMBER(L$24),L14,"")</f>
        <v>22.44</v>
      </c>
      <c r="AO14" s="13">
        <f>IF(ISNUMBER(M$24),M14,"")</f>
        <v>23.32</v>
      </c>
      <c r="AP14" s="13">
        <f>IF(ISNUMBER(N$24),N14,"")</f>
        <v>24.2</v>
      </c>
      <c r="AQ14" s="13">
        <f>IF(C14="Ручная",O14,0)</f>
        <v>22</v>
      </c>
    </row>
    <row r="15" spans="1:43" ht="40" customHeight="1">
      <c r="A15" s="5" t="s">
        <v>189</v>
      </c>
      <c r="B15" s="5" t="s">
        <v>190</v>
      </c>
      <c r="C15" s="11" t="s">
        <v>191</v>
      </c>
      <c r="D15" s="7" t="s">
        <v>192</v>
      </c>
      <c r="E15" s="12">
        <v>12.6</v>
      </c>
      <c r="F15" s="12">
        <v>12</v>
      </c>
      <c r="G15" s="12">
        <v>12.48</v>
      </c>
      <c r="H15" s="12">
        <v>12.96</v>
      </c>
      <c r="I15" s="12">
        <v>12.24</v>
      </c>
      <c r="J15" s="12">
        <v>12.72</v>
      </c>
      <c r="K15" s="12">
        <v>13.2</v>
      </c>
      <c r="L15" s="12">
        <v>12.36</v>
      </c>
      <c r="M15" s="12">
        <v>12.84</v>
      </c>
      <c r="N15" s="12">
        <v>12.12</v>
      </c>
      <c r="O15" s="13">
        <f>IF(COUNT(AG15:AP15)&gt;0,MIN(AG15:AP15),"")</f>
        <v>12</v>
      </c>
      <c r="P15" s="13">
        <f>IF(COUNT(AG15:AP15)&gt;0,MAX(AG15:AP15),"")</f>
        <v>13.2</v>
      </c>
      <c r="Q15" s="13">
        <f>IF(ISNUMBER(O15),P15-O15,"")</f>
        <v>1.2</v>
      </c>
      <c r="R15" s="13">
        <f>IF(ISNUMBER(O15),IF(C15="Ручная",IF($S$24&gt;0,$R$24*Q15/$S$24,IF($W$24=4,$R$24,0)),0),"")</f>
        <v>0</v>
      </c>
      <c r="S15" s="13">
        <f>IF(ISNUMBER(O15),O15+R15,"")</f>
        <v>12</v>
      </c>
      <c r="T15" s="13">
        <f>IF(ISNUMBER(S15),P15-S15,"")</f>
        <v>1.2</v>
      </c>
      <c r="U15" s="13">
        <f>IF(COUNT(AG15:AP15)&gt;0,AVERAGE(AG15:AP15),"")</f>
        <v>12.552</v>
      </c>
      <c r="AG15" s="13">
        <f>IF(ISNUMBER(E$24),E15,"")</f>
        <v>12.6</v>
      </c>
      <c r="AH15" s="13">
        <f>IF(ISNUMBER(F$24),F15,"")</f>
        <v>12</v>
      </c>
      <c r="AI15" s="13">
        <f>IF(ISNUMBER(G$24),G15,"")</f>
        <v>12.48</v>
      </c>
      <c r="AJ15" s="13">
        <f>IF(ISNUMBER(H$24),H15,"")</f>
        <v>12.96</v>
      </c>
      <c r="AK15" s="13">
        <f>IF(ISNUMBER(I$24),I15,"")</f>
        <v>12.24</v>
      </c>
      <c r="AL15" s="13">
        <f>IF(ISNUMBER(J$24),J15,"")</f>
        <v>12.72</v>
      </c>
      <c r="AM15" s="13">
        <f>IF(ISNUMBER(K$24),K15,"")</f>
        <v>13.2</v>
      </c>
      <c r="AN15" s="13">
        <f>IF(ISNUMBER(L$24),L15,"")</f>
        <v>12.36</v>
      </c>
      <c r="AO15" s="13">
        <f>IF(ISNUMBER(M$24),M15,"")</f>
        <v>12.84</v>
      </c>
      <c r="AP15" s="13">
        <f>IF(ISNUMBER(N$24),N15,"")</f>
        <v>12.12</v>
      </c>
      <c r="AQ15" s="13">
        <f>IF(C15="Ручная",O15,0)</f>
        <v>0</v>
      </c>
    </row>
    <row r="16" spans="1:43" ht="40" customHeight="1">
      <c r="A16" s="5">
        <v>5</v>
      </c>
      <c r="B16" s="5" t="s">
        <v>193</v>
      </c>
      <c r="C16" s="11" t="s">
        <v>183</v>
      </c>
      <c r="D16" s="7" t="s">
        <v>194</v>
      </c>
      <c r="E16" s="12">
        <v>37.8</v>
      </c>
      <c r="F16" s="12">
        <v>35.7</v>
      </c>
      <c r="G16" s="12">
        <v>37.1</v>
      </c>
      <c r="H16" s="12">
        <v>38.5</v>
      </c>
      <c r="I16" s="12">
        <v>36.05</v>
      </c>
      <c r="J16" s="12">
        <v>37.45</v>
      </c>
      <c r="K16" s="12">
        <v>35.35</v>
      </c>
      <c r="L16" s="12">
        <v>36.75</v>
      </c>
      <c r="M16" s="12">
        <v>35</v>
      </c>
      <c r="N16" s="12">
        <v>36.4</v>
      </c>
      <c r="O16" s="13">
        <f>IF(COUNT(AG16:AP16)&gt;0,MIN(AG16:AP16),"")</f>
        <v>35</v>
      </c>
      <c r="P16" s="13">
        <f>IF(COUNT(AG16:AP16)&gt;0,MAX(AG16:AP16),"")</f>
        <v>38.5</v>
      </c>
      <c r="Q16" s="13">
        <f>IF(ISNUMBER(O16),P16-O16,"")</f>
        <v>3.5</v>
      </c>
      <c r="R16" s="13">
        <f>IF(ISNUMBER(O16),IF(C16="Ручная",IF($S$24&gt;0,$R$24*Q16/$S$24,IF($W$24=5,$R$24,0)),0),"")</f>
        <v>1.27521739130436</v>
      </c>
      <c r="S16" s="13">
        <f>IF(ISNUMBER(O16),O16+R16,"")</f>
        <v>36.2752173913044</v>
      </c>
      <c r="T16" s="13">
        <f>IF(ISNUMBER(S16),P16-S16,"")</f>
        <v>2.22478260869563</v>
      </c>
      <c r="U16" s="13">
        <f>IF(COUNT(AG16:AP16)&gt;0,AVERAGE(AG16:AP16),"")</f>
        <v>36.61</v>
      </c>
      <c r="AG16" s="13">
        <f>IF(ISNUMBER(E$24),E16,"")</f>
        <v>37.8</v>
      </c>
      <c r="AH16" s="13">
        <f>IF(ISNUMBER(F$24),F16,"")</f>
        <v>35.7</v>
      </c>
      <c r="AI16" s="13">
        <f>IF(ISNUMBER(G$24),G16,"")</f>
        <v>37.1</v>
      </c>
      <c r="AJ16" s="13">
        <f>IF(ISNUMBER(H$24),H16,"")</f>
        <v>38.5</v>
      </c>
      <c r="AK16" s="13">
        <f>IF(ISNUMBER(I$24),I16,"")</f>
        <v>36.05</v>
      </c>
      <c r="AL16" s="13">
        <f>IF(ISNUMBER(J$24),J16,"")</f>
        <v>37.45</v>
      </c>
      <c r="AM16" s="13">
        <f>IF(ISNUMBER(K$24),K16,"")</f>
        <v>35.35</v>
      </c>
      <c r="AN16" s="13">
        <f>IF(ISNUMBER(L$24),L16,"")</f>
        <v>36.75</v>
      </c>
      <c r="AO16" s="13">
        <f>IF(ISNUMBER(M$24),M16,"")</f>
        <v>35</v>
      </c>
      <c r="AP16" s="13">
        <f>IF(ISNUMBER(N$24),N16,"")</f>
        <v>36.4</v>
      </c>
      <c r="AQ16" s="13">
        <f>IF(C16="Ручная",O16,0)</f>
        <v>35</v>
      </c>
    </row>
    <row r="17" spans="1:43" ht="40" customHeight="1">
      <c r="A17" s="5" t="s">
        <v>189</v>
      </c>
      <c r="B17" s="5" t="s">
        <v>195</v>
      </c>
      <c r="C17" s="11" t="s">
        <v>196</v>
      </c>
      <c r="D17" s="7" t="s">
        <v>197</v>
      </c>
      <c r="E17" s="18">
        <f>'Ассортимент'!R8</f>
        <v>450</v>
      </c>
      <c r="F17" s="18">
        <f>'Ассортимент'!R8</f>
        <v>450</v>
      </c>
      <c r="G17" s="18">
        <f>'Ассортимент'!R8</f>
        <v>450</v>
      </c>
      <c r="H17" s="18">
        <f>'Ассортимент'!R8</f>
        <v>450</v>
      </c>
      <c r="I17" s="18">
        <f>'Ассортимент'!R8</f>
        <v>450</v>
      </c>
      <c r="J17" s="18">
        <f>'Ассортимент'!R8</f>
        <v>450</v>
      </c>
      <c r="K17" s="18">
        <f>'Ассортимент'!R8</f>
        <v>450</v>
      </c>
      <c r="L17" s="18">
        <f>'Ассортимент'!R8</f>
        <v>450</v>
      </c>
      <c r="M17" s="18">
        <f>'Ассортимент'!R8</f>
        <v>450</v>
      </c>
      <c r="N17" s="18">
        <f>'Ассортимент'!R8</f>
        <v>450</v>
      </c>
      <c r="O17" s="13">
        <f>IF(COUNT(AG17:AP17)&gt;0,MIN(AG17:AP17),"")</f>
        <v>450</v>
      </c>
      <c r="P17" s="13">
        <f>IF(COUNT(AG17:AP17)&gt;0,MAX(AG17:AP17),"")</f>
        <v>450</v>
      </c>
      <c r="Q17" s="13">
        <f>IF(ISNUMBER(O17),P17-O17,"")</f>
        <v>0</v>
      </c>
      <c r="R17" s="13">
        <f>IF(ISNUMBER(O17),IF(C17="Ручная",IF($S$24&gt;0,$R$24*Q17/$S$24,IF($W$24=6,$R$24,0)),0),"")</f>
        <v>0</v>
      </c>
      <c r="S17" s="13">
        <f>IF(ISNUMBER(O17),O17+R17,"")</f>
        <v>450</v>
      </c>
      <c r="T17" s="13">
        <f>IF(ISNUMBER(S17),P17-S17,"")</f>
        <v>0</v>
      </c>
      <c r="U17" s="13">
        <f>IF(COUNT(AG17:AP17)&gt;0,AVERAGE(AG17:AP17),"")</f>
        <v>450</v>
      </c>
      <c r="AG17" s="13">
        <f>IF(ISNUMBER(E$24),E17,"")</f>
        <v>450</v>
      </c>
      <c r="AH17" s="13">
        <f>IF(ISNUMBER(F$24),F17,"")</f>
        <v>450</v>
      </c>
      <c r="AI17" s="13">
        <f>IF(ISNUMBER(G$24),G17,"")</f>
        <v>450</v>
      </c>
      <c r="AJ17" s="13">
        <f>IF(ISNUMBER(H$24),H17,"")</f>
        <v>450</v>
      </c>
      <c r="AK17" s="13">
        <f>IF(ISNUMBER(I$24),I17,"")</f>
        <v>450</v>
      </c>
      <c r="AL17" s="13">
        <f>IF(ISNUMBER(J$24),J17,"")</f>
        <v>450</v>
      </c>
      <c r="AM17" s="13">
        <f>IF(ISNUMBER(K$24),K17,"")</f>
        <v>450</v>
      </c>
      <c r="AN17" s="13">
        <f>IF(ISNUMBER(L$24),L17,"")</f>
        <v>450</v>
      </c>
      <c r="AO17" s="13">
        <f>IF(ISNUMBER(M$24),M17,"")</f>
        <v>450</v>
      </c>
      <c r="AP17" s="13">
        <f>IF(ISNUMBER(N$24),N17,"")</f>
        <v>450</v>
      </c>
      <c r="AQ17" s="13">
        <f>IF(C17="Ручная",O17,0)</f>
        <v>0</v>
      </c>
    </row>
    <row r="18" spans="1:43" ht="40" customHeight="1">
      <c r="A18" s="5">
        <v>7</v>
      </c>
      <c r="B18" s="5" t="s">
        <v>198</v>
      </c>
      <c r="C18" s="11" t="s">
        <v>183</v>
      </c>
      <c r="D18" s="7" t="s">
        <v>199</v>
      </c>
      <c r="E18" s="12">
        <v>30.3</v>
      </c>
      <c r="F18" s="12">
        <v>31.5</v>
      </c>
      <c r="G18" s="12">
        <v>30</v>
      </c>
      <c r="H18" s="12">
        <v>31.2</v>
      </c>
      <c r="I18" s="12">
        <v>32.4</v>
      </c>
      <c r="J18" s="12">
        <v>30.6</v>
      </c>
      <c r="K18" s="12">
        <v>31.8</v>
      </c>
      <c r="L18" s="12">
        <v>33</v>
      </c>
      <c r="M18" s="12">
        <v>30.9</v>
      </c>
      <c r="N18" s="12">
        <v>32.1</v>
      </c>
      <c r="O18" s="13">
        <f>IF(COUNT(AG18:AP18)&gt;0,MIN(AG18:AP18),"")</f>
        <v>30</v>
      </c>
      <c r="P18" s="13">
        <f>IF(COUNT(AG18:AP18)&gt;0,MAX(AG18:AP18),"")</f>
        <v>33</v>
      </c>
      <c r="Q18" s="13">
        <f>IF(ISNUMBER(O18),P18-O18,"")</f>
        <v>3</v>
      </c>
      <c r="R18" s="13">
        <f>IF(ISNUMBER(O18),IF(C18="Ручная",IF($S$24&gt;0,$R$24*Q18/$S$24,IF($W$24=7,$R$24,0)),0),"")</f>
        <v>1.09304347826088</v>
      </c>
      <c r="S18" s="13">
        <f>IF(ISNUMBER(O18),O18+R18,"")</f>
        <v>31.0930434782609</v>
      </c>
      <c r="T18" s="13">
        <f>IF(ISNUMBER(S18),P18-S18,"")</f>
        <v>1.90695652173912</v>
      </c>
      <c r="U18" s="13">
        <f>IF(COUNT(AG18:AP18)&gt;0,AVERAGE(AG18:AP18),"")</f>
        <v>31.38</v>
      </c>
      <c r="AG18" s="13">
        <f>IF(ISNUMBER(E$24),E18,"")</f>
        <v>30.3</v>
      </c>
      <c r="AH18" s="13">
        <f>IF(ISNUMBER(F$24),F18,"")</f>
        <v>31.5</v>
      </c>
      <c r="AI18" s="13">
        <f>IF(ISNUMBER(G$24),G18,"")</f>
        <v>30</v>
      </c>
      <c r="AJ18" s="13">
        <f>IF(ISNUMBER(H$24),H18,"")</f>
        <v>31.2</v>
      </c>
      <c r="AK18" s="13">
        <f>IF(ISNUMBER(I$24),I18,"")</f>
        <v>32.4</v>
      </c>
      <c r="AL18" s="13">
        <f>IF(ISNUMBER(J$24),J18,"")</f>
        <v>30.6</v>
      </c>
      <c r="AM18" s="13">
        <f>IF(ISNUMBER(K$24),K18,"")</f>
        <v>31.8</v>
      </c>
      <c r="AN18" s="13">
        <f>IF(ISNUMBER(L$24),L18,"")</f>
        <v>33</v>
      </c>
      <c r="AO18" s="13">
        <f>IF(ISNUMBER(M$24),M18,"")</f>
        <v>30.9</v>
      </c>
      <c r="AP18" s="13">
        <f>IF(ISNUMBER(N$24),N18,"")</f>
        <v>32.1</v>
      </c>
      <c r="AQ18" s="13">
        <f>IF(C18="Ручная",O18,0)</f>
        <v>30</v>
      </c>
    </row>
    <row r="19" spans="1:43" ht="40" customHeight="1">
      <c r="A19" s="5">
        <v>8</v>
      </c>
      <c r="B19" s="5" t="s">
        <v>200</v>
      </c>
      <c r="C19" s="11" t="s">
        <v>183</v>
      </c>
      <c r="D19" s="7" t="s">
        <v>201</v>
      </c>
      <c r="E19" s="12">
        <v>18.72</v>
      </c>
      <c r="F19" s="12">
        <v>19.44</v>
      </c>
      <c r="G19" s="12">
        <v>18.36</v>
      </c>
      <c r="H19" s="12">
        <v>19.08</v>
      </c>
      <c r="I19" s="12">
        <v>19.8</v>
      </c>
      <c r="J19" s="12">
        <v>18.54</v>
      </c>
      <c r="K19" s="12">
        <v>19.26</v>
      </c>
      <c r="L19" s="12">
        <v>18.18</v>
      </c>
      <c r="M19" s="12">
        <v>18.9</v>
      </c>
      <c r="N19" s="12">
        <v>18</v>
      </c>
      <c r="O19" s="13">
        <f>IF(COUNT(AG19:AP19)&gt;0,MIN(AG19:AP19),"")</f>
        <v>18</v>
      </c>
      <c r="P19" s="13">
        <f>IF(COUNT(AG19:AP19)&gt;0,MAX(AG19:AP19),"")</f>
        <v>19.8</v>
      </c>
      <c r="Q19" s="13">
        <f>IF(ISNUMBER(O19),P19-O19,"")</f>
        <v>1.8</v>
      </c>
      <c r="R19" s="13">
        <f>IF(ISNUMBER(O19),IF(C19="Ручная",IF($S$24&gt;0,$R$24*Q19/$S$24,IF($W$24=8,$R$24,0)),0),"")</f>
        <v>0.655826086956531</v>
      </c>
      <c r="S19" s="13">
        <f>IF(ISNUMBER(O19),O19+R19,"")</f>
        <v>18.6558260869565</v>
      </c>
      <c r="T19" s="13">
        <f>IF(ISNUMBER(S19),P19-S19,"")</f>
        <v>1.14417391304347</v>
      </c>
      <c r="U19" s="13">
        <f>IF(COUNT(AG19:AP19)&gt;0,AVERAGE(AG19:AP19),"")</f>
        <v>18.828</v>
      </c>
      <c r="AG19" s="13">
        <f>IF(ISNUMBER(E$24),E19,"")</f>
        <v>18.72</v>
      </c>
      <c r="AH19" s="13">
        <f>IF(ISNUMBER(F$24),F19,"")</f>
        <v>19.44</v>
      </c>
      <c r="AI19" s="13">
        <f>IF(ISNUMBER(G$24),G19,"")</f>
        <v>18.36</v>
      </c>
      <c r="AJ19" s="13">
        <f>IF(ISNUMBER(H$24),H19,"")</f>
        <v>19.08</v>
      </c>
      <c r="AK19" s="13">
        <f>IF(ISNUMBER(I$24),I19,"")</f>
        <v>19.8</v>
      </c>
      <c r="AL19" s="13">
        <f>IF(ISNUMBER(J$24),J19,"")</f>
        <v>18.54</v>
      </c>
      <c r="AM19" s="13">
        <f>IF(ISNUMBER(K$24),K19,"")</f>
        <v>19.26</v>
      </c>
      <c r="AN19" s="13">
        <f>IF(ISNUMBER(L$24),L19,"")</f>
        <v>18.18</v>
      </c>
      <c r="AO19" s="13">
        <f>IF(ISNUMBER(M$24),M19,"")</f>
        <v>18.9</v>
      </c>
      <c r="AP19" s="13">
        <f>IF(ISNUMBER(N$24),N19,"")</f>
        <v>18</v>
      </c>
      <c r="AQ19" s="13">
        <f>IF(C19="Ручная",O19,0)</f>
        <v>18</v>
      </c>
    </row>
    <row r="20" spans="1:43" ht="40" customHeight="1">
      <c r="A20" s="5" t="s">
        <v>189</v>
      </c>
      <c r="B20" s="5" t="s">
        <v>202</v>
      </c>
      <c r="C20" s="11" t="s">
        <v>191</v>
      </c>
      <c r="D20" s="7" t="s">
        <v>203</v>
      </c>
      <c r="E20" s="12">
        <v>10.6</v>
      </c>
      <c r="F20" s="12">
        <v>11</v>
      </c>
      <c r="G20" s="12">
        <v>10.3</v>
      </c>
      <c r="H20" s="12">
        <v>10.7</v>
      </c>
      <c r="I20" s="12">
        <v>10.1</v>
      </c>
      <c r="J20" s="12">
        <v>10.5</v>
      </c>
      <c r="K20" s="12">
        <v>10</v>
      </c>
      <c r="L20" s="12">
        <v>10.4</v>
      </c>
      <c r="M20" s="12">
        <v>10.8</v>
      </c>
      <c r="N20" s="12">
        <v>10.2</v>
      </c>
      <c r="O20" s="13">
        <f>IF(COUNT(AG20:AP20)&gt;0,MIN(AG20:AP20),"")</f>
        <v>10</v>
      </c>
      <c r="P20" s="13">
        <f>IF(COUNT(AG20:AP20)&gt;0,MAX(AG20:AP20),"")</f>
        <v>11</v>
      </c>
      <c r="Q20" s="13">
        <f>IF(ISNUMBER(O20),P20-O20,"")</f>
        <v>1</v>
      </c>
      <c r="R20" s="13">
        <f>IF(ISNUMBER(O20),IF(C20="Ручная",IF($S$24&gt;0,$R$24*Q20/$S$24,IF($W$24=9,$R$24,0)),0),"")</f>
        <v>0</v>
      </c>
      <c r="S20" s="13">
        <f>IF(ISNUMBER(O20),O20+R20,"")</f>
        <v>10</v>
      </c>
      <c r="T20" s="13">
        <f>IF(ISNUMBER(S20),P20-S20,"")</f>
        <v>1</v>
      </c>
      <c r="U20" s="13">
        <f>IF(COUNT(AG20:AP20)&gt;0,AVERAGE(AG20:AP20),"")</f>
        <v>10.46</v>
      </c>
      <c r="AG20" s="13">
        <f>IF(ISNUMBER(E$24),E20,"")</f>
        <v>10.6</v>
      </c>
      <c r="AH20" s="13">
        <f>IF(ISNUMBER(F$24),F20,"")</f>
        <v>11</v>
      </c>
      <c r="AI20" s="13">
        <f>IF(ISNUMBER(G$24),G20,"")</f>
        <v>10.3</v>
      </c>
      <c r="AJ20" s="13">
        <f>IF(ISNUMBER(H$24),H20,"")</f>
        <v>10.7</v>
      </c>
      <c r="AK20" s="13">
        <f>IF(ISNUMBER(I$24),I20,"")</f>
        <v>10.1</v>
      </c>
      <c r="AL20" s="13">
        <f>IF(ISNUMBER(J$24),J20,"")</f>
        <v>10.5</v>
      </c>
      <c r="AM20" s="13">
        <f>IF(ISNUMBER(K$24),K20,"")</f>
        <v>10</v>
      </c>
      <c r="AN20" s="13">
        <f>IF(ISNUMBER(L$24),L20,"")</f>
        <v>10.4</v>
      </c>
      <c r="AO20" s="13">
        <f>IF(ISNUMBER(M$24),M20,"")</f>
        <v>10.8</v>
      </c>
      <c r="AP20" s="13">
        <f>IF(ISNUMBER(N$24),N20,"")</f>
        <v>10.2</v>
      </c>
      <c r="AQ20" s="13">
        <f>IF(C20="Ручная",O20,0)</f>
        <v>0</v>
      </c>
    </row>
    <row r="21" spans="1:43" ht="40" customHeight="1">
      <c r="A21" s="5" t="s">
        <v>189</v>
      </c>
      <c r="B21" s="5" t="s">
        <v>204</v>
      </c>
      <c r="C21" s="11" t="s">
        <v>191</v>
      </c>
      <c r="D21" s="7" t="s">
        <v>205</v>
      </c>
      <c r="E21" s="12">
        <v>10.7</v>
      </c>
      <c r="F21" s="12">
        <v>10.1</v>
      </c>
      <c r="G21" s="12">
        <v>10.5</v>
      </c>
      <c r="H21" s="12">
        <v>10</v>
      </c>
      <c r="I21" s="12">
        <v>10.4</v>
      </c>
      <c r="J21" s="12">
        <v>10.8</v>
      </c>
      <c r="K21" s="12">
        <v>10.2</v>
      </c>
      <c r="L21" s="12">
        <v>10.6</v>
      </c>
      <c r="M21" s="12">
        <v>11</v>
      </c>
      <c r="N21" s="12">
        <v>10.3</v>
      </c>
      <c r="O21" s="13">
        <f>IF(COUNT(AG21:AP21)&gt;0,MIN(AG21:AP21),"")</f>
        <v>10</v>
      </c>
      <c r="P21" s="13">
        <f>IF(COUNT(AG21:AP21)&gt;0,MAX(AG21:AP21),"")</f>
        <v>11</v>
      </c>
      <c r="Q21" s="13">
        <f>IF(ISNUMBER(O21),P21-O21,"")</f>
        <v>1</v>
      </c>
      <c r="R21" s="13">
        <f>IF(ISNUMBER(O21),IF(C21="Ручная",IF($S$24&gt;0,$R$24*Q21/$S$24,IF($W$24=10,$R$24,0)),0),"")</f>
        <v>0</v>
      </c>
      <c r="S21" s="13">
        <f>IF(ISNUMBER(O21),O21+R21,"")</f>
        <v>10</v>
      </c>
      <c r="T21" s="13">
        <f>IF(ISNUMBER(S21),P21-S21,"")</f>
        <v>1</v>
      </c>
      <c r="U21" s="13">
        <f>IF(COUNT(AG21:AP21)&gt;0,AVERAGE(AG21:AP21),"")</f>
        <v>10.46</v>
      </c>
      <c r="AG21" s="13">
        <f>IF(ISNUMBER(E$24),E21,"")</f>
        <v>10.7</v>
      </c>
      <c r="AH21" s="13">
        <f>IF(ISNUMBER(F$24),F21,"")</f>
        <v>10.1</v>
      </c>
      <c r="AI21" s="13">
        <f>IF(ISNUMBER(G$24),G21,"")</f>
        <v>10.5</v>
      </c>
      <c r="AJ21" s="13">
        <f>IF(ISNUMBER(H$24),H21,"")</f>
        <v>10</v>
      </c>
      <c r="AK21" s="13">
        <f>IF(ISNUMBER(I$24),I21,"")</f>
        <v>10.4</v>
      </c>
      <c r="AL21" s="13">
        <f>IF(ISNUMBER(J$24),J21,"")</f>
        <v>10.8</v>
      </c>
      <c r="AM21" s="13">
        <f>IF(ISNUMBER(K$24),K21,"")</f>
        <v>10.2</v>
      </c>
      <c r="AN21" s="13">
        <f>IF(ISNUMBER(L$24),L21,"")</f>
        <v>10.6</v>
      </c>
      <c r="AO21" s="13">
        <f>IF(ISNUMBER(M$24),M21,"")</f>
        <v>11</v>
      </c>
      <c r="AP21" s="13">
        <f>IF(ISNUMBER(N$24),N21,"")</f>
        <v>10.3</v>
      </c>
      <c r="AQ21" s="13">
        <f>IF(C21="Ручная",O21,0)</f>
        <v>0</v>
      </c>
    </row>
    <row r="22" spans="1:43" ht="40" customHeight="1">
      <c r="A22" s="5" t="s">
        <v>189</v>
      </c>
      <c r="B22" s="5" t="s">
        <v>206</v>
      </c>
      <c r="C22" s="11" t="s">
        <v>207</v>
      </c>
      <c r="D22" s="7" t="s">
        <v>208</v>
      </c>
      <c r="E22" s="12">
        <v>12</v>
      </c>
      <c r="F22" s="12">
        <v>12.48</v>
      </c>
      <c r="G22" s="12">
        <v>12.96</v>
      </c>
      <c r="H22" s="12">
        <v>12.24</v>
      </c>
      <c r="I22" s="12">
        <v>12.72</v>
      </c>
      <c r="J22" s="12">
        <v>13.2</v>
      </c>
      <c r="K22" s="12">
        <v>12.36</v>
      </c>
      <c r="L22" s="12">
        <v>12.84</v>
      </c>
      <c r="M22" s="12">
        <v>12.12</v>
      </c>
      <c r="N22" s="12">
        <v>12.6</v>
      </c>
      <c r="O22" s="13">
        <f>IF(COUNT(AG22:AP22)&gt;0,MIN(AG22:AP22),"")</f>
        <v>12</v>
      </c>
      <c r="P22" s="13">
        <f>IF(COUNT(AG22:AP22)&gt;0,MAX(AG22:AP22),"")</f>
        <v>13.2</v>
      </c>
      <c r="Q22" s="13">
        <f>IF(ISNUMBER(O22),P22-O22,"")</f>
        <v>1.2</v>
      </c>
      <c r="R22" s="13">
        <f>IF(ISNUMBER(O22),IF(C22="Ручная",IF($S$24&gt;0,$R$24*Q22/$S$24,IF($W$24=11,$R$24,0)),0),"")</f>
        <v>0</v>
      </c>
      <c r="S22" s="13">
        <f>IF(ISNUMBER(O22),O22+R22,"")</f>
        <v>12</v>
      </c>
      <c r="T22" s="13">
        <f>IF(ISNUMBER(S22),P22-S22,"")</f>
        <v>1.2</v>
      </c>
      <c r="U22" s="13">
        <f>IF(COUNT(AG22:AP22)&gt;0,AVERAGE(AG22:AP22),"")</f>
        <v>12.552</v>
      </c>
      <c r="AG22" s="13">
        <f>IF(ISNUMBER(E$24),E22,"")</f>
        <v>12</v>
      </c>
      <c r="AH22" s="13">
        <f>IF(ISNUMBER(F$24),F22,"")</f>
        <v>12.48</v>
      </c>
      <c r="AI22" s="13">
        <f>IF(ISNUMBER(G$24),G22,"")</f>
        <v>12.96</v>
      </c>
      <c r="AJ22" s="13">
        <f>IF(ISNUMBER(H$24),H22,"")</f>
        <v>12.24</v>
      </c>
      <c r="AK22" s="13">
        <f>IF(ISNUMBER(I$24),I22,"")</f>
        <v>12.72</v>
      </c>
      <c r="AL22" s="13">
        <f>IF(ISNUMBER(J$24),J22,"")</f>
        <v>13.2</v>
      </c>
      <c r="AM22" s="13">
        <f>IF(ISNUMBER(K$24),K22,"")</f>
        <v>12.36</v>
      </c>
      <c r="AN22" s="13">
        <f>IF(ISNUMBER(L$24),L22,"")</f>
        <v>12.84</v>
      </c>
      <c r="AO22" s="13">
        <f>IF(ISNUMBER(M$24),M22,"")</f>
        <v>12.12</v>
      </c>
      <c r="AP22" s="13">
        <f>IF(ISNUMBER(N$24),N22,"")</f>
        <v>12.6</v>
      </c>
      <c r="AQ22" s="13">
        <f>IF(C22="Ручная",O22,0)</f>
        <v>0</v>
      </c>
    </row>
    <row r="23" spans="1:43" ht="23" customHeight="1">
      <c r="B23" s="4" t="s">
        <v>209</v>
      </c>
      <c r="E23" s="6">
        <f>IF(COUNT(E12:E22)=11,SUM(E12:E22),"")</f>
        <v>732.38</v>
      </c>
      <c r="F23" s="6">
        <f>IF(COUNT(F12:F22)=11,SUM(F12:F22),"")</f>
        <v>737.76</v>
      </c>
      <c r="G23" s="6">
        <f>IF(COUNT(G12:G22)=11,SUM(G12:G22),"")</f>
        <v>740.92</v>
      </c>
      <c r="H23" s="6">
        <f>IF(COUNT(H12:H22)=11,SUM(H12:H22),"")</f>
        <v>736.28</v>
      </c>
      <c r="I23" s="6">
        <f>IF(COUNT(I12:I22)=11,SUM(I12:I22),"")</f>
        <v>739.21</v>
      </c>
      <c r="J23" s="6">
        <f>IF(COUNT(J12:J22)=11,SUM(J12:J22),"")</f>
        <v>735.19</v>
      </c>
      <c r="K23" s="6">
        <f>IF(COUNT(K12:K22)=11,SUM(K12:K22),"")</f>
        <v>736.68</v>
      </c>
      <c r="L23" s="6">
        <f>IF(COUNT(L12:L22)=11,SUM(L12:L22),"")</f>
        <v>733.32</v>
      </c>
      <c r="M23" s="6">
        <f>IF(COUNT(M12:M22)=11,SUM(M12:M22),"")</f>
        <v>734.13</v>
      </c>
      <c r="N23" s="6">
        <f>IF(COUNT(N12:N22)=11,SUM(N12:N22),"")</f>
        <v>740.17</v>
      </c>
      <c r="O23" s="6">
        <f>IF(COUNT(O12:O22)=11,SUM(O12:O22),"")</f>
        <v>724</v>
      </c>
      <c r="P23" s="6">
        <f>IF(COUNT(P12:P22)=11,SUM(P12:P22),"")</f>
        <v>751.4</v>
      </c>
      <c r="Q23" s="6">
        <f>IF(COUNT(Q12:Q22)=11,SUM(Q12:Q22),"")</f>
        <v>27.4</v>
      </c>
      <c r="R23" s="6">
        <f>IF(COUNT(R12:R22)=11,SUM(R12:R22),"")</f>
        <v>8.38000000000011</v>
      </c>
      <c r="S23" s="6">
        <f>IF(COUNT(S12:S22)=11,SUM(S12:S22),"")</f>
        <v>732.38</v>
      </c>
      <c r="T23" s="6">
        <f>IF(COUNT(T12:T22)=11,SUM(T12:T22),"")</f>
        <v>19.0199999999999</v>
      </c>
      <c r="U23" s="6">
        <f>IF(COUNT(U12:U22)=11,SUM(U12:U22),"")</f>
        <v>736.604</v>
      </c>
    </row>
    <row r="24" spans="1:43" ht="23" customHeight="1">
      <c r="B24" s="4" t="s">
        <v>210</v>
      </c>
      <c r="E24" s="6">
        <f>IF(AND(E10=1,COUNT(E12:E22)=11,MIN(E12:E22)&gt;=0),E23,"")</f>
        <v>732.38</v>
      </c>
      <c r="F24" s="6">
        <f>IF(AND(F10=1,COUNT(F12:F22)=11,MIN(F12:F22)&gt;=0),F23,"")</f>
        <v>737.76</v>
      </c>
      <c r="G24" s="6">
        <f>IF(AND(G10=1,COUNT(G12:G22)=11,MIN(G12:G22)&gt;=0),G23,"")</f>
        <v>740.92</v>
      </c>
      <c r="H24" s="6">
        <f>IF(AND(H10=1,COUNT(H12:H22)=11,MIN(H12:H22)&gt;=0),H23,"")</f>
        <v>736.28</v>
      </c>
      <c r="I24" s="6">
        <f>IF(AND(I10=1,COUNT(I12:I22)=11,MIN(I12:I22)&gt;=0),I23,"")</f>
        <v>739.21</v>
      </c>
      <c r="J24" s="6">
        <f>IF(AND(J10=1,COUNT(J12:J22)=11,MIN(J12:J22)&gt;=0),J23,"")</f>
        <v>735.19</v>
      </c>
      <c r="K24" s="6">
        <f>IF(AND(K10=1,COUNT(K12:K22)=11,MIN(K12:K22)&gt;=0),K23,"")</f>
        <v>736.68</v>
      </c>
      <c r="L24" s="6">
        <f>IF(AND(L10=1,COUNT(L12:L22)=11,MIN(L12:L22)&gt;=0),L23,"")</f>
        <v>733.32</v>
      </c>
      <c r="M24" s="6">
        <f>IF(AND(M10=1,COUNT(M12:M22)=11,MIN(M12:M22)&gt;=0),M23,"")</f>
        <v>734.13</v>
      </c>
      <c r="N24" s="6">
        <f>IF(AND(N10=1,COUNT(N12:N22)=11,MIN(N12:N22)&gt;=0),N23,"")</f>
        <v>740.17</v>
      </c>
      <c r="O24" s="6">
        <f>IF(COUNT(E24:N24)&gt;0,MIN(E24:N24),"")</f>
        <v>732.38</v>
      </c>
      <c r="P24" s="6">
        <f>IF(COUNT(E24:N24)&gt;0,MAX(E24:N24),"")</f>
        <v>740.92</v>
      </c>
      <c r="Q24" s="6">
        <f>IF(ISNUMBER(O24),P24-O24,"")</f>
        <v>8.53999999999996</v>
      </c>
      <c r="R24" s="6">
        <f>IF(ISNUMBER(O24),MAX(0,O24-O23),"")</f>
        <v>8.38000000000011</v>
      </c>
      <c r="S24" s="6">
        <f>SUMIF(C12:C22,"Ручная",Q12:Q22)</f>
        <v>23</v>
      </c>
      <c r="T24" s="6">
        <f>COUNT(E24:N24)</f>
        <v>10</v>
      </c>
      <c r="U24" s="6">
        <f>IF(COUNT(E24:N24)&gt;0,AVERAGE(E24:N24),"")</f>
        <v>736.604</v>
      </c>
      <c r="V24" s="6">
        <f>IF(ISNUMBER(O24),S23-O24,"")</f>
        <v>0</v>
      </c>
      <c r="W24" s="6">
        <f>MATCH(MAX(AQ12:AQ22),AQ12:AQ22,0)</f>
        <v>2</v>
      </c>
      <c r="X24" s="17" t="str">
        <f>IF(T24=0,"НЕТ ЗАМЕРОВ",IF(T24&lt;10,"МЕНЕЕ 10 ЦИКЛОВ",IF(ABS(V24)&lt;0.000001,"ОК","ОШИБКА РЕГУЛИРОВКИ")))</f>
        <v>ОК</v>
      </c>
    </row>
    <row r="25" spans="1:43" ht="23" customHeight="1">
      <c r="A25" s="7" t="s">
        <v>211</v>
      </c>
      <c r="B25" s="7"/>
      <c r="C25" s="7"/>
      <c r="D25" s="7"/>
      <c r="E25" s="7"/>
      <c r="F25" s="7"/>
      <c r="G25" s="7"/>
      <c r="H25" s="7"/>
      <c r="I25" s="7"/>
      <c r="J25" s="7"/>
      <c r="K25" s="7"/>
      <c r="L25" s="7"/>
      <c r="M25" s="7"/>
      <c r="N25" s="7"/>
      <c r="O25" s="7"/>
      <c r="P25" s="7"/>
      <c r="Q25" s="7"/>
      <c r="R25" s="7"/>
      <c r="S25" s="7"/>
      <c r="T25" s="7"/>
      <c r="U25" s="7"/>
      <c r="V25" s="7"/>
      <c r="W25" s="7"/>
      <c r="X25" s="7"/>
    </row>
    <row r="28" spans="1:43" ht="23" customHeight="1">
      <c r="A28" s="4" t="s">
        <v>212</v>
      </c>
      <c r="B28" s="4"/>
      <c r="C28" s="4"/>
      <c r="D28" s="4"/>
      <c r="E28" s="4"/>
      <c r="F28" s="4"/>
      <c r="G28" s="4"/>
      <c r="H28" s="4"/>
      <c r="I28" s="4"/>
      <c r="J28" s="4"/>
      <c r="K28" s="4"/>
      <c r="L28" s="4"/>
      <c r="M28" s="4"/>
      <c r="N28" s="4"/>
      <c r="O28" s="4"/>
      <c r="P28" s="4"/>
      <c r="Q28" s="4"/>
      <c r="R28" s="4"/>
      <c r="S28" s="4"/>
      <c r="T28" s="4"/>
      <c r="U28" s="4"/>
      <c r="V28" s="4"/>
      <c r="W28" s="4"/>
      <c r="X28" s="4"/>
    </row>
    <row r="29" spans="1:43" ht="23" customHeight="1">
      <c r="A29" s="7" t="str">
        <f>"Масса замера, кг: "&amp;'Ассортимент'!J9&amp;".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29" s="7"/>
      <c r="C29" s="7"/>
      <c r="D29" s="7"/>
      <c r="E29" s="7"/>
      <c r="F29" s="7"/>
      <c r="G29" s="7"/>
      <c r="H29" s="7"/>
      <c r="I29" s="7"/>
      <c r="J29" s="7"/>
      <c r="K29" s="7"/>
      <c r="L29" s="7"/>
      <c r="M29" s="7"/>
      <c r="N29" s="7"/>
      <c r="O29" s="7"/>
      <c r="P29" s="7"/>
      <c r="Q29" s="7"/>
      <c r="R29" s="7"/>
      <c r="S29" s="7"/>
      <c r="T29" s="7"/>
      <c r="U29" s="7"/>
      <c r="V29" s="7"/>
      <c r="W29" s="7"/>
      <c r="X29" s="7"/>
    </row>
    <row r="30" spans="1:43" ht="44" customHeight="1">
      <c r="A30" s="8" t="s">
        <v>113</v>
      </c>
      <c r="B30" s="8" t="s">
        <v>156</v>
      </c>
      <c r="C30" s="8" t="s">
        <v>157</v>
      </c>
      <c r="D30" s="8" t="s">
        <v>158</v>
      </c>
      <c r="E30" s="8" t="s">
        <v>159</v>
      </c>
      <c r="F30" s="8" t="s">
        <v>160</v>
      </c>
      <c r="G30" s="8" t="s">
        <v>161</v>
      </c>
      <c r="H30" s="8" t="s">
        <v>162</v>
      </c>
      <c r="I30" s="8" t="s">
        <v>163</v>
      </c>
      <c r="J30" s="8" t="s">
        <v>164</v>
      </c>
      <c r="K30" s="8" t="s">
        <v>165</v>
      </c>
      <c r="L30" s="8" t="s">
        <v>166</v>
      </c>
      <c r="M30" s="8" t="s">
        <v>167</v>
      </c>
      <c r="N30" s="8" t="s">
        <v>168</v>
      </c>
      <c r="O30" s="8" t="s">
        <v>169</v>
      </c>
      <c r="P30" s="8" t="s">
        <v>170</v>
      </c>
      <c r="Q30" s="8" t="s">
        <v>171</v>
      </c>
      <c r="R30" s="8" t="s">
        <v>172</v>
      </c>
      <c r="S30" s="8" t="s">
        <v>173</v>
      </c>
      <c r="T30" s="8" t="s">
        <v>174</v>
      </c>
      <c r="U30" s="8" t="s">
        <v>175</v>
      </c>
      <c r="V30" s="8" t="s">
        <v>176</v>
      </c>
      <c r="W30" s="8" t="s">
        <v>177</v>
      </c>
      <c r="X30" s="8" t="s">
        <v>178</v>
      </c>
    </row>
    <row r="31" spans="1:43" ht="23" customHeight="1">
      <c r="B31" s="5" t="s">
        <v>179</v>
      </c>
      <c r="E31" s="12">
        <v>1</v>
      </c>
      <c r="F31" s="12">
        <v>1</v>
      </c>
      <c r="G31" s="12">
        <v>1</v>
      </c>
      <c r="H31" s="12">
        <v>1</v>
      </c>
      <c r="I31" s="12">
        <v>1</v>
      </c>
      <c r="J31" s="12">
        <v>1</v>
      </c>
      <c r="K31" s="12">
        <v>1</v>
      </c>
      <c r="L31" s="12">
        <v>1</v>
      </c>
      <c r="M31" s="12">
        <v>1</v>
      </c>
      <c r="N31" s="12">
        <v>1</v>
      </c>
    </row>
    <row r="32" spans="1:43" ht="33" customHeight="1">
      <c r="B32" s="5" t="s">
        <v>180</v>
      </c>
      <c r="E32" s="9" t="s">
        <v>181</v>
      </c>
      <c r="F32" s="9" t="s">
        <v>181</v>
      </c>
      <c r="G32" s="9" t="s">
        <v>181</v>
      </c>
      <c r="H32" s="9" t="s">
        <v>181</v>
      </c>
      <c r="I32" s="9" t="s">
        <v>181</v>
      </c>
      <c r="J32" s="9" t="s">
        <v>181</v>
      </c>
      <c r="K32" s="9" t="s">
        <v>181</v>
      </c>
      <c r="L32" s="9" t="s">
        <v>181</v>
      </c>
      <c r="M32" s="9" t="s">
        <v>181</v>
      </c>
      <c r="N32" s="9" t="s">
        <v>181</v>
      </c>
    </row>
    <row r="33" spans="1:43" ht="40" customHeight="1">
      <c r="A33" s="5">
        <v>1</v>
      </c>
      <c r="B33" s="5" t="s">
        <v>182</v>
      </c>
      <c r="C33" s="11" t="s">
        <v>183</v>
      </c>
      <c r="D33" s="7" t="s">
        <v>184</v>
      </c>
      <c r="E33" s="12">
        <v>26</v>
      </c>
      <c r="F33" s="12">
        <v>27</v>
      </c>
      <c r="G33" s="12">
        <v>25.5</v>
      </c>
      <c r="H33" s="12">
        <v>26.5</v>
      </c>
      <c r="I33" s="12">
        <v>27.5</v>
      </c>
      <c r="J33" s="12">
        <v>25.75</v>
      </c>
      <c r="K33" s="12">
        <v>26.75</v>
      </c>
      <c r="L33" s="12">
        <v>25.25</v>
      </c>
      <c r="M33" s="12">
        <v>26.25</v>
      </c>
      <c r="N33" s="12">
        <v>25</v>
      </c>
      <c r="O33" s="13">
        <f>IF(COUNT(AG33:AP33)&gt;0,MIN(AG33:AP33),"")</f>
        <v>25</v>
      </c>
      <c r="P33" s="13">
        <f>IF(COUNT(AG33:AP33)&gt;0,MAX(AG33:AP33),"")</f>
        <v>27.5</v>
      </c>
      <c r="Q33" s="13">
        <f>IF(ISNUMBER(O33),P33-O33,"")</f>
        <v>2.5</v>
      </c>
      <c r="R33" s="13">
        <f>IF(ISNUMBER(O33),IF(C33="Ручная",IF($S$45&gt;0,$R$45*Q33/$S$45,IF($W$45=1,$R$45,0)),0),"")</f>
        <v>0.893750000000004</v>
      </c>
      <c r="S33" s="13">
        <f>IF(ISNUMBER(O33),O33+R33,"")</f>
        <v>25.89375</v>
      </c>
      <c r="T33" s="13">
        <f>IF(ISNUMBER(S33),P33-S33,"")</f>
        <v>1.60625</v>
      </c>
      <c r="U33" s="13">
        <f>IF(COUNT(AG33:AP33)&gt;0,AVERAGE(AG33:AP33),"")</f>
        <v>26.15</v>
      </c>
      <c r="AG33" s="13">
        <f>IF(ISNUMBER(E$45),E33,"")</f>
        <v>26</v>
      </c>
      <c r="AH33" s="13">
        <f>IF(ISNUMBER(F$45),F33,"")</f>
        <v>27</v>
      </c>
      <c r="AI33" s="13">
        <f>IF(ISNUMBER(G$45),G33,"")</f>
        <v>25.5</v>
      </c>
      <c r="AJ33" s="13">
        <f>IF(ISNUMBER(H$45),H33,"")</f>
        <v>26.5</v>
      </c>
      <c r="AK33" s="13">
        <f>IF(ISNUMBER(I$45),I33,"")</f>
        <v>27.5</v>
      </c>
      <c r="AL33" s="13">
        <f>IF(ISNUMBER(J$45),J33,"")</f>
        <v>25.75</v>
      </c>
      <c r="AM33" s="13">
        <f>IF(ISNUMBER(K$45),K33,"")</f>
        <v>26.75</v>
      </c>
      <c r="AN33" s="13">
        <f>IF(ISNUMBER(L$45),L33,"")</f>
        <v>25.25</v>
      </c>
      <c r="AO33" s="13">
        <f>IF(ISNUMBER(M$45),M33,"")</f>
        <v>26.25</v>
      </c>
      <c r="AP33" s="13">
        <f>IF(ISNUMBER(N$45),N33,"")</f>
        <v>25</v>
      </c>
      <c r="AQ33" s="13">
        <f>IF(C33="Ручная",O33,0)</f>
        <v>25</v>
      </c>
    </row>
    <row r="34" spans="1:43" ht="40" customHeight="1">
      <c r="A34" s="5">
        <v>2</v>
      </c>
      <c r="B34" s="5" t="s">
        <v>185</v>
      </c>
      <c r="C34" s="11" t="s">
        <v>183</v>
      </c>
      <c r="D34" s="7" t="s">
        <v>186</v>
      </c>
      <c r="E34" s="12">
        <v>116.6</v>
      </c>
      <c r="F34" s="12">
        <v>121</v>
      </c>
      <c r="G34" s="12">
        <v>113.3</v>
      </c>
      <c r="H34" s="12">
        <v>117.7</v>
      </c>
      <c r="I34" s="12">
        <v>111.1</v>
      </c>
      <c r="J34" s="12">
        <v>115.5</v>
      </c>
      <c r="K34" s="12">
        <v>110</v>
      </c>
      <c r="L34" s="12">
        <v>114.4</v>
      </c>
      <c r="M34" s="12">
        <v>118.8</v>
      </c>
      <c r="N34" s="12">
        <v>112.2</v>
      </c>
      <c r="O34" s="13">
        <f>IF(COUNT(AG34:AP34)&gt;0,MIN(AG34:AP34),"")</f>
        <v>110</v>
      </c>
      <c r="P34" s="13">
        <f>IF(COUNT(AG34:AP34)&gt;0,MAX(AG34:AP34),"")</f>
        <v>121</v>
      </c>
      <c r="Q34" s="13">
        <f>IF(ISNUMBER(O34),P34-O34,"")</f>
        <v>11</v>
      </c>
      <c r="R34" s="13">
        <f>IF(ISNUMBER(O34),IF(C34="Ручная",IF($S$45&gt;0,$R$45*Q34/$S$45,IF($W$45=2,$R$45,0)),0),"")</f>
        <v>3.93250000000002</v>
      </c>
      <c r="S34" s="13">
        <f>IF(ISNUMBER(O34),O34+R34,"")</f>
        <v>113.9325</v>
      </c>
      <c r="T34" s="13">
        <f>IF(ISNUMBER(S34),P34-S34,"")</f>
        <v>7.06749999999998</v>
      </c>
      <c r="U34" s="13">
        <f>IF(COUNT(AG34:AP34)&gt;0,AVERAGE(AG34:AP34),"")</f>
        <v>115.06</v>
      </c>
      <c r="AG34" s="13">
        <f>IF(ISNUMBER(E$45),E34,"")</f>
        <v>116.6</v>
      </c>
      <c r="AH34" s="13">
        <f>IF(ISNUMBER(F$45),F34,"")</f>
        <v>121</v>
      </c>
      <c r="AI34" s="13">
        <f>IF(ISNUMBER(G$45),G34,"")</f>
        <v>113.3</v>
      </c>
      <c r="AJ34" s="13">
        <f>IF(ISNUMBER(H$45),H34,"")</f>
        <v>117.7</v>
      </c>
      <c r="AK34" s="13">
        <f>IF(ISNUMBER(I$45),I34,"")</f>
        <v>111.1</v>
      </c>
      <c r="AL34" s="13">
        <f>IF(ISNUMBER(J$45),J34,"")</f>
        <v>115.5</v>
      </c>
      <c r="AM34" s="13">
        <f>IF(ISNUMBER(K$45),K34,"")</f>
        <v>110</v>
      </c>
      <c r="AN34" s="13">
        <f>IF(ISNUMBER(L$45),L34,"")</f>
        <v>114.4</v>
      </c>
      <c r="AO34" s="13">
        <f>IF(ISNUMBER(M$45),M34,"")</f>
        <v>118.8</v>
      </c>
      <c r="AP34" s="13">
        <f>IF(ISNUMBER(N$45),N34,"")</f>
        <v>112.2</v>
      </c>
      <c r="AQ34" s="13">
        <f>IF(C34="Ручная",O34,0)</f>
        <v>110</v>
      </c>
    </row>
    <row r="35" spans="1:43" ht="40" customHeight="1">
      <c r="A35" s="5">
        <v>3</v>
      </c>
      <c r="B35" s="5" t="s">
        <v>187</v>
      </c>
      <c r="C35" s="11" t="s">
        <v>183</v>
      </c>
      <c r="D35" s="7" t="s">
        <v>188</v>
      </c>
      <c r="E35" s="12">
        <v>23.54</v>
      </c>
      <c r="F35" s="12">
        <v>22.22</v>
      </c>
      <c r="G35" s="12">
        <v>23.1</v>
      </c>
      <c r="H35" s="12">
        <v>22</v>
      </c>
      <c r="I35" s="12">
        <v>22.88</v>
      </c>
      <c r="J35" s="12">
        <v>23.76</v>
      </c>
      <c r="K35" s="12">
        <v>22.44</v>
      </c>
      <c r="L35" s="12">
        <v>23.32</v>
      </c>
      <c r="M35" s="12">
        <v>24.2</v>
      </c>
      <c r="N35" s="12">
        <v>22.66</v>
      </c>
      <c r="O35" s="13">
        <f>IF(COUNT(AG35:AP35)&gt;0,MIN(AG35:AP35),"")</f>
        <v>22</v>
      </c>
      <c r="P35" s="13">
        <f>IF(COUNT(AG35:AP35)&gt;0,MAX(AG35:AP35),"")</f>
        <v>24.2</v>
      </c>
      <c r="Q35" s="13">
        <f>IF(ISNUMBER(O35),P35-O35,"")</f>
        <v>2.2</v>
      </c>
      <c r="R35" s="13">
        <f>IF(ISNUMBER(O35),IF(C35="Ручная",IF($S$45&gt;0,$R$45*Q35/$S$45,IF($W$45=3,$R$45,0)),0),"")</f>
        <v>0.786500000000003</v>
      </c>
      <c r="S35" s="13">
        <f>IF(ISNUMBER(O35),O35+R35,"")</f>
        <v>22.7865</v>
      </c>
      <c r="T35" s="13">
        <f>IF(ISNUMBER(S35),P35-S35,"")</f>
        <v>1.4135</v>
      </c>
      <c r="U35" s="13">
        <f>IF(COUNT(AG35:AP35)&gt;0,AVERAGE(AG35:AP35),"")</f>
        <v>23.012</v>
      </c>
      <c r="AG35" s="13">
        <f>IF(ISNUMBER(E$45),E35,"")</f>
        <v>23.54</v>
      </c>
      <c r="AH35" s="13">
        <f>IF(ISNUMBER(F$45),F35,"")</f>
        <v>22.22</v>
      </c>
      <c r="AI35" s="13">
        <f>IF(ISNUMBER(G$45),G35,"")</f>
        <v>23.1</v>
      </c>
      <c r="AJ35" s="13">
        <f>IF(ISNUMBER(H$45),H35,"")</f>
        <v>22</v>
      </c>
      <c r="AK35" s="13">
        <f>IF(ISNUMBER(I$45),I35,"")</f>
        <v>22.88</v>
      </c>
      <c r="AL35" s="13">
        <f>IF(ISNUMBER(J$45),J35,"")</f>
        <v>23.76</v>
      </c>
      <c r="AM35" s="13">
        <f>IF(ISNUMBER(K$45),K35,"")</f>
        <v>22.44</v>
      </c>
      <c r="AN35" s="13">
        <f>IF(ISNUMBER(L$45),L35,"")</f>
        <v>23.32</v>
      </c>
      <c r="AO35" s="13">
        <f>IF(ISNUMBER(M$45),M35,"")</f>
        <v>24.2</v>
      </c>
      <c r="AP35" s="13">
        <f>IF(ISNUMBER(N$45),N35,"")</f>
        <v>22.66</v>
      </c>
      <c r="AQ35" s="13">
        <f>IF(C35="Ручная",O35,0)</f>
        <v>22</v>
      </c>
    </row>
    <row r="36" spans="1:43" ht="40" customHeight="1">
      <c r="A36" s="5" t="s">
        <v>189</v>
      </c>
      <c r="B36" s="5" t="s">
        <v>190</v>
      </c>
      <c r="C36" s="11" t="s">
        <v>191</v>
      </c>
      <c r="D36" s="7" t="s">
        <v>192</v>
      </c>
      <c r="E36" s="12">
        <v>12</v>
      </c>
      <c r="F36" s="12">
        <v>12.48</v>
      </c>
      <c r="G36" s="12">
        <v>12.96</v>
      </c>
      <c r="H36" s="12">
        <v>12.24</v>
      </c>
      <c r="I36" s="12">
        <v>12.72</v>
      </c>
      <c r="J36" s="12">
        <v>13.2</v>
      </c>
      <c r="K36" s="12">
        <v>12.36</v>
      </c>
      <c r="L36" s="12">
        <v>12.84</v>
      </c>
      <c r="M36" s="12">
        <v>12.12</v>
      </c>
      <c r="N36" s="12">
        <v>12.6</v>
      </c>
      <c r="O36" s="13">
        <f>IF(COUNT(AG36:AP36)&gt;0,MIN(AG36:AP36),"")</f>
        <v>12</v>
      </c>
      <c r="P36" s="13">
        <f>IF(COUNT(AG36:AP36)&gt;0,MAX(AG36:AP36),"")</f>
        <v>13.2</v>
      </c>
      <c r="Q36" s="13">
        <f>IF(ISNUMBER(O36),P36-O36,"")</f>
        <v>1.2</v>
      </c>
      <c r="R36" s="13">
        <f>IF(ISNUMBER(O36),IF(C36="Ручная",IF($S$45&gt;0,$R$45*Q36/$S$45,IF($W$45=4,$R$45,0)),0),"")</f>
        <v>0</v>
      </c>
      <c r="S36" s="13">
        <f>IF(ISNUMBER(O36),O36+R36,"")</f>
        <v>12</v>
      </c>
      <c r="T36" s="13">
        <f>IF(ISNUMBER(S36),P36-S36,"")</f>
        <v>1.2</v>
      </c>
      <c r="U36" s="13">
        <f>IF(COUNT(AG36:AP36)&gt;0,AVERAGE(AG36:AP36),"")</f>
        <v>12.552</v>
      </c>
      <c r="AG36" s="13">
        <f>IF(ISNUMBER(E$45),E36,"")</f>
        <v>12</v>
      </c>
      <c r="AH36" s="13">
        <f>IF(ISNUMBER(F$45),F36,"")</f>
        <v>12.48</v>
      </c>
      <c r="AI36" s="13">
        <f>IF(ISNUMBER(G$45),G36,"")</f>
        <v>12.96</v>
      </c>
      <c r="AJ36" s="13">
        <f>IF(ISNUMBER(H$45),H36,"")</f>
        <v>12.24</v>
      </c>
      <c r="AK36" s="13">
        <f>IF(ISNUMBER(I$45),I36,"")</f>
        <v>12.72</v>
      </c>
      <c r="AL36" s="13">
        <f>IF(ISNUMBER(J$45),J36,"")</f>
        <v>13.2</v>
      </c>
      <c r="AM36" s="13">
        <f>IF(ISNUMBER(K$45),K36,"")</f>
        <v>12.36</v>
      </c>
      <c r="AN36" s="13">
        <f>IF(ISNUMBER(L$45),L36,"")</f>
        <v>12.84</v>
      </c>
      <c r="AO36" s="13">
        <f>IF(ISNUMBER(M$45),M36,"")</f>
        <v>12.12</v>
      </c>
      <c r="AP36" s="13">
        <f>IF(ISNUMBER(N$45),N36,"")</f>
        <v>12.6</v>
      </c>
      <c r="AQ36" s="13">
        <f>IF(C36="Ручная",O36,0)</f>
        <v>0</v>
      </c>
    </row>
    <row r="37" spans="1:43" ht="40" customHeight="1">
      <c r="A37" s="5">
        <v>5</v>
      </c>
      <c r="B37" s="5" t="s">
        <v>193</v>
      </c>
      <c r="C37" s="11" t="s">
        <v>183</v>
      </c>
      <c r="D37" s="7" t="s">
        <v>194</v>
      </c>
      <c r="E37" s="12">
        <v>35.7</v>
      </c>
      <c r="F37" s="12">
        <v>37.1</v>
      </c>
      <c r="G37" s="12">
        <v>38.5</v>
      </c>
      <c r="H37" s="12">
        <v>36.05</v>
      </c>
      <c r="I37" s="12">
        <v>37.45</v>
      </c>
      <c r="J37" s="12">
        <v>35.35</v>
      </c>
      <c r="K37" s="12">
        <v>36.75</v>
      </c>
      <c r="L37" s="12">
        <v>35</v>
      </c>
      <c r="M37" s="12">
        <v>36.4</v>
      </c>
      <c r="N37" s="12">
        <v>37.8</v>
      </c>
      <c r="O37" s="13">
        <f>IF(COUNT(AG37:AP37)&gt;0,MIN(AG37:AP37),"")</f>
        <v>35</v>
      </c>
      <c r="P37" s="13">
        <f>IF(COUNT(AG37:AP37)&gt;0,MAX(AG37:AP37),"")</f>
        <v>38.5</v>
      </c>
      <c r="Q37" s="13">
        <f>IF(ISNUMBER(O37),P37-O37,"")</f>
        <v>3.5</v>
      </c>
      <c r="R37" s="13">
        <f>IF(ISNUMBER(O37),IF(C37="Ручная",IF($S$45&gt;0,$R$45*Q37/$S$45,IF($W$45=5,$R$45,0)),0),"")</f>
        <v>1.25125000000001</v>
      </c>
      <c r="S37" s="13">
        <f>IF(ISNUMBER(O37),O37+R37,"")</f>
        <v>36.25125</v>
      </c>
      <c r="T37" s="13">
        <f>IF(ISNUMBER(S37),P37-S37,"")</f>
        <v>2.24874999999999</v>
      </c>
      <c r="U37" s="13">
        <f>IF(COUNT(AG37:AP37)&gt;0,AVERAGE(AG37:AP37),"")</f>
        <v>36.61</v>
      </c>
      <c r="AG37" s="13">
        <f>IF(ISNUMBER(E$45),E37,"")</f>
        <v>35.7</v>
      </c>
      <c r="AH37" s="13">
        <f>IF(ISNUMBER(F$45),F37,"")</f>
        <v>37.1</v>
      </c>
      <c r="AI37" s="13">
        <f>IF(ISNUMBER(G$45),G37,"")</f>
        <v>38.5</v>
      </c>
      <c r="AJ37" s="13">
        <f>IF(ISNUMBER(H$45),H37,"")</f>
        <v>36.05</v>
      </c>
      <c r="AK37" s="13">
        <f>IF(ISNUMBER(I$45),I37,"")</f>
        <v>37.45</v>
      </c>
      <c r="AL37" s="13">
        <f>IF(ISNUMBER(J$45),J37,"")</f>
        <v>35.35</v>
      </c>
      <c r="AM37" s="13">
        <f>IF(ISNUMBER(K$45),K37,"")</f>
        <v>36.75</v>
      </c>
      <c r="AN37" s="13">
        <f>IF(ISNUMBER(L$45),L37,"")</f>
        <v>35</v>
      </c>
      <c r="AO37" s="13">
        <f>IF(ISNUMBER(M$45),M37,"")</f>
        <v>36.4</v>
      </c>
      <c r="AP37" s="13">
        <f>IF(ISNUMBER(N$45),N37,"")</f>
        <v>37.8</v>
      </c>
      <c r="AQ37" s="13">
        <f>IF(C37="Ручная",O37,0)</f>
        <v>35</v>
      </c>
    </row>
    <row r="38" spans="1:43" ht="40" customHeight="1">
      <c r="A38" s="5" t="s">
        <v>189</v>
      </c>
      <c r="B38" s="5" t="s">
        <v>195</v>
      </c>
      <c r="C38" s="11" t="s">
        <v>196</v>
      </c>
      <c r="D38" s="7" t="s">
        <v>197</v>
      </c>
      <c r="E38" s="18">
        <f>'Ассортимент'!R9</f>
        <v>450</v>
      </c>
      <c r="F38" s="18">
        <f>'Ассортимент'!R9</f>
        <v>450</v>
      </c>
      <c r="G38" s="18">
        <f>'Ассортимент'!R9</f>
        <v>450</v>
      </c>
      <c r="H38" s="18">
        <f>'Ассортимент'!R9</f>
        <v>450</v>
      </c>
      <c r="I38" s="18">
        <f>'Ассортимент'!R9</f>
        <v>450</v>
      </c>
      <c r="J38" s="18">
        <f>'Ассортимент'!R9</f>
        <v>450</v>
      </c>
      <c r="K38" s="18">
        <f>'Ассортимент'!R9</f>
        <v>450</v>
      </c>
      <c r="L38" s="18">
        <f>'Ассортимент'!R9</f>
        <v>450</v>
      </c>
      <c r="M38" s="18">
        <f>'Ассортимент'!R9</f>
        <v>450</v>
      </c>
      <c r="N38" s="18">
        <f>'Ассортимент'!R9</f>
        <v>450</v>
      </c>
      <c r="O38" s="13">
        <f>IF(COUNT(AG38:AP38)&gt;0,MIN(AG38:AP38),"")</f>
        <v>450</v>
      </c>
      <c r="P38" s="13">
        <f>IF(COUNT(AG38:AP38)&gt;0,MAX(AG38:AP38),"")</f>
        <v>450</v>
      </c>
      <c r="Q38" s="13">
        <f>IF(ISNUMBER(O38),P38-O38,"")</f>
        <v>0</v>
      </c>
      <c r="R38" s="13">
        <f>IF(ISNUMBER(O38),IF(C38="Ручная",IF($S$45&gt;0,$R$45*Q38/$S$45,IF($W$45=6,$R$45,0)),0),"")</f>
        <v>0</v>
      </c>
      <c r="S38" s="13">
        <f>IF(ISNUMBER(O38),O38+R38,"")</f>
        <v>450</v>
      </c>
      <c r="T38" s="13">
        <f>IF(ISNUMBER(S38),P38-S38,"")</f>
        <v>0</v>
      </c>
      <c r="U38" s="13">
        <f>IF(COUNT(AG38:AP38)&gt;0,AVERAGE(AG38:AP38),"")</f>
        <v>450</v>
      </c>
      <c r="AG38" s="13">
        <f>IF(ISNUMBER(E$45),E38,"")</f>
        <v>450</v>
      </c>
      <c r="AH38" s="13">
        <f>IF(ISNUMBER(F$45),F38,"")</f>
        <v>450</v>
      </c>
      <c r="AI38" s="13">
        <f>IF(ISNUMBER(G$45),G38,"")</f>
        <v>450</v>
      </c>
      <c r="AJ38" s="13">
        <f>IF(ISNUMBER(H$45),H38,"")</f>
        <v>450</v>
      </c>
      <c r="AK38" s="13">
        <f>IF(ISNUMBER(I$45),I38,"")</f>
        <v>450</v>
      </c>
      <c r="AL38" s="13">
        <f>IF(ISNUMBER(J$45),J38,"")</f>
        <v>450</v>
      </c>
      <c r="AM38" s="13">
        <f>IF(ISNUMBER(K$45),K38,"")</f>
        <v>450</v>
      </c>
      <c r="AN38" s="13">
        <f>IF(ISNUMBER(L$45),L38,"")</f>
        <v>450</v>
      </c>
      <c r="AO38" s="13">
        <f>IF(ISNUMBER(M$45),M38,"")</f>
        <v>450</v>
      </c>
      <c r="AP38" s="13">
        <f>IF(ISNUMBER(N$45),N38,"")</f>
        <v>450</v>
      </c>
      <c r="AQ38" s="13">
        <f>IF(C38="Ручная",O38,0)</f>
        <v>0</v>
      </c>
    </row>
    <row r="39" spans="1:43" ht="40" customHeight="1">
      <c r="A39" s="5">
        <v>7</v>
      </c>
      <c r="B39" s="5" t="s">
        <v>198</v>
      </c>
      <c r="C39" s="11" t="s">
        <v>183</v>
      </c>
      <c r="D39" s="7" t="s">
        <v>199</v>
      </c>
      <c r="E39" s="12">
        <v>31.5</v>
      </c>
      <c r="F39" s="12">
        <v>30</v>
      </c>
      <c r="G39" s="12">
        <v>31.2</v>
      </c>
      <c r="H39" s="12">
        <v>32.4</v>
      </c>
      <c r="I39" s="12">
        <v>30.6</v>
      </c>
      <c r="J39" s="12">
        <v>31.8</v>
      </c>
      <c r="K39" s="12">
        <v>33</v>
      </c>
      <c r="L39" s="12">
        <v>30.9</v>
      </c>
      <c r="M39" s="12">
        <v>32.1</v>
      </c>
      <c r="N39" s="12">
        <v>30.3</v>
      </c>
      <c r="O39" s="13">
        <f>IF(COUNT(AG39:AP39)&gt;0,MIN(AG39:AP39),"")</f>
        <v>30</v>
      </c>
      <c r="P39" s="13">
        <f>IF(COUNT(AG39:AP39)&gt;0,MAX(AG39:AP39),"")</f>
        <v>33</v>
      </c>
      <c r="Q39" s="13">
        <f>IF(ISNUMBER(O39),P39-O39,"")</f>
        <v>3</v>
      </c>
      <c r="R39" s="13">
        <f>IF(ISNUMBER(O39),IF(C39="Ручная",IF($S$45&gt;0,$R$45*Q39/$S$45,IF($W$45=7,$R$45,0)),0),"")</f>
        <v>1.07250000000001</v>
      </c>
      <c r="S39" s="13">
        <f>IF(ISNUMBER(O39),O39+R39,"")</f>
        <v>31.0725</v>
      </c>
      <c r="T39" s="13">
        <f>IF(ISNUMBER(S39),P39-S39,"")</f>
        <v>1.92749999999999</v>
      </c>
      <c r="U39" s="13">
        <f>IF(COUNT(AG39:AP39)&gt;0,AVERAGE(AG39:AP39),"")</f>
        <v>31.38</v>
      </c>
      <c r="AG39" s="13">
        <f>IF(ISNUMBER(E$45),E39,"")</f>
        <v>31.5</v>
      </c>
      <c r="AH39" s="13">
        <f>IF(ISNUMBER(F$45),F39,"")</f>
        <v>30</v>
      </c>
      <c r="AI39" s="13">
        <f>IF(ISNUMBER(G$45),G39,"")</f>
        <v>31.2</v>
      </c>
      <c r="AJ39" s="13">
        <f>IF(ISNUMBER(H$45),H39,"")</f>
        <v>32.4</v>
      </c>
      <c r="AK39" s="13">
        <f>IF(ISNUMBER(I$45),I39,"")</f>
        <v>30.6</v>
      </c>
      <c r="AL39" s="13">
        <f>IF(ISNUMBER(J$45),J39,"")</f>
        <v>31.8</v>
      </c>
      <c r="AM39" s="13">
        <f>IF(ISNUMBER(K$45),K39,"")</f>
        <v>33</v>
      </c>
      <c r="AN39" s="13">
        <f>IF(ISNUMBER(L$45),L39,"")</f>
        <v>30.9</v>
      </c>
      <c r="AO39" s="13">
        <f>IF(ISNUMBER(M$45),M39,"")</f>
        <v>32.1</v>
      </c>
      <c r="AP39" s="13">
        <f>IF(ISNUMBER(N$45),N39,"")</f>
        <v>30.3</v>
      </c>
      <c r="AQ39" s="13">
        <f>IF(C39="Ручная",O39,0)</f>
        <v>30</v>
      </c>
    </row>
    <row r="40" spans="1:43" ht="40" customHeight="1">
      <c r="A40" s="5">
        <v>8</v>
      </c>
      <c r="B40" s="5" t="s">
        <v>200</v>
      </c>
      <c r="C40" s="11" t="s">
        <v>183</v>
      </c>
      <c r="D40" s="7" t="s">
        <v>201</v>
      </c>
      <c r="E40" s="12">
        <v>19.44</v>
      </c>
      <c r="F40" s="12">
        <v>18.36</v>
      </c>
      <c r="G40" s="12">
        <v>19.08</v>
      </c>
      <c r="H40" s="12">
        <v>19.8</v>
      </c>
      <c r="I40" s="12">
        <v>18.54</v>
      </c>
      <c r="J40" s="12">
        <v>19.26</v>
      </c>
      <c r="K40" s="12">
        <v>18.18</v>
      </c>
      <c r="L40" s="12">
        <v>18.9</v>
      </c>
      <c r="M40" s="12">
        <v>18</v>
      </c>
      <c r="N40" s="12">
        <v>18.72</v>
      </c>
      <c r="O40" s="13">
        <f>IF(COUNT(AG40:AP40)&gt;0,MIN(AG40:AP40),"")</f>
        <v>18</v>
      </c>
      <c r="P40" s="13">
        <f>IF(COUNT(AG40:AP40)&gt;0,MAX(AG40:AP40),"")</f>
        <v>19.8</v>
      </c>
      <c r="Q40" s="13">
        <f>IF(ISNUMBER(O40),P40-O40,"")</f>
        <v>1.8</v>
      </c>
      <c r="R40" s="13">
        <f>IF(ISNUMBER(O40),IF(C40="Ручная",IF($S$45&gt;0,$R$45*Q40/$S$45,IF($W$45=8,$R$45,0)),0),"")</f>
        <v>0.643500000000003</v>
      </c>
      <c r="S40" s="13">
        <f>IF(ISNUMBER(O40),O40+R40,"")</f>
        <v>18.6435</v>
      </c>
      <c r="T40" s="13">
        <f>IF(ISNUMBER(S40),P40-S40,"")</f>
        <v>1.1565</v>
      </c>
      <c r="U40" s="13">
        <f>IF(COUNT(AG40:AP40)&gt;0,AVERAGE(AG40:AP40),"")</f>
        <v>18.828</v>
      </c>
      <c r="AG40" s="13">
        <f>IF(ISNUMBER(E$45),E40,"")</f>
        <v>19.44</v>
      </c>
      <c r="AH40" s="13">
        <f>IF(ISNUMBER(F$45),F40,"")</f>
        <v>18.36</v>
      </c>
      <c r="AI40" s="13">
        <f>IF(ISNUMBER(G$45),G40,"")</f>
        <v>19.08</v>
      </c>
      <c r="AJ40" s="13">
        <f>IF(ISNUMBER(H$45),H40,"")</f>
        <v>19.8</v>
      </c>
      <c r="AK40" s="13">
        <f>IF(ISNUMBER(I$45),I40,"")</f>
        <v>18.54</v>
      </c>
      <c r="AL40" s="13">
        <f>IF(ISNUMBER(J$45),J40,"")</f>
        <v>19.26</v>
      </c>
      <c r="AM40" s="13">
        <f>IF(ISNUMBER(K$45),K40,"")</f>
        <v>18.18</v>
      </c>
      <c r="AN40" s="13">
        <f>IF(ISNUMBER(L$45),L40,"")</f>
        <v>18.9</v>
      </c>
      <c r="AO40" s="13">
        <f>IF(ISNUMBER(M$45),M40,"")</f>
        <v>18</v>
      </c>
      <c r="AP40" s="13">
        <f>IF(ISNUMBER(N$45),N40,"")</f>
        <v>18.72</v>
      </c>
      <c r="AQ40" s="13">
        <f>IF(C40="Ручная",O40,0)</f>
        <v>18</v>
      </c>
    </row>
    <row r="41" spans="1:43" ht="40" customHeight="1">
      <c r="A41" s="5" t="s">
        <v>189</v>
      </c>
      <c r="B41" s="5" t="s">
        <v>202</v>
      </c>
      <c r="C41" s="11" t="s">
        <v>191</v>
      </c>
      <c r="D41" s="7" t="s">
        <v>203</v>
      </c>
      <c r="E41" s="12">
        <v>11</v>
      </c>
      <c r="F41" s="12">
        <v>10.3</v>
      </c>
      <c r="G41" s="12">
        <v>10.7</v>
      </c>
      <c r="H41" s="12">
        <v>10.1</v>
      </c>
      <c r="I41" s="12">
        <v>10.5</v>
      </c>
      <c r="J41" s="12">
        <v>10</v>
      </c>
      <c r="K41" s="12">
        <v>10.4</v>
      </c>
      <c r="L41" s="12">
        <v>10.8</v>
      </c>
      <c r="M41" s="12">
        <v>10.2</v>
      </c>
      <c r="N41" s="12">
        <v>10.6</v>
      </c>
      <c r="O41" s="13">
        <f>IF(COUNT(AG41:AP41)&gt;0,MIN(AG41:AP41),"")</f>
        <v>10</v>
      </c>
      <c r="P41" s="13">
        <f>IF(COUNT(AG41:AP41)&gt;0,MAX(AG41:AP41),"")</f>
        <v>11</v>
      </c>
      <c r="Q41" s="13">
        <f>IF(ISNUMBER(O41),P41-O41,"")</f>
        <v>1</v>
      </c>
      <c r="R41" s="13">
        <f>IF(ISNUMBER(O41),IF(C41="Ручная",IF($S$45&gt;0,$R$45*Q41/$S$45,IF($W$45=9,$R$45,0)),0),"")</f>
        <v>0</v>
      </c>
      <c r="S41" s="13">
        <f>IF(ISNUMBER(O41),O41+R41,"")</f>
        <v>10</v>
      </c>
      <c r="T41" s="13">
        <f>IF(ISNUMBER(S41),P41-S41,"")</f>
        <v>1</v>
      </c>
      <c r="U41" s="13">
        <f>IF(COUNT(AG41:AP41)&gt;0,AVERAGE(AG41:AP41),"")</f>
        <v>10.46</v>
      </c>
      <c r="AG41" s="13">
        <f>IF(ISNUMBER(E$45),E41,"")</f>
        <v>11</v>
      </c>
      <c r="AH41" s="13">
        <f>IF(ISNUMBER(F$45),F41,"")</f>
        <v>10.3</v>
      </c>
      <c r="AI41" s="13">
        <f>IF(ISNUMBER(G$45),G41,"")</f>
        <v>10.7</v>
      </c>
      <c r="AJ41" s="13">
        <f>IF(ISNUMBER(H$45),H41,"")</f>
        <v>10.1</v>
      </c>
      <c r="AK41" s="13">
        <f>IF(ISNUMBER(I$45),I41,"")</f>
        <v>10.5</v>
      </c>
      <c r="AL41" s="13">
        <f>IF(ISNUMBER(J$45),J41,"")</f>
        <v>10</v>
      </c>
      <c r="AM41" s="13">
        <f>IF(ISNUMBER(K$45),K41,"")</f>
        <v>10.4</v>
      </c>
      <c r="AN41" s="13">
        <f>IF(ISNUMBER(L$45),L41,"")</f>
        <v>10.8</v>
      </c>
      <c r="AO41" s="13">
        <f>IF(ISNUMBER(M$45),M41,"")</f>
        <v>10.2</v>
      </c>
      <c r="AP41" s="13">
        <f>IF(ISNUMBER(N$45),N41,"")</f>
        <v>10.6</v>
      </c>
      <c r="AQ41" s="13">
        <f>IF(C41="Ручная",O41,0)</f>
        <v>0</v>
      </c>
    </row>
    <row r="42" spans="1:43" ht="40" customHeight="1">
      <c r="A42" s="5" t="s">
        <v>189</v>
      </c>
      <c r="B42" s="5" t="s">
        <v>204</v>
      </c>
      <c r="C42" s="11" t="s">
        <v>191</v>
      </c>
      <c r="D42" s="7" t="s">
        <v>205</v>
      </c>
      <c r="E42" s="12">
        <v>10.1</v>
      </c>
      <c r="F42" s="12">
        <v>10.5</v>
      </c>
      <c r="G42" s="12">
        <v>10</v>
      </c>
      <c r="H42" s="12">
        <v>10.4</v>
      </c>
      <c r="I42" s="12">
        <v>10.8</v>
      </c>
      <c r="J42" s="12">
        <v>10.2</v>
      </c>
      <c r="K42" s="12">
        <v>10.6</v>
      </c>
      <c r="L42" s="12">
        <v>11</v>
      </c>
      <c r="M42" s="12">
        <v>10.3</v>
      </c>
      <c r="N42" s="12">
        <v>10.7</v>
      </c>
      <c r="O42" s="13">
        <f>IF(COUNT(AG42:AP42)&gt;0,MIN(AG42:AP42),"")</f>
        <v>10</v>
      </c>
      <c r="P42" s="13">
        <f>IF(COUNT(AG42:AP42)&gt;0,MAX(AG42:AP42),"")</f>
        <v>11</v>
      </c>
      <c r="Q42" s="13">
        <f>IF(ISNUMBER(O42),P42-O42,"")</f>
        <v>1</v>
      </c>
      <c r="R42" s="13">
        <f>IF(ISNUMBER(O42),IF(C42="Ручная",IF($S$45&gt;0,$R$45*Q42/$S$45,IF($W$45=10,$R$45,0)),0),"")</f>
        <v>0</v>
      </c>
      <c r="S42" s="13">
        <f>IF(ISNUMBER(O42),O42+R42,"")</f>
        <v>10</v>
      </c>
      <c r="T42" s="13">
        <f>IF(ISNUMBER(S42),P42-S42,"")</f>
        <v>1</v>
      </c>
      <c r="U42" s="13">
        <f>IF(COUNT(AG42:AP42)&gt;0,AVERAGE(AG42:AP42),"")</f>
        <v>10.46</v>
      </c>
      <c r="AG42" s="13">
        <f>IF(ISNUMBER(E$45),E42,"")</f>
        <v>10.1</v>
      </c>
      <c r="AH42" s="13">
        <f>IF(ISNUMBER(F$45),F42,"")</f>
        <v>10.5</v>
      </c>
      <c r="AI42" s="13">
        <f>IF(ISNUMBER(G$45),G42,"")</f>
        <v>10</v>
      </c>
      <c r="AJ42" s="13">
        <f>IF(ISNUMBER(H$45),H42,"")</f>
        <v>10.4</v>
      </c>
      <c r="AK42" s="13">
        <f>IF(ISNUMBER(I$45),I42,"")</f>
        <v>10.8</v>
      </c>
      <c r="AL42" s="13">
        <f>IF(ISNUMBER(J$45),J42,"")</f>
        <v>10.2</v>
      </c>
      <c r="AM42" s="13">
        <f>IF(ISNUMBER(K$45),K42,"")</f>
        <v>10.6</v>
      </c>
      <c r="AN42" s="13">
        <f>IF(ISNUMBER(L$45),L42,"")</f>
        <v>11</v>
      </c>
      <c r="AO42" s="13">
        <f>IF(ISNUMBER(M$45),M42,"")</f>
        <v>10.3</v>
      </c>
      <c r="AP42" s="13">
        <f>IF(ISNUMBER(N$45),N42,"")</f>
        <v>10.7</v>
      </c>
      <c r="AQ42" s="13">
        <f>IF(C42="Ручная",O42,0)</f>
        <v>0</v>
      </c>
    </row>
    <row r="43" spans="1:43" ht="40" customHeight="1">
      <c r="A43" s="5" t="s">
        <v>189</v>
      </c>
      <c r="B43" s="5" t="s">
        <v>206</v>
      </c>
      <c r="C43" s="11" t="s">
        <v>207</v>
      </c>
      <c r="D43" s="7" t="s">
        <v>208</v>
      </c>
      <c r="E43" s="12">
        <v>12.48</v>
      </c>
      <c r="F43" s="12">
        <v>12.96</v>
      </c>
      <c r="G43" s="12">
        <v>12.24</v>
      </c>
      <c r="H43" s="12">
        <v>12.72</v>
      </c>
      <c r="I43" s="12">
        <v>13.2</v>
      </c>
      <c r="J43" s="12">
        <v>12.36</v>
      </c>
      <c r="K43" s="12">
        <v>12.84</v>
      </c>
      <c r="L43" s="12">
        <v>12.12</v>
      </c>
      <c r="M43" s="12">
        <v>12.6</v>
      </c>
      <c r="N43" s="12">
        <v>12</v>
      </c>
      <c r="O43" s="13">
        <f>IF(COUNT(AG43:AP43)&gt;0,MIN(AG43:AP43),"")</f>
        <v>12</v>
      </c>
      <c r="P43" s="13">
        <f>IF(COUNT(AG43:AP43)&gt;0,MAX(AG43:AP43),"")</f>
        <v>13.2</v>
      </c>
      <c r="Q43" s="13">
        <f>IF(ISNUMBER(O43),P43-O43,"")</f>
        <v>1.2</v>
      </c>
      <c r="R43" s="13">
        <f>IF(ISNUMBER(O43),IF(C43="Ручная",IF($S$45&gt;0,$R$45*Q43/$S$45,IF($W$45=11,$R$45,0)),0),"")</f>
        <v>0</v>
      </c>
      <c r="S43" s="13">
        <f>IF(ISNUMBER(O43),O43+R43,"")</f>
        <v>12</v>
      </c>
      <c r="T43" s="13">
        <f>IF(ISNUMBER(S43),P43-S43,"")</f>
        <v>1.2</v>
      </c>
      <c r="U43" s="13">
        <f>IF(COUNT(AG43:AP43)&gt;0,AVERAGE(AG43:AP43),"")</f>
        <v>12.552</v>
      </c>
      <c r="AG43" s="13">
        <f>IF(ISNUMBER(E$45),E43,"")</f>
        <v>12.48</v>
      </c>
      <c r="AH43" s="13">
        <f>IF(ISNUMBER(F$45),F43,"")</f>
        <v>12.96</v>
      </c>
      <c r="AI43" s="13">
        <f>IF(ISNUMBER(G$45),G43,"")</f>
        <v>12.24</v>
      </c>
      <c r="AJ43" s="13">
        <f>IF(ISNUMBER(H$45),H43,"")</f>
        <v>12.72</v>
      </c>
      <c r="AK43" s="13">
        <f>IF(ISNUMBER(I$45),I43,"")</f>
        <v>13.2</v>
      </c>
      <c r="AL43" s="13">
        <f>IF(ISNUMBER(J$45),J43,"")</f>
        <v>12.36</v>
      </c>
      <c r="AM43" s="13">
        <f>IF(ISNUMBER(K$45),K43,"")</f>
        <v>12.84</v>
      </c>
      <c r="AN43" s="13">
        <f>IF(ISNUMBER(L$45),L43,"")</f>
        <v>12.12</v>
      </c>
      <c r="AO43" s="13">
        <f>IF(ISNUMBER(M$45),M43,"")</f>
        <v>12.6</v>
      </c>
      <c r="AP43" s="13">
        <f>IF(ISNUMBER(N$45),N43,"")</f>
        <v>12</v>
      </c>
      <c r="AQ43" s="13">
        <f>IF(C43="Ручная",O43,0)</f>
        <v>0</v>
      </c>
    </row>
    <row r="44" spans="1:43" ht="23" customHeight="1">
      <c r="B44" s="4" t="s">
        <v>209</v>
      </c>
      <c r="E44" s="6">
        <f>IF(COUNT(E33:E43)=11,SUM(E33:E43),"")</f>
        <v>748.36</v>
      </c>
      <c r="F44" s="6">
        <f>IF(COUNT(F33:F43)=11,SUM(F33:F43),"")</f>
        <v>751.92</v>
      </c>
      <c r="G44" s="6">
        <f>IF(COUNT(G33:G43)=11,SUM(G33:G43),"")</f>
        <v>746.58</v>
      </c>
      <c r="H44" s="6">
        <f>IF(COUNT(H33:H43)=11,SUM(H33:H43),"")</f>
        <v>749.91</v>
      </c>
      <c r="I44" s="6">
        <f>IF(COUNT(I33:I43)=11,SUM(I33:I43),"")</f>
        <v>745.29</v>
      </c>
      <c r="J44" s="6">
        <f>IF(COUNT(J33:J43)=11,SUM(J33:J43),"")</f>
        <v>747.18</v>
      </c>
      <c r="K44" s="6">
        <f>IF(COUNT(K33:K43)=11,SUM(K33:K43),"")</f>
        <v>743.32</v>
      </c>
      <c r="L44" s="6">
        <f>IF(COUNT(L33:L43)=11,SUM(L33:L43),"")</f>
        <v>744.53</v>
      </c>
      <c r="M44" s="6">
        <f>IF(COUNT(M33:M43)=11,SUM(M33:M43),"")</f>
        <v>750.97</v>
      </c>
      <c r="N44" s="6">
        <f>IF(COUNT(N33:N43)=11,SUM(N33:N43),"")</f>
        <v>742.58</v>
      </c>
      <c r="O44" s="6">
        <f>IF(COUNT(O33:O43)=11,SUM(O33:O43),"")</f>
        <v>734</v>
      </c>
      <c r="P44" s="6">
        <f>IF(COUNT(P33:P43)=11,SUM(P33:P43),"")</f>
        <v>762.4</v>
      </c>
      <c r="Q44" s="6">
        <f>IF(COUNT(Q33:Q43)=11,SUM(Q33:Q43),"")</f>
        <v>28.4</v>
      </c>
      <c r="R44" s="6">
        <f>IF(COUNT(R33:R43)=11,SUM(R33:R43),"")</f>
        <v>8.58000000000004</v>
      </c>
      <c r="S44" s="6">
        <f>IF(COUNT(S33:S43)=11,SUM(S33:S43),"")</f>
        <v>742.58</v>
      </c>
      <c r="T44" s="6">
        <f>IF(COUNT(T33:T43)=11,SUM(T33:T43),"")</f>
        <v>19.82</v>
      </c>
      <c r="U44" s="6">
        <f>IF(COUNT(U33:U43)=11,SUM(U33:U43),"")</f>
        <v>747.064</v>
      </c>
    </row>
    <row r="45" spans="1:43" ht="23" customHeight="1">
      <c r="B45" s="4" t="s">
        <v>210</v>
      </c>
      <c r="E45" s="6">
        <f>IF(AND(E31=1,COUNT(E33:E43)=11,MIN(E33:E43)&gt;=0),E44,"")</f>
        <v>748.36</v>
      </c>
      <c r="F45" s="6">
        <f>IF(AND(F31=1,COUNT(F33:F43)=11,MIN(F33:F43)&gt;=0),F44,"")</f>
        <v>751.92</v>
      </c>
      <c r="G45" s="6">
        <f>IF(AND(G31=1,COUNT(G33:G43)=11,MIN(G33:G43)&gt;=0),G44,"")</f>
        <v>746.58</v>
      </c>
      <c r="H45" s="6">
        <f>IF(AND(H31=1,COUNT(H33:H43)=11,MIN(H33:H43)&gt;=0),H44,"")</f>
        <v>749.91</v>
      </c>
      <c r="I45" s="6">
        <f>IF(AND(I31=1,COUNT(I33:I43)=11,MIN(I33:I43)&gt;=0),I44,"")</f>
        <v>745.29</v>
      </c>
      <c r="J45" s="6">
        <f>IF(AND(J31=1,COUNT(J33:J43)=11,MIN(J33:J43)&gt;=0),J44,"")</f>
        <v>747.18</v>
      </c>
      <c r="K45" s="6">
        <f>IF(AND(K31=1,COUNT(K33:K43)=11,MIN(K33:K43)&gt;=0),K44,"")</f>
        <v>743.32</v>
      </c>
      <c r="L45" s="6">
        <f>IF(AND(L31=1,COUNT(L33:L43)=11,MIN(L33:L43)&gt;=0),L44,"")</f>
        <v>744.53</v>
      </c>
      <c r="M45" s="6">
        <f>IF(AND(M31=1,COUNT(M33:M43)=11,MIN(M33:M43)&gt;=0),M44,"")</f>
        <v>750.97</v>
      </c>
      <c r="N45" s="6">
        <f>IF(AND(N31=1,COUNT(N33:N43)=11,MIN(N33:N43)&gt;=0),N44,"")</f>
        <v>742.58</v>
      </c>
      <c r="O45" s="6">
        <f>IF(COUNT(E45:N45)&gt;0,MIN(E45:N45),"")</f>
        <v>742.58</v>
      </c>
      <c r="P45" s="6">
        <f>IF(COUNT(E45:N45)&gt;0,MAX(E45:N45),"")</f>
        <v>751.92</v>
      </c>
      <c r="Q45" s="6">
        <f>IF(ISNUMBER(O45),P45-O45,"")</f>
        <v>9.34000000000003</v>
      </c>
      <c r="R45" s="6">
        <f>IF(ISNUMBER(O45),MAX(0,O45-O44),"")</f>
        <v>8.58000000000004</v>
      </c>
      <c r="S45" s="6">
        <f>SUMIF(C33:C43,"Ручная",Q33:Q43)</f>
        <v>24</v>
      </c>
      <c r="T45" s="6">
        <f>COUNT(E45:N45)</f>
        <v>10</v>
      </c>
      <c r="U45" s="6">
        <f>IF(COUNT(E45:N45)&gt;0,AVERAGE(E45:N45),"")</f>
        <v>747.064</v>
      </c>
      <c r="V45" s="6">
        <f>IF(ISNUMBER(O45),S44-O45,"")</f>
        <v>0</v>
      </c>
      <c r="W45" s="6">
        <f>MATCH(MAX(AQ33:AQ43),AQ33:AQ43,0)</f>
        <v>2</v>
      </c>
      <c r="X45" s="17" t="str">
        <f>IF(T45=0,"НЕТ ЗАМЕРОВ",IF(T45&lt;10,"МЕНЕЕ 10 ЦИКЛОВ",IF(ABS(V45)&lt;0.000001,"ОК","ОШИБКА РЕГУЛИРОВКИ")))</f>
        <v>ОК</v>
      </c>
    </row>
    <row r="46" spans="1:43" ht="23" customHeight="1">
      <c r="A46" s="7" t="s">
        <v>211</v>
      </c>
      <c r="B46" s="7"/>
      <c r="C46" s="7"/>
      <c r="D46" s="7"/>
      <c r="E46" s="7"/>
      <c r="F46" s="7"/>
      <c r="G46" s="7"/>
      <c r="H46" s="7"/>
      <c r="I46" s="7"/>
      <c r="J46" s="7"/>
      <c r="K46" s="7"/>
      <c r="L46" s="7"/>
      <c r="M46" s="7"/>
      <c r="N46" s="7"/>
      <c r="O46" s="7"/>
      <c r="P46" s="7"/>
      <c r="Q46" s="7"/>
      <c r="R46" s="7"/>
      <c r="S46" s="7"/>
      <c r="T46" s="7"/>
      <c r="U46" s="7"/>
      <c r="V46" s="7"/>
      <c r="W46" s="7"/>
      <c r="X46" s="7"/>
    </row>
    <row r="49" spans="1:43" ht="23" customHeight="1">
      <c r="A49" s="4" t="s">
        <v>213</v>
      </c>
      <c r="B49" s="4"/>
      <c r="C49" s="4"/>
      <c r="D49" s="4"/>
      <c r="E49" s="4"/>
      <c r="F49" s="4"/>
      <c r="G49" s="4"/>
      <c r="H49" s="4"/>
      <c r="I49" s="4"/>
      <c r="J49" s="4"/>
      <c r="K49" s="4"/>
      <c r="L49" s="4"/>
      <c r="M49" s="4"/>
      <c r="N49" s="4"/>
      <c r="O49" s="4"/>
      <c r="P49" s="4"/>
      <c r="Q49" s="4"/>
      <c r="R49" s="4"/>
      <c r="S49" s="4"/>
      <c r="T49" s="4"/>
      <c r="U49" s="4"/>
      <c r="V49" s="4"/>
      <c r="W49" s="4"/>
      <c r="X49" s="4"/>
    </row>
    <row r="50" spans="1:43" ht="23" customHeight="1">
      <c r="A50" s="7" t="str">
        <f>"Масса замера, кг: "&amp;'Ассортимент'!J10&amp;".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50" s="7"/>
      <c r="C50" s="7"/>
      <c r="D50" s="7"/>
      <c r="E50" s="7"/>
      <c r="F50" s="7"/>
      <c r="G50" s="7"/>
      <c r="H50" s="7"/>
      <c r="I50" s="7"/>
      <c r="J50" s="7"/>
      <c r="K50" s="7"/>
      <c r="L50" s="7"/>
      <c r="M50" s="7"/>
      <c r="N50" s="7"/>
      <c r="O50" s="7"/>
      <c r="P50" s="7"/>
      <c r="Q50" s="7"/>
      <c r="R50" s="7"/>
      <c r="S50" s="7"/>
      <c r="T50" s="7"/>
      <c r="U50" s="7"/>
      <c r="V50" s="7"/>
      <c r="W50" s="7"/>
      <c r="X50" s="7"/>
    </row>
    <row r="51" spans="1:43" ht="44" customHeight="1">
      <c r="A51" s="8" t="s">
        <v>113</v>
      </c>
      <c r="B51" s="8" t="s">
        <v>156</v>
      </c>
      <c r="C51" s="8" t="s">
        <v>157</v>
      </c>
      <c r="D51" s="8" t="s">
        <v>158</v>
      </c>
      <c r="E51" s="8" t="s">
        <v>159</v>
      </c>
      <c r="F51" s="8" t="s">
        <v>160</v>
      </c>
      <c r="G51" s="8" t="s">
        <v>161</v>
      </c>
      <c r="H51" s="8" t="s">
        <v>162</v>
      </c>
      <c r="I51" s="8" t="s">
        <v>163</v>
      </c>
      <c r="J51" s="8" t="s">
        <v>164</v>
      </c>
      <c r="K51" s="8" t="s">
        <v>165</v>
      </c>
      <c r="L51" s="8" t="s">
        <v>166</v>
      </c>
      <c r="M51" s="8" t="s">
        <v>167</v>
      </c>
      <c r="N51" s="8" t="s">
        <v>168</v>
      </c>
      <c r="O51" s="8" t="s">
        <v>169</v>
      </c>
      <c r="P51" s="8" t="s">
        <v>170</v>
      </c>
      <c r="Q51" s="8" t="s">
        <v>171</v>
      </c>
      <c r="R51" s="8" t="s">
        <v>172</v>
      </c>
      <c r="S51" s="8" t="s">
        <v>173</v>
      </c>
      <c r="T51" s="8" t="s">
        <v>174</v>
      </c>
      <c r="U51" s="8" t="s">
        <v>175</v>
      </c>
      <c r="V51" s="8" t="s">
        <v>176</v>
      </c>
      <c r="W51" s="8" t="s">
        <v>177</v>
      </c>
      <c r="X51" s="8" t="s">
        <v>178</v>
      </c>
    </row>
    <row r="52" spans="1:43" ht="23" customHeight="1">
      <c r="B52" s="5" t="s">
        <v>179</v>
      </c>
      <c r="E52" s="12">
        <v>1</v>
      </c>
      <c r="F52" s="12">
        <v>1</v>
      </c>
      <c r="G52" s="12">
        <v>1</v>
      </c>
      <c r="H52" s="12">
        <v>1</v>
      </c>
      <c r="I52" s="12">
        <v>1</v>
      </c>
      <c r="J52" s="12">
        <v>1</v>
      </c>
      <c r="K52" s="12">
        <v>1</v>
      </c>
      <c r="L52" s="12">
        <v>1</v>
      </c>
      <c r="M52" s="12">
        <v>1</v>
      </c>
      <c r="N52" s="12">
        <v>1</v>
      </c>
    </row>
    <row r="53" spans="1:43" ht="33" customHeight="1">
      <c r="B53" s="5" t="s">
        <v>180</v>
      </c>
      <c r="E53" s="9" t="s">
        <v>181</v>
      </c>
      <c r="F53" s="9" t="s">
        <v>181</v>
      </c>
      <c r="G53" s="9" t="s">
        <v>181</v>
      </c>
      <c r="H53" s="9" t="s">
        <v>181</v>
      </c>
      <c r="I53" s="9" t="s">
        <v>181</v>
      </c>
      <c r="J53" s="9" t="s">
        <v>181</v>
      </c>
      <c r="K53" s="9" t="s">
        <v>181</v>
      </c>
      <c r="L53" s="9" t="s">
        <v>181</v>
      </c>
      <c r="M53" s="9" t="s">
        <v>181</v>
      </c>
      <c r="N53" s="9" t="s">
        <v>181</v>
      </c>
    </row>
    <row r="54" spans="1:43" ht="40" customHeight="1">
      <c r="A54" s="5">
        <v>1</v>
      </c>
      <c r="B54" s="5" t="s">
        <v>182</v>
      </c>
      <c r="C54" s="11" t="s">
        <v>183</v>
      </c>
      <c r="D54" s="7" t="s">
        <v>184</v>
      </c>
      <c r="E54" s="12">
        <v>27</v>
      </c>
      <c r="F54" s="12">
        <v>25.5</v>
      </c>
      <c r="G54" s="12">
        <v>26.5</v>
      </c>
      <c r="H54" s="12">
        <v>27.5</v>
      </c>
      <c r="I54" s="12">
        <v>25.75</v>
      </c>
      <c r="J54" s="12">
        <v>26.75</v>
      </c>
      <c r="K54" s="12">
        <v>25.25</v>
      </c>
      <c r="L54" s="12">
        <v>26.25</v>
      </c>
      <c r="M54" s="12">
        <v>25</v>
      </c>
      <c r="N54" s="12">
        <v>26</v>
      </c>
      <c r="O54" s="13">
        <f>IF(COUNT(AG54:AP54)&gt;0,MIN(AG54:AP54),"")</f>
        <v>25</v>
      </c>
      <c r="P54" s="13">
        <f>IF(COUNT(AG54:AP54)&gt;0,MAX(AG54:AP54),"")</f>
        <v>27.5</v>
      </c>
      <c r="Q54" s="13">
        <f>IF(ISNUMBER(O54),P54-O54,"")</f>
        <v>2.5</v>
      </c>
      <c r="R54" s="13">
        <f>IF(ISNUMBER(O54),IF(C54="Ручная",IF($S$66&gt;0,$R$66*Q54/$S$66,IF($W$66=1,$R$66,0)),0),"")</f>
        <v>0.878000000000009</v>
      </c>
      <c r="S54" s="13">
        <f>IF(ISNUMBER(O54),O54+R54,"")</f>
        <v>25.878</v>
      </c>
      <c r="T54" s="13">
        <f>IF(ISNUMBER(S54),P54-S54,"")</f>
        <v>1.62199999999999</v>
      </c>
      <c r="U54" s="13">
        <f>IF(COUNT(AG54:AP54)&gt;0,AVERAGE(AG54:AP54),"")</f>
        <v>26.15</v>
      </c>
      <c r="AG54" s="13">
        <f>IF(ISNUMBER(E$66),E54,"")</f>
        <v>27</v>
      </c>
      <c r="AH54" s="13">
        <f>IF(ISNUMBER(F$66),F54,"")</f>
        <v>25.5</v>
      </c>
      <c r="AI54" s="13">
        <f>IF(ISNUMBER(G$66),G54,"")</f>
        <v>26.5</v>
      </c>
      <c r="AJ54" s="13">
        <f>IF(ISNUMBER(H$66),H54,"")</f>
        <v>27.5</v>
      </c>
      <c r="AK54" s="13">
        <f>IF(ISNUMBER(I$66),I54,"")</f>
        <v>25.75</v>
      </c>
      <c r="AL54" s="13">
        <f>IF(ISNUMBER(J$66),J54,"")</f>
        <v>26.75</v>
      </c>
      <c r="AM54" s="13">
        <f>IF(ISNUMBER(K$66),K54,"")</f>
        <v>25.25</v>
      </c>
      <c r="AN54" s="13">
        <f>IF(ISNUMBER(L$66),L54,"")</f>
        <v>26.25</v>
      </c>
      <c r="AO54" s="13">
        <f>IF(ISNUMBER(M$66),M54,"")</f>
        <v>25</v>
      </c>
      <c r="AP54" s="13">
        <f>IF(ISNUMBER(N$66),N54,"")</f>
        <v>26</v>
      </c>
      <c r="AQ54" s="13">
        <f>IF(C54="Ручная",O54,0)</f>
        <v>25</v>
      </c>
    </row>
    <row r="55" spans="1:43" ht="40" customHeight="1">
      <c r="A55" s="5">
        <v>2</v>
      </c>
      <c r="B55" s="5" t="s">
        <v>185</v>
      </c>
      <c r="C55" s="11" t="s">
        <v>183</v>
      </c>
      <c r="D55" s="7" t="s">
        <v>186</v>
      </c>
      <c r="E55" s="12">
        <v>132</v>
      </c>
      <c r="F55" s="12">
        <v>123.6</v>
      </c>
      <c r="G55" s="12">
        <v>128.4</v>
      </c>
      <c r="H55" s="12">
        <v>121.2</v>
      </c>
      <c r="I55" s="12">
        <v>126</v>
      </c>
      <c r="J55" s="12">
        <v>120</v>
      </c>
      <c r="K55" s="12">
        <v>124.8</v>
      </c>
      <c r="L55" s="12">
        <v>129.6</v>
      </c>
      <c r="M55" s="12">
        <v>122.4</v>
      </c>
      <c r="N55" s="12">
        <v>127.2</v>
      </c>
      <c r="O55" s="13">
        <f>IF(COUNT(AG55:AP55)&gt;0,MIN(AG55:AP55),"")</f>
        <v>120</v>
      </c>
      <c r="P55" s="13">
        <f>IF(COUNT(AG55:AP55)&gt;0,MAX(AG55:AP55),"")</f>
        <v>132</v>
      </c>
      <c r="Q55" s="13">
        <f>IF(ISNUMBER(O55),P55-O55,"")</f>
        <v>12</v>
      </c>
      <c r="R55" s="13">
        <f>IF(ISNUMBER(O55),IF(C55="Ручная",IF($S$66&gt;0,$R$66*Q55/$S$66,IF($W$66=2,$R$66,0)),0),"")</f>
        <v>4.21440000000004</v>
      </c>
      <c r="S55" s="13">
        <f>IF(ISNUMBER(O55),O55+R55,"")</f>
        <v>124.2144</v>
      </c>
      <c r="T55" s="13">
        <f>IF(ISNUMBER(S55),P55-S55,"")</f>
        <v>7.78559999999996</v>
      </c>
      <c r="U55" s="13">
        <f>IF(COUNT(AG55:AP55)&gt;0,AVERAGE(AG55:AP55),"")</f>
        <v>125.52</v>
      </c>
      <c r="AG55" s="13">
        <f>IF(ISNUMBER(E$66),E55,"")</f>
        <v>132</v>
      </c>
      <c r="AH55" s="13">
        <f>IF(ISNUMBER(F$66),F55,"")</f>
        <v>123.6</v>
      </c>
      <c r="AI55" s="13">
        <f>IF(ISNUMBER(G$66),G55,"")</f>
        <v>128.4</v>
      </c>
      <c r="AJ55" s="13">
        <f>IF(ISNUMBER(H$66),H55,"")</f>
        <v>121.2</v>
      </c>
      <c r="AK55" s="13">
        <f>IF(ISNUMBER(I$66),I55,"")</f>
        <v>126</v>
      </c>
      <c r="AL55" s="13">
        <f>IF(ISNUMBER(J$66),J55,"")</f>
        <v>120</v>
      </c>
      <c r="AM55" s="13">
        <f>IF(ISNUMBER(K$66),K55,"")</f>
        <v>124.8</v>
      </c>
      <c r="AN55" s="13">
        <f>IF(ISNUMBER(L$66),L55,"")</f>
        <v>129.6</v>
      </c>
      <c r="AO55" s="13">
        <f>IF(ISNUMBER(M$66),M55,"")</f>
        <v>122.4</v>
      </c>
      <c r="AP55" s="13">
        <f>IF(ISNUMBER(N$66),N55,"")</f>
        <v>127.2</v>
      </c>
      <c r="AQ55" s="13">
        <f>IF(C55="Ручная",O55,0)</f>
        <v>120</v>
      </c>
    </row>
    <row r="56" spans="1:43" ht="40" customHeight="1">
      <c r="A56" s="5">
        <v>3</v>
      </c>
      <c r="B56" s="5" t="s">
        <v>187</v>
      </c>
      <c r="C56" s="11" t="s">
        <v>183</v>
      </c>
      <c r="D56" s="7" t="s">
        <v>188</v>
      </c>
      <c r="E56" s="12">
        <v>22.22</v>
      </c>
      <c r="F56" s="12">
        <v>23.1</v>
      </c>
      <c r="G56" s="12">
        <v>22</v>
      </c>
      <c r="H56" s="12">
        <v>22.88</v>
      </c>
      <c r="I56" s="12">
        <v>23.76</v>
      </c>
      <c r="J56" s="12">
        <v>22.44</v>
      </c>
      <c r="K56" s="12">
        <v>23.32</v>
      </c>
      <c r="L56" s="12">
        <v>24.2</v>
      </c>
      <c r="M56" s="12">
        <v>22.66</v>
      </c>
      <c r="N56" s="12">
        <v>23.54</v>
      </c>
      <c r="O56" s="13">
        <f>IF(COUNT(AG56:AP56)&gt;0,MIN(AG56:AP56),"")</f>
        <v>22</v>
      </c>
      <c r="P56" s="13">
        <f>IF(COUNT(AG56:AP56)&gt;0,MAX(AG56:AP56),"")</f>
        <v>24.2</v>
      </c>
      <c r="Q56" s="13">
        <f>IF(ISNUMBER(O56),P56-O56,"")</f>
        <v>2.2</v>
      </c>
      <c r="R56" s="13">
        <f>IF(ISNUMBER(O56),IF(C56="Ручная",IF($S$66&gt;0,$R$66*Q56/$S$66,IF($W$66=3,$R$66,0)),0),"")</f>
        <v>0.772640000000007</v>
      </c>
      <c r="S56" s="13">
        <f>IF(ISNUMBER(O56),O56+R56,"")</f>
        <v>22.77264</v>
      </c>
      <c r="T56" s="13">
        <f>IF(ISNUMBER(S56),P56-S56,"")</f>
        <v>1.42735999999999</v>
      </c>
      <c r="U56" s="13">
        <f>IF(COUNT(AG56:AP56)&gt;0,AVERAGE(AG56:AP56),"")</f>
        <v>23.012</v>
      </c>
      <c r="AG56" s="13">
        <f>IF(ISNUMBER(E$66),E56,"")</f>
        <v>22.22</v>
      </c>
      <c r="AH56" s="13">
        <f>IF(ISNUMBER(F$66),F56,"")</f>
        <v>23.1</v>
      </c>
      <c r="AI56" s="13">
        <f>IF(ISNUMBER(G$66),G56,"")</f>
        <v>22</v>
      </c>
      <c r="AJ56" s="13">
        <f>IF(ISNUMBER(H$66),H56,"")</f>
        <v>22.88</v>
      </c>
      <c r="AK56" s="13">
        <f>IF(ISNUMBER(I$66),I56,"")</f>
        <v>23.76</v>
      </c>
      <c r="AL56" s="13">
        <f>IF(ISNUMBER(J$66),J56,"")</f>
        <v>22.44</v>
      </c>
      <c r="AM56" s="13">
        <f>IF(ISNUMBER(K$66),K56,"")</f>
        <v>23.32</v>
      </c>
      <c r="AN56" s="13">
        <f>IF(ISNUMBER(L$66),L56,"")</f>
        <v>24.2</v>
      </c>
      <c r="AO56" s="13">
        <f>IF(ISNUMBER(M$66),M56,"")</f>
        <v>22.66</v>
      </c>
      <c r="AP56" s="13">
        <f>IF(ISNUMBER(N$66),N56,"")</f>
        <v>23.54</v>
      </c>
      <c r="AQ56" s="13">
        <f>IF(C56="Ручная",O56,0)</f>
        <v>22</v>
      </c>
    </row>
    <row r="57" spans="1:43" ht="40" customHeight="1">
      <c r="A57" s="5" t="s">
        <v>189</v>
      </c>
      <c r="B57" s="5" t="s">
        <v>190</v>
      </c>
      <c r="C57" s="11" t="s">
        <v>191</v>
      </c>
      <c r="D57" s="7" t="s">
        <v>192</v>
      </c>
      <c r="E57" s="12">
        <v>12.48</v>
      </c>
      <c r="F57" s="12">
        <v>12.96</v>
      </c>
      <c r="G57" s="12">
        <v>12.24</v>
      </c>
      <c r="H57" s="12">
        <v>12.72</v>
      </c>
      <c r="I57" s="12">
        <v>13.2</v>
      </c>
      <c r="J57" s="12">
        <v>12.36</v>
      </c>
      <c r="K57" s="12">
        <v>12.84</v>
      </c>
      <c r="L57" s="12">
        <v>12.12</v>
      </c>
      <c r="M57" s="12">
        <v>12.6</v>
      </c>
      <c r="N57" s="12">
        <v>12</v>
      </c>
      <c r="O57" s="13">
        <f>IF(COUNT(AG57:AP57)&gt;0,MIN(AG57:AP57),"")</f>
        <v>12</v>
      </c>
      <c r="P57" s="13">
        <f>IF(COUNT(AG57:AP57)&gt;0,MAX(AG57:AP57),"")</f>
        <v>13.2</v>
      </c>
      <c r="Q57" s="13">
        <f>IF(ISNUMBER(O57),P57-O57,"")</f>
        <v>1.2</v>
      </c>
      <c r="R57" s="13">
        <f>IF(ISNUMBER(O57),IF(C57="Ручная",IF($S$66&gt;0,$R$66*Q57/$S$66,IF($W$66=4,$R$66,0)),0),"")</f>
        <v>0</v>
      </c>
      <c r="S57" s="13">
        <f>IF(ISNUMBER(O57),O57+R57,"")</f>
        <v>12</v>
      </c>
      <c r="T57" s="13">
        <f>IF(ISNUMBER(S57),P57-S57,"")</f>
        <v>1.2</v>
      </c>
      <c r="U57" s="13">
        <f>IF(COUNT(AG57:AP57)&gt;0,AVERAGE(AG57:AP57),"")</f>
        <v>12.552</v>
      </c>
      <c r="AG57" s="13">
        <f>IF(ISNUMBER(E$66),E57,"")</f>
        <v>12.48</v>
      </c>
      <c r="AH57" s="13">
        <f>IF(ISNUMBER(F$66),F57,"")</f>
        <v>12.96</v>
      </c>
      <c r="AI57" s="13">
        <f>IF(ISNUMBER(G$66),G57,"")</f>
        <v>12.24</v>
      </c>
      <c r="AJ57" s="13">
        <f>IF(ISNUMBER(H$66),H57,"")</f>
        <v>12.72</v>
      </c>
      <c r="AK57" s="13">
        <f>IF(ISNUMBER(I$66),I57,"")</f>
        <v>13.2</v>
      </c>
      <c r="AL57" s="13">
        <f>IF(ISNUMBER(J$66),J57,"")</f>
        <v>12.36</v>
      </c>
      <c r="AM57" s="13">
        <f>IF(ISNUMBER(K$66),K57,"")</f>
        <v>12.84</v>
      </c>
      <c r="AN57" s="13">
        <f>IF(ISNUMBER(L$66),L57,"")</f>
        <v>12.12</v>
      </c>
      <c r="AO57" s="13">
        <f>IF(ISNUMBER(M$66),M57,"")</f>
        <v>12.6</v>
      </c>
      <c r="AP57" s="13">
        <f>IF(ISNUMBER(N$66),N57,"")</f>
        <v>12</v>
      </c>
      <c r="AQ57" s="13">
        <f>IF(C57="Ручная",O57,0)</f>
        <v>0</v>
      </c>
    </row>
    <row r="58" spans="1:43" ht="40" customHeight="1">
      <c r="A58" s="5">
        <v>5</v>
      </c>
      <c r="B58" s="5" t="s">
        <v>193</v>
      </c>
      <c r="C58" s="11" t="s">
        <v>183</v>
      </c>
      <c r="D58" s="7" t="s">
        <v>194</v>
      </c>
      <c r="E58" s="12">
        <v>37.1</v>
      </c>
      <c r="F58" s="12">
        <v>38.5</v>
      </c>
      <c r="G58" s="12">
        <v>36.05</v>
      </c>
      <c r="H58" s="12">
        <v>37.45</v>
      </c>
      <c r="I58" s="12">
        <v>35.35</v>
      </c>
      <c r="J58" s="12">
        <v>36.75</v>
      </c>
      <c r="K58" s="12">
        <v>35</v>
      </c>
      <c r="L58" s="12">
        <v>36.4</v>
      </c>
      <c r="M58" s="12">
        <v>37.8</v>
      </c>
      <c r="N58" s="12">
        <v>35.7</v>
      </c>
      <c r="O58" s="13">
        <f>IF(COUNT(AG58:AP58)&gt;0,MIN(AG58:AP58),"")</f>
        <v>35</v>
      </c>
      <c r="P58" s="13">
        <f>IF(COUNT(AG58:AP58)&gt;0,MAX(AG58:AP58),"")</f>
        <v>38.5</v>
      </c>
      <c r="Q58" s="13">
        <f>IF(ISNUMBER(O58),P58-O58,"")</f>
        <v>3.5</v>
      </c>
      <c r="R58" s="13">
        <f>IF(ISNUMBER(O58),IF(C58="Ручная",IF($S$66&gt;0,$R$66*Q58/$S$66,IF($W$66=5,$R$66,0)),0),"")</f>
        <v>1.22920000000001</v>
      </c>
      <c r="S58" s="13">
        <f>IF(ISNUMBER(O58),O58+R58,"")</f>
        <v>36.2292</v>
      </c>
      <c r="T58" s="13">
        <f>IF(ISNUMBER(S58),P58-S58,"")</f>
        <v>2.27079999999999</v>
      </c>
      <c r="U58" s="13">
        <f>IF(COUNT(AG58:AP58)&gt;0,AVERAGE(AG58:AP58),"")</f>
        <v>36.61</v>
      </c>
      <c r="AG58" s="13">
        <f>IF(ISNUMBER(E$66),E58,"")</f>
        <v>37.1</v>
      </c>
      <c r="AH58" s="13">
        <f>IF(ISNUMBER(F$66),F58,"")</f>
        <v>38.5</v>
      </c>
      <c r="AI58" s="13">
        <f>IF(ISNUMBER(G$66),G58,"")</f>
        <v>36.05</v>
      </c>
      <c r="AJ58" s="13">
        <f>IF(ISNUMBER(H$66),H58,"")</f>
        <v>37.45</v>
      </c>
      <c r="AK58" s="13">
        <f>IF(ISNUMBER(I$66),I58,"")</f>
        <v>35.35</v>
      </c>
      <c r="AL58" s="13">
        <f>IF(ISNUMBER(J$66),J58,"")</f>
        <v>36.75</v>
      </c>
      <c r="AM58" s="13">
        <f>IF(ISNUMBER(K$66),K58,"")</f>
        <v>35</v>
      </c>
      <c r="AN58" s="13">
        <f>IF(ISNUMBER(L$66),L58,"")</f>
        <v>36.4</v>
      </c>
      <c r="AO58" s="13">
        <f>IF(ISNUMBER(M$66),M58,"")</f>
        <v>37.8</v>
      </c>
      <c r="AP58" s="13">
        <f>IF(ISNUMBER(N$66),N58,"")</f>
        <v>35.7</v>
      </c>
      <c r="AQ58" s="13">
        <f>IF(C58="Ручная",O58,0)</f>
        <v>35</v>
      </c>
    </row>
    <row r="59" spans="1:43" ht="40" customHeight="1">
      <c r="A59" s="5" t="s">
        <v>189</v>
      </c>
      <c r="B59" s="5" t="s">
        <v>195</v>
      </c>
      <c r="C59" s="11" t="s">
        <v>196</v>
      </c>
      <c r="D59" s="7" t="s">
        <v>197</v>
      </c>
      <c r="E59" s="18">
        <f>'Ассортимент'!R10</f>
        <v>450</v>
      </c>
      <c r="F59" s="18">
        <f>'Ассортимент'!R10</f>
        <v>450</v>
      </c>
      <c r="G59" s="18">
        <f>'Ассортимент'!R10</f>
        <v>450</v>
      </c>
      <c r="H59" s="18">
        <f>'Ассортимент'!R10</f>
        <v>450</v>
      </c>
      <c r="I59" s="18">
        <f>'Ассортимент'!R10</f>
        <v>450</v>
      </c>
      <c r="J59" s="18">
        <f>'Ассортимент'!R10</f>
        <v>450</v>
      </c>
      <c r="K59" s="18">
        <f>'Ассортимент'!R10</f>
        <v>450</v>
      </c>
      <c r="L59" s="18">
        <f>'Ассортимент'!R10</f>
        <v>450</v>
      </c>
      <c r="M59" s="18">
        <f>'Ассортимент'!R10</f>
        <v>450</v>
      </c>
      <c r="N59" s="18">
        <f>'Ассортимент'!R10</f>
        <v>450</v>
      </c>
      <c r="O59" s="13">
        <f>IF(COUNT(AG59:AP59)&gt;0,MIN(AG59:AP59),"")</f>
        <v>450</v>
      </c>
      <c r="P59" s="13">
        <f>IF(COUNT(AG59:AP59)&gt;0,MAX(AG59:AP59),"")</f>
        <v>450</v>
      </c>
      <c r="Q59" s="13">
        <f>IF(ISNUMBER(O59),P59-O59,"")</f>
        <v>0</v>
      </c>
      <c r="R59" s="13">
        <f>IF(ISNUMBER(O59),IF(C59="Ручная",IF($S$66&gt;0,$R$66*Q59/$S$66,IF($W$66=6,$R$66,0)),0),"")</f>
        <v>0</v>
      </c>
      <c r="S59" s="13">
        <f>IF(ISNUMBER(O59),O59+R59,"")</f>
        <v>450</v>
      </c>
      <c r="T59" s="13">
        <f>IF(ISNUMBER(S59),P59-S59,"")</f>
        <v>0</v>
      </c>
      <c r="U59" s="13">
        <f>IF(COUNT(AG59:AP59)&gt;0,AVERAGE(AG59:AP59),"")</f>
        <v>450</v>
      </c>
      <c r="AG59" s="13">
        <f>IF(ISNUMBER(E$66),E59,"")</f>
        <v>450</v>
      </c>
      <c r="AH59" s="13">
        <f>IF(ISNUMBER(F$66),F59,"")</f>
        <v>450</v>
      </c>
      <c r="AI59" s="13">
        <f>IF(ISNUMBER(G$66),G59,"")</f>
        <v>450</v>
      </c>
      <c r="AJ59" s="13">
        <f>IF(ISNUMBER(H$66),H59,"")</f>
        <v>450</v>
      </c>
      <c r="AK59" s="13">
        <f>IF(ISNUMBER(I$66),I59,"")</f>
        <v>450</v>
      </c>
      <c r="AL59" s="13">
        <f>IF(ISNUMBER(J$66),J59,"")</f>
        <v>450</v>
      </c>
      <c r="AM59" s="13">
        <f>IF(ISNUMBER(K$66),K59,"")</f>
        <v>450</v>
      </c>
      <c r="AN59" s="13">
        <f>IF(ISNUMBER(L$66),L59,"")</f>
        <v>450</v>
      </c>
      <c r="AO59" s="13">
        <f>IF(ISNUMBER(M$66),M59,"")</f>
        <v>450</v>
      </c>
      <c r="AP59" s="13">
        <f>IF(ISNUMBER(N$66),N59,"")</f>
        <v>450</v>
      </c>
      <c r="AQ59" s="13">
        <f>IF(C59="Ручная",O59,0)</f>
        <v>0</v>
      </c>
    </row>
    <row r="60" spans="1:43" ht="40" customHeight="1">
      <c r="A60" s="5">
        <v>7</v>
      </c>
      <c r="B60" s="5" t="s">
        <v>198</v>
      </c>
      <c r="C60" s="11" t="s">
        <v>183</v>
      </c>
      <c r="D60" s="7" t="s">
        <v>199</v>
      </c>
      <c r="E60" s="12">
        <v>30</v>
      </c>
      <c r="F60" s="12">
        <v>31.2</v>
      </c>
      <c r="G60" s="12">
        <v>32.4</v>
      </c>
      <c r="H60" s="12">
        <v>30.6</v>
      </c>
      <c r="I60" s="12">
        <v>31.8</v>
      </c>
      <c r="J60" s="12">
        <v>33</v>
      </c>
      <c r="K60" s="12">
        <v>30.9</v>
      </c>
      <c r="L60" s="12">
        <v>32.1</v>
      </c>
      <c r="M60" s="12">
        <v>30.3</v>
      </c>
      <c r="N60" s="12">
        <v>31.5</v>
      </c>
      <c r="O60" s="13">
        <f>IF(COUNT(AG60:AP60)&gt;0,MIN(AG60:AP60),"")</f>
        <v>30</v>
      </c>
      <c r="P60" s="13">
        <f>IF(COUNT(AG60:AP60)&gt;0,MAX(AG60:AP60),"")</f>
        <v>33</v>
      </c>
      <c r="Q60" s="13">
        <f>IF(ISNUMBER(O60),P60-O60,"")</f>
        <v>3</v>
      </c>
      <c r="R60" s="13">
        <f>IF(ISNUMBER(O60),IF(C60="Ручная",IF($S$66&gt;0,$R$66*Q60/$S$66,IF($W$66=7,$R$66,0)),0),"")</f>
        <v>1.05360000000001</v>
      </c>
      <c r="S60" s="13">
        <f>IF(ISNUMBER(O60),O60+R60,"")</f>
        <v>31.0536</v>
      </c>
      <c r="T60" s="13">
        <f>IF(ISNUMBER(S60),P60-S60,"")</f>
        <v>1.94639999999999</v>
      </c>
      <c r="U60" s="13">
        <f>IF(COUNT(AG60:AP60)&gt;0,AVERAGE(AG60:AP60),"")</f>
        <v>31.38</v>
      </c>
      <c r="AG60" s="13">
        <f>IF(ISNUMBER(E$66),E60,"")</f>
        <v>30</v>
      </c>
      <c r="AH60" s="13">
        <f>IF(ISNUMBER(F$66),F60,"")</f>
        <v>31.2</v>
      </c>
      <c r="AI60" s="13">
        <f>IF(ISNUMBER(G$66),G60,"")</f>
        <v>32.4</v>
      </c>
      <c r="AJ60" s="13">
        <f>IF(ISNUMBER(H$66),H60,"")</f>
        <v>30.6</v>
      </c>
      <c r="AK60" s="13">
        <f>IF(ISNUMBER(I$66),I60,"")</f>
        <v>31.8</v>
      </c>
      <c r="AL60" s="13">
        <f>IF(ISNUMBER(J$66),J60,"")</f>
        <v>33</v>
      </c>
      <c r="AM60" s="13">
        <f>IF(ISNUMBER(K$66),K60,"")</f>
        <v>30.9</v>
      </c>
      <c r="AN60" s="13">
        <f>IF(ISNUMBER(L$66),L60,"")</f>
        <v>32.1</v>
      </c>
      <c r="AO60" s="13">
        <f>IF(ISNUMBER(M$66),M60,"")</f>
        <v>30.3</v>
      </c>
      <c r="AP60" s="13">
        <f>IF(ISNUMBER(N$66),N60,"")</f>
        <v>31.5</v>
      </c>
      <c r="AQ60" s="13">
        <f>IF(C60="Ручная",O60,0)</f>
        <v>30</v>
      </c>
    </row>
    <row r="61" spans="1:43" ht="40" customHeight="1">
      <c r="A61" s="5">
        <v>8</v>
      </c>
      <c r="B61" s="5" t="s">
        <v>200</v>
      </c>
      <c r="C61" s="11" t="s">
        <v>183</v>
      </c>
      <c r="D61" s="7" t="s">
        <v>201</v>
      </c>
      <c r="E61" s="12">
        <v>18.36</v>
      </c>
      <c r="F61" s="12">
        <v>19.08</v>
      </c>
      <c r="G61" s="12">
        <v>19.8</v>
      </c>
      <c r="H61" s="12">
        <v>18.54</v>
      </c>
      <c r="I61" s="12">
        <v>19.26</v>
      </c>
      <c r="J61" s="12">
        <v>18.18</v>
      </c>
      <c r="K61" s="12">
        <v>18.9</v>
      </c>
      <c r="L61" s="12">
        <v>18</v>
      </c>
      <c r="M61" s="12">
        <v>18.72</v>
      </c>
      <c r="N61" s="12">
        <v>19.44</v>
      </c>
      <c r="O61" s="13">
        <f>IF(COUNT(AG61:AP61)&gt;0,MIN(AG61:AP61),"")</f>
        <v>18</v>
      </c>
      <c r="P61" s="13">
        <f>IF(COUNT(AG61:AP61)&gt;0,MAX(AG61:AP61),"")</f>
        <v>19.8</v>
      </c>
      <c r="Q61" s="13">
        <f>IF(ISNUMBER(O61),P61-O61,"")</f>
        <v>1.8</v>
      </c>
      <c r="R61" s="13">
        <f>IF(ISNUMBER(O61),IF(C61="Ручная",IF($S$66&gt;0,$R$66*Q61/$S$66,IF($W$66=8,$R$66,0)),0),"")</f>
        <v>0.632160000000006</v>
      </c>
      <c r="S61" s="13">
        <f>IF(ISNUMBER(O61),O61+R61,"")</f>
        <v>18.63216</v>
      </c>
      <c r="T61" s="13">
        <f>IF(ISNUMBER(S61),P61-S61,"")</f>
        <v>1.16783999999999</v>
      </c>
      <c r="U61" s="13">
        <f>IF(COUNT(AG61:AP61)&gt;0,AVERAGE(AG61:AP61),"")</f>
        <v>18.828</v>
      </c>
      <c r="AG61" s="13">
        <f>IF(ISNUMBER(E$66),E61,"")</f>
        <v>18.36</v>
      </c>
      <c r="AH61" s="13">
        <f>IF(ISNUMBER(F$66),F61,"")</f>
        <v>19.08</v>
      </c>
      <c r="AI61" s="13">
        <f>IF(ISNUMBER(G$66),G61,"")</f>
        <v>19.8</v>
      </c>
      <c r="AJ61" s="13">
        <f>IF(ISNUMBER(H$66),H61,"")</f>
        <v>18.54</v>
      </c>
      <c r="AK61" s="13">
        <f>IF(ISNUMBER(I$66),I61,"")</f>
        <v>19.26</v>
      </c>
      <c r="AL61" s="13">
        <f>IF(ISNUMBER(J$66),J61,"")</f>
        <v>18.18</v>
      </c>
      <c r="AM61" s="13">
        <f>IF(ISNUMBER(K$66),K61,"")</f>
        <v>18.9</v>
      </c>
      <c r="AN61" s="13">
        <f>IF(ISNUMBER(L$66),L61,"")</f>
        <v>18</v>
      </c>
      <c r="AO61" s="13">
        <f>IF(ISNUMBER(M$66),M61,"")</f>
        <v>18.72</v>
      </c>
      <c r="AP61" s="13">
        <f>IF(ISNUMBER(N$66),N61,"")</f>
        <v>19.44</v>
      </c>
      <c r="AQ61" s="13">
        <f>IF(C61="Ручная",O61,0)</f>
        <v>18</v>
      </c>
    </row>
    <row r="62" spans="1:43" ht="40" customHeight="1">
      <c r="A62" s="5" t="s">
        <v>189</v>
      </c>
      <c r="B62" s="5" t="s">
        <v>202</v>
      </c>
      <c r="C62" s="11" t="s">
        <v>191</v>
      </c>
      <c r="D62" s="7" t="s">
        <v>203</v>
      </c>
      <c r="E62" s="12">
        <v>10.3</v>
      </c>
      <c r="F62" s="12">
        <v>10.7</v>
      </c>
      <c r="G62" s="12">
        <v>10.1</v>
      </c>
      <c r="H62" s="12">
        <v>10.5</v>
      </c>
      <c r="I62" s="12">
        <v>10</v>
      </c>
      <c r="J62" s="12">
        <v>10.4</v>
      </c>
      <c r="K62" s="12">
        <v>10.8</v>
      </c>
      <c r="L62" s="12">
        <v>10.2</v>
      </c>
      <c r="M62" s="12">
        <v>10.6</v>
      </c>
      <c r="N62" s="12">
        <v>11</v>
      </c>
      <c r="O62" s="13">
        <f>IF(COUNT(AG62:AP62)&gt;0,MIN(AG62:AP62),"")</f>
        <v>10</v>
      </c>
      <c r="P62" s="13">
        <f>IF(COUNT(AG62:AP62)&gt;0,MAX(AG62:AP62),"")</f>
        <v>11</v>
      </c>
      <c r="Q62" s="13">
        <f>IF(ISNUMBER(O62),P62-O62,"")</f>
        <v>1</v>
      </c>
      <c r="R62" s="13">
        <f>IF(ISNUMBER(O62),IF(C62="Ручная",IF($S$66&gt;0,$R$66*Q62/$S$66,IF($W$66=9,$R$66,0)),0),"")</f>
        <v>0</v>
      </c>
      <c r="S62" s="13">
        <f>IF(ISNUMBER(O62),O62+R62,"")</f>
        <v>10</v>
      </c>
      <c r="T62" s="13">
        <f>IF(ISNUMBER(S62),P62-S62,"")</f>
        <v>1</v>
      </c>
      <c r="U62" s="13">
        <f>IF(COUNT(AG62:AP62)&gt;0,AVERAGE(AG62:AP62),"")</f>
        <v>10.46</v>
      </c>
      <c r="AG62" s="13">
        <f>IF(ISNUMBER(E$66),E62,"")</f>
        <v>10.3</v>
      </c>
      <c r="AH62" s="13">
        <f>IF(ISNUMBER(F$66),F62,"")</f>
        <v>10.7</v>
      </c>
      <c r="AI62" s="13">
        <f>IF(ISNUMBER(G$66),G62,"")</f>
        <v>10.1</v>
      </c>
      <c r="AJ62" s="13">
        <f>IF(ISNUMBER(H$66),H62,"")</f>
        <v>10.5</v>
      </c>
      <c r="AK62" s="13">
        <f>IF(ISNUMBER(I$66),I62,"")</f>
        <v>10</v>
      </c>
      <c r="AL62" s="13">
        <f>IF(ISNUMBER(J$66),J62,"")</f>
        <v>10.4</v>
      </c>
      <c r="AM62" s="13">
        <f>IF(ISNUMBER(K$66),K62,"")</f>
        <v>10.8</v>
      </c>
      <c r="AN62" s="13">
        <f>IF(ISNUMBER(L$66),L62,"")</f>
        <v>10.2</v>
      </c>
      <c r="AO62" s="13">
        <f>IF(ISNUMBER(M$66),M62,"")</f>
        <v>10.6</v>
      </c>
      <c r="AP62" s="13">
        <f>IF(ISNUMBER(N$66),N62,"")</f>
        <v>11</v>
      </c>
      <c r="AQ62" s="13">
        <f>IF(C62="Ручная",O62,0)</f>
        <v>0</v>
      </c>
    </row>
    <row r="63" spans="1:43" ht="40" customHeight="1">
      <c r="A63" s="5" t="s">
        <v>189</v>
      </c>
      <c r="B63" s="5" t="s">
        <v>204</v>
      </c>
      <c r="C63" s="11" t="s">
        <v>191</v>
      </c>
      <c r="D63" s="7" t="s">
        <v>205</v>
      </c>
      <c r="E63" s="12">
        <v>10.5</v>
      </c>
      <c r="F63" s="12">
        <v>10</v>
      </c>
      <c r="G63" s="12">
        <v>10.4</v>
      </c>
      <c r="H63" s="12">
        <v>10.8</v>
      </c>
      <c r="I63" s="12">
        <v>10.2</v>
      </c>
      <c r="J63" s="12">
        <v>10.6</v>
      </c>
      <c r="K63" s="12">
        <v>11</v>
      </c>
      <c r="L63" s="12">
        <v>10.3</v>
      </c>
      <c r="M63" s="12">
        <v>10.7</v>
      </c>
      <c r="N63" s="12">
        <v>10.1</v>
      </c>
      <c r="O63" s="13">
        <f>IF(COUNT(AG63:AP63)&gt;0,MIN(AG63:AP63),"")</f>
        <v>10</v>
      </c>
      <c r="P63" s="13">
        <f>IF(COUNT(AG63:AP63)&gt;0,MAX(AG63:AP63),"")</f>
        <v>11</v>
      </c>
      <c r="Q63" s="13">
        <f>IF(ISNUMBER(O63),P63-O63,"")</f>
        <v>1</v>
      </c>
      <c r="R63" s="13">
        <f>IF(ISNUMBER(O63),IF(C63="Ручная",IF($S$66&gt;0,$R$66*Q63/$S$66,IF($W$66=10,$R$66,0)),0),"")</f>
        <v>0</v>
      </c>
      <c r="S63" s="13">
        <f>IF(ISNUMBER(O63),O63+R63,"")</f>
        <v>10</v>
      </c>
      <c r="T63" s="13">
        <f>IF(ISNUMBER(S63),P63-S63,"")</f>
        <v>1</v>
      </c>
      <c r="U63" s="13">
        <f>IF(COUNT(AG63:AP63)&gt;0,AVERAGE(AG63:AP63),"")</f>
        <v>10.46</v>
      </c>
      <c r="AG63" s="13">
        <f>IF(ISNUMBER(E$66),E63,"")</f>
        <v>10.5</v>
      </c>
      <c r="AH63" s="13">
        <f>IF(ISNUMBER(F$66),F63,"")</f>
        <v>10</v>
      </c>
      <c r="AI63" s="13">
        <f>IF(ISNUMBER(G$66),G63,"")</f>
        <v>10.4</v>
      </c>
      <c r="AJ63" s="13">
        <f>IF(ISNUMBER(H$66),H63,"")</f>
        <v>10.8</v>
      </c>
      <c r="AK63" s="13">
        <f>IF(ISNUMBER(I$66),I63,"")</f>
        <v>10.2</v>
      </c>
      <c r="AL63" s="13">
        <f>IF(ISNUMBER(J$66),J63,"")</f>
        <v>10.6</v>
      </c>
      <c r="AM63" s="13">
        <f>IF(ISNUMBER(K$66),K63,"")</f>
        <v>11</v>
      </c>
      <c r="AN63" s="13">
        <f>IF(ISNUMBER(L$66),L63,"")</f>
        <v>10.3</v>
      </c>
      <c r="AO63" s="13">
        <f>IF(ISNUMBER(M$66),M63,"")</f>
        <v>10.7</v>
      </c>
      <c r="AP63" s="13">
        <f>IF(ISNUMBER(N$66),N63,"")</f>
        <v>10.1</v>
      </c>
      <c r="AQ63" s="13">
        <f>IF(C63="Ручная",O63,0)</f>
        <v>0</v>
      </c>
    </row>
    <row r="64" spans="1:43" ht="40" customHeight="1">
      <c r="A64" s="5" t="s">
        <v>189</v>
      </c>
      <c r="B64" s="5" t="s">
        <v>206</v>
      </c>
      <c r="C64" s="11" t="s">
        <v>207</v>
      </c>
      <c r="D64" s="7" t="s">
        <v>208</v>
      </c>
      <c r="E64" s="12">
        <v>12.96</v>
      </c>
      <c r="F64" s="12">
        <v>12.24</v>
      </c>
      <c r="G64" s="12">
        <v>12.72</v>
      </c>
      <c r="H64" s="12">
        <v>13.2</v>
      </c>
      <c r="I64" s="12">
        <v>12.36</v>
      </c>
      <c r="J64" s="12">
        <v>12.84</v>
      </c>
      <c r="K64" s="12">
        <v>12.12</v>
      </c>
      <c r="L64" s="12">
        <v>12.6</v>
      </c>
      <c r="M64" s="12">
        <v>12</v>
      </c>
      <c r="N64" s="12">
        <v>12.48</v>
      </c>
      <c r="O64" s="13">
        <f>IF(COUNT(AG64:AP64)&gt;0,MIN(AG64:AP64),"")</f>
        <v>12</v>
      </c>
      <c r="P64" s="13">
        <f>IF(COUNT(AG64:AP64)&gt;0,MAX(AG64:AP64),"")</f>
        <v>13.2</v>
      </c>
      <c r="Q64" s="13">
        <f>IF(ISNUMBER(O64),P64-O64,"")</f>
        <v>1.2</v>
      </c>
      <c r="R64" s="13">
        <f>IF(ISNUMBER(O64),IF(C64="Ручная",IF($S$66&gt;0,$R$66*Q64/$S$66,IF($W$66=11,$R$66,0)),0),"")</f>
        <v>0</v>
      </c>
      <c r="S64" s="13">
        <f>IF(ISNUMBER(O64),O64+R64,"")</f>
        <v>12</v>
      </c>
      <c r="T64" s="13">
        <f>IF(ISNUMBER(S64),P64-S64,"")</f>
        <v>1.2</v>
      </c>
      <c r="U64" s="13">
        <f>IF(COUNT(AG64:AP64)&gt;0,AVERAGE(AG64:AP64),"")</f>
        <v>12.552</v>
      </c>
      <c r="AG64" s="13">
        <f>IF(ISNUMBER(E$66),E64,"")</f>
        <v>12.96</v>
      </c>
      <c r="AH64" s="13">
        <f>IF(ISNUMBER(F$66),F64,"")</f>
        <v>12.24</v>
      </c>
      <c r="AI64" s="13">
        <f>IF(ISNUMBER(G$66),G64,"")</f>
        <v>12.72</v>
      </c>
      <c r="AJ64" s="13">
        <f>IF(ISNUMBER(H$66),H64,"")</f>
        <v>13.2</v>
      </c>
      <c r="AK64" s="13">
        <f>IF(ISNUMBER(I$66),I64,"")</f>
        <v>12.36</v>
      </c>
      <c r="AL64" s="13">
        <f>IF(ISNUMBER(J$66),J64,"")</f>
        <v>12.84</v>
      </c>
      <c r="AM64" s="13">
        <f>IF(ISNUMBER(K$66),K64,"")</f>
        <v>12.12</v>
      </c>
      <c r="AN64" s="13">
        <f>IF(ISNUMBER(L$66),L64,"")</f>
        <v>12.6</v>
      </c>
      <c r="AO64" s="13">
        <f>IF(ISNUMBER(M$66),M64,"")</f>
        <v>12</v>
      </c>
      <c r="AP64" s="13">
        <f>IF(ISNUMBER(N$66),N64,"")</f>
        <v>12.48</v>
      </c>
      <c r="AQ64" s="13">
        <f>IF(C64="Ручная",O64,0)</f>
        <v>0</v>
      </c>
    </row>
    <row r="65" spans="1:43" ht="23" customHeight="1">
      <c r="B65" s="4" t="s">
        <v>209</v>
      </c>
      <c r="E65" s="6">
        <f>IF(COUNT(E54:E64)=11,SUM(E54:E64),"")</f>
        <v>762.92</v>
      </c>
      <c r="F65" s="6">
        <f>IF(COUNT(F54:F64)=11,SUM(F54:F64),"")</f>
        <v>756.88</v>
      </c>
      <c r="G65" s="6">
        <f>IF(COUNT(G54:G64)=11,SUM(G54:G64),"")</f>
        <v>760.61</v>
      </c>
      <c r="H65" s="6">
        <f>IF(COUNT(H54:H64)=11,SUM(H54:H64),"")</f>
        <v>755.39</v>
      </c>
      <c r="I65" s="6">
        <f>IF(COUNT(I54:I64)=11,SUM(I54:I64),"")</f>
        <v>757.68</v>
      </c>
      <c r="J65" s="6">
        <f>IF(COUNT(J54:J64)=11,SUM(J54:J64),"")</f>
        <v>753.32</v>
      </c>
      <c r="K65" s="6">
        <f>IF(COUNT(K54:K64)=11,SUM(K54:K64),"")</f>
        <v>754.93</v>
      </c>
      <c r="L65" s="6">
        <f>IF(COUNT(L54:L64)=11,SUM(L54:L64),"")</f>
        <v>761.77</v>
      </c>
      <c r="M65" s="6">
        <f>IF(COUNT(M54:M64)=11,SUM(M54:M64),"")</f>
        <v>752.78</v>
      </c>
      <c r="N65" s="6">
        <f>IF(COUNT(N54:N64)=11,SUM(N54:N64),"")</f>
        <v>758.96</v>
      </c>
      <c r="O65" s="6">
        <f>IF(COUNT(O54:O64)=11,SUM(O54:O64),"")</f>
        <v>744</v>
      </c>
      <c r="P65" s="6">
        <f>IF(COUNT(P54:P64)=11,SUM(P54:P64),"")</f>
        <v>773.4</v>
      </c>
      <c r="Q65" s="6">
        <f>IF(COUNT(Q54:Q64)=11,SUM(Q54:Q64),"")</f>
        <v>29.4</v>
      </c>
      <c r="R65" s="6">
        <f>IF(COUNT(R54:R64)=11,SUM(R54:R64),"")</f>
        <v>8.78000000000009</v>
      </c>
      <c r="S65" s="6">
        <f>IF(COUNT(S54:S64)=11,SUM(S54:S64),"")</f>
        <v>752.78</v>
      </c>
      <c r="T65" s="6">
        <f>IF(COUNT(T54:T64)=11,SUM(T54:T64),"")</f>
        <v>20.6199999999999</v>
      </c>
      <c r="U65" s="6">
        <f>IF(COUNT(U54:U64)=11,SUM(U54:U64),"")</f>
        <v>757.524</v>
      </c>
    </row>
    <row r="66" spans="1:43" ht="23" customHeight="1">
      <c r="B66" s="4" t="s">
        <v>210</v>
      </c>
      <c r="E66" s="6">
        <f>IF(AND(E52=1,COUNT(E54:E64)=11,MIN(E54:E64)&gt;=0),E65,"")</f>
        <v>762.92</v>
      </c>
      <c r="F66" s="6">
        <f>IF(AND(F52=1,COUNT(F54:F64)=11,MIN(F54:F64)&gt;=0),F65,"")</f>
        <v>756.88</v>
      </c>
      <c r="G66" s="6">
        <f>IF(AND(G52=1,COUNT(G54:G64)=11,MIN(G54:G64)&gt;=0),G65,"")</f>
        <v>760.61</v>
      </c>
      <c r="H66" s="6">
        <f>IF(AND(H52=1,COUNT(H54:H64)=11,MIN(H54:H64)&gt;=0),H65,"")</f>
        <v>755.39</v>
      </c>
      <c r="I66" s="6">
        <f>IF(AND(I52=1,COUNT(I54:I64)=11,MIN(I54:I64)&gt;=0),I65,"")</f>
        <v>757.68</v>
      </c>
      <c r="J66" s="6">
        <f>IF(AND(J52=1,COUNT(J54:J64)=11,MIN(J54:J64)&gt;=0),J65,"")</f>
        <v>753.32</v>
      </c>
      <c r="K66" s="6">
        <f>IF(AND(K52=1,COUNT(K54:K64)=11,MIN(K54:K64)&gt;=0),K65,"")</f>
        <v>754.93</v>
      </c>
      <c r="L66" s="6">
        <f>IF(AND(L52=1,COUNT(L54:L64)=11,MIN(L54:L64)&gt;=0),L65,"")</f>
        <v>761.77</v>
      </c>
      <c r="M66" s="6">
        <f>IF(AND(M52=1,COUNT(M54:M64)=11,MIN(M54:M64)&gt;=0),M65,"")</f>
        <v>752.78</v>
      </c>
      <c r="N66" s="6">
        <f>IF(AND(N52=1,COUNT(N54:N64)=11,MIN(N54:N64)&gt;=0),N65,"")</f>
        <v>758.96</v>
      </c>
      <c r="O66" s="6">
        <f>IF(COUNT(E66:N66)&gt;0,MIN(E66:N66),"")</f>
        <v>752.78</v>
      </c>
      <c r="P66" s="6">
        <f>IF(COUNT(E66:N66)&gt;0,MAX(E66:N66),"")</f>
        <v>762.92</v>
      </c>
      <c r="Q66" s="6">
        <f>IF(ISNUMBER(O66),P66-O66,"")</f>
        <v>10.14</v>
      </c>
      <c r="R66" s="6">
        <f>IF(ISNUMBER(O66),MAX(0,O66-O65),"")</f>
        <v>8.78000000000009</v>
      </c>
      <c r="S66" s="6">
        <f>SUMIF(C54:C64,"Ручная",Q54:Q64)</f>
        <v>25</v>
      </c>
      <c r="T66" s="6">
        <f>COUNT(E66:N66)</f>
        <v>10</v>
      </c>
      <c r="U66" s="6">
        <f>IF(COUNT(E66:N66)&gt;0,AVERAGE(E66:N66),"")</f>
        <v>757.524</v>
      </c>
      <c r="V66" s="6">
        <f>IF(ISNUMBER(O66),S65-O66,"")</f>
        <v>1.13686837721616e-13</v>
      </c>
      <c r="W66" s="6">
        <f>MATCH(MAX(AQ54:AQ64),AQ54:AQ64,0)</f>
        <v>2</v>
      </c>
      <c r="X66" s="17" t="str">
        <f>IF(T66=0,"НЕТ ЗАМЕРОВ",IF(T66&lt;10,"МЕНЕЕ 10 ЦИКЛОВ",IF(ABS(V66)&lt;0.000001,"ОК","ОШИБКА РЕГУЛИРОВКИ")))</f>
        <v>ОК</v>
      </c>
    </row>
    <row r="67" spans="1:43" ht="23" customHeight="1">
      <c r="A67" s="7" t="s">
        <v>211</v>
      </c>
      <c r="B67" s="7"/>
      <c r="C67" s="7"/>
      <c r="D67" s="7"/>
      <c r="E67" s="7"/>
      <c r="F67" s="7"/>
      <c r="G67" s="7"/>
      <c r="H67" s="7"/>
      <c r="I67" s="7"/>
      <c r="J67" s="7"/>
      <c r="K67" s="7"/>
      <c r="L67" s="7"/>
      <c r="M67" s="7"/>
      <c r="N67" s="7"/>
      <c r="O67" s="7"/>
      <c r="P67" s="7"/>
      <c r="Q67" s="7"/>
      <c r="R67" s="7"/>
      <c r="S67" s="7"/>
      <c r="T67" s="7"/>
      <c r="U67" s="7"/>
      <c r="V67" s="7"/>
      <c r="W67" s="7"/>
      <c r="X67" s="7"/>
    </row>
    <row r="70" spans="1:43" ht="23" customHeight="1">
      <c r="A70" s="4" t="s">
        <v>214</v>
      </c>
      <c r="B70" s="4"/>
      <c r="C70" s="4"/>
      <c r="D70" s="4"/>
      <c r="E70" s="4"/>
      <c r="F70" s="4"/>
      <c r="G70" s="4"/>
      <c r="H70" s="4"/>
      <c r="I70" s="4"/>
      <c r="J70" s="4"/>
      <c r="K70" s="4"/>
      <c r="L70" s="4"/>
      <c r="M70" s="4"/>
      <c r="N70" s="4"/>
      <c r="O70" s="4"/>
      <c r="P70" s="4"/>
      <c r="Q70" s="4"/>
      <c r="R70" s="4"/>
      <c r="S70" s="4"/>
      <c r="T70" s="4"/>
      <c r="U70" s="4"/>
      <c r="V70" s="4"/>
      <c r="W70" s="4"/>
      <c r="X70" s="4"/>
    </row>
    <row r="71" spans="1:43" ht="23" customHeight="1">
      <c r="A71" s="7" t="str">
        <f>"Масса замера, кг: "&amp;'Ассортимент'!J11&amp;". Все замеры одной партии/исполнителя/условий. Основание: "&amp;'Ввод'!B14</f>
        <v>Масса замера, кг: 5. Все замеры одной партии/исполнителя/условий. Основание: ДЕМО: синтетические замеры; заменить фактическими</v>
      </c>
      <c r="B71" s="7"/>
      <c r="C71" s="7"/>
      <c r="D71" s="7"/>
      <c r="E71" s="7"/>
      <c r="F71" s="7"/>
      <c r="G71" s="7"/>
      <c r="H71" s="7"/>
      <c r="I71" s="7"/>
      <c r="J71" s="7"/>
      <c r="K71" s="7"/>
      <c r="L71" s="7"/>
      <c r="M71" s="7"/>
      <c r="N71" s="7"/>
      <c r="O71" s="7"/>
      <c r="P71" s="7"/>
      <c r="Q71" s="7"/>
      <c r="R71" s="7"/>
      <c r="S71" s="7"/>
      <c r="T71" s="7"/>
      <c r="U71" s="7"/>
      <c r="V71" s="7"/>
      <c r="W71" s="7"/>
      <c r="X71" s="7"/>
    </row>
    <row r="72" spans="1:43" ht="44" customHeight="1">
      <c r="A72" s="8" t="s">
        <v>113</v>
      </c>
      <c r="B72" s="8" t="s">
        <v>156</v>
      </c>
      <c r="C72" s="8" t="s">
        <v>157</v>
      </c>
      <c r="D72" s="8" t="s">
        <v>158</v>
      </c>
      <c r="E72" s="8" t="s">
        <v>159</v>
      </c>
      <c r="F72" s="8" t="s">
        <v>160</v>
      </c>
      <c r="G72" s="8" t="s">
        <v>161</v>
      </c>
      <c r="H72" s="8" t="s">
        <v>162</v>
      </c>
      <c r="I72" s="8" t="s">
        <v>163</v>
      </c>
      <c r="J72" s="8" t="s">
        <v>164</v>
      </c>
      <c r="K72" s="8" t="s">
        <v>165</v>
      </c>
      <c r="L72" s="8" t="s">
        <v>166</v>
      </c>
      <c r="M72" s="8" t="s">
        <v>167</v>
      </c>
      <c r="N72" s="8" t="s">
        <v>168</v>
      </c>
      <c r="O72" s="8" t="s">
        <v>169</v>
      </c>
      <c r="P72" s="8" t="s">
        <v>170</v>
      </c>
      <c r="Q72" s="8" t="s">
        <v>171</v>
      </c>
      <c r="R72" s="8" t="s">
        <v>172</v>
      </c>
      <c r="S72" s="8" t="s">
        <v>173</v>
      </c>
      <c r="T72" s="8" t="s">
        <v>174</v>
      </c>
      <c r="U72" s="8" t="s">
        <v>175</v>
      </c>
      <c r="V72" s="8" t="s">
        <v>176</v>
      </c>
      <c r="W72" s="8" t="s">
        <v>177</v>
      </c>
      <c r="X72" s="8" t="s">
        <v>178</v>
      </c>
    </row>
    <row r="73" spans="1:43" ht="23" customHeight="1">
      <c r="B73" s="5" t="s">
        <v>179</v>
      </c>
      <c r="E73" s="12">
        <v>1</v>
      </c>
      <c r="F73" s="12">
        <v>1</v>
      </c>
      <c r="G73" s="12">
        <v>1</v>
      </c>
      <c r="H73" s="12">
        <v>1</v>
      </c>
      <c r="I73" s="12">
        <v>1</v>
      </c>
      <c r="J73" s="12">
        <v>1</v>
      </c>
      <c r="K73" s="12">
        <v>1</v>
      </c>
      <c r="L73" s="12">
        <v>1</v>
      </c>
      <c r="M73" s="12">
        <v>1</v>
      </c>
      <c r="N73" s="12">
        <v>1</v>
      </c>
    </row>
    <row r="74" spans="1:43" ht="33" customHeight="1">
      <c r="B74" s="5" t="s">
        <v>180</v>
      </c>
      <c r="E74" s="9" t="s">
        <v>181</v>
      </c>
      <c r="F74" s="9" t="s">
        <v>181</v>
      </c>
      <c r="G74" s="9" t="s">
        <v>181</v>
      </c>
      <c r="H74" s="9" t="s">
        <v>181</v>
      </c>
      <c r="I74" s="9" t="s">
        <v>181</v>
      </c>
      <c r="J74" s="9" t="s">
        <v>181</v>
      </c>
      <c r="K74" s="9" t="s">
        <v>181</v>
      </c>
      <c r="L74" s="9" t="s">
        <v>181</v>
      </c>
      <c r="M74" s="9" t="s">
        <v>181</v>
      </c>
      <c r="N74" s="9" t="s">
        <v>181</v>
      </c>
    </row>
    <row r="75" spans="1:43" ht="40" customHeight="1">
      <c r="A75" s="5">
        <v>1</v>
      </c>
      <c r="B75" s="5" t="s">
        <v>182</v>
      </c>
      <c r="C75" s="11" t="s">
        <v>183</v>
      </c>
      <c r="D75" s="7" t="s">
        <v>184</v>
      </c>
      <c r="E75" s="12">
        <v>25.5</v>
      </c>
      <c r="F75" s="12">
        <v>26.5</v>
      </c>
      <c r="G75" s="12">
        <v>27.5</v>
      </c>
      <c r="H75" s="12">
        <v>25.75</v>
      </c>
      <c r="I75" s="12">
        <v>26.75</v>
      </c>
      <c r="J75" s="12">
        <v>25.25</v>
      </c>
      <c r="K75" s="12">
        <v>26.25</v>
      </c>
      <c r="L75" s="12">
        <v>25</v>
      </c>
      <c r="M75" s="12">
        <v>26</v>
      </c>
      <c r="N75" s="12">
        <v>27</v>
      </c>
      <c r="O75" s="13">
        <f>IF(COUNT(AG75:AP75)&gt;0,MIN(AG75:AP75),"")</f>
        <v>25</v>
      </c>
      <c r="P75" s="13">
        <f>IF(COUNT(AG75:AP75)&gt;0,MAX(AG75:AP75),"")</f>
        <v>27.5</v>
      </c>
      <c r="Q75" s="13">
        <f>IF(ISNUMBER(O75),P75-O75,"")</f>
        <v>2.5</v>
      </c>
      <c r="R75" s="13">
        <f>IF(ISNUMBER(O75),IF(C75="Ручная",IF($S$87&gt;0,$R$87*Q75/$S$87,IF($W$87=1,$R$87,0)),0),"")</f>
        <v>1.07272727272727</v>
      </c>
      <c r="S75" s="13">
        <f>IF(ISNUMBER(O75),O75+R75,"")</f>
        <v>26.0727272727273</v>
      </c>
      <c r="T75" s="13">
        <f>IF(ISNUMBER(S75),P75-S75,"")</f>
        <v>1.42727272727273</v>
      </c>
      <c r="U75" s="13">
        <f>IF(COUNT(AG75:AP75)&gt;0,AVERAGE(AG75:AP75),"")</f>
        <v>26.15</v>
      </c>
      <c r="AG75" s="13">
        <f>IF(ISNUMBER(E$87),E75,"")</f>
        <v>25.5</v>
      </c>
      <c r="AH75" s="13">
        <f>IF(ISNUMBER(F$87),F75,"")</f>
        <v>26.5</v>
      </c>
      <c r="AI75" s="13">
        <f>IF(ISNUMBER(G$87),G75,"")</f>
        <v>27.5</v>
      </c>
      <c r="AJ75" s="13">
        <f>IF(ISNUMBER(H$87),H75,"")</f>
        <v>25.75</v>
      </c>
      <c r="AK75" s="13">
        <f>IF(ISNUMBER(I$87),I75,"")</f>
        <v>26.75</v>
      </c>
      <c r="AL75" s="13">
        <f>IF(ISNUMBER(J$87),J75,"")</f>
        <v>25.25</v>
      </c>
      <c r="AM75" s="13">
        <f>IF(ISNUMBER(K$87),K75,"")</f>
        <v>26.25</v>
      </c>
      <c r="AN75" s="13">
        <f>IF(ISNUMBER(L$87),L75,"")</f>
        <v>25</v>
      </c>
      <c r="AO75" s="13">
        <f>IF(ISNUMBER(M$87),M75,"")</f>
        <v>26</v>
      </c>
      <c r="AP75" s="13">
        <f>IF(ISNUMBER(N$87),N75,"")</f>
        <v>27</v>
      </c>
      <c r="AQ75" s="13">
        <f>IF(C75="Ручная",O75,0)</f>
        <v>25</v>
      </c>
    </row>
    <row r="76" spans="1:43" ht="40" customHeight="1">
      <c r="A76" s="5">
        <v>2</v>
      </c>
      <c r="B76" s="5" t="s">
        <v>185</v>
      </c>
      <c r="C76" s="11" t="s">
        <v>183</v>
      </c>
      <c r="D76" s="7" t="s">
        <v>186</v>
      </c>
      <c r="E76" s="12">
        <v>36.05</v>
      </c>
      <c r="F76" s="12">
        <v>37.45</v>
      </c>
      <c r="G76" s="12">
        <v>35.35</v>
      </c>
      <c r="H76" s="12">
        <v>36.75</v>
      </c>
      <c r="I76" s="12">
        <v>35</v>
      </c>
      <c r="J76" s="12">
        <v>36.4</v>
      </c>
      <c r="K76" s="12">
        <v>37.8</v>
      </c>
      <c r="L76" s="12">
        <v>35.7</v>
      </c>
      <c r="M76" s="12">
        <v>37.1</v>
      </c>
      <c r="N76" s="12">
        <v>38.5</v>
      </c>
      <c r="O76" s="13">
        <f>IF(COUNT(AG76:AP76)&gt;0,MIN(AG76:AP76),"")</f>
        <v>35</v>
      </c>
      <c r="P76" s="13">
        <f>IF(COUNT(AG76:AP76)&gt;0,MAX(AG76:AP76),"")</f>
        <v>38.5</v>
      </c>
      <c r="Q76" s="13">
        <f>IF(ISNUMBER(O76),P76-O76,"")</f>
        <v>3.5</v>
      </c>
      <c r="R76" s="13">
        <f>IF(ISNUMBER(O76),IF(C76="Ручная",IF($S$87&gt;0,$R$87*Q76/$S$87,IF($W$87=2,$R$87,0)),0),"")</f>
        <v>1.50181818181818</v>
      </c>
      <c r="S76" s="13">
        <f>IF(ISNUMBER(O76),O76+R76,"")</f>
        <v>36.5018181818182</v>
      </c>
      <c r="T76" s="13">
        <f>IF(ISNUMBER(S76),P76-S76,"")</f>
        <v>1.99818181818182</v>
      </c>
      <c r="U76" s="13">
        <f>IF(COUNT(AG76:AP76)&gt;0,AVERAGE(AG76:AP76),"")</f>
        <v>36.61</v>
      </c>
      <c r="AG76" s="13">
        <f>IF(ISNUMBER(E$87),E76,"")</f>
        <v>36.05</v>
      </c>
      <c r="AH76" s="13">
        <f>IF(ISNUMBER(F$87),F76,"")</f>
        <v>37.45</v>
      </c>
      <c r="AI76" s="13">
        <f>IF(ISNUMBER(G$87),G76,"")</f>
        <v>35.35</v>
      </c>
      <c r="AJ76" s="13">
        <f>IF(ISNUMBER(H$87),H76,"")</f>
        <v>36.75</v>
      </c>
      <c r="AK76" s="13">
        <f>IF(ISNUMBER(I$87),I76,"")</f>
        <v>35</v>
      </c>
      <c r="AL76" s="13">
        <f>IF(ISNUMBER(J$87),J76,"")</f>
        <v>36.4</v>
      </c>
      <c r="AM76" s="13">
        <f>IF(ISNUMBER(K$87),K76,"")</f>
        <v>37.8</v>
      </c>
      <c r="AN76" s="13">
        <f>IF(ISNUMBER(L$87),L76,"")</f>
        <v>35.7</v>
      </c>
      <c r="AO76" s="13">
        <f>IF(ISNUMBER(M$87),M76,"")</f>
        <v>37.1</v>
      </c>
      <c r="AP76" s="13">
        <f>IF(ISNUMBER(N$87),N76,"")</f>
        <v>38.5</v>
      </c>
      <c r="AQ76" s="13">
        <f>IF(C76="Ручная",O76,0)</f>
        <v>35</v>
      </c>
    </row>
    <row r="77" spans="1:43" ht="40" customHeight="1">
      <c r="A77" s="5">
        <v>3</v>
      </c>
      <c r="B77" s="5" t="s">
        <v>187</v>
      </c>
      <c r="C77" s="11" t="s">
        <v>183</v>
      </c>
      <c r="D77" s="7" t="s">
        <v>188</v>
      </c>
      <c r="E77" s="12">
        <v>23.1</v>
      </c>
      <c r="F77" s="12">
        <v>22</v>
      </c>
      <c r="G77" s="12">
        <v>22.88</v>
      </c>
      <c r="H77" s="12">
        <v>23.76</v>
      </c>
      <c r="I77" s="12">
        <v>22.44</v>
      </c>
      <c r="J77" s="12">
        <v>23.32</v>
      </c>
      <c r="K77" s="12">
        <v>24.2</v>
      </c>
      <c r="L77" s="12">
        <v>22.66</v>
      </c>
      <c r="M77" s="12">
        <v>23.54</v>
      </c>
      <c r="N77" s="12">
        <v>22.22</v>
      </c>
      <c r="O77" s="13">
        <f>IF(COUNT(AG77:AP77)&gt;0,MIN(AG77:AP77),"")</f>
        <v>22</v>
      </c>
      <c r="P77" s="13">
        <f>IF(COUNT(AG77:AP77)&gt;0,MAX(AG77:AP77),"")</f>
        <v>24.2</v>
      </c>
      <c r="Q77" s="13">
        <f>IF(ISNUMBER(O77),P77-O77,"")</f>
        <v>2.2</v>
      </c>
      <c r="R77" s="13">
        <f>IF(ISNUMBER(O77),IF(C77="Ручная",IF($S$87&gt;0,$R$87*Q77/$S$87,IF($W$87=3,$R$87,0)),0),"")</f>
        <v>0.943999999999998</v>
      </c>
      <c r="S77" s="13">
        <f>IF(ISNUMBER(O77),O77+R77,"")</f>
        <v>22.944</v>
      </c>
      <c r="T77" s="13">
        <f>IF(ISNUMBER(S77),P77-S77,"")</f>
        <v>1.256</v>
      </c>
      <c r="U77" s="13">
        <f>IF(COUNT(AG77:AP77)&gt;0,AVERAGE(AG77:AP77),"")</f>
        <v>23.012</v>
      </c>
      <c r="AG77" s="13">
        <f>IF(ISNUMBER(E$87),E77,"")</f>
        <v>23.1</v>
      </c>
      <c r="AH77" s="13">
        <f>IF(ISNUMBER(F$87),F77,"")</f>
        <v>22</v>
      </c>
      <c r="AI77" s="13">
        <f>IF(ISNUMBER(G$87),G77,"")</f>
        <v>22.88</v>
      </c>
      <c r="AJ77" s="13">
        <f>IF(ISNUMBER(H$87),H77,"")</f>
        <v>23.76</v>
      </c>
      <c r="AK77" s="13">
        <f>IF(ISNUMBER(I$87),I77,"")</f>
        <v>22.44</v>
      </c>
      <c r="AL77" s="13">
        <f>IF(ISNUMBER(J$87),J77,"")</f>
        <v>23.32</v>
      </c>
      <c r="AM77" s="13">
        <f>IF(ISNUMBER(K$87),K77,"")</f>
        <v>24.2</v>
      </c>
      <c r="AN77" s="13">
        <f>IF(ISNUMBER(L$87),L77,"")</f>
        <v>22.66</v>
      </c>
      <c r="AO77" s="13">
        <f>IF(ISNUMBER(M$87),M77,"")</f>
        <v>23.54</v>
      </c>
      <c r="AP77" s="13">
        <f>IF(ISNUMBER(N$87),N77,"")</f>
        <v>22.22</v>
      </c>
      <c r="AQ77" s="13">
        <f>IF(C77="Ручная",O77,0)</f>
        <v>22</v>
      </c>
    </row>
    <row r="78" spans="1:43" ht="40" customHeight="1">
      <c r="A78" s="5" t="s">
        <v>189</v>
      </c>
      <c r="B78" s="5" t="s">
        <v>190</v>
      </c>
      <c r="C78" s="11" t="s">
        <v>191</v>
      </c>
      <c r="D78" s="7" t="s">
        <v>192</v>
      </c>
      <c r="E78" s="12">
        <v>12.96</v>
      </c>
      <c r="F78" s="12">
        <v>12.24</v>
      </c>
      <c r="G78" s="12">
        <v>12.72</v>
      </c>
      <c r="H78" s="12">
        <v>13.2</v>
      </c>
      <c r="I78" s="12">
        <v>12.36</v>
      </c>
      <c r="J78" s="12">
        <v>12.84</v>
      </c>
      <c r="K78" s="12">
        <v>12.12</v>
      </c>
      <c r="L78" s="12">
        <v>12.6</v>
      </c>
      <c r="M78" s="12">
        <v>12</v>
      </c>
      <c r="N78" s="12">
        <v>12.48</v>
      </c>
      <c r="O78" s="13">
        <f>IF(COUNT(AG78:AP78)&gt;0,MIN(AG78:AP78),"")</f>
        <v>12</v>
      </c>
      <c r="P78" s="13">
        <f>IF(COUNT(AG78:AP78)&gt;0,MAX(AG78:AP78),"")</f>
        <v>13.2</v>
      </c>
      <c r="Q78" s="13">
        <f>IF(ISNUMBER(O78),P78-O78,"")</f>
        <v>1.2</v>
      </c>
      <c r="R78" s="13">
        <f>IF(ISNUMBER(O78),IF(C78="Ручная",IF($S$87&gt;0,$R$87*Q78/$S$87,IF($W$87=4,$R$87,0)),0),"")</f>
        <v>0</v>
      </c>
      <c r="S78" s="13">
        <f>IF(ISNUMBER(O78),O78+R78,"")</f>
        <v>12</v>
      </c>
      <c r="T78" s="13">
        <f>IF(ISNUMBER(S78),P78-S78,"")</f>
        <v>1.2</v>
      </c>
      <c r="U78" s="13">
        <f>IF(COUNT(AG78:AP78)&gt;0,AVERAGE(AG78:AP78),"")</f>
        <v>12.552</v>
      </c>
      <c r="AG78" s="13">
        <f>IF(ISNUMBER(E$87),E78,"")</f>
        <v>12.96</v>
      </c>
      <c r="AH78" s="13">
        <f>IF(ISNUMBER(F$87),F78,"")</f>
        <v>12.24</v>
      </c>
      <c r="AI78" s="13">
        <f>IF(ISNUMBER(G$87),G78,"")</f>
        <v>12.72</v>
      </c>
      <c r="AJ78" s="13">
        <f>IF(ISNUMBER(H$87),H78,"")</f>
        <v>13.2</v>
      </c>
      <c r="AK78" s="13">
        <f>IF(ISNUMBER(I$87),I78,"")</f>
        <v>12.36</v>
      </c>
      <c r="AL78" s="13">
        <f>IF(ISNUMBER(J$87),J78,"")</f>
        <v>12.84</v>
      </c>
      <c r="AM78" s="13">
        <f>IF(ISNUMBER(K$87),K78,"")</f>
        <v>12.12</v>
      </c>
      <c r="AN78" s="13">
        <f>IF(ISNUMBER(L$87),L78,"")</f>
        <v>12.6</v>
      </c>
      <c r="AO78" s="13">
        <f>IF(ISNUMBER(M$87),M78,"")</f>
        <v>12</v>
      </c>
      <c r="AP78" s="13">
        <f>IF(ISNUMBER(N$87),N78,"")</f>
        <v>12.48</v>
      </c>
      <c r="AQ78" s="13">
        <f>IF(C78="Ручная",O78,0)</f>
        <v>0</v>
      </c>
    </row>
    <row r="79" spans="1:43" ht="40" customHeight="1">
      <c r="A79" s="5">
        <v>5</v>
      </c>
      <c r="B79" s="5" t="s">
        <v>193</v>
      </c>
      <c r="C79" s="11" t="s">
        <v>183</v>
      </c>
      <c r="D79" s="7" t="s">
        <v>194</v>
      </c>
      <c r="E79" s="12">
        <v>38.5</v>
      </c>
      <c r="F79" s="12">
        <v>36.05</v>
      </c>
      <c r="G79" s="12">
        <v>37.45</v>
      </c>
      <c r="H79" s="12">
        <v>35.35</v>
      </c>
      <c r="I79" s="12">
        <v>36.75</v>
      </c>
      <c r="J79" s="12">
        <v>35</v>
      </c>
      <c r="K79" s="12">
        <v>36.4</v>
      </c>
      <c r="L79" s="12">
        <v>37.8</v>
      </c>
      <c r="M79" s="12">
        <v>35.7</v>
      </c>
      <c r="N79" s="12">
        <v>37.1</v>
      </c>
      <c r="O79" s="13">
        <f>IF(COUNT(AG79:AP79)&gt;0,MIN(AG79:AP79),"")</f>
        <v>35</v>
      </c>
      <c r="P79" s="13">
        <f>IF(COUNT(AG79:AP79)&gt;0,MAX(AG79:AP79),"")</f>
        <v>38.5</v>
      </c>
      <c r="Q79" s="13">
        <f>IF(ISNUMBER(O79),P79-O79,"")</f>
        <v>3.5</v>
      </c>
      <c r="R79" s="13">
        <f>IF(ISNUMBER(O79),IF(C79="Ручная",IF($S$87&gt;0,$R$87*Q79/$S$87,IF($W$87=5,$R$87,0)),0),"")</f>
        <v>1.50181818181818</v>
      </c>
      <c r="S79" s="13">
        <f>IF(ISNUMBER(O79),O79+R79,"")</f>
        <v>36.5018181818182</v>
      </c>
      <c r="T79" s="13">
        <f>IF(ISNUMBER(S79),P79-S79,"")</f>
        <v>1.99818181818182</v>
      </c>
      <c r="U79" s="13">
        <f>IF(COUNT(AG79:AP79)&gt;0,AVERAGE(AG79:AP79),"")</f>
        <v>36.61</v>
      </c>
      <c r="AG79" s="13">
        <f>IF(ISNUMBER(E$87),E79,"")</f>
        <v>38.5</v>
      </c>
      <c r="AH79" s="13">
        <f>IF(ISNUMBER(F$87),F79,"")</f>
        <v>36.05</v>
      </c>
      <c r="AI79" s="13">
        <f>IF(ISNUMBER(G$87),G79,"")</f>
        <v>37.45</v>
      </c>
      <c r="AJ79" s="13">
        <f>IF(ISNUMBER(H$87),H79,"")</f>
        <v>35.35</v>
      </c>
      <c r="AK79" s="13">
        <f>IF(ISNUMBER(I$87),I79,"")</f>
        <v>36.75</v>
      </c>
      <c r="AL79" s="13">
        <f>IF(ISNUMBER(J$87),J79,"")</f>
        <v>35</v>
      </c>
      <c r="AM79" s="13">
        <f>IF(ISNUMBER(K$87),K79,"")</f>
        <v>36.4</v>
      </c>
      <c r="AN79" s="13">
        <f>IF(ISNUMBER(L$87),L79,"")</f>
        <v>37.8</v>
      </c>
      <c r="AO79" s="13">
        <f>IF(ISNUMBER(M$87),M79,"")</f>
        <v>35.7</v>
      </c>
      <c r="AP79" s="13">
        <f>IF(ISNUMBER(N$87),N79,"")</f>
        <v>37.1</v>
      </c>
      <c r="AQ79" s="13">
        <f>IF(C79="Ручная",O79,0)</f>
        <v>35</v>
      </c>
    </row>
    <row r="80" spans="1:43" ht="40" customHeight="1">
      <c r="A80" s="5" t="s">
        <v>189</v>
      </c>
      <c r="B80" s="5" t="s">
        <v>195</v>
      </c>
      <c r="C80" s="11" t="s">
        <v>196</v>
      </c>
      <c r="D80" s="7" t="s">
        <v>197</v>
      </c>
      <c r="E80" s="18">
        <f>'Ассортимент'!R11</f>
        <v>180</v>
      </c>
      <c r="F80" s="18">
        <f>'Ассортимент'!R11</f>
        <v>180</v>
      </c>
      <c r="G80" s="18">
        <f>'Ассортимент'!R11</f>
        <v>180</v>
      </c>
      <c r="H80" s="18">
        <f>'Ассортимент'!R11</f>
        <v>180</v>
      </c>
      <c r="I80" s="18">
        <f>'Ассортимент'!R11</f>
        <v>180</v>
      </c>
      <c r="J80" s="18">
        <f>'Ассортимент'!R11</f>
        <v>180</v>
      </c>
      <c r="K80" s="18">
        <f>'Ассортимент'!R11</f>
        <v>180</v>
      </c>
      <c r="L80" s="18">
        <f>'Ассортимент'!R11</f>
        <v>180</v>
      </c>
      <c r="M80" s="18">
        <f>'Ассортимент'!R11</f>
        <v>180</v>
      </c>
      <c r="N80" s="18">
        <f>'Ассортимент'!R11</f>
        <v>180</v>
      </c>
      <c r="O80" s="13">
        <f>IF(COUNT(AG80:AP80)&gt;0,MIN(AG80:AP80),"")</f>
        <v>180</v>
      </c>
      <c r="P80" s="13">
        <f>IF(COUNT(AG80:AP80)&gt;0,MAX(AG80:AP80),"")</f>
        <v>180</v>
      </c>
      <c r="Q80" s="13">
        <f>IF(ISNUMBER(O80),P80-O80,"")</f>
        <v>0</v>
      </c>
      <c r="R80" s="13">
        <f>IF(ISNUMBER(O80),IF(C80="Ручная",IF($S$87&gt;0,$R$87*Q80/$S$87,IF($W$87=6,$R$87,0)),0),"")</f>
        <v>0</v>
      </c>
      <c r="S80" s="13">
        <f>IF(ISNUMBER(O80),O80+R80,"")</f>
        <v>180</v>
      </c>
      <c r="T80" s="13">
        <f>IF(ISNUMBER(S80),P80-S80,"")</f>
        <v>0</v>
      </c>
      <c r="U80" s="13">
        <f>IF(COUNT(AG80:AP80)&gt;0,AVERAGE(AG80:AP80),"")</f>
        <v>180</v>
      </c>
      <c r="AG80" s="13">
        <f>IF(ISNUMBER(E$87),E80,"")</f>
        <v>180</v>
      </c>
      <c r="AH80" s="13">
        <f>IF(ISNUMBER(F$87),F80,"")</f>
        <v>180</v>
      </c>
      <c r="AI80" s="13">
        <f>IF(ISNUMBER(G$87),G80,"")</f>
        <v>180</v>
      </c>
      <c r="AJ80" s="13">
        <f>IF(ISNUMBER(H$87),H80,"")</f>
        <v>180</v>
      </c>
      <c r="AK80" s="13">
        <f>IF(ISNUMBER(I$87),I80,"")</f>
        <v>180</v>
      </c>
      <c r="AL80" s="13">
        <f>IF(ISNUMBER(J$87),J80,"")</f>
        <v>180</v>
      </c>
      <c r="AM80" s="13">
        <f>IF(ISNUMBER(K$87),K80,"")</f>
        <v>180</v>
      </c>
      <c r="AN80" s="13">
        <f>IF(ISNUMBER(L$87),L80,"")</f>
        <v>180</v>
      </c>
      <c r="AO80" s="13">
        <f>IF(ISNUMBER(M$87),M80,"")</f>
        <v>180</v>
      </c>
      <c r="AP80" s="13">
        <f>IF(ISNUMBER(N$87),N80,"")</f>
        <v>180</v>
      </c>
      <c r="AQ80" s="13">
        <f>IF(C80="Ручная",O80,0)</f>
        <v>0</v>
      </c>
    </row>
    <row r="81" spans="1:43" ht="40" customHeight="1">
      <c r="A81" s="5">
        <v>7</v>
      </c>
      <c r="B81" s="5" t="s">
        <v>198</v>
      </c>
      <c r="C81" s="11" t="s">
        <v>183</v>
      </c>
      <c r="D81" s="7" t="s">
        <v>199</v>
      </c>
      <c r="E81" s="12">
        <v>31.2</v>
      </c>
      <c r="F81" s="12">
        <v>32.4</v>
      </c>
      <c r="G81" s="12">
        <v>30.6</v>
      </c>
      <c r="H81" s="12">
        <v>31.8</v>
      </c>
      <c r="I81" s="12">
        <v>33</v>
      </c>
      <c r="J81" s="12">
        <v>30.9</v>
      </c>
      <c r="K81" s="12">
        <v>32.1</v>
      </c>
      <c r="L81" s="12">
        <v>30.3</v>
      </c>
      <c r="M81" s="12">
        <v>31.5</v>
      </c>
      <c r="N81" s="12">
        <v>30</v>
      </c>
      <c r="O81" s="13">
        <f>IF(COUNT(AG81:AP81)&gt;0,MIN(AG81:AP81),"")</f>
        <v>30</v>
      </c>
      <c r="P81" s="13">
        <f>IF(COUNT(AG81:AP81)&gt;0,MAX(AG81:AP81),"")</f>
        <v>33</v>
      </c>
      <c r="Q81" s="13">
        <f>IF(ISNUMBER(O81),P81-O81,"")</f>
        <v>3</v>
      </c>
      <c r="R81" s="13">
        <f>IF(ISNUMBER(O81),IF(C81="Ручная",IF($S$87&gt;0,$R$87*Q81/$S$87,IF($W$87=7,$R$87,0)),0),"")</f>
        <v>1.28727272727272</v>
      </c>
      <c r="S81" s="13">
        <f>IF(ISNUMBER(O81),O81+R81,"")</f>
        <v>31.2872727272727</v>
      </c>
      <c r="T81" s="13">
        <f>IF(ISNUMBER(S81),P81-S81,"")</f>
        <v>1.71272727272727</v>
      </c>
      <c r="U81" s="13">
        <f>IF(COUNT(AG81:AP81)&gt;0,AVERAGE(AG81:AP81),"")</f>
        <v>31.38</v>
      </c>
      <c r="AG81" s="13">
        <f>IF(ISNUMBER(E$87),E81,"")</f>
        <v>31.2</v>
      </c>
      <c r="AH81" s="13">
        <f>IF(ISNUMBER(F$87),F81,"")</f>
        <v>32.4</v>
      </c>
      <c r="AI81" s="13">
        <f>IF(ISNUMBER(G$87),G81,"")</f>
        <v>30.6</v>
      </c>
      <c r="AJ81" s="13">
        <f>IF(ISNUMBER(H$87),H81,"")</f>
        <v>31.8</v>
      </c>
      <c r="AK81" s="13">
        <f>IF(ISNUMBER(I$87),I81,"")</f>
        <v>33</v>
      </c>
      <c r="AL81" s="13">
        <f>IF(ISNUMBER(J$87),J81,"")</f>
        <v>30.9</v>
      </c>
      <c r="AM81" s="13">
        <f>IF(ISNUMBER(K$87),K81,"")</f>
        <v>32.1</v>
      </c>
      <c r="AN81" s="13">
        <f>IF(ISNUMBER(L$87),L81,"")</f>
        <v>30.3</v>
      </c>
      <c r="AO81" s="13">
        <f>IF(ISNUMBER(M$87),M81,"")</f>
        <v>31.5</v>
      </c>
      <c r="AP81" s="13">
        <f>IF(ISNUMBER(N$87),N81,"")</f>
        <v>30</v>
      </c>
      <c r="AQ81" s="13">
        <f>IF(C81="Ручная",O81,0)</f>
        <v>30</v>
      </c>
    </row>
    <row r="82" spans="1:43" ht="40" customHeight="1">
      <c r="A82" s="5">
        <v>8</v>
      </c>
      <c r="B82" s="5" t="s">
        <v>200</v>
      </c>
      <c r="C82" s="11" t="s">
        <v>183</v>
      </c>
      <c r="D82" s="7" t="s">
        <v>201</v>
      </c>
      <c r="E82" s="12">
        <v>19.08</v>
      </c>
      <c r="F82" s="12">
        <v>19.8</v>
      </c>
      <c r="G82" s="12">
        <v>18.54</v>
      </c>
      <c r="H82" s="12">
        <v>19.26</v>
      </c>
      <c r="I82" s="12">
        <v>18.18</v>
      </c>
      <c r="J82" s="12">
        <v>18.9</v>
      </c>
      <c r="K82" s="12">
        <v>18</v>
      </c>
      <c r="L82" s="12">
        <v>18.72</v>
      </c>
      <c r="M82" s="12">
        <v>19.44</v>
      </c>
      <c r="N82" s="12">
        <v>18.36</v>
      </c>
      <c r="O82" s="13">
        <f>IF(COUNT(AG82:AP82)&gt;0,MIN(AG82:AP82),"")</f>
        <v>18</v>
      </c>
      <c r="P82" s="13">
        <f>IF(COUNT(AG82:AP82)&gt;0,MAX(AG82:AP82),"")</f>
        <v>19.8</v>
      </c>
      <c r="Q82" s="13">
        <f>IF(ISNUMBER(O82),P82-O82,"")</f>
        <v>1.8</v>
      </c>
      <c r="R82" s="13">
        <f>IF(ISNUMBER(O82),IF(C82="Ручная",IF($S$87&gt;0,$R$87*Q82/$S$87,IF($W$87=8,$R$87,0)),0),"")</f>
        <v>0.772363636363635</v>
      </c>
      <c r="S82" s="13">
        <f>IF(ISNUMBER(O82),O82+R82,"")</f>
        <v>18.7723636363636</v>
      </c>
      <c r="T82" s="13">
        <f>IF(ISNUMBER(S82),P82-S82,"")</f>
        <v>1.02763636363636</v>
      </c>
      <c r="U82" s="13">
        <f>IF(COUNT(AG82:AP82)&gt;0,AVERAGE(AG82:AP82),"")</f>
        <v>18.828</v>
      </c>
      <c r="AG82" s="13">
        <f>IF(ISNUMBER(E$87),E82,"")</f>
        <v>19.08</v>
      </c>
      <c r="AH82" s="13">
        <f>IF(ISNUMBER(F$87),F82,"")</f>
        <v>19.8</v>
      </c>
      <c r="AI82" s="13">
        <f>IF(ISNUMBER(G$87),G82,"")</f>
        <v>18.54</v>
      </c>
      <c r="AJ82" s="13">
        <f>IF(ISNUMBER(H$87),H82,"")</f>
        <v>19.26</v>
      </c>
      <c r="AK82" s="13">
        <f>IF(ISNUMBER(I$87),I82,"")</f>
        <v>18.18</v>
      </c>
      <c r="AL82" s="13">
        <f>IF(ISNUMBER(J$87),J82,"")</f>
        <v>18.9</v>
      </c>
      <c r="AM82" s="13">
        <f>IF(ISNUMBER(K$87),K82,"")</f>
        <v>18</v>
      </c>
      <c r="AN82" s="13">
        <f>IF(ISNUMBER(L$87),L82,"")</f>
        <v>18.72</v>
      </c>
      <c r="AO82" s="13">
        <f>IF(ISNUMBER(M$87),M82,"")</f>
        <v>19.44</v>
      </c>
      <c r="AP82" s="13">
        <f>IF(ISNUMBER(N$87),N82,"")</f>
        <v>18.36</v>
      </c>
      <c r="AQ82" s="13">
        <f>IF(C82="Ручная",O82,0)</f>
        <v>18</v>
      </c>
    </row>
    <row r="83" spans="1:43" ht="40" customHeight="1">
      <c r="A83" s="5" t="s">
        <v>189</v>
      </c>
      <c r="B83" s="5" t="s">
        <v>202</v>
      </c>
      <c r="C83" s="11" t="s">
        <v>191</v>
      </c>
      <c r="D83" s="7" t="s">
        <v>203</v>
      </c>
      <c r="E83" s="12">
        <v>10.7</v>
      </c>
      <c r="F83" s="12">
        <v>10.1</v>
      </c>
      <c r="G83" s="12">
        <v>10.5</v>
      </c>
      <c r="H83" s="12">
        <v>10</v>
      </c>
      <c r="I83" s="12">
        <v>10.4</v>
      </c>
      <c r="J83" s="12">
        <v>10.8</v>
      </c>
      <c r="K83" s="12">
        <v>10.2</v>
      </c>
      <c r="L83" s="12">
        <v>10.6</v>
      </c>
      <c r="M83" s="12">
        <v>11</v>
      </c>
      <c r="N83" s="12">
        <v>10.3</v>
      </c>
      <c r="O83" s="13">
        <f>IF(COUNT(AG83:AP83)&gt;0,MIN(AG83:AP83),"")</f>
        <v>10</v>
      </c>
      <c r="P83" s="13">
        <f>IF(COUNT(AG83:AP83)&gt;0,MAX(AG83:AP83),"")</f>
        <v>11</v>
      </c>
      <c r="Q83" s="13">
        <f>IF(ISNUMBER(O83),P83-O83,"")</f>
        <v>1</v>
      </c>
      <c r="R83" s="13">
        <f>IF(ISNUMBER(O83),IF(C83="Ручная",IF($S$87&gt;0,$R$87*Q83/$S$87,IF($W$87=9,$R$87,0)),0),"")</f>
        <v>0</v>
      </c>
      <c r="S83" s="13">
        <f>IF(ISNUMBER(O83),O83+R83,"")</f>
        <v>10</v>
      </c>
      <c r="T83" s="13">
        <f>IF(ISNUMBER(S83),P83-S83,"")</f>
        <v>1</v>
      </c>
      <c r="U83" s="13">
        <f>IF(COUNT(AG83:AP83)&gt;0,AVERAGE(AG83:AP83),"")</f>
        <v>10.46</v>
      </c>
      <c r="AG83" s="13">
        <f>IF(ISNUMBER(E$87),E83,"")</f>
        <v>10.7</v>
      </c>
      <c r="AH83" s="13">
        <f>IF(ISNUMBER(F$87),F83,"")</f>
        <v>10.1</v>
      </c>
      <c r="AI83" s="13">
        <f>IF(ISNUMBER(G$87),G83,"")</f>
        <v>10.5</v>
      </c>
      <c r="AJ83" s="13">
        <f>IF(ISNUMBER(H$87),H83,"")</f>
        <v>10</v>
      </c>
      <c r="AK83" s="13">
        <f>IF(ISNUMBER(I$87),I83,"")</f>
        <v>10.4</v>
      </c>
      <c r="AL83" s="13">
        <f>IF(ISNUMBER(J$87),J83,"")</f>
        <v>10.8</v>
      </c>
      <c r="AM83" s="13">
        <f>IF(ISNUMBER(K$87),K83,"")</f>
        <v>10.2</v>
      </c>
      <c r="AN83" s="13">
        <f>IF(ISNUMBER(L$87),L83,"")</f>
        <v>10.6</v>
      </c>
      <c r="AO83" s="13">
        <f>IF(ISNUMBER(M$87),M83,"")</f>
        <v>11</v>
      </c>
      <c r="AP83" s="13">
        <f>IF(ISNUMBER(N$87),N83,"")</f>
        <v>10.3</v>
      </c>
      <c r="AQ83" s="13">
        <f>IF(C83="Ручная",O83,0)</f>
        <v>0</v>
      </c>
    </row>
    <row r="84" spans="1:43" ht="40" customHeight="1">
      <c r="A84" s="5" t="s">
        <v>189</v>
      </c>
      <c r="B84" s="5" t="s">
        <v>204</v>
      </c>
      <c r="C84" s="11" t="s">
        <v>191</v>
      </c>
      <c r="D84" s="7" t="s">
        <v>205</v>
      </c>
      <c r="E84" s="12">
        <v>10</v>
      </c>
      <c r="F84" s="12">
        <v>10.4</v>
      </c>
      <c r="G84" s="12">
        <v>10.8</v>
      </c>
      <c r="H84" s="12">
        <v>10.2</v>
      </c>
      <c r="I84" s="12">
        <v>10.6</v>
      </c>
      <c r="J84" s="12">
        <v>11</v>
      </c>
      <c r="K84" s="12">
        <v>10.3</v>
      </c>
      <c r="L84" s="12">
        <v>10.7</v>
      </c>
      <c r="M84" s="12">
        <v>10.1</v>
      </c>
      <c r="N84" s="12">
        <v>10.5</v>
      </c>
      <c r="O84" s="13">
        <f>IF(COUNT(AG84:AP84)&gt;0,MIN(AG84:AP84),"")</f>
        <v>10</v>
      </c>
      <c r="P84" s="13">
        <f>IF(COUNT(AG84:AP84)&gt;0,MAX(AG84:AP84),"")</f>
        <v>11</v>
      </c>
      <c r="Q84" s="13">
        <f>IF(ISNUMBER(O84),P84-O84,"")</f>
        <v>1</v>
      </c>
      <c r="R84" s="13">
        <f>IF(ISNUMBER(O84),IF(C84="Ручная",IF($S$87&gt;0,$R$87*Q84/$S$87,IF($W$87=10,$R$87,0)),0),"")</f>
        <v>0</v>
      </c>
      <c r="S84" s="13">
        <f>IF(ISNUMBER(O84),O84+R84,"")</f>
        <v>10</v>
      </c>
      <c r="T84" s="13">
        <f>IF(ISNUMBER(S84),P84-S84,"")</f>
        <v>1</v>
      </c>
      <c r="U84" s="13">
        <f>IF(COUNT(AG84:AP84)&gt;0,AVERAGE(AG84:AP84),"")</f>
        <v>10.46</v>
      </c>
      <c r="AG84" s="13">
        <f>IF(ISNUMBER(E$87),E84,"")</f>
        <v>10</v>
      </c>
      <c r="AH84" s="13">
        <f>IF(ISNUMBER(F$87),F84,"")</f>
        <v>10.4</v>
      </c>
      <c r="AI84" s="13">
        <f>IF(ISNUMBER(G$87),G84,"")</f>
        <v>10.8</v>
      </c>
      <c r="AJ84" s="13">
        <f>IF(ISNUMBER(H$87),H84,"")</f>
        <v>10.2</v>
      </c>
      <c r="AK84" s="13">
        <f>IF(ISNUMBER(I$87),I84,"")</f>
        <v>10.6</v>
      </c>
      <c r="AL84" s="13">
        <f>IF(ISNUMBER(J$87),J84,"")</f>
        <v>11</v>
      </c>
      <c r="AM84" s="13">
        <f>IF(ISNUMBER(K$87),K84,"")</f>
        <v>10.3</v>
      </c>
      <c r="AN84" s="13">
        <f>IF(ISNUMBER(L$87),L84,"")</f>
        <v>10.7</v>
      </c>
      <c r="AO84" s="13">
        <f>IF(ISNUMBER(M$87),M84,"")</f>
        <v>10.1</v>
      </c>
      <c r="AP84" s="13">
        <f>IF(ISNUMBER(N$87),N84,"")</f>
        <v>10.5</v>
      </c>
      <c r="AQ84" s="13">
        <f>IF(C84="Ручная",O84,0)</f>
        <v>0</v>
      </c>
    </row>
    <row r="85" spans="1:43" ht="40" customHeight="1">
      <c r="A85" s="5" t="s">
        <v>189</v>
      </c>
      <c r="B85" s="5" t="s">
        <v>206</v>
      </c>
      <c r="C85" s="11" t="s">
        <v>207</v>
      </c>
      <c r="D85" s="7" t="s">
        <v>208</v>
      </c>
      <c r="E85" s="12">
        <v>12.24</v>
      </c>
      <c r="F85" s="12">
        <v>12.72</v>
      </c>
      <c r="G85" s="12">
        <v>13.2</v>
      </c>
      <c r="H85" s="12">
        <v>12.36</v>
      </c>
      <c r="I85" s="12">
        <v>12.84</v>
      </c>
      <c r="J85" s="12">
        <v>12.12</v>
      </c>
      <c r="K85" s="12">
        <v>12.6</v>
      </c>
      <c r="L85" s="12">
        <v>12</v>
      </c>
      <c r="M85" s="12">
        <v>12.48</v>
      </c>
      <c r="N85" s="12">
        <v>12.96</v>
      </c>
      <c r="O85" s="13">
        <f>IF(COUNT(AG85:AP85)&gt;0,MIN(AG85:AP85),"")</f>
        <v>12</v>
      </c>
      <c r="P85" s="13">
        <f>IF(COUNT(AG85:AP85)&gt;0,MAX(AG85:AP85),"")</f>
        <v>13.2</v>
      </c>
      <c r="Q85" s="13">
        <f>IF(ISNUMBER(O85),P85-O85,"")</f>
        <v>1.2</v>
      </c>
      <c r="R85" s="13">
        <f>IF(ISNUMBER(O85),IF(C85="Ручная",IF($S$87&gt;0,$R$87*Q85/$S$87,IF($W$87=11,$R$87,0)),0),"")</f>
        <v>0</v>
      </c>
      <c r="S85" s="13">
        <f>IF(ISNUMBER(O85),O85+R85,"")</f>
        <v>12</v>
      </c>
      <c r="T85" s="13">
        <f>IF(ISNUMBER(S85),P85-S85,"")</f>
        <v>1.2</v>
      </c>
      <c r="U85" s="13">
        <f>IF(COUNT(AG85:AP85)&gt;0,AVERAGE(AG85:AP85),"")</f>
        <v>12.552</v>
      </c>
      <c r="AG85" s="13">
        <f>IF(ISNUMBER(E$87),E85,"")</f>
        <v>12.24</v>
      </c>
      <c r="AH85" s="13">
        <f>IF(ISNUMBER(F$87),F85,"")</f>
        <v>12.72</v>
      </c>
      <c r="AI85" s="13">
        <f>IF(ISNUMBER(G$87),G85,"")</f>
        <v>13.2</v>
      </c>
      <c r="AJ85" s="13">
        <f>IF(ISNUMBER(H$87),H85,"")</f>
        <v>12.36</v>
      </c>
      <c r="AK85" s="13">
        <f>IF(ISNUMBER(I$87),I85,"")</f>
        <v>12.84</v>
      </c>
      <c r="AL85" s="13">
        <f>IF(ISNUMBER(J$87),J85,"")</f>
        <v>12.12</v>
      </c>
      <c r="AM85" s="13">
        <f>IF(ISNUMBER(K$87),K85,"")</f>
        <v>12.6</v>
      </c>
      <c r="AN85" s="13">
        <f>IF(ISNUMBER(L$87),L85,"")</f>
        <v>12</v>
      </c>
      <c r="AO85" s="13">
        <f>IF(ISNUMBER(M$87),M85,"")</f>
        <v>12.48</v>
      </c>
      <c r="AP85" s="13">
        <f>IF(ISNUMBER(N$87),N85,"")</f>
        <v>12.96</v>
      </c>
      <c r="AQ85" s="13">
        <f>IF(C85="Ручная",O85,0)</f>
        <v>0</v>
      </c>
    </row>
    <row r="86" spans="1:43" ht="23" customHeight="1">
      <c r="B86" s="4" t="s">
        <v>209</v>
      </c>
      <c r="E86" s="6">
        <f>IF(COUNT(E75:E85)=11,SUM(E75:E85),"")</f>
        <v>399.33</v>
      </c>
      <c r="F86" s="6">
        <f>IF(COUNT(F75:F85)=11,SUM(F75:F85),"")</f>
        <v>399.66</v>
      </c>
      <c r="G86" s="6">
        <f>IF(COUNT(G75:G85)=11,SUM(G75:G85),"")</f>
        <v>399.54</v>
      </c>
      <c r="H86" s="6">
        <f>IF(COUNT(H75:H85)=11,SUM(H75:H85),"")</f>
        <v>398.43</v>
      </c>
      <c r="I86" s="6">
        <f>IF(COUNT(I75:I85)=11,SUM(I75:I85),"")</f>
        <v>398.32</v>
      </c>
      <c r="J86" s="6">
        <f>IF(COUNT(J75:J85)=11,SUM(J75:J85),"")</f>
        <v>396.53</v>
      </c>
      <c r="K86" s="6">
        <f>IF(COUNT(K75:K85)=11,SUM(K75:K85),"")</f>
        <v>399.97</v>
      </c>
      <c r="L86" s="6">
        <f>IF(COUNT(L75:L85)=11,SUM(L75:L85),"")</f>
        <v>396.08</v>
      </c>
      <c r="M86" s="6">
        <f>IF(COUNT(M75:M85)=11,SUM(M75:M85),"")</f>
        <v>398.86</v>
      </c>
      <c r="N86" s="6">
        <f>IF(COUNT(N75:N85)=11,SUM(N75:N85),"")</f>
        <v>399.42</v>
      </c>
      <c r="O86" s="6">
        <f>IF(COUNT(O75:O85)=11,SUM(O75:O85),"")</f>
        <v>389</v>
      </c>
      <c r="P86" s="6">
        <f>IF(COUNT(P75:P85)=11,SUM(P75:P85),"")</f>
        <v>409.9</v>
      </c>
      <c r="Q86" s="6">
        <f>IF(COUNT(Q75:Q85)=11,SUM(Q75:Q85),"")</f>
        <v>20.9</v>
      </c>
      <c r="R86" s="6">
        <f>IF(COUNT(R75:R85)=11,SUM(R75:R85),"")</f>
        <v>7.07999999999998</v>
      </c>
      <c r="S86" s="6">
        <f>IF(COUNT(S75:S85)=11,SUM(S75:S85),"")</f>
        <v>396.08</v>
      </c>
      <c r="T86" s="6">
        <f>IF(COUNT(T75:T85)=11,SUM(T75:T85),"")</f>
        <v>13.82</v>
      </c>
      <c r="U86" s="6">
        <f>IF(COUNT(U75:U85)=11,SUM(U75:U85),"")</f>
        <v>398.614</v>
      </c>
    </row>
    <row r="87" spans="1:43" ht="23" customHeight="1">
      <c r="B87" s="4" t="s">
        <v>210</v>
      </c>
      <c r="E87" s="6">
        <f>IF(AND(E73=1,COUNT(E75:E85)=11,MIN(E75:E85)&gt;=0),E86,"")</f>
        <v>399.33</v>
      </c>
      <c r="F87" s="6">
        <f>IF(AND(F73=1,COUNT(F75:F85)=11,MIN(F75:F85)&gt;=0),F86,"")</f>
        <v>399.66</v>
      </c>
      <c r="G87" s="6">
        <f>IF(AND(G73=1,COUNT(G75:G85)=11,MIN(G75:G85)&gt;=0),G86,"")</f>
        <v>399.54</v>
      </c>
      <c r="H87" s="6">
        <f>IF(AND(H73=1,COUNT(H75:H85)=11,MIN(H75:H85)&gt;=0),H86,"")</f>
        <v>398.43</v>
      </c>
      <c r="I87" s="6">
        <f>IF(AND(I73=1,COUNT(I75:I85)=11,MIN(I75:I85)&gt;=0),I86,"")</f>
        <v>398.32</v>
      </c>
      <c r="J87" s="6">
        <f>IF(AND(J73=1,COUNT(J75:J85)=11,MIN(J75:J85)&gt;=0),J86,"")</f>
        <v>396.53</v>
      </c>
      <c r="K87" s="6">
        <f>IF(AND(K73=1,COUNT(K75:K85)=11,MIN(K75:K85)&gt;=0),K86,"")</f>
        <v>399.97</v>
      </c>
      <c r="L87" s="6">
        <f>IF(AND(L73=1,COUNT(L75:L85)=11,MIN(L75:L85)&gt;=0),L86,"")</f>
        <v>396.08</v>
      </c>
      <c r="M87" s="6">
        <f>IF(AND(M73=1,COUNT(M75:M85)=11,MIN(M75:M85)&gt;=0),M86,"")</f>
        <v>398.86</v>
      </c>
      <c r="N87" s="6">
        <f>IF(AND(N73=1,COUNT(N75:N85)=11,MIN(N75:N85)&gt;=0),N86,"")</f>
        <v>399.42</v>
      </c>
      <c r="O87" s="6">
        <f>IF(COUNT(E87:N87)&gt;0,MIN(E87:N87),"")</f>
        <v>396.08</v>
      </c>
      <c r="P87" s="6">
        <f>IF(COUNT(E87:N87)&gt;0,MAX(E87:N87),"")</f>
        <v>399.97</v>
      </c>
      <c r="Q87" s="6">
        <f>IF(ISNUMBER(O87),P87-O87,"")</f>
        <v>3.89000000000004</v>
      </c>
      <c r="R87" s="6">
        <f>IF(ISNUMBER(O87),MAX(0,O87-O86),"")</f>
        <v>7.07999999999998</v>
      </c>
      <c r="S87" s="6">
        <f>SUMIF(C75:C85,"Ручная",Q75:Q85)</f>
        <v>16.5</v>
      </c>
      <c r="T87" s="6">
        <f>COUNT(E87:N87)</f>
        <v>10</v>
      </c>
      <c r="U87" s="6">
        <f>IF(COUNT(E87:N87)&gt;0,AVERAGE(E87:N87),"")</f>
        <v>398.614</v>
      </c>
      <c r="V87" s="6">
        <f>IF(ISNUMBER(O87),S86-O87,"")</f>
        <v>0</v>
      </c>
      <c r="W87" s="6">
        <f>MATCH(MAX(AQ75:AQ85),AQ75:AQ85,0)</f>
        <v>2</v>
      </c>
      <c r="X87" s="17" t="str">
        <f>IF(T87=0,"НЕТ ЗАМЕРОВ",IF(T87&lt;10,"МЕНЕЕ 10 ЦИКЛОВ",IF(ABS(V87)&lt;0.000001,"ОК","ОШИБКА РЕГУЛИРОВКИ")))</f>
        <v>ОК</v>
      </c>
    </row>
    <row r="88" spans="1:43" ht="23" customHeight="1">
      <c r="A88" s="7" t="s">
        <v>211</v>
      </c>
      <c r="B88" s="7"/>
      <c r="C88" s="7"/>
      <c r="D88" s="7"/>
      <c r="E88" s="7"/>
      <c r="F88" s="7"/>
      <c r="G88" s="7"/>
      <c r="H88" s="7"/>
      <c r="I88" s="7"/>
      <c r="J88" s="7"/>
      <c r="K88" s="7"/>
      <c r="L88" s="7"/>
      <c r="M88" s="7"/>
      <c r="N88" s="7"/>
      <c r="O88" s="7"/>
      <c r="P88" s="7"/>
      <c r="Q88" s="7"/>
      <c r="R88" s="7"/>
      <c r="S88" s="7"/>
      <c r="T88" s="7"/>
      <c r="U88" s="7"/>
      <c r="V88" s="7"/>
      <c r="W88" s="7"/>
      <c r="X88" s="7"/>
    </row>
    <row r="91" spans="1:43" ht="23" customHeight="1">
      <c r="A91" s="4" t="s">
        <v>215</v>
      </c>
      <c r="B91" s="4"/>
      <c r="C91" s="4"/>
      <c r="D91" s="4"/>
      <c r="E91" s="4"/>
      <c r="F91" s="4"/>
      <c r="G91" s="4"/>
      <c r="H91" s="4"/>
      <c r="I91" s="4"/>
      <c r="J91" s="4"/>
      <c r="K91" s="4"/>
      <c r="L91" s="4"/>
      <c r="M91" s="4"/>
      <c r="N91" s="4"/>
      <c r="O91" s="4"/>
      <c r="P91" s="4"/>
      <c r="Q91" s="4"/>
      <c r="R91" s="4"/>
      <c r="S91" s="4"/>
      <c r="T91" s="4"/>
      <c r="U91" s="4"/>
      <c r="V91" s="4"/>
      <c r="W91" s="4"/>
      <c r="X91" s="4"/>
    </row>
    <row r="92" spans="1:43" ht="23" customHeight="1">
      <c r="A92" s="7" t="str">
        <f>"Масса замера, кг: "&amp;'Ассортимент'!J12&amp;". Все замеры одной партии/исполнителя/условий. Основание: "&amp;'Ввод'!B14</f>
        <v>Масса замера, кг: 3. Все замеры одной партии/исполнителя/условий. Основание: ДЕМО: синтетические замеры; заменить фактическими</v>
      </c>
      <c r="B92" s="7"/>
      <c r="C92" s="7"/>
      <c r="D92" s="7"/>
      <c r="E92" s="7"/>
      <c r="F92" s="7"/>
      <c r="G92" s="7"/>
      <c r="H92" s="7"/>
      <c r="I92" s="7"/>
      <c r="J92" s="7"/>
      <c r="K92" s="7"/>
      <c r="L92" s="7"/>
      <c r="M92" s="7"/>
      <c r="N92" s="7"/>
      <c r="O92" s="7"/>
      <c r="P92" s="7"/>
      <c r="Q92" s="7"/>
      <c r="R92" s="7"/>
      <c r="S92" s="7"/>
      <c r="T92" s="7"/>
      <c r="U92" s="7"/>
      <c r="V92" s="7"/>
      <c r="W92" s="7"/>
      <c r="X92" s="7"/>
    </row>
    <row r="93" spans="1:43" ht="44" customHeight="1">
      <c r="A93" s="8" t="s">
        <v>113</v>
      </c>
      <c r="B93" s="8" t="s">
        <v>156</v>
      </c>
      <c r="C93" s="8" t="s">
        <v>157</v>
      </c>
      <c r="D93" s="8" t="s">
        <v>158</v>
      </c>
      <c r="E93" s="8" t="s">
        <v>159</v>
      </c>
      <c r="F93" s="8" t="s">
        <v>160</v>
      </c>
      <c r="G93" s="8" t="s">
        <v>161</v>
      </c>
      <c r="H93" s="8" t="s">
        <v>162</v>
      </c>
      <c r="I93" s="8" t="s">
        <v>163</v>
      </c>
      <c r="J93" s="8" t="s">
        <v>164</v>
      </c>
      <c r="K93" s="8" t="s">
        <v>165</v>
      </c>
      <c r="L93" s="8" t="s">
        <v>166</v>
      </c>
      <c r="M93" s="8" t="s">
        <v>167</v>
      </c>
      <c r="N93" s="8" t="s">
        <v>168</v>
      </c>
      <c r="O93" s="8" t="s">
        <v>169</v>
      </c>
      <c r="P93" s="8" t="s">
        <v>170</v>
      </c>
      <c r="Q93" s="8" t="s">
        <v>171</v>
      </c>
      <c r="R93" s="8" t="s">
        <v>172</v>
      </c>
      <c r="S93" s="8" t="s">
        <v>173</v>
      </c>
      <c r="T93" s="8" t="s">
        <v>174</v>
      </c>
      <c r="U93" s="8" t="s">
        <v>175</v>
      </c>
      <c r="V93" s="8" t="s">
        <v>176</v>
      </c>
      <c r="W93" s="8" t="s">
        <v>177</v>
      </c>
      <c r="X93" s="8" t="s">
        <v>178</v>
      </c>
    </row>
    <row r="94" spans="1:43" ht="23" customHeight="1">
      <c r="B94" s="5" t="s">
        <v>179</v>
      </c>
      <c r="E94" s="12">
        <v>1</v>
      </c>
      <c r="F94" s="12">
        <v>1</v>
      </c>
      <c r="G94" s="12">
        <v>1</v>
      </c>
      <c r="H94" s="12">
        <v>1</v>
      </c>
      <c r="I94" s="12">
        <v>1</v>
      </c>
      <c r="J94" s="12">
        <v>1</v>
      </c>
      <c r="K94" s="12">
        <v>1</v>
      </c>
      <c r="L94" s="12">
        <v>1</v>
      </c>
      <c r="M94" s="12">
        <v>1</v>
      </c>
      <c r="N94" s="12">
        <v>1</v>
      </c>
    </row>
    <row r="95" spans="1:43" ht="33" customHeight="1">
      <c r="B95" s="5" t="s">
        <v>180</v>
      </c>
      <c r="E95" s="9" t="s">
        <v>181</v>
      </c>
      <c r="F95" s="9" t="s">
        <v>181</v>
      </c>
      <c r="G95" s="9" t="s">
        <v>181</v>
      </c>
      <c r="H95" s="9" t="s">
        <v>181</v>
      </c>
      <c r="I95" s="9" t="s">
        <v>181</v>
      </c>
      <c r="J95" s="9" t="s">
        <v>181</v>
      </c>
      <c r="K95" s="9" t="s">
        <v>181</v>
      </c>
      <c r="L95" s="9" t="s">
        <v>181</v>
      </c>
      <c r="M95" s="9" t="s">
        <v>181</v>
      </c>
      <c r="N95" s="9" t="s">
        <v>181</v>
      </c>
    </row>
    <row r="96" spans="1:43" ht="40" customHeight="1">
      <c r="A96" s="5">
        <v>1</v>
      </c>
      <c r="B96" s="5" t="s">
        <v>182</v>
      </c>
      <c r="C96" s="11" t="s">
        <v>183</v>
      </c>
      <c r="D96" s="7" t="s">
        <v>184</v>
      </c>
      <c r="E96" s="12">
        <v>26.5</v>
      </c>
      <c r="F96" s="12">
        <v>27.5</v>
      </c>
      <c r="G96" s="12">
        <v>25.75</v>
      </c>
      <c r="H96" s="12">
        <v>26.75</v>
      </c>
      <c r="I96" s="12">
        <v>25.25</v>
      </c>
      <c r="J96" s="12">
        <v>26.25</v>
      </c>
      <c r="K96" s="12">
        <v>25</v>
      </c>
      <c r="L96" s="12">
        <v>26</v>
      </c>
      <c r="M96" s="12">
        <v>27</v>
      </c>
      <c r="N96" s="12">
        <v>25.5</v>
      </c>
      <c r="O96" s="13">
        <f>IF(COUNT(AG96:AP96)&gt;0,MIN(AG96:AP96),"")</f>
        <v>25</v>
      </c>
      <c r="P96" s="13">
        <f>IF(COUNT(AG96:AP96)&gt;0,MAX(AG96:AP96),"")</f>
        <v>27.5</v>
      </c>
      <c r="Q96" s="13">
        <f>IF(ISNUMBER(O96),P96-O96,"")</f>
        <v>2.5</v>
      </c>
      <c r="R96" s="13">
        <f>IF(ISNUMBER(O96),IF(C96="Ручная",IF($S$108&gt;0,$R$108*Q96/$S$108,IF($W$108=1,$R$108,0)),0),"")</f>
        <v>1.01081081081081</v>
      </c>
      <c r="S96" s="13">
        <f>IF(ISNUMBER(O96),O96+R96,"")</f>
        <v>26.0108108108108</v>
      </c>
      <c r="T96" s="13">
        <f>IF(ISNUMBER(S96),P96-S96,"")</f>
        <v>1.48918918918919</v>
      </c>
      <c r="U96" s="13">
        <f>IF(COUNT(AG96:AP96)&gt;0,AVERAGE(AG96:AP96),"")</f>
        <v>26.15</v>
      </c>
      <c r="AG96" s="13">
        <f>IF(ISNUMBER(E$108),E96,"")</f>
        <v>26.5</v>
      </c>
      <c r="AH96" s="13">
        <f>IF(ISNUMBER(F$108),F96,"")</f>
        <v>27.5</v>
      </c>
      <c r="AI96" s="13">
        <f>IF(ISNUMBER(G$108),G96,"")</f>
        <v>25.75</v>
      </c>
      <c r="AJ96" s="13">
        <f>IF(ISNUMBER(H$108),H96,"")</f>
        <v>26.75</v>
      </c>
      <c r="AK96" s="13">
        <f>IF(ISNUMBER(I$108),I96,"")</f>
        <v>25.25</v>
      </c>
      <c r="AL96" s="13">
        <f>IF(ISNUMBER(J$108),J96,"")</f>
        <v>26.25</v>
      </c>
      <c r="AM96" s="13">
        <f>IF(ISNUMBER(K$108),K96,"")</f>
        <v>25</v>
      </c>
      <c r="AN96" s="13">
        <f>IF(ISNUMBER(L$108),L96,"")</f>
        <v>26</v>
      </c>
      <c r="AO96" s="13">
        <f>IF(ISNUMBER(M$108),M96,"")</f>
        <v>27</v>
      </c>
      <c r="AP96" s="13">
        <f>IF(ISNUMBER(N$108),N96,"")</f>
        <v>25.5</v>
      </c>
      <c r="AQ96" s="13">
        <f>IF(C96="Ручная",O96,0)</f>
        <v>25</v>
      </c>
    </row>
    <row r="97" spans="1:43" ht="40" customHeight="1">
      <c r="A97" s="5">
        <v>2</v>
      </c>
      <c r="B97" s="5" t="s">
        <v>185</v>
      </c>
      <c r="C97" s="11" t="s">
        <v>183</v>
      </c>
      <c r="D97" s="7" t="s">
        <v>186</v>
      </c>
      <c r="E97" s="12">
        <v>58.85</v>
      </c>
      <c r="F97" s="12">
        <v>55.55</v>
      </c>
      <c r="G97" s="12">
        <v>57.75</v>
      </c>
      <c r="H97" s="12">
        <v>55</v>
      </c>
      <c r="I97" s="12">
        <v>57.2</v>
      </c>
      <c r="J97" s="12">
        <v>59.4</v>
      </c>
      <c r="K97" s="12">
        <v>56.1</v>
      </c>
      <c r="L97" s="12">
        <v>58.3</v>
      </c>
      <c r="M97" s="12">
        <v>60.5</v>
      </c>
      <c r="N97" s="12">
        <v>56.65</v>
      </c>
      <c r="O97" s="13">
        <f>IF(COUNT(AG97:AP97)&gt;0,MIN(AG97:AP97),"")</f>
        <v>55</v>
      </c>
      <c r="P97" s="13">
        <f>IF(COUNT(AG97:AP97)&gt;0,MAX(AG97:AP97),"")</f>
        <v>60.5</v>
      </c>
      <c r="Q97" s="13">
        <f>IF(ISNUMBER(O97),P97-O97,"")</f>
        <v>5.5</v>
      </c>
      <c r="R97" s="13">
        <f>IF(ISNUMBER(O97),IF(C97="Ручная",IF($S$108&gt;0,$R$108*Q97/$S$108,IF($W$108=2,$R$108,0)),0),"")</f>
        <v>2.22378378378377</v>
      </c>
      <c r="S97" s="13">
        <f>IF(ISNUMBER(O97),O97+R97,"")</f>
        <v>57.2237837837838</v>
      </c>
      <c r="T97" s="13">
        <f>IF(ISNUMBER(S97),P97-S97,"")</f>
        <v>3.27621621621623</v>
      </c>
      <c r="U97" s="13">
        <f>IF(COUNT(AG97:AP97)&gt;0,AVERAGE(AG97:AP97),"")</f>
        <v>57.53</v>
      </c>
      <c r="AG97" s="13">
        <f>IF(ISNUMBER(E$108),E97,"")</f>
        <v>58.85</v>
      </c>
      <c r="AH97" s="13">
        <f>IF(ISNUMBER(F$108),F97,"")</f>
        <v>55.55</v>
      </c>
      <c r="AI97" s="13">
        <f>IF(ISNUMBER(G$108),G97,"")</f>
        <v>57.75</v>
      </c>
      <c r="AJ97" s="13">
        <f>IF(ISNUMBER(H$108),H97,"")</f>
        <v>55</v>
      </c>
      <c r="AK97" s="13">
        <f>IF(ISNUMBER(I$108),I97,"")</f>
        <v>57.2</v>
      </c>
      <c r="AL97" s="13">
        <f>IF(ISNUMBER(J$108),J97,"")</f>
        <v>59.4</v>
      </c>
      <c r="AM97" s="13">
        <f>IF(ISNUMBER(K$108),K97,"")</f>
        <v>56.1</v>
      </c>
      <c r="AN97" s="13">
        <f>IF(ISNUMBER(L$108),L97,"")</f>
        <v>58.3</v>
      </c>
      <c r="AO97" s="13">
        <f>IF(ISNUMBER(M$108),M97,"")</f>
        <v>60.5</v>
      </c>
      <c r="AP97" s="13">
        <f>IF(ISNUMBER(N$108),N97,"")</f>
        <v>56.65</v>
      </c>
      <c r="AQ97" s="13">
        <f>IF(C97="Ручная",O97,0)</f>
        <v>55</v>
      </c>
    </row>
    <row r="98" spans="1:43" ht="40" customHeight="1">
      <c r="A98" s="5">
        <v>3</v>
      </c>
      <c r="B98" s="5" t="s">
        <v>187</v>
      </c>
      <c r="C98" s="11" t="s">
        <v>183</v>
      </c>
      <c r="D98" s="7" t="s">
        <v>188</v>
      </c>
      <c r="E98" s="12">
        <v>22</v>
      </c>
      <c r="F98" s="12">
        <v>22.88</v>
      </c>
      <c r="G98" s="12">
        <v>23.76</v>
      </c>
      <c r="H98" s="12">
        <v>22.44</v>
      </c>
      <c r="I98" s="12">
        <v>23.32</v>
      </c>
      <c r="J98" s="12">
        <v>24.2</v>
      </c>
      <c r="K98" s="12">
        <v>22.66</v>
      </c>
      <c r="L98" s="12">
        <v>23.54</v>
      </c>
      <c r="M98" s="12">
        <v>22.22</v>
      </c>
      <c r="N98" s="12">
        <v>23.1</v>
      </c>
      <c r="O98" s="13">
        <f>IF(COUNT(AG98:AP98)&gt;0,MIN(AG98:AP98),"")</f>
        <v>22</v>
      </c>
      <c r="P98" s="13">
        <f>IF(COUNT(AG98:AP98)&gt;0,MAX(AG98:AP98),"")</f>
        <v>24.2</v>
      </c>
      <c r="Q98" s="13">
        <f>IF(ISNUMBER(O98),P98-O98,"")</f>
        <v>2.2</v>
      </c>
      <c r="R98" s="13">
        <f>IF(ISNUMBER(O98),IF(C98="Ручная",IF($S$108&gt;0,$R$108*Q98/$S$108,IF($W$108=3,$R$108,0)),0),"")</f>
        <v>0.889513513513509</v>
      </c>
      <c r="S98" s="13">
        <f>IF(ISNUMBER(O98),O98+R98,"")</f>
        <v>22.8895135135135</v>
      </c>
      <c r="T98" s="13">
        <f>IF(ISNUMBER(S98),P98-S98,"")</f>
        <v>1.31048648648649</v>
      </c>
      <c r="U98" s="13">
        <f>IF(COUNT(AG98:AP98)&gt;0,AVERAGE(AG98:AP98),"")</f>
        <v>23.012</v>
      </c>
      <c r="AG98" s="13">
        <f>IF(ISNUMBER(E$108),E98,"")</f>
        <v>22</v>
      </c>
      <c r="AH98" s="13">
        <f>IF(ISNUMBER(F$108),F98,"")</f>
        <v>22.88</v>
      </c>
      <c r="AI98" s="13">
        <f>IF(ISNUMBER(G$108),G98,"")</f>
        <v>23.76</v>
      </c>
      <c r="AJ98" s="13">
        <f>IF(ISNUMBER(H$108),H98,"")</f>
        <v>22.44</v>
      </c>
      <c r="AK98" s="13">
        <f>IF(ISNUMBER(I$108),I98,"")</f>
        <v>23.32</v>
      </c>
      <c r="AL98" s="13">
        <f>IF(ISNUMBER(J$108),J98,"")</f>
        <v>24.2</v>
      </c>
      <c r="AM98" s="13">
        <f>IF(ISNUMBER(K$108),K98,"")</f>
        <v>22.66</v>
      </c>
      <c r="AN98" s="13">
        <f>IF(ISNUMBER(L$108),L98,"")</f>
        <v>23.54</v>
      </c>
      <c r="AO98" s="13">
        <f>IF(ISNUMBER(M$108),M98,"")</f>
        <v>22.22</v>
      </c>
      <c r="AP98" s="13">
        <f>IF(ISNUMBER(N$108),N98,"")</f>
        <v>23.1</v>
      </c>
      <c r="AQ98" s="13">
        <f>IF(C98="Ручная",O98,0)</f>
        <v>22</v>
      </c>
    </row>
    <row r="99" spans="1:43" ht="40" customHeight="1">
      <c r="A99" s="5" t="s">
        <v>189</v>
      </c>
      <c r="B99" s="5" t="s">
        <v>190</v>
      </c>
      <c r="C99" s="11" t="s">
        <v>191</v>
      </c>
      <c r="D99" s="7" t="s">
        <v>192</v>
      </c>
      <c r="E99" s="12">
        <v>12.24</v>
      </c>
      <c r="F99" s="12">
        <v>12.72</v>
      </c>
      <c r="G99" s="12">
        <v>13.2</v>
      </c>
      <c r="H99" s="12">
        <v>12.36</v>
      </c>
      <c r="I99" s="12">
        <v>12.84</v>
      </c>
      <c r="J99" s="12">
        <v>12.12</v>
      </c>
      <c r="K99" s="12">
        <v>12.6</v>
      </c>
      <c r="L99" s="12">
        <v>12</v>
      </c>
      <c r="M99" s="12">
        <v>12.48</v>
      </c>
      <c r="N99" s="12">
        <v>12.96</v>
      </c>
      <c r="O99" s="13">
        <f>IF(COUNT(AG99:AP99)&gt;0,MIN(AG99:AP99),"")</f>
        <v>12</v>
      </c>
      <c r="P99" s="13">
        <f>IF(COUNT(AG99:AP99)&gt;0,MAX(AG99:AP99),"")</f>
        <v>13.2</v>
      </c>
      <c r="Q99" s="13">
        <f>IF(ISNUMBER(O99),P99-O99,"")</f>
        <v>1.2</v>
      </c>
      <c r="R99" s="13">
        <f>IF(ISNUMBER(O99),IF(C99="Ручная",IF($S$108&gt;0,$R$108*Q99/$S$108,IF($W$108=4,$R$108,0)),0),"")</f>
        <v>0</v>
      </c>
      <c r="S99" s="13">
        <f>IF(ISNUMBER(O99),O99+R99,"")</f>
        <v>12</v>
      </c>
      <c r="T99" s="13">
        <f>IF(ISNUMBER(S99),P99-S99,"")</f>
        <v>1.2</v>
      </c>
      <c r="U99" s="13">
        <f>IF(COUNT(AG99:AP99)&gt;0,AVERAGE(AG99:AP99),"")</f>
        <v>12.552</v>
      </c>
      <c r="AG99" s="13">
        <f>IF(ISNUMBER(E$108),E99,"")</f>
        <v>12.24</v>
      </c>
      <c r="AH99" s="13">
        <f>IF(ISNUMBER(F$108),F99,"")</f>
        <v>12.72</v>
      </c>
      <c r="AI99" s="13">
        <f>IF(ISNUMBER(G$108),G99,"")</f>
        <v>13.2</v>
      </c>
      <c r="AJ99" s="13">
        <f>IF(ISNUMBER(H$108),H99,"")</f>
        <v>12.36</v>
      </c>
      <c r="AK99" s="13">
        <f>IF(ISNUMBER(I$108),I99,"")</f>
        <v>12.84</v>
      </c>
      <c r="AL99" s="13">
        <f>IF(ISNUMBER(J$108),J99,"")</f>
        <v>12.12</v>
      </c>
      <c r="AM99" s="13">
        <f>IF(ISNUMBER(K$108),K99,"")</f>
        <v>12.6</v>
      </c>
      <c r="AN99" s="13">
        <f>IF(ISNUMBER(L$108),L99,"")</f>
        <v>12</v>
      </c>
      <c r="AO99" s="13">
        <f>IF(ISNUMBER(M$108),M99,"")</f>
        <v>12.48</v>
      </c>
      <c r="AP99" s="13">
        <f>IF(ISNUMBER(N$108),N99,"")</f>
        <v>12.96</v>
      </c>
      <c r="AQ99" s="13">
        <f>IF(C99="Ручная",O99,0)</f>
        <v>0</v>
      </c>
    </row>
    <row r="100" spans="1:43" ht="40" customHeight="1">
      <c r="A100" s="5">
        <v>5</v>
      </c>
      <c r="B100" s="5" t="s">
        <v>193</v>
      </c>
      <c r="C100" s="11" t="s">
        <v>183</v>
      </c>
      <c r="D100" s="7" t="s">
        <v>194</v>
      </c>
      <c r="E100" s="12">
        <v>36.05</v>
      </c>
      <c r="F100" s="12">
        <v>37.45</v>
      </c>
      <c r="G100" s="12">
        <v>35.35</v>
      </c>
      <c r="H100" s="12">
        <v>36.75</v>
      </c>
      <c r="I100" s="12">
        <v>35</v>
      </c>
      <c r="J100" s="12">
        <v>36.4</v>
      </c>
      <c r="K100" s="12">
        <v>37.8</v>
      </c>
      <c r="L100" s="12">
        <v>35.7</v>
      </c>
      <c r="M100" s="12">
        <v>37.1</v>
      </c>
      <c r="N100" s="12">
        <v>38.5</v>
      </c>
      <c r="O100" s="13">
        <f>IF(COUNT(AG100:AP100)&gt;0,MIN(AG100:AP100),"")</f>
        <v>35</v>
      </c>
      <c r="P100" s="13">
        <f>IF(COUNT(AG100:AP100)&gt;0,MAX(AG100:AP100),"")</f>
        <v>38.5</v>
      </c>
      <c r="Q100" s="13">
        <f>IF(ISNUMBER(O100),P100-O100,"")</f>
        <v>3.5</v>
      </c>
      <c r="R100" s="13">
        <f>IF(ISNUMBER(O100),IF(C100="Ручная",IF($S$108&gt;0,$R$108*Q100/$S$108,IF($W$108=5,$R$108,0)),0),"")</f>
        <v>1.41513513513513</v>
      </c>
      <c r="S100" s="13">
        <f>IF(ISNUMBER(O100),O100+R100,"")</f>
        <v>36.4151351351351</v>
      </c>
      <c r="T100" s="13">
        <f>IF(ISNUMBER(S100),P100-S100,"")</f>
        <v>2.08486486486487</v>
      </c>
      <c r="U100" s="13">
        <f>IF(COUNT(AG100:AP100)&gt;0,AVERAGE(AG100:AP100),"")</f>
        <v>36.61</v>
      </c>
      <c r="AG100" s="13">
        <f>IF(ISNUMBER(E$108),E100,"")</f>
        <v>36.05</v>
      </c>
      <c r="AH100" s="13">
        <f>IF(ISNUMBER(F$108),F100,"")</f>
        <v>37.45</v>
      </c>
      <c r="AI100" s="13">
        <f>IF(ISNUMBER(G$108),G100,"")</f>
        <v>35.35</v>
      </c>
      <c r="AJ100" s="13">
        <f>IF(ISNUMBER(H$108),H100,"")</f>
        <v>36.75</v>
      </c>
      <c r="AK100" s="13">
        <f>IF(ISNUMBER(I$108),I100,"")</f>
        <v>35</v>
      </c>
      <c r="AL100" s="13">
        <f>IF(ISNUMBER(J$108),J100,"")</f>
        <v>36.4</v>
      </c>
      <c r="AM100" s="13">
        <f>IF(ISNUMBER(K$108),K100,"")</f>
        <v>37.8</v>
      </c>
      <c r="AN100" s="13">
        <f>IF(ISNUMBER(L$108),L100,"")</f>
        <v>35.7</v>
      </c>
      <c r="AO100" s="13">
        <f>IF(ISNUMBER(M$108),M100,"")</f>
        <v>37.1</v>
      </c>
      <c r="AP100" s="13">
        <f>IF(ISNUMBER(N$108),N100,"")</f>
        <v>38.5</v>
      </c>
      <c r="AQ100" s="13">
        <f>IF(C100="Ручная",O100,0)</f>
        <v>35</v>
      </c>
    </row>
    <row r="101" spans="1:43" ht="40" customHeight="1">
      <c r="A101" s="5" t="s">
        <v>189</v>
      </c>
      <c r="B101" s="5" t="s">
        <v>195</v>
      </c>
      <c r="C101" s="11" t="s">
        <v>196</v>
      </c>
      <c r="D101" s="7" t="s">
        <v>197</v>
      </c>
      <c r="E101" s="18">
        <f>'Ассортимент'!R12</f>
        <v>180</v>
      </c>
      <c r="F101" s="18">
        <f>'Ассортимент'!R12</f>
        <v>180</v>
      </c>
      <c r="G101" s="18">
        <f>'Ассортимент'!R12</f>
        <v>180</v>
      </c>
      <c r="H101" s="18">
        <f>'Ассортимент'!R12</f>
        <v>180</v>
      </c>
      <c r="I101" s="18">
        <f>'Ассортимент'!R12</f>
        <v>180</v>
      </c>
      <c r="J101" s="18">
        <f>'Ассортимент'!R12</f>
        <v>180</v>
      </c>
      <c r="K101" s="18">
        <f>'Ассортимент'!R12</f>
        <v>180</v>
      </c>
      <c r="L101" s="18">
        <f>'Ассортимент'!R12</f>
        <v>180</v>
      </c>
      <c r="M101" s="18">
        <f>'Ассортимент'!R12</f>
        <v>180</v>
      </c>
      <c r="N101" s="18">
        <f>'Ассортимент'!R12</f>
        <v>180</v>
      </c>
      <c r="O101" s="13">
        <f>IF(COUNT(AG101:AP101)&gt;0,MIN(AG101:AP101),"")</f>
        <v>180</v>
      </c>
      <c r="P101" s="13">
        <f>IF(COUNT(AG101:AP101)&gt;0,MAX(AG101:AP101),"")</f>
        <v>180</v>
      </c>
      <c r="Q101" s="13">
        <f>IF(ISNUMBER(O101),P101-O101,"")</f>
        <v>0</v>
      </c>
      <c r="R101" s="13">
        <f>IF(ISNUMBER(O101),IF(C101="Ручная",IF($S$108&gt;0,$R$108*Q101/$S$108,IF($W$108=6,$R$108,0)),0),"")</f>
        <v>0</v>
      </c>
      <c r="S101" s="13">
        <f>IF(ISNUMBER(O101),O101+R101,"")</f>
        <v>180</v>
      </c>
      <c r="T101" s="13">
        <f>IF(ISNUMBER(S101),P101-S101,"")</f>
        <v>0</v>
      </c>
      <c r="U101" s="13">
        <f>IF(COUNT(AG101:AP101)&gt;0,AVERAGE(AG101:AP101),"")</f>
        <v>180</v>
      </c>
      <c r="AG101" s="13">
        <f>IF(ISNUMBER(E$108),E101,"")</f>
        <v>180</v>
      </c>
      <c r="AH101" s="13">
        <f>IF(ISNUMBER(F$108),F101,"")</f>
        <v>180</v>
      </c>
      <c r="AI101" s="13">
        <f>IF(ISNUMBER(G$108),G101,"")</f>
        <v>180</v>
      </c>
      <c r="AJ101" s="13">
        <f>IF(ISNUMBER(H$108),H101,"")</f>
        <v>180</v>
      </c>
      <c r="AK101" s="13">
        <f>IF(ISNUMBER(I$108),I101,"")</f>
        <v>180</v>
      </c>
      <c r="AL101" s="13">
        <f>IF(ISNUMBER(J$108),J101,"")</f>
        <v>180</v>
      </c>
      <c r="AM101" s="13">
        <f>IF(ISNUMBER(K$108),K101,"")</f>
        <v>180</v>
      </c>
      <c r="AN101" s="13">
        <f>IF(ISNUMBER(L$108),L101,"")</f>
        <v>180</v>
      </c>
      <c r="AO101" s="13">
        <f>IF(ISNUMBER(M$108),M101,"")</f>
        <v>180</v>
      </c>
      <c r="AP101" s="13">
        <f>IF(ISNUMBER(N$108),N101,"")</f>
        <v>180</v>
      </c>
      <c r="AQ101" s="13">
        <f>IF(C101="Ручная",O101,0)</f>
        <v>0</v>
      </c>
    </row>
    <row r="102" spans="1:43" ht="40" customHeight="1">
      <c r="A102" s="5">
        <v>7</v>
      </c>
      <c r="B102" s="5" t="s">
        <v>198</v>
      </c>
      <c r="C102" s="11" t="s">
        <v>183</v>
      </c>
      <c r="D102" s="7" t="s">
        <v>199</v>
      </c>
      <c r="E102" s="12">
        <v>32.4</v>
      </c>
      <c r="F102" s="12">
        <v>30.6</v>
      </c>
      <c r="G102" s="12">
        <v>31.8</v>
      </c>
      <c r="H102" s="12">
        <v>33</v>
      </c>
      <c r="I102" s="12">
        <v>30.9</v>
      </c>
      <c r="J102" s="12">
        <v>32.1</v>
      </c>
      <c r="K102" s="12">
        <v>30.3</v>
      </c>
      <c r="L102" s="12">
        <v>31.5</v>
      </c>
      <c r="M102" s="12">
        <v>30</v>
      </c>
      <c r="N102" s="12">
        <v>31.2</v>
      </c>
      <c r="O102" s="13">
        <f>IF(COUNT(AG102:AP102)&gt;0,MIN(AG102:AP102),"")</f>
        <v>30</v>
      </c>
      <c r="P102" s="13">
        <f>IF(COUNT(AG102:AP102)&gt;0,MAX(AG102:AP102),"")</f>
        <v>33</v>
      </c>
      <c r="Q102" s="13">
        <f>IF(ISNUMBER(O102),P102-O102,"")</f>
        <v>3</v>
      </c>
      <c r="R102" s="13">
        <f>IF(ISNUMBER(O102),IF(C102="Ручная",IF($S$108&gt;0,$R$108*Q102/$S$108,IF($W$108=7,$R$108,0)),0),"")</f>
        <v>1.21297297297297</v>
      </c>
      <c r="S102" s="13">
        <f>IF(ISNUMBER(O102),O102+R102,"")</f>
        <v>31.212972972973</v>
      </c>
      <c r="T102" s="13">
        <f>IF(ISNUMBER(S102),P102-S102,"")</f>
        <v>1.78702702702703</v>
      </c>
      <c r="U102" s="13">
        <f>IF(COUNT(AG102:AP102)&gt;0,AVERAGE(AG102:AP102),"")</f>
        <v>31.38</v>
      </c>
      <c r="AG102" s="13">
        <f>IF(ISNUMBER(E$108),E102,"")</f>
        <v>32.4</v>
      </c>
      <c r="AH102" s="13">
        <f>IF(ISNUMBER(F$108),F102,"")</f>
        <v>30.6</v>
      </c>
      <c r="AI102" s="13">
        <f>IF(ISNUMBER(G$108),G102,"")</f>
        <v>31.8</v>
      </c>
      <c r="AJ102" s="13">
        <f>IF(ISNUMBER(H$108),H102,"")</f>
        <v>33</v>
      </c>
      <c r="AK102" s="13">
        <f>IF(ISNUMBER(I$108),I102,"")</f>
        <v>30.9</v>
      </c>
      <c r="AL102" s="13">
        <f>IF(ISNUMBER(J$108),J102,"")</f>
        <v>32.1</v>
      </c>
      <c r="AM102" s="13">
        <f>IF(ISNUMBER(K$108),K102,"")</f>
        <v>30.3</v>
      </c>
      <c r="AN102" s="13">
        <f>IF(ISNUMBER(L$108),L102,"")</f>
        <v>31.5</v>
      </c>
      <c r="AO102" s="13">
        <f>IF(ISNUMBER(M$108),M102,"")</f>
        <v>30</v>
      </c>
      <c r="AP102" s="13">
        <f>IF(ISNUMBER(N$108),N102,"")</f>
        <v>31.2</v>
      </c>
      <c r="AQ102" s="13">
        <f>IF(C102="Ручная",O102,0)</f>
        <v>30</v>
      </c>
    </row>
    <row r="103" spans="1:43" ht="40" customHeight="1">
      <c r="A103" s="5">
        <v>8</v>
      </c>
      <c r="B103" s="5" t="s">
        <v>200</v>
      </c>
      <c r="C103" s="11" t="s">
        <v>183</v>
      </c>
      <c r="D103" s="7" t="s">
        <v>201</v>
      </c>
      <c r="E103" s="12">
        <v>19.8</v>
      </c>
      <c r="F103" s="12">
        <v>18.54</v>
      </c>
      <c r="G103" s="12">
        <v>19.26</v>
      </c>
      <c r="H103" s="12">
        <v>18.18</v>
      </c>
      <c r="I103" s="12">
        <v>18.9</v>
      </c>
      <c r="J103" s="12">
        <v>18</v>
      </c>
      <c r="K103" s="12">
        <v>18.72</v>
      </c>
      <c r="L103" s="12">
        <v>19.44</v>
      </c>
      <c r="M103" s="12">
        <v>18.36</v>
      </c>
      <c r="N103" s="12">
        <v>19.08</v>
      </c>
      <c r="O103" s="13">
        <f>IF(COUNT(AG103:AP103)&gt;0,MIN(AG103:AP103),"")</f>
        <v>18</v>
      </c>
      <c r="P103" s="13">
        <f>IF(COUNT(AG103:AP103)&gt;0,MAX(AG103:AP103),"")</f>
        <v>19.8</v>
      </c>
      <c r="Q103" s="13">
        <f>IF(ISNUMBER(O103),P103-O103,"")</f>
        <v>1.8</v>
      </c>
      <c r="R103" s="13">
        <f>IF(ISNUMBER(O103),IF(C103="Ручная",IF($S$108&gt;0,$R$108*Q103/$S$108,IF($W$108=8,$R$108,0)),0),"")</f>
        <v>0.72778378378378</v>
      </c>
      <c r="S103" s="13">
        <f>IF(ISNUMBER(O103),O103+R103,"")</f>
        <v>18.7277837837838</v>
      </c>
      <c r="T103" s="13">
        <f>IF(ISNUMBER(S103),P103-S103,"")</f>
        <v>1.07221621621622</v>
      </c>
      <c r="U103" s="13">
        <f>IF(COUNT(AG103:AP103)&gt;0,AVERAGE(AG103:AP103),"")</f>
        <v>18.828</v>
      </c>
      <c r="AG103" s="13">
        <f>IF(ISNUMBER(E$108),E103,"")</f>
        <v>19.8</v>
      </c>
      <c r="AH103" s="13">
        <f>IF(ISNUMBER(F$108),F103,"")</f>
        <v>18.54</v>
      </c>
      <c r="AI103" s="13">
        <f>IF(ISNUMBER(G$108),G103,"")</f>
        <v>19.26</v>
      </c>
      <c r="AJ103" s="13">
        <f>IF(ISNUMBER(H$108),H103,"")</f>
        <v>18.18</v>
      </c>
      <c r="AK103" s="13">
        <f>IF(ISNUMBER(I$108),I103,"")</f>
        <v>18.9</v>
      </c>
      <c r="AL103" s="13">
        <f>IF(ISNUMBER(J$108),J103,"")</f>
        <v>18</v>
      </c>
      <c r="AM103" s="13">
        <f>IF(ISNUMBER(K$108),K103,"")</f>
        <v>18.72</v>
      </c>
      <c r="AN103" s="13">
        <f>IF(ISNUMBER(L$108),L103,"")</f>
        <v>19.44</v>
      </c>
      <c r="AO103" s="13">
        <f>IF(ISNUMBER(M$108),M103,"")</f>
        <v>18.36</v>
      </c>
      <c r="AP103" s="13">
        <f>IF(ISNUMBER(N$108),N103,"")</f>
        <v>19.08</v>
      </c>
      <c r="AQ103" s="13">
        <f>IF(C103="Ручная",O103,0)</f>
        <v>18</v>
      </c>
    </row>
    <row r="104" spans="1:43" ht="40" customHeight="1">
      <c r="A104" s="5" t="s">
        <v>189</v>
      </c>
      <c r="B104" s="5" t="s">
        <v>202</v>
      </c>
      <c r="C104" s="11" t="s">
        <v>191</v>
      </c>
      <c r="D104" s="7" t="s">
        <v>203</v>
      </c>
      <c r="E104" s="12">
        <v>10.1</v>
      </c>
      <c r="F104" s="12">
        <v>10.5</v>
      </c>
      <c r="G104" s="12">
        <v>10</v>
      </c>
      <c r="H104" s="12">
        <v>10.4</v>
      </c>
      <c r="I104" s="12">
        <v>10.8</v>
      </c>
      <c r="J104" s="12">
        <v>10.2</v>
      </c>
      <c r="K104" s="12">
        <v>10.6</v>
      </c>
      <c r="L104" s="12">
        <v>11</v>
      </c>
      <c r="M104" s="12">
        <v>10.3</v>
      </c>
      <c r="N104" s="12">
        <v>10.7</v>
      </c>
      <c r="O104" s="13">
        <f>IF(COUNT(AG104:AP104)&gt;0,MIN(AG104:AP104),"")</f>
        <v>10</v>
      </c>
      <c r="P104" s="13">
        <f>IF(COUNT(AG104:AP104)&gt;0,MAX(AG104:AP104),"")</f>
        <v>11</v>
      </c>
      <c r="Q104" s="13">
        <f>IF(ISNUMBER(O104),P104-O104,"")</f>
        <v>1</v>
      </c>
      <c r="R104" s="13">
        <f>IF(ISNUMBER(O104),IF(C104="Ручная",IF($S$108&gt;0,$R$108*Q104/$S$108,IF($W$108=9,$R$108,0)),0),"")</f>
        <v>0</v>
      </c>
      <c r="S104" s="13">
        <f>IF(ISNUMBER(O104),O104+R104,"")</f>
        <v>10</v>
      </c>
      <c r="T104" s="13">
        <f>IF(ISNUMBER(S104),P104-S104,"")</f>
        <v>1</v>
      </c>
      <c r="U104" s="13">
        <f>IF(COUNT(AG104:AP104)&gt;0,AVERAGE(AG104:AP104),"")</f>
        <v>10.46</v>
      </c>
      <c r="AG104" s="13">
        <f>IF(ISNUMBER(E$108),E104,"")</f>
        <v>10.1</v>
      </c>
      <c r="AH104" s="13">
        <f>IF(ISNUMBER(F$108),F104,"")</f>
        <v>10.5</v>
      </c>
      <c r="AI104" s="13">
        <f>IF(ISNUMBER(G$108),G104,"")</f>
        <v>10</v>
      </c>
      <c r="AJ104" s="13">
        <f>IF(ISNUMBER(H$108),H104,"")</f>
        <v>10.4</v>
      </c>
      <c r="AK104" s="13">
        <f>IF(ISNUMBER(I$108),I104,"")</f>
        <v>10.8</v>
      </c>
      <c r="AL104" s="13">
        <f>IF(ISNUMBER(J$108),J104,"")</f>
        <v>10.2</v>
      </c>
      <c r="AM104" s="13">
        <f>IF(ISNUMBER(K$108),K104,"")</f>
        <v>10.6</v>
      </c>
      <c r="AN104" s="13">
        <f>IF(ISNUMBER(L$108),L104,"")</f>
        <v>11</v>
      </c>
      <c r="AO104" s="13">
        <f>IF(ISNUMBER(M$108),M104,"")</f>
        <v>10.3</v>
      </c>
      <c r="AP104" s="13">
        <f>IF(ISNUMBER(N$108),N104,"")</f>
        <v>10.7</v>
      </c>
      <c r="AQ104" s="13">
        <f>IF(C104="Ручная",O104,0)</f>
        <v>0</v>
      </c>
    </row>
    <row r="105" spans="1:43" ht="40" customHeight="1">
      <c r="A105" s="5" t="s">
        <v>189</v>
      </c>
      <c r="B105" s="5" t="s">
        <v>204</v>
      </c>
      <c r="C105" s="11" t="s">
        <v>191</v>
      </c>
      <c r="D105" s="7" t="s">
        <v>205</v>
      </c>
      <c r="E105" s="12">
        <v>10.4</v>
      </c>
      <c r="F105" s="12">
        <v>10.8</v>
      </c>
      <c r="G105" s="12">
        <v>10.2</v>
      </c>
      <c r="H105" s="12">
        <v>10.6</v>
      </c>
      <c r="I105" s="12">
        <v>11</v>
      </c>
      <c r="J105" s="12">
        <v>10.3</v>
      </c>
      <c r="K105" s="12">
        <v>10.7</v>
      </c>
      <c r="L105" s="12">
        <v>10.1</v>
      </c>
      <c r="M105" s="12">
        <v>10.5</v>
      </c>
      <c r="N105" s="12">
        <v>10</v>
      </c>
      <c r="O105" s="13">
        <f>IF(COUNT(AG105:AP105)&gt;0,MIN(AG105:AP105),"")</f>
        <v>10</v>
      </c>
      <c r="P105" s="13">
        <f>IF(COUNT(AG105:AP105)&gt;0,MAX(AG105:AP105),"")</f>
        <v>11</v>
      </c>
      <c r="Q105" s="13">
        <f>IF(ISNUMBER(O105),P105-O105,"")</f>
        <v>1</v>
      </c>
      <c r="R105" s="13">
        <f>IF(ISNUMBER(O105),IF(C105="Ручная",IF($S$108&gt;0,$R$108*Q105/$S$108,IF($W$108=10,$R$108,0)),0),"")</f>
        <v>0</v>
      </c>
      <c r="S105" s="13">
        <f>IF(ISNUMBER(O105),O105+R105,"")</f>
        <v>10</v>
      </c>
      <c r="T105" s="13">
        <f>IF(ISNUMBER(S105),P105-S105,"")</f>
        <v>1</v>
      </c>
      <c r="U105" s="13">
        <f>IF(COUNT(AG105:AP105)&gt;0,AVERAGE(AG105:AP105),"")</f>
        <v>10.46</v>
      </c>
      <c r="AG105" s="13">
        <f>IF(ISNUMBER(E$108),E105,"")</f>
        <v>10.4</v>
      </c>
      <c r="AH105" s="13">
        <f>IF(ISNUMBER(F$108),F105,"")</f>
        <v>10.8</v>
      </c>
      <c r="AI105" s="13">
        <f>IF(ISNUMBER(G$108),G105,"")</f>
        <v>10.2</v>
      </c>
      <c r="AJ105" s="13">
        <f>IF(ISNUMBER(H$108),H105,"")</f>
        <v>10.6</v>
      </c>
      <c r="AK105" s="13">
        <f>IF(ISNUMBER(I$108),I105,"")</f>
        <v>11</v>
      </c>
      <c r="AL105" s="13">
        <f>IF(ISNUMBER(J$108),J105,"")</f>
        <v>10.3</v>
      </c>
      <c r="AM105" s="13">
        <f>IF(ISNUMBER(K$108),K105,"")</f>
        <v>10.7</v>
      </c>
      <c r="AN105" s="13">
        <f>IF(ISNUMBER(L$108),L105,"")</f>
        <v>10.1</v>
      </c>
      <c r="AO105" s="13">
        <f>IF(ISNUMBER(M$108),M105,"")</f>
        <v>10.5</v>
      </c>
      <c r="AP105" s="13">
        <f>IF(ISNUMBER(N$108),N105,"")</f>
        <v>10</v>
      </c>
      <c r="AQ105" s="13">
        <f>IF(C105="Ручная",O105,0)</f>
        <v>0</v>
      </c>
    </row>
    <row r="106" spans="1:43" ht="40" customHeight="1">
      <c r="A106" s="5" t="s">
        <v>189</v>
      </c>
      <c r="B106" s="5" t="s">
        <v>206</v>
      </c>
      <c r="C106" s="11" t="s">
        <v>207</v>
      </c>
      <c r="D106" s="7" t="s">
        <v>208</v>
      </c>
      <c r="E106" s="12">
        <v>12.72</v>
      </c>
      <c r="F106" s="12">
        <v>13.2</v>
      </c>
      <c r="G106" s="12">
        <v>12.36</v>
      </c>
      <c r="H106" s="12">
        <v>12.84</v>
      </c>
      <c r="I106" s="12">
        <v>12.12</v>
      </c>
      <c r="J106" s="12">
        <v>12.6</v>
      </c>
      <c r="K106" s="12">
        <v>12</v>
      </c>
      <c r="L106" s="12">
        <v>12.48</v>
      </c>
      <c r="M106" s="12">
        <v>12.96</v>
      </c>
      <c r="N106" s="12">
        <v>12.24</v>
      </c>
      <c r="O106" s="13">
        <f>IF(COUNT(AG106:AP106)&gt;0,MIN(AG106:AP106),"")</f>
        <v>12</v>
      </c>
      <c r="P106" s="13">
        <f>IF(COUNT(AG106:AP106)&gt;0,MAX(AG106:AP106),"")</f>
        <v>13.2</v>
      </c>
      <c r="Q106" s="13">
        <f>IF(ISNUMBER(O106),P106-O106,"")</f>
        <v>1.2</v>
      </c>
      <c r="R106" s="13">
        <f>IF(ISNUMBER(O106),IF(C106="Ручная",IF($S$108&gt;0,$R$108*Q106/$S$108,IF($W$108=11,$R$108,0)),0),"")</f>
        <v>0</v>
      </c>
      <c r="S106" s="13">
        <f>IF(ISNUMBER(O106),O106+R106,"")</f>
        <v>12</v>
      </c>
      <c r="T106" s="13">
        <f>IF(ISNUMBER(S106),P106-S106,"")</f>
        <v>1.2</v>
      </c>
      <c r="U106" s="13">
        <f>IF(COUNT(AG106:AP106)&gt;0,AVERAGE(AG106:AP106),"")</f>
        <v>12.552</v>
      </c>
      <c r="AG106" s="13">
        <f>IF(ISNUMBER(E$108),E106,"")</f>
        <v>12.72</v>
      </c>
      <c r="AH106" s="13">
        <f>IF(ISNUMBER(F$108),F106,"")</f>
        <v>13.2</v>
      </c>
      <c r="AI106" s="13">
        <f>IF(ISNUMBER(G$108),G106,"")</f>
        <v>12.36</v>
      </c>
      <c r="AJ106" s="13">
        <f>IF(ISNUMBER(H$108),H106,"")</f>
        <v>12.84</v>
      </c>
      <c r="AK106" s="13">
        <f>IF(ISNUMBER(I$108),I106,"")</f>
        <v>12.12</v>
      </c>
      <c r="AL106" s="13">
        <f>IF(ISNUMBER(J$108),J106,"")</f>
        <v>12.6</v>
      </c>
      <c r="AM106" s="13">
        <f>IF(ISNUMBER(K$108),K106,"")</f>
        <v>12</v>
      </c>
      <c r="AN106" s="13">
        <f>IF(ISNUMBER(L$108),L106,"")</f>
        <v>12.48</v>
      </c>
      <c r="AO106" s="13">
        <f>IF(ISNUMBER(M$108),M106,"")</f>
        <v>12.96</v>
      </c>
      <c r="AP106" s="13">
        <f>IF(ISNUMBER(N$108),N106,"")</f>
        <v>12.24</v>
      </c>
      <c r="AQ106" s="13">
        <f>IF(C106="Ручная",O106,0)</f>
        <v>0</v>
      </c>
    </row>
    <row r="107" spans="1:43" ht="23" customHeight="1">
      <c r="B107" s="4" t="s">
        <v>209</v>
      </c>
      <c r="E107" s="6">
        <f>IF(COUNT(E96:E106)=11,SUM(E96:E106),"")</f>
        <v>421.06</v>
      </c>
      <c r="F107" s="6">
        <f>IF(COUNT(F96:F106)=11,SUM(F96:F106),"")</f>
        <v>419.74</v>
      </c>
      <c r="G107" s="6">
        <f>IF(COUNT(G96:G106)=11,SUM(G96:G106),"")</f>
        <v>419.43</v>
      </c>
      <c r="H107" s="6">
        <f>IF(COUNT(H96:H106)=11,SUM(H96:H106),"")</f>
        <v>418.32</v>
      </c>
      <c r="I107" s="6">
        <f>IF(COUNT(I96:I106)=11,SUM(I96:I106),"")</f>
        <v>417.33</v>
      </c>
      <c r="J107" s="6">
        <f>IF(COUNT(J96:J106)=11,SUM(J96:J106),"")</f>
        <v>421.57</v>
      </c>
      <c r="K107" s="6">
        <f>IF(COUNT(K96:K106)=11,SUM(K96:K106),"")</f>
        <v>416.48</v>
      </c>
      <c r="L107" s="6">
        <f>IF(COUNT(L96:L106)=11,SUM(L96:L106),"")</f>
        <v>420.06</v>
      </c>
      <c r="M107" s="6">
        <f>IF(COUNT(M96:M106)=11,SUM(M96:M106),"")</f>
        <v>421.42</v>
      </c>
      <c r="N107" s="6">
        <f>IF(COUNT(N96:N106)=11,SUM(N96:N106),"")</f>
        <v>419.93</v>
      </c>
      <c r="O107" s="6">
        <f>IF(COUNT(O96:O106)=11,SUM(O96:O106),"")</f>
        <v>409</v>
      </c>
      <c r="P107" s="6">
        <f>IF(COUNT(P96:P106)=11,SUM(P96:P106),"")</f>
        <v>431.9</v>
      </c>
      <c r="Q107" s="6">
        <f>IF(COUNT(Q96:Q106)=11,SUM(Q96:Q106),"")</f>
        <v>22.9</v>
      </c>
      <c r="R107" s="6">
        <f>IF(COUNT(R96:R106)=11,SUM(R96:R106),"")</f>
        <v>7.47999999999996</v>
      </c>
      <c r="S107" s="6">
        <f>IF(COUNT(S96:S106)=11,SUM(S96:S106),"")</f>
        <v>416.48</v>
      </c>
      <c r="T107" s="6">
        <f>IF(COUNT(T96:T106)=11,SUM(T96:T106),"")</f>
        <v>15.42</v>
      </c>
      <c r="U107" s="6">
        <f>IF(COUNT(U96:U106)=11,SUM(U96:U106),"")</f>
        <v>419.534</v>
      </c>
    </row>
    <row r="108" spans="1:43" ht="23" customHeight="1">
      <c r="B108" s="4" t="s">
        <v>210</v>
      </c>
      <c r="E108" s="6">
        <f>IF(AND(E94=1,COUNT(E96:E106)=11,MIN(E96:E106)&gt;=0),E107,"")</f>
        <v>421.06</v>
      </c>
      <c r="F108" s="6">
        <f>IF(AND(F94=1,COUNT(F96:F106)=11,MIN(F96:F106)&gt;=0),F107,"")</f>
        <v>419.74</v>
      </c>
      <c r="G108" s="6">
        <f>IF(AND(G94=1,COUNT(G96:G106)=11,MIN(G96:G106)&gt;=0),G107,"")</f>
        <v>419.43</v>
      </c>
      <c r="H108" s="6">
        <f>IF(AND(H94=1,COUNT(H96:H106)=11,MIN(H96:H106)&gt;=0),H107,"")</f>
        <v>418.32</v>
      </c>
      <c r="I108" s="6">
        <f>IF(AND(I94=1,COUNT(I96:I106)=11,MIN(I96:I106)&gt;=0),I107,"")</f>
        <v>417.33</v>
      </c>
      <c r="J108" s="6">
        <f>IF(AND(J94=1,COUNT(J96:J106)=11,MIN(J96:J106)&gt;=0),J107,"")</f>
        <v>421.57</v>
      </c>
      <c r="K108" s="6">
        <f>IF(AND(K94=1,COUNT(K96:K106)=11,MIN(K96:K106)&gt;=0),K107,"")</f>
        <v>416.48</v>
      </c>
      <c r="L108" s="6">
        <f>IF(AND(L94=1,COUNT(L96:L106)=11,MIN(L96:L106)&gt;=0),L107,"")</f>
        <v>420.06</v>
      </c>
      <c r="M108" s="6">
        <f>IF(AND(M94=1,COUNT(M96:M106)=11,MIN(M96:M106)&gt;=0),M107,"")</f>
        <v>421.42</v>
      </c>
      <c r="N108" s="6">
        <f>IF(AND(N94=1,COUNT(N96:N106)=11,MIN(N96:N106)&gt;=0),N107,"")</f>
        <v>419.93</v>
      </c>
      <c r="O108" s="6">
        <f>IF(COUNT(E108:N108)&gt;0,MIN(E108:N108),"")</f>
        <v>416.48</v>
      </c>
      <c r="P108" s="6">
        <f>IF(COUNT(E108:N108)&gt;0,MAX(E108:N108),"")</f>
        <v>421.57</v>
      </c>
      <c r="Q108" s="6">
        <f>IF(ISNUMBER(O108),P108-O108,"")</f>
        <v>5.09000000000009</v>
      </c>
      <c r="R108" s="6">
        <f>IF(ISNUMBER(O108),MAX(0,O108-O107),"")</f>
        <v>7.47999999999996</v>
      </c>
      <c r="S108" s="6">
        <f>SUMIF(C96:C106,"Ручная",Q96:Q106)</f>
        <v>18.5</v>
      </c>
      <c r="T108" s="6">
        <f>COUNT(E108:N108)</f>
        <v>10</v>
      </c>
      <c r="U108" s="6">
        <f>IF(COUNT(E108:N108)&gt;0,AVERAGE(E108:N108),"")</f>
        <v>419.534</v>
      </c>
      <c r="V108" s="6">
        <f>IF(ISNUMBER(O108),S107-O108,"")</f>
        <v>0</v>
      </c>
      <c r="W108" s="6">
        <f>MATCH(MAX(AQ96:AQ106),AQ96:AQ106,0)</f>
        <v>2</v>
      </c>
      <c r="X108" s="17" t="str">
        <f>IF(T108=0,"НЕТ ЗАМЕРОВ",IF(T108&lt;10,"МЕНЕЕ 10 ЦИКЛОВ",IF(ABS(V108)&lt;0.000001,"ОК","ОШИБКА РЕГУЛИРОВКИ")))</f>
        <v>ОК</v>
      </c>
    </row>
    <row r="109" spans="1:43" ht="23" customHeight="1">
      <c r="A109" s="7" t="s">
        <v>211</v>
      </c>
      <c r="B109" s="7"/>
      <c r="C109" s="7"/>
      <c r="D109" s="7"/>
      <c r="E109" s="7"/>
      <c r="F109" s="7"/>
      <c r="G109" s="7"/>
      <c r="H109" s="7"/>
      <c r="I109" s="7"/>
      <c r="J109" s="7"/>
      <c r="K109" s="7"/>
      <c r="L109" s="7"/>
      <c r="M109" s="7"/>
      <c r="N109" s="7"/>
      <c r="O109" s="7"/>
      <c r="P109" s="7"/>
      <c r="Q109" s="7"/>
      <c r="R109" s="7"/>
      <c r="S109" s="7"/>
      <c r="T109" s="7"/>
      <c r="U109" s="7"/>
      <c r="V109" s="7"/>
      <c r="W109" s="7"/>
      <c r="X109" s="7"/>
    </row>
    <row r="112" spans="1:43" ht="23" customHeight="1">
      <c r="A112" s="4" t="s">
        <v>216</v>
      </c>
      <c r="B112" s="4"/>
      <c r="C112" s="4"/>
      <c r="D112" s="4"/>
      <c r="E112" s="4"/>
      <c r="F112" s="4"/>
      <c r="G112" s="4"/>
      <c r="H112" s="4"/>
      <c r="I112" s="4"/>
      <c r="J112" s="4"/>
      <c r="K112" s="4"/>
      <c r="L112" s="4"/>
      <c r="M112" s="4"/>
      <c r="N112" s="4"/>
      <c r="O112" s="4"/>
      <c r="P112" s="4"/>
      <c r="Q112" s="4"/>
      <c r="R112" s="4"/>
      <c r="S112" s="4"/>
      <c r="T112" s="4"/>
      <c r="U112" s="4"/>
      <c r="V112" s="4"/>
      <c r="W112" s="4"/>
      <c r="X112" s="4"/>
    </row>
    <row r="113" spans="1:43" ht="23" customHeight="1">
      <c r="A113" s="7" t="str">
        <f>"Масса замера, кг: "&amp;'Ассортимент'!J13&amp;".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113" s="7"/>
      <c r="C113" s="7"/>
      <c r="D113" s="7"/>
      <c r="E113" s="7"/>
      <c r="F113" s="7"/>
      <c r="G113" s="7"/>
      <c r="H113" s="7"/>
      <c r="I113" s="7"/>
      <c r="J113" s="7"/>
      <c r="K113" s="7"/>
      <c r="L113" s="7"/>
      <c r="M113" s="7"/>
      <c r="N113" s="7"/>
      <c r="O113" s="7"/>
      <c r="P113" s="7"/>
      <c r="Q113" s="7"/>
      <c r="R113" s="7"/>
      <c r="S113" s="7"/>
      <c r="T113" s="7"/>
      <c r="U113" s="7"/>
      <c r="V113" s="7"/>
      <c r="W113" s="7"/>
      <c r="X113" s="7"/>
    </row>
    <row r="114" spans="1:43" ht="44" customHeight="1">
      <c r="A114" s="8" t="s">
        <v>113</v>
      </c>
      <c r="B114" s="8" t="s">
        <v>156</v>
      </c>
      <c r="C114" s="8" t="s">
        <v>157</v>
      </c>
      <c r="D114" s="8" t="s">
        <v>158</v>
      </c>
      <c r="E114" s="8" t="s">
        <v>159</v>
      </c>
      <c r="F114" s="8" t="s">
        <v>160</v>
      </c>
      <c r="G114" s="8" t="s">
        <v>161</v>
      </c>
      <c r="H114" s="8" t="s">
        <v>162</v>
      </c>
      <c r="I114" s="8" t="s">
        <v>163</v>
      </c>
      <c r="J114" s="8" t="s">
        <v>164</v>
      </c>
      <c r="K114" s="8" t="s">
        <v>165</v>
      </c>
      <c r="L114" s="8" t="s">
        <v>166</v>
      </c>
      <c r="M114" s="8" t="s">
        <v>167</v>
      </c>
      <c r="N114" s="8" t="s">
        <v>168</v>
      </c>
      <c r="O114" s="8" t="s">
        <v>169</v>
      </c>
      <c r="P114" s="8" t="s">
        <v>170</v>
      </c>
      <c r="Q114" s="8" t="s">
        <v>171</v>
      </c>
      <c r="R114" s="8" t="s">
        <v>172</v>
      </c>
      <c r="S114" s="8" t="s">
        <v>173</v>
      </c>
      <c r="T114" s="8" t="s">
        <v>174</v>
      </c>
      <c r="U114" s="8" t="s">
        <v>175</v>
      </c>
      <c r="V114" s="8" t="s">
        <v>176</v>
      </c>
      <c r="W114" s="8" t="s">
        <v>177</v>
      </c>
      <c r="X114" s="8" t="s">
        <v>178</v>
      </c>
    </row>
    <row r="115" spans="1:43" ht="23" customHeight="1">
      <c r="B115" s="5" t="s">
        <v>179</v>
      </c>
      <c r="E115" s="12">
        <v>1</v>
      </c>
      <c r="F115" s="12">
        <v>1</v>
      </c>
      <c r="G115" s="12">
        <v>1</v>
      </c>
      <c r="H115" s="12">
        <v>1</v>
      </c>
      <c r="I115" s="12">
        <v>1</v>
      </c>
      <c r="J115" s="12">
        <v>1</v>
      </c>
      <c r="K115" s="12">
        <v>1</v>
      </c>
      <c r="L115" s="12">
        <v>1</v>
      </c>
      <c r="M115" s="12">
        <v>1</v>
      </c>
      <c r="N115" s="12">
        <v>1</v>
      </c>
    </row>
    <row r="116" spans="1:43" ht="33" customHeight="1">
      <c r="B116" s="5" t="s">
        <v>180</v>
      </c>
      <c r="E116" s="9" t="s">
        <v>181</v>
      </c>
      <c r="F116" s="9" t="s">
        <v>181</v>
      </c>
      <c r="G116" s="9" t="s">
        <v>181</v>
      </c>
      <c r="H116" s="9" t="s">
        <v>181</v>
      </c>
      <c r="I116" s="9" t="s">
        <v>181</v>
      </c>
      <c r="J116" s="9" t="s">
        <v>181</v>
      </c>
      <c r="K116" s="9" t="s">
        <v>181</v>
      </c>
      <c r="L116" s="9" t="s">
        <v>181</v>
      </c>
      <c r="M116" s="9" t="s">
        <v>181</v>
      </c>
      <c r="N116" s="9" t="s">
        <v>181</v>
      </c>
    </row>
    <row r="117" spans="1:43" ht="40" customHeight="1">
      <c r="A117" s="5">
        <v>1</v>
      </c>
      <c r="B117" s="5" t="s">
        <v>182</v>
      </c>
      <c r="C117" s="11" t="s">
        <v>183</v>
      </c>
      <c r="D117" s="7" t="s">
        <v>184</v>
      </c>
      <c r="E117" s="12">
        <v>27.5</v>
      </c>
      <c r="F117" s="12">
        <v>25.75</v>
      </c>
      <c r="G117" s="12">
        <v>26.75</v>
      </c>
      <c r="H117" s="12">
        <v>25.25</v>
      </c>
      <c r="I117" s="12">
        <v>26.25</v>
      </c>
      <c r="J117" s="12">
        <v>25</v>
      </c>
      <c r="K117" s="12">
        <v>26</v>
      </c>
      <c r="L117" s="12">
        <v>27</v>
      </c>
      <c r="M117" s="12">
        <v>25.5</v>
      </c>
      <c r="N117" s="12">
        <v>26.5</v>
      </c>
      <c r="O117" s="13">
        <f>IF(COUNT(AG117:AP117)&gt;0,MIN(AG117:AP117),"")</f>
        <v>25</v>
      </c>
      <c r="P117" s="13">
        <f>IF(COUNT(AG117:AP117)&gt;0,MAX(AG117:AP117),"")</f>
        <v>27.5</v>
      </c>
      <c r="Q117" s="13">
        <f>IF(ISNUMBER(O117),P117-O117,"")</f>
        <v>2.5</v>
      </c>
      <c r="R117" s="13">
        <f>IF(ISNUMBER(O117),IF(C117="Ручная",IF($S$129&gt;0,$R$129*Q117/$S$129,IF($W$129=1,$R$129,0)),0),"")</f>
        <v>0.885714285714292</v>
      </c>
      <c r="S117" s="13">
        <f>IF(ISNUMBER(O117),O117+R117,"")</f>
        <v>25.8857142857143</v>
      </c>
      <c r="T117" s="13">
        <f>IF(ISNUMBER(S117),P117-S117,"")</f>
        <v>1.61428571428571</v>
      </c>
      <c r="U117" s="13">
        <f>IF(COUNT(AG117:AP117)&gt;0,AVERAGE(AG117:AP117),"")</f>
        <v>26.15</v>
      </c>
      <c r="AG117" s="13">
        <f>IF(ISNUMBER(E$129),E117,"")</f>
        <v>27.5</v>
      </c>
      <c r="AH117" s="13">
        <f>IF(ISNUMBER(F$129),F117,"")</f>
        <v>25.75</v>
      </c>
      <c r="AI117" s="13">
        <f>IF(ISNUMBER(G$129),G117,"")</f>
        <v>26.75</v>
      </c>
      <c r="AJ117" s="13">
        <f>IF(ISNUMBER(H$129),H117,"")</f>
        <v>25.25</v>
      </c>
      <c r="AK117" s="13">
        <f>IF(ISNUMBER(I$129),I117,"")</f>
        <v>26.25</v>
      </c>
      <c r="AL117" s="13">
        <f>IF(ISNUMBER(J$129),J117,"")</f>
        <v>25</v>
      </c>
      <c r="AM117" s="13">
        <f>IF(ISNUMBER(K$129),K117,"")</f>
        <v>26</v>
      </c>
      <c r="AN117" s="13">
        <f>IF(ISNUMBER(L$129),L117,"")</f>
        <v>27</v>
      </c>
      <c r="AO117" s="13">
        <f>IF(ISNUMBER(M$129),M117,"")</f>
        <v>25.5</v>
      </c>
      <c r="AP117" s="13">
        <f>IF(ISNUMBER(N$129),N117,"")</f>
        <v>26.5</v>
      </c>
      <c r="AQ117" s="13">
        <f>IF(C117="Ручная",O117,0)</f>
        <v>25</v>
      </c>
    </row>
    <row r="118" spans="1:43" ht="40" customHeight="1">
      <c r="A118" s="5">
        <v>2</v>
      </c>
      <c r="B118" s="5" t="s">
        <v>185</v>
      </c>
      <c r="C118" s="11" t="s">
        <v>183</v>
      </c>
      <c r="D118" s="7" t="s">
        <v>186</v>
      </c>
      <c r="E118" s="12">
        <v>116.15</v>
      </c>
      <c r="F118" s="12">
        <v>120.75</v>
      </c>
      <c r="G118" s="12">
        <v>115</v>
      </c>
      <c r="H118" s="12">
        <v>119.6</v>
      </c>
      <c r="I118" s="12">
        <v>124.2</v>
      </c>
      <c r="J118" s="12">
        <v>117.3</v>
      </c>
      <c r="K118" s="12">
        <v>121.9</v>
      </c>
      <c r="L118" s="12">
        <v>126.5</v>
      </c>
      <c r="M118" s="12">
        <v>118.45</v>
      </c>
      <c r="N118" s="12">
        <v>123.05</v>
      </c>
      <c r="O118" s="13">
        <f>IF(COUNT(AG118:AP118)&gt;0,MIN(AG118:AP118),"")</f>
        <v>115</v>
      </c>
      <c r="P118" s="13">
        <f>IF(COUNT(AG118:AP118)&gt;0,MAX(AG118:AP118),"")</f>
        <v>126.5</v>
      </c>
      <c r="Q118" s="13">
        <f>IF(ISNUMBER(O118),P118-O118,"")</f>
        <v>11.5</v>
      </c>
      <c r="R118" s="13">
        <f>IF(ISNUMBER(O118),IF(C118="Ручная",IF($S$129&gt;0,$R$129*Q118/$S$129,IF($W$129=2,$R$129,0)),0),"")</f>
        <v>4.07428571428574</v>
      </c>
      <c r="S118" s="13">
        <f>IF(ISNUMBER(O118),O118+R118,"")</f>
        <v>119.074285714286</v>
      </c>
      <c r="T118" s="13">
        <f>IF(ISNUMBER(S118),P118-S118,"")</f>
        <v>7.42571428571425</v>
      </c>
      <c r="U118" s="13">
        <f>IF(COUNT(AG118:AP118)&gt;0,AVERAGE(AG118:AP118),"")</f>
        <v>120.29</v>
      </c>
      <c r="AG118" s="13">
        <f>IF(ISNUMBER(E$129),E118,"")</f>
        <v>116.15</v>
      </c>
      <c r="AH118" s="13">
        <f>IF(ISNUMBER(F$129),F118,"")</f>
        <v>120.75</v>
      </c>
      <c r="AI118" s="13">
        <f>IF(ISNUMBER(G$129),G118,"")</f>
        <v>115</v>
      </c>
      <c r="AJ118" s="13">
        <f>IF(ISNUMBER(H$129),H118,"")</f>
        <v>119.6</v>
      </c>
      <c r="AK118" s="13">
        <f>IF(ISNUMBER(I$129),I118,"")</f>
        <v>124.2</v>
      </c>
      <c r="AL118" s="13">
        <f>IF(ISNUMBER(J$129),J118,"")</f>
        <v>117.3</v>
      </c>
      <c r="AM118" s="13">
        <f>IF(ISNUMBER(K$129),K118,"")</f>
        <v>121.9</v>
      </c>
      <c r="AN118" s="13">
        <f>IF(ISNUMBER(L$129),L118,"")</f>
        <v>126.5</v>
      </c>
      <c r="AO118" s="13">
        <f>IF(ISNUMBER(M$129),M118,"")</f>
        <v>118.45</v>
      </c>
      <c r="AP118" s="13">
        <f>IF(ISNUMBER(N$129),N118,"")</f>
        <v>123.05</v>
      </c>
      <c r="AQ118" s="13">
        <f>IF(C118="Ручная",O118,0)</f>
        <v>115</v>
      </c>
    </row>
    <row r="119" spans="1:43" ht="40" customHeight="1">
      <c r="A119" s="5">
        <v>3</v>
      </c>
      <c r="B119" s="5" t="s">
        <v>187</v>
      </c>
      <c r="C119" s="11" t="s">
        <v>183</v>
      </c>
      <c r="D119" s="7" t="s">
        <v>188</v>
      </c>
      <c r="E119" s="12">
        <v>22.88</v>
      </c>
      <c r="F119" s="12">
        <v>23.76</v>
      </c>
      <c r="G119" s="12">
        <v>22.44</v>
      </c>
      <c r="H119" s="12">
        <v>23.32</v>
      </c>
      <c r="I119" s="12">
        <v>24.2</v>
      </c>
      <c r="J119" s="12">
        <v>22.66</v>
      </c>
      <c r="K119" s="12">
        <v>23.54</v>
      </c>
      <c r="L119" s="12">
        <v>22.22</v>
      </c>
      <c r="M119" s="12">
        <v>23.1</v>
      </c>
      <c r="N119" s="12">
        <v>22</v>
      </c>
      <c r="O119" s="13">
        <f>IF(COUNT(AG119:AP119)&gt;0,MIN(AG119:AP119),"")</f>
        <v>22</v>
      </c>
      <c r="P119" s="13">
        <f>IF(COUNT(AG119:AP119)&gt;0,MAX(AG119:AP119),"")</f>
        <v>24.2</v>
      </c>
      <c r="Q119" s="13">
        <f>IF(ISNUMBER(O119),P119-O119,"")</f>
        <v>2.2</v>
      </c>
      <c r="R119" s="13">
        <f>IF(ISNUMBER(O119),IF(C119="Ручная",IF($S$129&gt;0,$R$129*Q119/$S$129,IF($W$129=3,$R$129,0)),0),"")</f>
        <v>0.779428571428577</v>
      </c>
      <c r="S119" s="13">
        <f>IF(ISNUMBER(O119),O119+R119,"")</f>
        <v>22.7794285714286</v>
      </c>
      <c r="T119" s="13">
        <f>IF(ISNUMBER(S119),P119-S119,"")</f>
        <v>1.42057142857142</v>
      </c>
      <c r="U119" s="13">
        <f>IF(COUNT(AG119:AP119)&gt;0,AVERAGE(AG119:AP119),"")</f>
        <v>23.012</v>
      </c>
      <c r="AG119" s="13">
        <f>IF(ISNUMBER(E$129),E119,"")</f>
        <v>22.88</v>
      </c>
      <c r="AH119" s="13">
        <f>IF(ISNUMBER(F$129),F119,"")</f>
        <v>23.76</v>
      </c>
      <c r="AI119" s="13">
        <f>IF(ISNUMBER(G$129),G119,"")</f>
        <v>22.44</v>
      </c>
      <c r="AJ119" s="13">
        <f>IF(ISNUMBER(H$129),H119,"")</f>
        <v>23.32</v>
      </c>
      <c r="AK119" s="13">
        <f>IF(ISNUMBER(I$129),I119,"")</f>
        <v>24.2</v>
      </c>
      <c r="AL119" s="13">
        <f>IF(ISNUMBER(J$129),J119,"")</f>
        <v>22.66</v>
      </c>
      <c r="AM119" s="13">
        <f>IF(ISNUMBER(K$129),K119,"")</f>
        <v>23.54</v>
      </c>
      <c r="AN119" s="13">
        <f>IF(ISNUMBER(L$129),L119,"")</f>
        <v>22.22</v>
      </c>
      <c r="AO119" s="13">
        <f>IF(ISNUMBER(M$129),M119,"")</f>
        <v>23.1</v>
      </c>
      <c r="AP119" s="13">
        <f>IF(ISNUMBER(N$129),N119,"")</f>
        <v>22</v>
      </c>
      <c r="AQ119" s="13">
        <f>IF(C119="Ручная",O119,0)</f>
        <v>22</v>
      </c>
    </row>
    <row r="120" spans="1:43" ht="40" customHeight="1">
      <c r="A120" s="5" t="s">
        <v>189</v>
      </c>
      <c r="B120" s="5" t="s">
        <v>190</v>
      </c>
      <c r="C120" s="11" t="s">
        <v>191</v>
      </c>
      <c r="D120" s="7" t="s">
        <v>192</v>
      </c>
      <c r="E120" s="12">
        <v>12.72</v>
      </c>
      <c r="F120" s="12">
        <v>13.2</v>
      </c>
      <c r="G120" s="12">
        <v>12.36</v>
      </c>
      <c r="H120" s="12">
        <v>12.84</v>
      </c>
      <c r="I120" s="12">
        <v>12.12</v>
      </c>
      <c r="J120" s="12">
        <v>12.6</v>
      </c>
      <c r="K120" s="12">
        <v>12</v>
      </c>
      <c r="L120" s="12">
        <v>12.48</v>
      </c>
      <c r="M120" s="12">
        <v>12.96</v>
      </c>
      <c r="N120" s="12">
        <v>12.24</v>
      </c>
      <c r="O120" s="13">
        <f>IF(COUNT(AG120:AP120)&gt;0,MIN(AG120:AP120),"")</f>
        <v>12</v>
      </c>
      <c r="P120" s="13">
        <f>IF(COUNT(AG120:AP120)&gt;0,MAX(AG120:AP120),"")</f>
        <v>13.2</v>
      </c>
      <c r="Q120" s="13">
        <f>IF(ISNUMBER(O120),P120-O120,"")</f>
        <v>1.2</v>
      </c>
      <c r="R120" s="13">
        <f>IF(ISNUMBER(O120),IF(C120="Ручная",IF($S$129&gt;0,$R$129*Q120/$S$129,IF($W$129=4,$R$129,0)),0),"")</f>
        <v>0</v>
      </c>
      <c r="S120" s="13">
        <f>IF(ISNUMBER(O120),O120+R120,"")</f>
        <v>12</v>
      </c>
      <c r="T120" s="13">
        <f>IF(ISNUMBER(S120),P120-S120,"")</f>
        <v>1.2</v>
      </c>
      <c r="U120" s="13">
        <f>IF(COUNT(AG120:AP120)&gt;0,AVERAGE(AG120:AP120),"")</f>
        <v>12.552</v>
      </c>
      <c r="AG120" s="13">
        <f>IF(ISNUMBER(E$129),E120,"")</f>
        <v>12.72</v>
      </c>
      <c r="AH120" s="13">
        <f>IF(ISNUMBER(F$129),F120,"")</f>
        <v>13.2</v>
      </c>
      <c r="AI120" s="13">
        <f>IF(ISNUMBER(G$129),G120,"")</f>
        <v>12.36</v>
      </c>
      <c r="AJ120" s="13">
        <f>IF(ISNUMBER(H$129),H120,"")</f>
        <v>12.84</v>
      </c>
      <c r="AK120" s="13">
        <f>IF(ISNUMBER(I$129),I120,"")</f>
        <v>12.12</v>
      </c>
      <c r="AL120" s="13">
        <f>IF(ISNUMBER(J$129),J120,"")</f>
        <v>12.6</v>
      </c>
      <c r="AM120" s="13">
        <f>IF(ISNUMBER(K$129),K120,"")</f>
        <v>12</v>
      </c>
      <c r="AN120" s="13">
        <f>IF(ISNUMBER(L$129),L120,"")</f>
        <v>12.48</v>
      </c>
      <c r="AO120" s="13">
        <f>IF(ISNUMBER(M$129),M120,"")</f>
        <v>12.96</v>
      </c>
      <c r="AP120" s="13">
        <f>IF(ISNUMBER(N$129),N120,"")</f>
        <v>12.24</v>
      </c>
      <c r="AQ120" s="13">
        <f>IF(C120="Ручная",O120,0)</f>
        <v>0</v>
      </c>
    </row>
    <row r="121" spans="1:43" ht="40" customHeight="1">
      <c r="A121" s="5">
        <v>5</v>
      </c>
      <c r="B121" s="5" t="s">
        <v>193</v>
      </c>
      <c r="C121" s="11" t="s">
        <v>183</v>
      </c>
      <c r="D121" s="7" t="s">
        <v>194</v>
      </c>
      <c r="E121" s="12">
        <v>37.45</v>
      </c>
      <c r="F121" s="12">
        <v>35.35</v>
      </c>
      <c r="G121" s="12">
        <v>36.75</v>
      </c>
      <c r="H121" s="12">
        <v>35</v>
      </c>
      <c r="I121" s="12">
        <v>36.4</v>
      </c>
      <c r="J121" s="12">
        <v>37.8</v>
      </c>
      <c r="K121" s="12">
        <v>35.7</v>
      </c>
      <c r="L121" s="12">
        <v>37.1</v>
      </c>
      <c r="M121" s="12">
        <v>38.5</v>
      </c>
      <c r="N121" s="12">
        <v>36.05</v>
      </c>
      <c r="O121" s="13">
        <f>IF(COUNT(AG121:AP121)&gt;0,MIN(AG121:AP121),"")</f>
        <v>35</v>
      </c>
      <c r="P121" s="13">
        <f>IF(COUNT(AG121:AP121)&gt;0,MAX(AG121:AP121),"")</f>
        <v>38.5</v>
      </c>
      <c r="Q121" s="13">
        <f>IF(ISNUMBER(O121),P121-O121,"")</f>
        <v>3.5</v>
      </c>
      <c r="R121" s="13">
        <f>IF(ISNUMBER(O121),IF(C121="Ручная",IF($S$129&gt;0,$R$129*Q121/$S$129,IF($W$129=5,$R$129,0)),0),"")</f>
        <v>1.24000000000001</v>
      </c>
      <c r="S121" s="13">
        <f>IF(ISNUMBER(O121),O121+R121,"")</f>
        <v>36.24</v>
      </c>
      <c r="T121" s="13">
        <f>IF(ISNUMBER(S121),P121-S121,"")</f>
        <v>2.25999999999999</v>
      </c>
      <c r="U121" s="13">
        <f>IF(COUNT(AG121:AP121)&gt;0,AVERAGE(AG121:AP121),"")</f>
        <v>36.61</v>
      </c>
      <c r="AG121" s="13">
        <f>IF(ISNUMBER(E$129),E121,"")</f>
        <v>37.45</v>
      </c>
      <c r="AH121" s="13">
        <f>IF(ISNUMBER(F$129),F121,"")</f>
        <v>35.35</v>
      </c>
      <c r="AI121" s="13">
        <f>IF(ISNUMBER(G$129),G121,"")</f>
        <v>36.75</v>
      </c>
      <c r="AJ121" s="13">
        <f>IF(ISNUMBER(H$129),H121,"")</f>
        <v>35</v>
      </c>
      <c r="AK121" s="13">
        <f>IF(ISNUMBER(I$129),I121,"")</f>
        <v>36.4</v>
      </c>
      <c r="AL121" s="13">
        <f>IF(ISNUMBER(J$129),J121,"")</f>
        <v>37.8</v>
      </c>
      <c r="AM121" s="13">
        <f>IF(ISNUMBER(K$129),K121,"")</f>
        <v>35.7</v>
      </c>
      <c r="AN121" s="13">
        <f>IF(ISNUMBER(L$129),L121,"")</f>
        <v>37.1</v>
      </c>
      <c r="AO121" s="13">
        <f>IF(ISNUMBER(M$129),M121,"")</f>
        <v>38.5</v>
      </c>
      <c r="AP121" s="13">
        <f>IF(ISNUMBER(N$129),N121,"")</f>
        <v>36.05</v>
      </c>
      <c r="AQ121" s="13">
        <f>IF(C121="Ручная",O121,0)</f>
        <v>35</v>
      </c>
    </row>
    <row r="122" spans="1:43" ht="40" customHeight="1">
      <c r="A122" s="5" t="s">
        <v>189</v>
      </c>
      <c r="B122" s="5" t="s">
        <v>195</v>
      </c>
      <c r="C122" s="11" t="s">
        <v>196</v>
      </c>
      <c r="D122" s="7" t="s">
        <v>197</v>
      </c>
      <c r="E122" s="18">
        <f>'Ассортимент'!R13</f>
        <v>300</v>
      </c>
      <c r="F122" s="18">
        <f>'Ассортимент'!R13</f>
        <v>300</v>
      </c>
      <c r="G122" s="18">
        <f>'Ассортимент'!R13</f>
        <v>300</v>
      </c>
      <c r="H122" s="18">
        <f>'Ассортимент'!R13</f>
        <v>300</v>
      </c>
      <c r="I122" s="18">
        <f>'Ассортимент'!R13</f>
        <v>300</v>
      </c>
      <c r="J122" s="18">
        <f>'Ассортимент'!R13</f>
        <v>300</v>
      </c>
      <c r="K122" s="18">
        <f>'Ассортимент'!R13</f>
        <v>300</v>
      </c>
      <c r="L122" s="18">
        <f>'Ассортимент'!R13</f>
        <v>300</v>
      </c>
      <c r="M122" s="18">
        <f>'Ассортимент'!R13</f>
        <v>300</v>
      </c>
      <c r="N122" s="18">
        <f>'Ассортимент'!R13</f>
        <v>300</v>
      </c>
      <c r="O122" s="13">
        <f>IF(COUNT(AG122:AP122)&gt;0,MIN(AG122:AP122),"")</f>
        <v>300</v>
      </c>
      <c r="P122" s="13">
        <f>IF(COUNT(AG122:AP122)&gt;0,MAX(AG122:AP122),"")</f>
        <v>300</v>
      </c>
      <c r="Q122" s="13">
        <f>IF(ISNUMBER(O122),P122-O122,"")</f>
        <v>0</v>
      </c>
      <c r="R122" s="13">
        <f>IF(ISNUMBER(O122),IF(C122="Ручная",IF($S$129&gt;0,$R$129*Q122/$S$129,IF($W$129=6,$R$129,0)),0),"")</f>
        <v>0</v>
      </c>
      <c r="S122" s="13">
        <f>IF(ISNUMBER(O122),O122+R122,"")</f>
        <v>300</v>
      </c>
      <c r="T122" s="13">
        <f>IF(ISNUMBER(S122),P122-S122,"")</f>
        <v>0</v>
      </c>
      <c r="U122" s="13">
        <f>IF(COUNT(AG122:AP122)&gt;0,AVERAGE(AG122:AP122),"")</f>
        <v>300</v>
      </c>
      <c r="AG122" s="13">
        <f>IF(ISNUMBER(E$129),E122,"")</f>
        <v>300</v>
      </c>
      <c r="AH122" s="13">
        <f>IF(ISNUMBER(F$129),F122,"")</f>
        <v>300</v>
      </c>
      <c r="AI122" s="13">
        <f>IF(ISNUMBER(G$129),G122,"")</f>
        <v>300</v>
      </c>
      <c r="AJ122" s="13">
        <f>IF(ISNUMBER(H$129),H122,"")</f>
        <v>300</v>
      </c>
      <c r="AK122" s="13">
        <f>IF(ISNUMBER(I$129),I122,"")</f>
        <v>300</v>
      </c>
      <c r="AL122" s="13">
        <f>IF(ISNUMBER(J$129),J122,"")</f>
        <v>300</v>
      </c>
      <c r="AM122" s="13">
        <f>IF(ISNUMBER(K$129),K122,"")</f>
        <v>300</v>
      </c>
      <c r="AN122" s="13">
        <f>IF(ISNUMBER(L$129),L122,"")</f>
        <v>300</v>
      </c>
      <c r="AO122" s="13">
        <f>IF(ISNUMBER(M$129),M122,"")</f>
        <v>300</v>
      </c>
      <c r="AP122" s="13">
        <f>IF(ISNUMBER(N$129),N122,"")</f>
        <v>300</v>
      </c>
      <c r="AQ122" s="13">
        <f>IF(C122="Ручная",O122,0)</f>
        <v>0</v>
      </c>
    </row>
    <row r="123" spans="1:43" ht="40" customHeight="1">
      <c r="A123" s="5">
        <v>7</v>
      </c>
      <c r="B123" s="5" t="s">
        <v>198</v>
      </c>
      <c r="C123" s="11" t="s">
        <v>183</v>
      </c>
      <c r="D123" s="7" t="s">
        <v>199</v>
      </c>
      <c r="E123" s="12">
        <v>30.6</v>
      </c>
      <c r="F123" s="12">
        <v>31.8</v>
      </c>
      <c r="G123" s="12">
        <v>33</v>
      </c>
      <c r="H123" s="12">
        <v>30.9</v>
      </c>
      <c r="I123" s="12">
        <v>32.1</v>
      </c>
      <c r="J123" s="12">
        <v>30.3</v>
      </c>
      <c r="K123" s="12">
        <v>31.5</v>
      </c>
      <c r="L123" s="12">
        <v>30</v>
      </c>
      <c r="M123" s="12">
        <v>31.2</v>
      </c>
      <c r="N123" s="12">
        <v>32.4</v>
      </c>
      <c r="O123" s="13">
        <f>IF(COUNT(AG123:AP123)&gt;0,MIN(AG123:AP123),"")</f>
        <v>30</v>
      </c>
      <c r="P123" s="13">
        <f>IF(COUNT(AG123:AP123)&gt;0,MAX(AG123:AP123),"")</f>
        <v>33</v>
      </c>
      <c r="Q123" s="13">
        <f>IF(ISNUMBER(O123),P123-O123,"")</f>
        <v>3</v>
      </c>
      <c r="R123" s="13">
        <f>IF(ISNUMBER(O123),IF(C123="Ручная",IF($S$129&gt;0,$R$129*Q123/$S$129,IF($W$129=7,$R$129,0)),0),"")</f>
        <v>1.06285714285715</v>
      </c>
      <c r="S123" s="13">
        <f>IF(ISNUMBER(O123),O123+R123,"")</f>
        <v>31.0628571428572</v>
      </c>
      <c r="T123" s="13">
        <f>IF(ISNUMBER(S123),P123-S123,"")</f>
        <v>1.93714285714285</v>
      </c>
      <c r="U123" s="13">
        <f>IF(COUNT(AG123:AP123)&gt;0,AVERAGE(AG123:AP123),"")</f>
        <v>31.38</v>
      </c>
      <c r="AG123" s="13">
        <f>IF(ISNUMBER(E$129),E123,"")</f>
        <v>30.6</v>
      </c>
      <c r="AH123" s="13">
        <f>IF(ISNUMBER(F$129),F123,"")</f>
        <v>31.8</v>
      </c>
      <c r="AI123" s="13">
        <f>IF(ISNUMBER(G$129),G123,"")</f>
        <v>33</v>
      </c>
      <c r="AJ123" s="13">
        <f>IF(ISNUMBER(H$129),H123,"")</f>
        <v>30.9</v>
      </c>
      <c r="AK123" s="13">
        <f>IF(ISNUMBER(I$129),I123,"")</f>
        <v>32.1</v>
      </c>
      <c r="AL123" s="13">
        <f>IF(ISNUMBER(J$129),J123,"")</f>
        <v>30.3</v>
      </c>
      <c r="AM123" s="13">
        <f>IF(ISNUMBER(K$129),K123,"")</f>
        <v>31.5</v>
      </c>
      <c r="AN123" s="13">
        <f>IF(ISNUMBER(L$129),L123,"")</f>
        <v>30</v>
      </c>
      <c r="AO123" s="13">
        <f>IF(ISNUMBER(M$129),M123,"")</f>
        <v>31.2</v>
      </c>
      <c r="AP123" s="13">
        <f>IF(ISNUMBER(N$129),N123,"")</f>
        <v>32.4</v>
      </c>
      <c r="AQ123" s="13">
        <f>IF(C123="Ручная",O123,0)</f>
        <v>30</v>
      </c>
    </row>
    <row r="124" spans="1:43" ht="40" customHeight="1">
      <c r="A124" s="5">
        <v>8</v>
      </c>
      <c r="B124" s="5" t="s">
        <v>200</v>
      </c>
      <c r="C124" s="11" t="s">
        <v>183</v>
      </c>
      <c r="D124" s="7" t="s">
        <v>201</v>
      </c>
      <c r="E124" s="12">
        <v>18.54</v>
      </c>
      <c r="F124" s="12">
        <v>19.26</v>
      </c>
      <c r="G124" s="12">
        <v>18.18</v>
      </c>
      <c r="H124" s="12">
        <v>18.9</v>
      </c>
      <c r="I124" s="12">
        <v>18</v>
      </c>
      <c r="J124" s="12">
        <v>18.72</v>
      </c>
      <c r="K124" s="12">
        <v>19.44</v>
      </c>
      <c r="L124" s="12">
        <v>18.36</v>
      </c>
      <c r="M124" s="12">
        <v>19.08</v>
      </c>
      <c r="N124" s="12">
        <v>19.8</v>
      </c>
      <c r="O124" s="13">
        <f>IF(COUNT(AG124:AP124)&gt;0,MIN(AG124:AP124),"")</f>
        <v>18</v>
      </c>
      <c r="P124" s="13">
        <f>IF(COUNT(AG124:AP124)&gt;0,MAX(AG124:AP124),"")</f>
        <v>19.8</v>
      </c>
      <c r="Q124" s="13">
        <f>IF(ISNUMBER(O124),P124-O124,"")</f>
        <v>1.8</v>
      </c>
      <c r="R124" s="13">
        <f>IF(ISNUMBER(O124),IF(C124="Ручная",IF($S$129&gt;0,$R$129*Q124/$S$129,IF($W$129=8,$R$129,0)),0),"")</f>
        <v>0.637714285714291</v>
      </c>
      <c r="S124" s="13">
        <f>IF(ISNUMBER(O124),O124+R124,"")</f>
        <v>18.6377142857143</v>
      </c>
      <c r="T124" s="13">
        <f>IF(ISNUMBER(S124),P124-S124,"")</f>
        <v>1.16228571428571</v>
      </c>
      <c r="U124" s="13">
        <f>IF(COUNT(AG124:AP124)&gt;0,AVERAGE(AG124:AP124),"")</f>
        <v>18.828</v>
      </c>
      <c r="AG124" s="13">
        <f>IF(ISNUMBER(E$129),E124,"")</f>
        <v>18.54</v>
      </c>
      <c r="AH124" s="13">
        <f>IF(ISNUMBER(F$129),F124,"")</f>
        <v>19.26</v>
      </c>
      <c r="AI124" s="13">
        <f>IF(ISNUMBER(G$129),G124,"")</f>
        <v>18.18</v>
      </c>
      <c r="AJ124" s="13">
        <f>IF(ISNUMBER(H$129),H124,"")</f>
        <v>18.9</v>
      </c>
      <c r="AK124" s="13">
        <f>IF(ISNUMBER(I$129),I124,"")</f>
        <v>18</v>
      </c>
      <c r="AL124" s="13">
        <f>IF(ISNUMBER(J$129),J124,"")</f>
        <v>18.72</v>
      </c>
      <c r="AM124" s="13">
        <f>IF(ISNUMBER(K$129),K124,"")</f>
        <v>19.44</v>
      </c>
      <c r="AN124" s="13">
        <f>IF(ISNUMBER(L$129),L124,"")</f>
        <v>18.36</v>
      </c>
      <c r="AO124" s="13">
        <f>IF(ISNUMBER(M$129),M124,"")</f>
        <v>19.08</v>
      </c>
      <c r="AP124" s="13">
        <f>IF(ISNUMBER(N$129),N124,"")</f>
        <v>19.8</v>
      </c>
      <c r="AQ124" s="13">
        <f>IF(C124="Ручная",O124,0)</f>
        <v>18</v>
      </c>
    </row>
    <row r="125" spans="1:43" ht="40" customHeight="1">
      <c r="A125" s="5" t="s">
        <v>189</v>
      </c>
      <c r="B125" s="5" t="s">
        <v>202</v>
      </c>
      <c r="C125" s="11" t="s">
        <v>191</v>
      </c>
      <c r="D125" s="7" t="s">
        <v>203</v>
      </c>
      <c r="E125" s="12">
        <v>10.5</v>
      </c>
      <c r="F125" s="12">
        <v>10</v>
      </c>
      <c r="G125" s="12">
        <v>10.4</v>
      </c>
      <c r="H125" s="12">
        <v>10.8</v>
      </c>
      <c r="I125" s="12">
        <v>10.2</v>
      </c>
      <c r="J125" s="12">
        <v>10.6</v>
      </c>
      <c r="K125" s="12">
        <v>11</v>
      </c>
      <c r="L125" s="12">
        <v>10.3</v>
      </c>
      <c r="M125" s="12">
        <v>10.7</v>
      </c>
      <c r="N125" s="12">
        <v>10.1</v>
      </c>
      <c r="O125" s="13">
        <f>IF(COUNT(AG125:AP125)&gt;0,MIN(AG125:AP125),"")</f>
        <v>10</v>
      </c>
      <c r="P125" s="13">
        <f>IF(COUNT(AG125:AP125)&gt;0,MAX(AG125:AP125),"")</f>
        <v>11</v>
      </c>
      <c r="Q125" s="13">
        <f>IF(ISNUMBER(O125),P125-O125,"")</f>
        <v>1</v>
      </c>
      <c r="R125" s="13">
        <f>IF(ISNUMBER(O125),IF(C125="Ручная",IF($S$129&gt;0,$R$129*Q125/$S$129,IF($W$129=9,$R$129,0)),0),"")</f>
        <v>0</v>
      </c>
      <c r="S125" s="13">
        <f>IF(ISNUMBER(O125),O125+R125,"")</f>
        <v>10</v>
      </c>
      <c r="T125" s="13">
        <f>IF(ISNUMBER(S125),P125-S125,"")</f>
        <v>1</v>
      </c>
      <c r="U125" s="13">
        <f>IF(COUNT(AG125:AP125)&gt;0,AVERAGE(AG125:AP125),"")</f>
        <v>10.46</v>
      </c>
      <c r="AG125" s="13">
        <f>IF(ISNUMBER(E$129),E125,"")</f>
        <v>10.5</v>
      </c>
      <c r="AH125" s="13">
        <f>IF(ISNUMBER(F$129),F125,"")</f>
        <v>10</v>
      </c>
      <c r="AI125" s="13">
        <f>IF(ISNUMBER(G$129),G125,"")</f>
        <v>10.4</v>
      </c>
      <c r="AJ125" s="13">
        <f>IF(ISNUMBER(H$129),H125,"")</f>
        <v>10.8</v>
      </c>
      <c r="AK125" s="13">
        <f>IF(ISNUMBER(I$129),I125,"")</f>
        <v>10.2</v>
      </c>
      <c r="AL125" s="13">
        <f>IF(ISNUMBER(J$129),J125,"")</f>
        <v>10.6</v>
      </c>
      <c r="AM125" s="13">
        <f>IF(ISNUMBER(K$129),K125,"")</f>
        <v>11</v>
      </c>
      <c r="AN125" s="13">
        <f>IF(ISNUMBER(L$129),L125,"")</f>
        <v>10.3</v>
      </c>
      <c r="AO125" s="13">
        <f>IF(ISNUMBER(M$129),M125,"")</f>
        <v>10.7</v>
      </c>
      <c r="AP125" s="13">
        <f>IF(ISNUMBER(N$129),N125,"")</f>
        <v>10.1</v>
      </c>
      <c r="AQ125" s="13">
        <f>IF(C125="Ручная",O125,0)</f>
        <v>0</v>
      </c>
    </row>
    <row r="126" spans="1:43" ht="40" customHeight="1">
      <c r="A126" s="5" t="s">
        <v>189</v>
      </c>
      <c r="B126" s="5" t="s">
        <v>204</v>
      </c>
      <c r="C126" s="11" t="s">
        <v>191</v>
      </c>
      <c r="D126" s="7" t="s">
        <v>205</v>
      </c>
      <c r="E126" s="12">
        <v>10.8</v>
      </c>
      <c r="F126" s="12">
        <v>10.2</v>
      </c>
      <c r="G126" s="12">
        <v>10.6</v>
      </c>
      <c r="H126" s="12">
        <v>11</v>
      </c>
      <c r="I126" s="12">
        <v>10.3</v>
      </c>
      <c r="J126" s="12">
        <v>10.7</v>
      </c>
      <c r="K126" s="12">
        <v>10.1</v>
      </c>
      <c r="L126" s="12">
        <v>10.5</v>
      </c>
      <c r="M126" s="12">
        <v>10</v>
      </c>
      <c r="N126" s="12">
        <v>10.4</v>
      </c>
      <c r="O126" s="13">
        <f>IF(COUNT(AG126:AP126)&gt;0,MIN(AG126:AP126),"")</f>
        <v>10</v>
      </c>
      <c r="P126" s="13">
        <f>IF(COUNT(AG126:AP126)&gt;0,MAX(AG126:AP126),"")</f>
        <v>11</v>
      </c>
      <c r="Q126" s="13">
        <f>IF(ISNUMBER(O126),P126-O126,"")</f>
        <v>1</v>
      </c>
      <c r="R126" s="13">
        <f>IF(ISNUMBER(O126),IF(C126="Ручная",IF($S$129&gt;0,$R$129*Q126/$S$129,IF($W$129=10,$R$129,0)),0),"")</f>
        <v>0</v>
      </c>
      <c r="S126" s="13">
        <f>IF(ISNUMBER(O126),O126+R126,"")</f>
        <v>10</v>
      </c>
      <c r="T126" s="13">
        <f>IF(ISNUMBER(S126),P126-S126,"")</f>
        <v>1</v>
      </c>
      <c r="U126" s="13">
        <f>IF(COUNT(AG126:AP126)&gt;0,AVERAGE(AG126:AP126),"")</f>
        <v>10.46</v>
      </c>
      <c r="AG126" s="13">
        <f>IF(ISNUMBER(E$129),E126,"")</f>
        <v>10.8</v>
      </c>
      <c r="AH126" s="13">
        <f>IF(ISNUMBER(F$129),F126,"")</f>
        <v>10.2</v>
      </c>
      <c r="AI126" s="13">
        <f>IF(ISNUMBER(G$129),G126,"")</f>
        <v>10.6</v>
      </c>
      <c r="AJ126" s="13">
        <f>IF(ISNUMBER(H$129),H126,"")</f>
        <v>11</v>
      </c>
      <c r="AK126" s="13">
        <f>IF(ISNUMBER(I$129),I126,"")</f>
        <v>10.3</v>
      </c>
      <c r="AL126" s="13">
        <f>IF(ISNUMBER(J$129),J126,"")</f>
        <v>10.7</v>
      </c>
      <c r="AM126" s="13">
        <f>IF(ISNUMBER(K$129),K126,"")</f>
        <v>10.1</v>
      </c>
      <c r="AN126" s="13">
        <f>IF(ISNUMBER(L$129),L126,"")</f>
        <v>10.5</v>
      </c>
      <c r="AO126" s="13">
        <f>IF(ISNUMBER(M$129),M126,"")</f>
        <v>10</v>
      </c>
      <c r="AP126" s="13">
        <f>IF(ISNUMBER(N$129),N126,"")</f>
        <v>10.4</v>
      </c>
      <c r="AQ126" s="13">
        <f>IF(C126="Ручная",O126,0)</f>
        <v>0</v>
      </c>
    </row>
    <row r="127" spans="1:43" ht="40" customHeight="1">
      <c r="A127" s="5" t="s">
        <v>189</v>
      </c>
      <c r="B127" s="5" t="s">
        <v>206</v>
      </c>
      <c r="C127" s="11" t="s">
        <v>207</v>
      </c>
      <c r="D127" s="7" t="s">
        <v>208</v>
      </c>
      <c r="E127" s="12">
        <v>13.2</v>
      </c>
      <c r="F127" s="12">
        <v>12.36</v>
      </c>
      <c r="G127" s="12">
        <v>12.84</v>
      </c>
      <c r="H127" s="12">
        <v>12.12</v>
      </c>
      <c r="I127" s="12">
        <v>12.6</v>
      </c>
      <c r="J127" s="12">
        <v>12</v>
      </c>
      <c r="K127" s="12">
        <v>12.48</v>
      </c>
      <c r="L127" s="12">
        <v>12.96</v>
      </c>
      <c r="M127" s="12">
        <v>12.24</v>
      </c>
      <c r="N127" s="12">
        <v>12.72</v>
      </c>
      <c r="O127" s="13">
        <f>IF(COUNT(AG127:AP127)&gt;0,MIN(AG127:AP127),"")</f>
        <v>12</v>
      </c>
      <c r="P127" s="13">
        <f>IF(COUNT(AG127:AP127)&gt;0,MAX(AG127:AP127),"")</f>
        <v>13.2</v>
      </c>
      <c r="Q127" s="13">
        <f>IF(ISNUMBER(O127),P127-O127,"")</f>
        <v>1.2</v>
      </c>
      <c r="R127" s="13">
        <f>IF(ISNUMBER(O127),IF(C127="Ручная",IF($S$129&gt;0,$R$129*Q127/$S$129,IF($W$129=11,$R$129,0)),0),"")</f>
        <v>0</v>
      </c>
      <c r="S127" s="13">
        <f>IF(ISNUMBER(O127),O127+R127,"")</f>
        <v>12</v>
      </c>
      <c r="T127" s="13">
        <f>IF(ISNUMBER(S127),P127-S127,"")</f>
        <v>1.2</v>
      </c>
      <c r="U127" s="13">
        <f>IF(COUNT(AG127:AP127)&gt;0,AVERAGE(AG127:AP127),"")</f>
        <v>12.552</v>
      </c>
      <c r="AG127" s="13">
        <f>IF(ISNUMBER(E$129),E127,"")</f>
        <v>13.2</v>
      </c>
      <c r="AH127" s="13">
        <f>IF(ISNUMBER(F$129),F127,"")</f>
        <v>12.36</v>
      </c>
      <c r="AI127" s="13">
        <f>IF(ISNUMBER(G$129),G127,"")</f>
        <v>12.84</v>
      </c>
      <c r="AJ127" s="13">
        <f>IF(ISNUMBER(H$129),H127,"")</f>
        <v>12.12</v>
      </c>
      <c r="AK127" s="13">
        <f>IF(ISNUMBER(I$129),I127,"")</f>
        <v>12.6</v>
      </c>
      <c r="AL127" s="13">
        <f>IF(ISNUMBER(J$129),J127,"")</f>
        <v>12</v>
      </c>
      <c r="AM127" s="13">
        <f>IF(ISNUMBER(K$129),K127,"")</f>
        <v>12.48</v>
      </c>
      <c r="AN127" s="13">
        <f>IF(ISNUMBER(L$129),L127,"")</f>
        <v>12.96</v>
      </c>
      <c r="AO127" s="13">
        <f>IF(ISNUMBER(M$129),M127,"")</f>
        <v>12.24</v>
      </c>
      <c r="AP127" s="13">
        <f>IF(ISNUMBER(N$129),N127,"")</f>
        <v>12.72</v>
      </c>
      <c r="AQ127" s="13">
        <f>IF(C127="Ручная",O127,0)</f>
        <v>0</v>
      </c>
    </row>
    <row r="128" spans="1:43" ht="23" customHeight="1">
      <c r="B128" s="4" t="s">
        <v>209</v>
      </c>
      <c r="E128" s="6">
        <f>IF(COUNT(E117:E127)=11,SUM(E117:E127),"")</f>
        <v>600.34</v>
      </c>
      <c r="F128" s="6">
        <f>IF(COUNT(F117:F127)=11,SUM(F117:F127),"")</f>
        <v>602.43</v>
      </c>
      <c r="G128" s="6">
        <f>IF(COUNT(G117:G127)=11,SUM(G117:G127),"")</f>
        <v>598.32</v>
      </c>
      <c r="H128" s="6">
        <f>IF(COUNT(H117:H127)=11,SUM(H117:H127),"")</f>
        <v>599.73</v>
      </c>
      <c r="I128" s="6">
        <f>IF(COUNT(I117:I127)=11,SUM(I117:I127),"")</f>
        <v>606.37</v>
      </c>
      <c r="J128" s="6">
        <f>IF(COUNT(J117:J127)=11,SUM(J117:J127),"")</f>
        <v>597.68</v>
      </c>
      <c r="K128" s="6">
        <f>IF(COUNT(K117:K127)=11,SUM(K117:K127),"")</f>
        <v>603.66</v>
      </c>
      <c r="L128" s="6">
        <f>IF(COUNT(L117:L127)=11,SUM(L117:L127),"")</f>
        <v>607.42</v>
      </c>
      <c r="M128" s="6">
        <f>IF(COUNT(M117:M127)=11,SUM(M117:M127),"")</f>
        <v>601.73</v>
      </c>
      <c r="N128" s="6">
        <f>IF(COUNT(N117:N127)=11,SUM(N117:N127),"")</f>
        <v>605.26</v>
      </c>
      <c r="O128" s="6">
        <f>IF(COUNT(O117:O127)=11,SUM(O117:O127),"")</f>
        <v>589</v>
      </c>
      <c r="P128" s="6">
        <f>IF(COUNT(P117:P127)=11,SUM(P117:P127),"")</f>
        <v>617.9</v>
      </c>
      <c r="Q128" s="6">
        <f>IF(COUNT(Q117:Q127)=11,SUM(Q117:Q127),"")</f>
        <v>28.9</v>
      </c>
      <c r="R128" s="6">
        <f>IF(COUNT(R117:R127)=11,SUM(R117:R127),"")</f>
        <v>8.68000000000006</v>
      </c>
      <c r="S128" s="6">
        <f>IF(COUNT(S117:S127)=11,SUM(S117:S127),"")</f>
        <v>597.68</v>
      </c>
      <c r="T128" s="6">
        <f>IF(COUNT(T117:T127)=11,SUM(T117:T127),"")</f>
        <v>20.2199999999999</v>
      </c>
      <c r="U128" s="6">
        <f>IF(COUNT(U117:U127)=11,SUM(U117:U127),"")</f>
        <v>602.294</v>
      </c>
    </row>
    <row r="129" spans="1:43" ht="23" customHeight="1">
      <c r="B129" s="4" t="s">
        <v>210</v>
      </c>
      <c r="E129" s="6">
        <f>IF(AND(E115=1,COUNT(E117:E127)=11,MIN(E117:E127)&gt;=0),E128,"")</f>
        <v>600.34</v>
      </c>
      <c r="F129" s="6">
        <f>IF(AND(F115=1,COUNT(F117:F127)=11,MIN(F117:F127)&gt;=0),F128,"")</f>
        <v>602.43</v>
      </c>
      <c r="G129" s="6">
        <f>IF(AND(G115=1,COUNT(G117:G127)=11,MIN(G117:G127)&gt;=0),G128,"")</f>
        <v>598.32</v>
      </c>
      <c r="H129" s="6">
        <f>IF(AND(H115=1,COUNT(H117:H127)=11,MIN(H117:H127)&gt;=0),H128,"")</f>
        <v>599.73</v>
      </c>
      <c r="I129" s="6">
        <f>IF(AND(I115=1,COUNT(I117:I127)=11,MIN(I117:I127)&gt;=0),I128,"")</f>
        <v>606.37</v>
      </c>
      <c r="J129" s="6">
        <f>IF(AND(J115=1,COUNT(J117:J127)=11,MIN(J117:J127)&gt;=0),J128,"")</f>
        <v>597.68</v>
      </c>
      <c r="K129" s="6">
        <f>IF(AND(K115=1,COUNT(K117:K127)=11,MIN(K117:K127)&gt;=0),K128,"")</f>
        <v>603.66</v>
      </c>
      <c r="L129" s="6">
        <f>IF(AND(L115=1,COUNT(L117:L127)=11,MIN(L117:L127)&gt;=0),L128,"")</f>
        <v>607.42</v>
      </c>
      <c r="M129" s="6">
        <f>IF(AND(M115=1,COUNT(M117:M127)=11,MIN(M117:M127)&gt;=0),M128,"")</f>
        <v>601.73</v>
      </c>
      <c r="N129" s="6">
        <f>IF(AND(N115=1,COUNT(N117:N127)=11,MIN(N117:N127)&gt;=0),N128,"")</f>
        <v>605.26</v>
      </c>
      <c r="O129" s="6">
        <f>IF(COUNT(E129:N129)&gt;0,MIN(E129:N129),"")</f>
        <v>597.68</v>
      </c>
      <c r="P129" s="6">
        <f>IF(COUNT(E129:N129)&gt;0,MAX(E129:N129),"")</f>
        <v>607.42</v>
      </c>
      <c r="Q129" s="6">
        <f>IF(ISNUMBER(O129),P129-O129,"")</f>
        <v>9.74000000000001</v>
      </c>
      <c r="R129" s="6">
        <f>IF(ISNUMBER(O129),MAX(0,O129-O128),"")</f>
        <v>8.68000000000006</v>
      </c>
      <c r="S129" s="6">
        <f>SUMIF(C117:C127,"Ручная",Q117:Q127)</f>
        <v>24.5</v>
      </c>
      <c r="T129" s="6">
        <f>COUNT(E129:N129)</f>
        <v>10</v>
      </c>
      <c r="U129" s="6">
        <f>IF(COUNT(E129:N129)&gt;0,AVERAGE(E129:N129),"")</f>
        <v>602.294</v>
      </c>
      <c r="V129" s="6">
        <f>IF(ISNUMBER(O129),S128-O129,"")</f>
        <v>0</v>
      </c>
      <c r="W129" s="6">
        <f>MATCH(MAX(AQ117:AQ127),AQ117:AQ127,0)</f>
        <v>2</v>
      </c>
      <c r="X129" s="17" t="str">
        <f>IF(T129=0,"НЕТ ЗАМЕРОВ",IF(T129&lt;10,"МЕНЕЕ 10 ЦИКЛОВ",IF(ABS(V129)&lt;0.000001,"ОК","ОШИБКА РЕГУЛИРОВКИ")))</f>
        <v>ОК</v>
      </c>
    </row>
    <row r="130" spans="1:43" ht="23" customHeight="1">
      <c r="A130" s="7" t="s">
        <v>211</v>
      </c>
      <c r="B130" s="7"/>
      <c r="C130" s="7"/>
      <c r="D130" s="7"/>
      <c r="E130" s="7"/>
      <c r="F130" s="7"/>
      <c r="G130" s="7"/>
      <c r="H130" s="7"/>
      <c r="I130" s="7"/>
      <c r="J130" s="7"/>
      <c r="K130" s="7"/>
      <c r="L130" s="7"/>
      <c r="M130" s="7"/>
      <c r="N130" s="7"/>
      <c r="O130" s="7"/>
      <c r="P130" s="7"/>
      <c r="Q130" s="7"/>
      <c r="R130" s="7"/>
      <c r="S130" s="7"/>
      <c r="T130" s="7"/>
      <c r="U130" s="7"/>
      <c r="V130" s="7"/>
      <c r="W130" s="7"/>
      <c r="X130" s="7"/>
    </row>
    <row r="133" spans="1:43" ht="23" customHeight="1">
      <c r="A133" s="4" t="s">
        <v>217</v>
      </c>
      <c r="B133" s="4"/>
      <c r="C133" s="4"/>
      <c r="D133" s="4"/>
      <c r="E133" s="4"/>
      <c r="F133" s="4"/>
      <c r="G133" s="4"/>
      <c r="H133" s="4"/>
      <c r="I133" s="4"/>
      <c r="J133" s="4"/>
      <c r="K133" s="4"/>
      <c r="L133" s="4"/>
      <c r="M133" s="4"/>
      <c r="N133" s="4"/>
      <c r="O133" s="4"/>
      <c r="P133" s="4"/>
      <c r="Q133" s="4"/>
      <c r="R133" s="4"/>
      <c r="S133" s="4"/>
      <c r="T133" s="4"/>
      <c r="U133" s="4"/>
      <c r="V133" s="4"/>
      <c r="W133" s="4"/>
      <c r="X133" s="4"/>
    </row>
    <row r="134" spans="1:43" ht="23" customHeight="1">
      <c r="A134" s="7" t="str">
        <f>"Масса замера, кг: "&amp;'Ассортимент'!J14&amp;".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134" s="7"/>
      <c r="C134" s="7"/>
      <c r="D134" s="7"/>
      <c r="E134" s="7"/>
      <c r="F134" s="7"/>
      <c r="G134" s="7"/>
      <c r="H134" s="7"/>
      <c r="I134" s="7"/>
      <c r="J134" s="7"/>
      <c r="K134" s="7"/>
      <c r="L134" s="7"/>
      <c r="M134" s="7"/>
      <c r="N134" s="7"/>
      <c r="O134" s="7"/>
      <c r="P134" s="7"/>
      <c r="Q134" s="7"/>
      <c r="R134" s="7"/>
      <c r="S134" s="7"/>
      <c r="T134" s="7"/>
      <c r="U134" s="7"/>
      <c r="V134" s="7"/>
      <c r="W134" s="7"/>
      <c r="X134" s="7"/>
    </row>
    <row r="135" spans="1:43" ht="44" customHeight="1">
      <c r="A135" s="8" t="s">
        <v>113</v>
      </c>
      <c r="B135" s="8" t="s">
        <v>156</v>
      </c>
      <c r="C135" s="8" t="s">
        <v>157</v>
      </c>
      <c r="D135" s="8" t="s">
        <v>158</v>
      </c>
      <c r="E135" s="8" t="s">
        <v>159</v>
      </c>
      <c r="F135" s="8" t="s">
        <v>160</v>
      </c>
      <c r="G135" s="8" t="s">
        <v>161</v>
      </c>
      <c r="H135" s="8" t="s">
        <v>162</v>
      </c>
      <c r="I135" s="8" t="s">
        <v>163</v>
      </c>
      <c r="J135" s="8" t="s">
        <v>164</v>
      </c>
      <c r="K135" s="8" t="s">
        <v>165</v>
      </c>
      <c r="L135" s="8" t="s">
        <v>166</v>
      </c>
      <c r="M135" s="8" t="s">
        <v>167</v>
      </c>
      <c r="N135" s="8" t="s">
        <v>168</v>
      </c>
      <c r="O135" s="8" t="s">
        <v>169</v>
      </c>
      <c r="P135" s="8" t="s">
        <v>170</v>
      </c>
      <c r="Q135" s="8" t="s">
        <v>171</v>
      </c>
      <c r="R135" s="8" t="s">
        <v>172</v>
      </c>
      <c r="S135" s="8" t="s">
        <v>173</v>
      </c>
      <c r="T135" s="8" t="s">
        <v>174</v>
      </c>
      <c r="U135" s="8" t="s">
        <v>175</v>
      </c>
      <c r="V135" s="8" t="s">
        <v>176</v>
      </c>
      <c r="W135" s="8" t="s">
        <v>177</v>
      </c>
      <c r="X135" s="8" t="s">
        <v>178</v>
      </c>
    </row>
    <row r="136" spans="1:43" ht="23" customHeight="1">
      <c r="B136" s="5" t="s">
        <v>179</v>
      </c>
      <c r="E136" s="12">
        <v>1</v>
      </c>
      <c r="F136" s="12">
        <v>1</v>
      </c>
      <c r="G136" s="12">
        <v>1</v>
      </c>
      <c r="H136" s="12">
        <v>1</v>
      </c>
      <c r="I136" s="12">
        <v>1</v>
      </c>
      <c r="J136" s="12">
        <v>1</v>
      </c>
      <c r="K136" s="12">
        <v>1</v>
      </c>
      <c r="L136" s="12">
        <v>1</v>
      </c>
      <c r="M136" s="12">
        <v>1</v>
      </c>
      <c r="N136" s="12">
        <v>1</v>
      </c>
    </row>
    <row r="137" spans="1:43" ht="33" customHeight="1">
      <c r="B137" s="5" t="s">
        <v>180</v>
      </c>
      <c r="E137" s="9" t="s">
        <v>181</v>
      </c>
      <c r="F137" s="9" t="s">
        <v>181</v>
      </c>
      <c r="G137" s="9" t="s">
        <v>181</v>
      </c>
      <c r="H137" s="9" t="s">
        <v>181</v>
      </c>
      <c r="I137" s="9" t="s">
        <v>181</v>
      </c>
      <c r="J137" s="9" t="s">
        <v>181</v>
      </c>
      <c r="K137" s="9" t="s">
        <v>181</v>
      </c>
      <c r="L137" s="9" t="s">
        <v>181</v>
      </c>
      <c r="M137" s="9" t="s">
        <v>181</v>
      </c>
      <c r="N137" s="9" t="s">
        <v>181</v>
      </c>
    </row>
    <row r="138" spans="1:43" ht="40" customHeight="1">
      <c r="A138" s="5">
        <v>1</v>
      </c>
      <c r="B138" s="5" t="s">
        <v>182</v>
      </c>
      <c r="C138" s="11" t="s">
        <v>183</v>
      </c>
      <c r="D138" s="7" t="s">
        <v>184</v>
      </c>
      <c r="E138" s="12">
        <v>25.75</v>
      </c>
      <c r="F138" s="12">
        <v>26.75</v>
      </c>
      <c r="G138" s="12">
        <v>25.25</v>
      </c>
      <c r="H138" s="12">
        <v>26.25</v>
      </c>
      <c r="I138" s="12">
        <v>25</v>
      </c>
      <c r="J138" s="12">
        <v>26</v>
      </c>
      <c r="K138" s="12">
        <v>27</v>
      </c>
      <c r="L138" s="12">
        <v>25.5</v>
      </c>
      <c r="M138" s="12">
        <v>26.5</v>
      </c>
      <c r="N138" s="12">
        <v>27.5</v>
      </c>
      <c r="O138" s="13">
        <f>IF(COUNT(AG138:AP138)&gt;0,MIN(AG138:AP138),"")</f>
        <v>25</v>
      </c>
      <c r="P138" s="13">
        <f>IF(COUNT(AG138:AP138)&gt;0,MAX(AG138:AP138),"")</f>
        <v>27.5</v>
      </c>
      <c r="Q138" s="13">
        <f>IF(ISNUMBER(O138),P138-O138,"")</f>
        <v>2.5</v>
      </c>
      <c r="R138" s="13">
        <f>IF(ISNUMBER(O138),IF(C138="Ручная",IF($S$150&gt;0,$R$150*Q138/$S$150,IF($W$150=1,$R$150,0)),0),"")</f>
        <v>0.910869565217391</v>
      </c>
      <c r="S138" s="13">
        <f>IF(ISNUMBER(O138),O138+R138,"")</f>
        <v>25.9108695652174</v>
      </c>
      <c r="T138" s="13">
        <f>IF(ISNUMBER(S138),P138-S138,"")</f>
        <v>1.58913043478261</v>
      </c>
      <c r="U138" s="13">
        <f>IF(COUNT(AG138:AP138)&gt;0,AVERAGE(AG138:AP138),"")</f>
        <v>26.15</v>
      </c>
      <c r="AG138" s="13">
        <f>IF(ISNUMBER(E$150),E138,"")</f>
        <v>25.75</v>
      </c>
      <c r="AH138" s="13">
        <f>IF(ISNUMBER(F$150),F138,"")</f>
        <v>26.75</v>
      </c>
      <c r="AI138" s="13">
        <f>IF(ISNUMBER(G$150),G138,"")</f>
        <v>25.25</v>
      </c>
      <c r="AJ138" s="13">
        <f>IF(ISNUMBER(H$150),H138,"")</f>
        <v>26.25</v>
      </c>
      <c r="AK138" s="13">
        <f>IF(ISNUMBER(I$150),I138,"")</f>
        <v>25</v>
      </c>
      <c r="AL138" s="13">
        <f>IF(ISNUMBER(J$150),J138,"")</f>
        <v>26</v>
      </c>
      <c r="AM138" s="13">
        <f>IF(ISNUMBER(K$150),K138,"")</f>
        <v>27</v>
      </c>
      <c r="AN138" s="13">
        <f>IF(ISNUMBER(L$150),L138,"")</f>
        <v>25.5</v>
      </c>
      <c r="AO138" s="13">
        <f>IF(ISNUMBER(M$150),M138,"")</f>
        <v>26.5</v>
      </c>
      <c r="AP138" s="13">
        <f>IF(ISNUMBER(N$150),N138,"")</f>
        <v>27.5</v>
      </c>
      <c r="AQ138" s="13">
        <f>IF(C138="Ручная",O138,0)</f>
        <v>25</v>
      </c>
    </row>
    <row r="139" spans="1:43" ht="40" customHeight="1">
      <c r="A139" s="5">
        <v>2</v>
      </c>
      <c r="B139" s="5" t="s">
        <v>185</v>
      </c>
      <c r="C139" s="11" t="s">
        <v>183</v>
      </c>
      <c r="D139" s="7" t="s">
        <v>186</v>
      </c>
      <c r="E139" s="12">
        <v>105</v>
      </c>
      <c r="F139" s="12">
        <v>100</v>
      </c>
      <c r="G139" s="12">
        <v>104</v>
      </c>
      <c r="H139" s="12">
        <v>108</v>
      </c>
      <c r="I139" s="12">
        <v>102</v>
      </c>
      <c r="J139" s="12">
        <v>106</v>
      </c>
      <c r="K139" s="12">
        <v>110</v>
      </c>
      <c r="L139" s="12">
        <v>103</v>
      </c>
      <c r="M139" s="12">
        <v>107</v>
      </c>
      <c r="N139" s="12">
        <v>101</v>
      </c>
      <c r="O139" s="13">
        <f>IF(COUNT(AG139:AP139)&gt;0,MIN(AG139:AP139),"")</f>
        <v>100</v>
      </c>
      <c r="P139" s="13">
        <f>IF(COUNT(AG139:AP139)&gt;0,MAX(AG139:AP139),"")</f>
        <v>110</v>
      </c>
      <c r="Q139" s="13">
        <f>IF(ISNUMBER(O139),P139-O139,"")</f>
        <v>10</v>
      </c>
      <c r="R139" s="13">
        <f>IF(ISNUMBER(O139),IF(C139="Ручная",IF($S$150&gt;0,$R$150*Q139/$S$150,IF($W$150=2,$R$150,0)),0),"")</f>
        <v>3.64347826086956</v>
      </c>
      <c r="S139" s="13">
        <f>IF(ISNUMBER(O139),O139+R139,"")</f>
        <v>103.64347826087</v>
      </c>
      <c r="T139" s="13">
        <f>IF(ISNUMBER(S139),P139-S139,"")</f>
        <v>6.35652173913044</v>
      </c>
      <c r="U139" s="13">
        <f>IF(COUNT(AG139:AP139)&gt;0,AVERAGE(AG139:AP139),"")</f>
        <v>104.6</v>
      </c>
      <c r="AG139" s="13">
        <f>IF(ISNUMBER(E$150),E139,"")</f>
        <v>105</v>
      </c>
      <c r="AH139" s="13">
        <f>IF(ISNUMBER(F$150),F139,"")</f>
        <v>100</v>
      </c>
      <c r="AI139" s="13">
        <f>IF(ISNUMBER(G$150),G139,"")</f>
        <v>104</v>
      </c>
      <c r="AJ139" s="13">
        <f>IF(ISNUMBER(H$150),H139,"")</f>
        <v>108</v>
      </c>
      <c r="AK139" s="13">
        <f>IF(ISNUMBER(I$150),I139,"")</f>
        <v>102</v>
      </c>
      <c r="AL139" s="13">
        <f>IF(ISNUMBER(J$150),J139,"")</f>
        <v>106</v>
      </c>
      <c r="AM139" s="13">
        <f>IF(ISNUMBER(K$150),K139,"")</f>
        <v>110</v>
      </c>
      <c r="AN139" s="13">
        <f>IF(ISNUMBER(L$150),L139,"")</f>
        <v>103</v>
      </c>
      <c r="AO139" s="13">
        <f>IF(ISNUMBER(M$150),M139,"")</f>
        <v>107</v>
      </c>
      <c r="AP139" s="13">
        <f>IF(ISNUMBER(N$150),N139,"")</f>
        <v>101</v>
      </c>
      <c r="AQ139" s="13">
        <f>IF(C139="Ручная",O139,0)</f>
        <v>100</v>
      </c>
    </row>
    <row r="140" spans="1:43" ht="40" customHeight="1">
      <c r="A140" s="5">
        <v>3</v>
      </c>
      <c r="B140" s="5" t="s">
        <v>187</v>
      </c>
      <c r="C140" s="11" t="s">
        <v>183</v>
      </c>
      <c r="D140" s="7" t="s">
        <v>188</v>
      </c>
      <c r="E140" s="12">
        <v>23.76</v>
      </c>
      <c r="F140" s="12">
        <v>22.44</v>
      </c>
      <c r="G140" s="12">
        <v>23.32</v>
      </c>
      <c r="H140" s="12">
        <v>24.2</v>
      </c>
      <c r="I140" s="12">
        <v>22.66</v>
      </c>
      <c r="J140" s="12">
        <v>23.54</v>
      </c>
      <c r="K140" s="12">
        <v>22.22</v>
      </c>
      <c r="L140" s="12">
        <v>23.1</v>
      </c>
      <c r="M140" s="12">
        <v>22</v>
      </c>
      <c r="N140" s="12">
        <v>22.88</v>
      </c>
      <c r="O140" s="13">
        <f>IF(COUNT(AG140:AP140)&gt;0,MIN(AG140:AP140),"")</f>
        <v>22</v>
      </c>
      <c r="P140" s="13">
        <f>IF(COUNT(AG140:AP140)&gt;0,MAX(AG140:AP140),"")</f>
        <v>24.2</v>
      </c>
      <c r="Q140" s="13">
        <f>IF(ISNUMBER(O140),P140-O140,"")</f>
        <v>2.2</v>
      </c>
      <c r="R140" s="13">
        <f>IF(ISNUMBER(O140),IF(C140="Ручная",IF($S$150&gt;0,$R$150*Q140/$S$150,IF($W$150=3,$R$150,0)),0),"")</f>
        <v>0.801565217391304</v>
      </c>
      <c r="S140" s="13">
        <f>IF(ISNUMBER(O140),O140+R140,"")</f>
        <v>22.8015652173913</v>
      </c>
      <c r="T140" s="13">
        <f>IF(ISNUMBER(S140),P140-S140,"")</f>
        <v>1.3984347826087</v>
      </c>
      <c r="U140" s="13">
        <f>IF(COUNT(AG140:AP140)&gt;0,AVERAGE(AG140:AP140),"")</f>
        <v>23.012</v>
      </c>
      <c r="AG140" s="13">
        <f>IF(ISNUMBER(E$150),E140,"")</f>
        <v>23.76</v>
      </c>
      <c r="AH140" s="13">
        <f>IF(ISNUMBER(F$150),F140,"")</f>
        <v>22.44</v>
      </c>
      <c r="AI140" s="13">
        <f>IF(ISNUMBER(G$150),G140,"")</f>
        <v>23.32</v>
      </c>
      <c r="AJ140" s="13">
        <f>IF(ISNUMBER(H$150),H140,"")</f>
        <v>24.2</v>
      </c>
      <c r="AK140" s="13">
        <f>IF(ISNUMBER(I$150),I140,"")</f>
        <v>22.66</v>
      </c>
      <c r="AL140" s="13">
        <f>IF(ISNUMBER(J$150),J140,"")</f>
        <v>23.54</v>
      </c>
      <c r="AM140" s="13">
        <f>IF(ISNUMBER(K$150),K140,"")</f>
        <v>22.22</v>
      </c>
      <c r="AN140" s="13">
        <f>IF(ISNUMBER(L$150),L140,"")</f>
        <v>23.1</v>
      </c>
      <c r="AO140" s="13">
        <f>IF(ISNUMBER(M$150),M140,"")</f>
        <v>22</v>
      </c>
      <c r="AP140" s="13">
        <f>IF(ISNUMBER(N$150),N140,"")</f>
        <v>22.88</v>
      </c>
      <c r="AQ140" s="13">
        <f>IF(C140="Ручная",O140,0)</f>
        <v>22</v>
      </c>
    </row>
    <row r="141" spans="1:43" ht="40" customHeight="1">
      <c r="A141" s="5" t="s">
        <v>189</v>
      </c>
      <c r="B141" s="5" t="s">
        <v>190</v>
      </c>
      <c r="C141" s="11" t="s">
        <v>191</v>
      </c>
      <c r="D141" s="7" t="s">
        <v>192</v>
      </c>
      <c r="E141" s="12">
        <v>13.2</v>
      </c>
      <c r="F141" s="12">
        <v>12.36</v>
      </c>
      <c r="G141" s="12">
        <v>12.84</v>
      </c>
      <c r="H141" s="12">
        <v>12.12</v>
      </c>
      <c r="I141" s="12">
        <v>12.6</v>
      </c>
      <c r="J141" s="12">
        <v>12</v>
      </c>
      <c r="K141" s="12">
        <v>12.48</v>
      </c>
      <c r="L141" s="12">
        <v>12.96</v>
      </c>
      <c r="M141" s="12">
        <v>12.24</v>
      </c>
      <c r="N141" s="12">
        <v>12.72</v>
      </c>
      <c r="O141" s="13">
        <f>IF(COUNT(AG141:AP141)&gt;0,MIN(AG141:AP141),"")</f>
        <v>12</v>
      </c>
      <c r="P141" s="13">
        <f>IF(COUNT(AG141:AP141)&gt;0,MAX(AG141:AP141),"")</f>
        <v>13.2</v>
      </c>
      <c r="Q141" s="13">
        <f>IF(ISNUMBER(O141),P141-O141,"")</f>
        <v>1.2</v>
      </c>
      <c r="R141" s="13">
        <f>IF(ISNUMBER(O141),IF(C141="Ручная",IF($S$150&gt;0,$R$150*Q141/$S$150,IF($W$150=4,$R$150,0)),0),"")</f>
        <v>0</v>
      </c>
      <c r="S141" s="13">
        <f>IF(ISNUMBER(O141),O141+R141,"")</f>
        <v>12</v>
      </c>
      <c r="T141" s="13">
        <f>IF(ISNUMBER(S141),P141-S141,"")</f>
        <v>1.2</v>
      </c>
      <c r="U141" s="13">
        <f>IF(COUNT(AG141:AP141)&gt;0,AVERAGE(AG141:AP141),"")</f>
        <v>12.552</v>
      </c>
      <c r="AG141" s="13">
        <f>IF(ISNUMBER(E$150),E141,"")</f>
        <v>13.2</v>
      </c>
      <c r="AH141" s="13">
        <f>IF(ISNUMBER(F$150),F141,"")</f>
        <v>12.36</v>
      </c>
      <c r="AI141" s="13">
        <f>IF(ISNUMBER(G$150),G141,"")</f>
        <v>12.84</v>
      </c>
      <c r="AJ141" s="13">
        <f>IF(ISNUMBER(H$150),H141,"")</f>
        <v>12.12</v>
      </c>
      <c r="AK141" s="13">
        <f>IF(ISNUMBER(I$150),I141,"")</f>
        <v>12.6</v>
      </c>
      <c r="AL141" s="13">
        <f>IF(ISNUMBER(J$150),J141,"")</f>
        <v>12</v>
      </c>
      <c r="AM141" s="13">
        <f>IF(ISNUMBER(K$150),K141,"")</f>
        <v>12.48</v>
      </c>
      <c r="AN141" s="13">
        <f>IF(ISNUMBER(L$150),L141,"")</f>
        <v>12.96</v>
      </c>
      <c r="AO141" s="13">
        <f>IF(ISNUMBER(M$150),M141,"")</f>
        <v>12.24</v>
      </c>
      <c r="AP141" s="13">
        <f>IF(ISNUMBER(N$150),N141,"")</f>
        <v>12.72</v>
      </c>
      <c r="AQ141" s="13">
        <f>IF(C141="Ручная",O141,0)</f>
        <v>0</v>
      </c>
    </row>
    <row r="142" spans="1:43" ht="40" customHeight="1">
      <c r="A142" s="5">
        <v>5</v>
      </c>
      <c r="B142" s="5" t="s">
        <v>193</v>
      </c>
      <c r="C142" s="11" t="s">
        <v>183</v>
      </c>
      <c r="D142" s="7" t="s">
        <v>194</v>
      </c>
      <c r="E142" s="12">
        <v>35.35</v>
      </c>
      <c r="F142" s="12">
        <v>36.75</v>
      </c>
      <c r="G142" s="12">
        <v>35</v>
      </c>
      <c r="H142" s="12">
        <v>36.4</v>
      </c>
      <c r="I142" s="12">
        <v>37.8</v>
      </c>
      <c r="J142" s="12">
        <v>35.7</v>
      </c>
      <c r="K142" s="12">
        <v>37.1</v>
      </c>
      <c r="L142" s="12">
        <v>38.5</v>
      </c>
      <c r="M142" s="12">
        <v>36.05</v>
      </c>
      <c r="N142" s="12">
        <v>37.45</v>
      </c>
      <c r="O142" s="13">
        <f>IF(COUNT(AG142:AP142)&gt;0,MIN(AG142:AP142),"")</f>
        <v>35</v>
      </c>
      <c r="P142" s="13">
        <f>IF(COUNT(AG142:AP142)&gt;0,MAX(AG142:AP142),"")</f>
        <v>38.5</v>
      </c>
      <c r="Q142" s="13">
        <f>IF(ISNUMBER(O142),P142-O142,"")</f>
        <v>3.5</v>
      </c>
      <c r="R142" s="13">
        <f>IF(ISNUMBER(O142),IF(C142="Ручная",IF($S$150&gt;0,$R$150*Q142/$S$150,IF($W$150=5,$R$150,0)),0),"")</f>
        <v>1.27521739130435</v>
      </c>
      <c r="S142" s="13">
        <f>IF(ISNUMBER(O142),O142+R142,"")</f>
        <v>36.2752173913043</v>
      </c>
      <c r="T142" s="13">
        <f>IF(ISNUMBER(S142),P142-S142,"")</f>
        <v>2.22478260869566</v>
      </c>
      <c r="U142" s="13">
        <f>IF(COUNT(AG142:AP142)&gt;0,AVERAGE(AG142:AP142),"")</f>
        <v>36.61</v>
      </c>
      <c r="AG142" s="13">
        <f>IF(ISNUMBER(E$150),E142,"")</f>
        <v>35.35</v>
      </c>
      <c r="AH142" s="13">
        <f>IF(ISNUMBER(F$150),F142,"")</f>
        <v>36.75</v>
      </c>
      <c r="AI142" s="13">
        <f>IF(ISNUMBER(G$150),G142,"")</f>
        <v>35</v>
      </c>
      <c r="AJ142" s="13">
        <f>IF(ISNUMBER(H$150),H142,"")</f>
        <v>36.4</v>
      </c>
      <c r="AK142" s="13">
        <f>IF(ISNUMBER(I$150),I142,"")</f>
        <v>37.8</v>
      </c>
      <c r="AL142" s="13">
        <f>IF(ISNUMBER(J$150),J142,"")</f>
        <v>35.7</v>
      </c>
      <c r="AM142" s="13">
        <f>IF(ISNUMBER(K$150),K142,"")</f>
        <v>37.1</v>
      </c>
      <c r="AN142" s="13">
        <f>IF(ISNUMBER(L$150),L142,"")</f>
        <v>38.5</v>
      </c>
      <c r="AO142" s="13">
        <f>IF(ISNUMBER(M$150),M142,"")</f>
        <v>36.05</v>
      </c>
      <c r="AP142" s="13">
        <f>IF(ISNUMBER(N$150),N142,"")</f>
        <v>37.45</v>
      </c>
      <c r="AQ142" s="13">
        <f>IF(C142="Ручная",O142,0)</f>
        <v>35</v>
      </c>
    </row>
    <row r="143" spans="1:43" ht="40" customHeight="1">
      <c r="A143" s="5" t="s">
        <v>189</v>
      </c>
      <c r="B143" s="5" t="s">
        <v>195</v>
      </c>
      <c r="C143" s="11" t="s">
        <v>196</v>
      </c>
      <c r="D143" s="7" t="s">
        <v>197</v>
      </c>
      <c r="E143" s="18">
        <f>'Ассортимент'!R14</f>
        <v>300</v>
      </c>
      <c r="F143" s="18">
        <f>'Ассортимент'!R14</f>
        <v>300</v>
      </c>
      <c r="G143" s="18">
        <f>'Ассортимент'!R14</f>
        <v>300</v>
      </c>
      <c r="H143" s="18">
        <f>'Ассортимент'!R14</f>
        <v>300</v>
      </c>
      <c r="I143" s="18">
        <f>'Ассортимент'!R14</f>
        <v>300</v>
      </c>
      <c r="J143" s="18">
        <f>'Ассортимент'!R14</f>
        <v>300</v>
      </c>
      <c r="K143" s="18">
        <f>'Ассортимент'!R14</f>
        <v>300</v>
      </c>
      <c r="L143" s="18">
        <f>'Ассортимент'!R14</f>
        <v>300</v>
      </c>
      <c r="M143" s="18">
        <f>'Ассортимент'!R14</f>
        <v>300</v>
      </c>
      <c r="N143" s="18">
        <f>'Ассортимент'!R14</f>
        <v>300</v>
      </c>
      <c r="O143" s="13">
        <f>IF(COUNT(AG143:AP143)&gt;0,MIN(AG143:AP143),"")</f>
        <v>300</v>
      </c>
      <c r="P143" s="13">
        <f>IF(COUNT(AG143:AP143)&gt;0,MAX(AG143:AP143),"")</f>
        <v>300</v>
      </c>
      <c r="Q143" s="13">
        <f>IF(ISNUMBER(O143),P143-O143,"")</f>
        <v>0</v>
      </c>
      <c r="R143" s="13">
        <f>IF(ISNUMBER(O143),IF(C143="Ручная",IF($S$150&gt;0,$R$150*Q143/$S$150,IF($W$150=6,$R$150,0)),0),"")</f>
        <v>0</v>
      </c>
      <c r="S143" s="13">
        <f>IF(ISNUMBER(O143),O143+R143,"")</f>
        <v>300</v>
      </c>
      <c r="T143" s="13">
        <f>IF(ISNUMBER(S143),P143-S143,"")</f>
        <v>0</v>
      </c>
      <c r="U143" s="13">
        <f>IF(COUNT(AG143:AP143)&gt;0,AVERAGE(AG143:AP143),"")</f>
        <v>300</v>
      </c>
      <c r="AG143" s="13">
        <f>IF(ISNUMBER(E$150),E143,"")</f>
        <v>300</v>
      </c>
      <c r="AH143" s="13">
        <f>IF(ISNUMBER(F$150),F143,"")</f>
        <v>300</v>
      </c>
      <c r="AI143" s="13">
        <f>IF(ISNUMBER(G$150),G143,"")</f>
        <v>300</v>
      </c>
      <c r="AJ143" s="13">
        <f>IF(ISNUMBER(H$150),H143,"")</f>
        <v>300</v>
      </c>
      <c r="AK143" s="13">
        <f>IF(ISNUMBER(I$150),I143,"")</f>
        <v>300</v>
      </c>
      <c r="AL143" s="13">
        <f>IF(ISNUMBER(J$150),J143,"")</f>
        <v>300</v>
      </c>
      <c r="AM143" s="13">
        <f>IF(ISNUMBER(K$150),K143,"")</f>
        <v>300</v>
      </c>
      <c r="AN143" s="13">
        <f>IF(ISNUMBER(L$150),L143,"")</f>
        <v>300</v>
      </c>
      <c r="AO143" s="13">
        <f>IF(ISNUMBER(M$150),M143,"")</f>
        <v>300</v>
      </c>
      <c r="AP143" s="13">
        <f>IF(ISNUMBER(N$150),N143,"")</f>
        <v>300</v>
      </c>
      <c r="AQ143" s="13">
        <f>IF(C143="Ручная",O143,0)</f>
        <v>0</v>
      </c>
    </row>
    <row r="144" spans="1:43" ht="40" customHeight="1">
      <c r="A144" s="5">
        <v>7</v>
      </c>
      <c r="B144" s="5" t="s">
        <v>198</v>
      </c>
      <c r="C144" s="11" t="s">
        <v>183</v>
      </c>
      <c r="D144" s="7" t="s">
        <v>199</v>
      </c>
      <c r="E144" s="12">
        <v>31.8</v>
      </c>
      <c r="F144" s="12">
        <v>33</v>
      </c>
      <c r="G144" s="12">
        <v>30.9</v>
      </c>
      <c r="H144" s="12">
        <v>32.1</v>
      </c>
      <c r="I144" s="12">
        <v>30.3</v>
      </c>
      <c r="J144" s="12">
        <v>31.5</v>
      </c>
      <c r="K144" s="12">
        <v>30</v>
      </c>
      <c r="L144" s="12">
        <v>31.2</v>
      </c>
      <c r="M144" s="12">
        <v>32.4</v>
      </c>
      <c r="N144" s="12">
        <v>30.6</v>
      </c>
      <c r="O144" s="13">
        <f>IF(COUNT(AG144:AP144)&gt;0,MIN(AG144:AP144),"")</f>
        <v>30</v>
      </c>
      <c r="P144" s="13">
        <f>IF(COUNT(AG144:AP144)&gt;0,MAX(AG144:AP144),"")</f>
        <v>33</v>
      </c>
      <c r="Q144" s="13">
        <f>IF(ISNUMBER(O144),P144-O144,"")</f>
        <v>3</v>
      </c>
      <c r="R144" s="13">
        <f>IF(ISNUMBER(O144),IF(C144="Ручная",IF($S$150&gt;0,$R$150*Q144/$S$150,IF($W$150=7,$R$150,0)),0),"")</f>
        <v>1.09304347826087</v>
      </c>
      <c r="S144" s="13">
        <f>IF(ISNUMBER(O144),O144+R144,"")</f>
        <v>31.0930434782609</v>
      </c>
      <c r="T144" s="13">
        <f>IF(ISNUMBER(S144),P144-S144,"")</f>
        <v>1.90695652173913</v>
      </c>
      <c r="U144" s="13">
        <f>IF(COUNT(AG144:AP144)&gt;0,AVERAGE(AG144:AP144),"")</f>
        <v>31.38</v>
      </c>
      <c r="AG144" s="13">
        <f>IF(ISNUMBER(E$150),E144,"")</f>
        <v>31.8</v>
      </c>
      <c r="AH144" s="13">
        <f>IF(ISNUMBER(F$150),F144,"")</f>
        <v>33</v>
      </c>
      <c r="AI144" s="13">
        <f>IF(ISNUMBER(G$150),G144,"")</f>
        <v>30.9</v>
      </c>
      <c r="AJ144" s="13">
        <f>IF(ISNUMBER(H$150),H144,"")</f>
        <v>32.1</v>
      </c>
      <c r="AK144" s="13">
        <f>IF(ISNUMBER(I$150),I144,"")</f>
        <v>30.3</v>
      </c>
      <c r="AL144" s="13">
        <f>IF(ISNUMBER(J$150),J144,"")</f>
        <v>31.5</v>
      </c>
      <c r="AM144" s="13">
        <f>IF(ISNUMBER(K$150),K144,"")</f>
        <v>30</v>
      </c>
      <c r="AN144" s="13">
        <f>IF(ISNUMBER(L$150),L144,"")</f>
        <v>31.2</v>
      </c>
      <c r="AO144" s="13">
        <f>IF(ISNUMBER(M$150),M144,"")</f>
        <v>32.4</v>
      </c>
      <c r="AP144" s="13">
        <f>IF(ISNUMBER(N$150),N144,"")</f>
        <v>30.6</v>
      </c>
      <c r="AQ144" s="13">
        <f>IF(C144="Ручная",O144,0)</f>
        <v>30</v>
      </c>
    </row>
    <row r="145" spans="1:43" ht="40" customHeight="1">
      <c r="A145" s="5">
        <v>8</v>
      </c>
      <c r="B145" s="5" t="s">
        <v>200</v>
      </c>
      <c r="C145" s="11" t="s">
        <v>183</v>
      </c>
      <c r="D145" s="7" t="s">
        <v>201</v>
      </c>
      <c r="E145" s="12">
        <v>19.26</v>
      </c>
      <c r="F145" s="12">
        <v>18.18</v>
      </c>
      <c r="G145" s="12">
        <v>18.9</v>
      </c>
      <c r="H145" s="12">
        <v>18</v>
      </c>
      <c r="I145" s="12">
        <v>18.72</v>
      </c>
      <c r="J145" s="12">
        <v>19.44</v>
      </c>
      <c r="K145" s="12">
        <v>18.36</v>
      </c>
      <c r="L145" s="12">
        <v>19.08</v>
      </c>
      <c r="M145" s="12">
        <v>19.8</v>
      </c>
      <c r="N145" s="12">
        <v>18.54</v>
      </c>
      <c r="O145" s="13">
        <f>IF(COUNT(AG145:AP145)&gt;0,MIN(AG145:AP145),"")</f>
        <v>18</v>
      </c>
      <c r="P145" s="13">
        <f>IF(COUNT(AG145:AP145)&gt;0,MAX(AG145:AP145),"")</f>
        <v>19.8</v>
      </c>
      <c r="Q145" s="13">
        <f>IF(ISNUMBER(O145),P145-O145,"")</f>
        <v>1.8</v>
      </c>
      <c r="R145" s="13">
        <f>IF(ISNUMBER(O145),IF(C145="Ручная",IF($S$150&gt;0,$R$150*Q145/$S$150,IF($W$150=8,$R$150,0)),0),"")</f>
        <v>0.655826086956522</v>
      </c>
      <c r="S145" s="13">
        <f>IF(ISNUMBER(O145),O145+R145,"")</f>
        <v>18.6558260869565</v>
      </c>
      <c r="T145" s="13">
        <f>IF(ISNUMBER(S145),P145-S145,"")</f>
        <v>1.14417391304348</v>
      </c>
      <c r="U145" s="13">
        <f>IF(COUNT(AG145:AP145)&gt;0,AVERAGE(AG145:AP145),"")</f>
        <v>18.828</v>
      </c>
      <c r="AG145" s="13">
        <f>IF(ISNUMBER(E$150),E145,"")</f>
        <v>19.26</v>
      </c>
      <c r="AH145" s="13">
        <f>IF(ISNUMBER(F$150),F145,"")</f>
        <v>18.18</v>
      </c>
      <c r="AI145" s="13">
        <f>IF(ISNUMBER(G$150),G145,"")</f>
        <v>18.9</v>
      </c>
      <c r="AJ145" s="13">
        <f>IF(ISNUMBER(H$150),H145,"")</f>
        <v>18</v>
      </c>
      <c r="AK145" s="13">
        <f>IF(ISNUMBER(I$150),I145,"")</f>
        <v>18.72</v>
      </c>
      <c r="AL145" s="13">
        <f>IF(ISNUMBER(J$150),J145,"")</f>
        <v>19.44</v>
      </c>
      <c r="AM145" s="13">
        <f>IF(ISNUMBER(K$150),K145,"")</f>
        <v>18.36</v>
      </c>
      <c r="AN145" s="13">
        <f>IF(ISNUMBER(L$150),L145,"")</f>
        <v>19.08</v>
      </c>
      <c r="AO145" s="13">
        <f>IF(ISNUMBER(M$150),M145,"")</f>
        <v>19.8</v>
      </c>
      <c r="AP145" s="13">
        <f>IF(ISNUMBER(N$150),N145,"")</f>
        <v>18.54</v>
      </c>
      <c r="AQ145" s="13">
        <f>IF(C145="Ручная",O145,0)</f>
        <v>18</v>
      </c>
    </row>
    <row r="146" spans="1:43" ht="40" customHeight="1">
      <c r="A146" s="5" t="s">
        <v>189</v>
      </c>
      <c r="B146" s="5" t="s">
        <v>202</v>
      </c>
      <c r="C146" s="11" t="s">
        <v>191</v>
      </c>
      <c r="D146" s="7" t="s">
        <v>203</v>
      </c>
      <c r="E146" s="12">
        <v>10</v>
      </c>
      <c r="F146" s="12">
        <v>10.4</v>
      </c>
      <c r="G146" s="12">
        <v>10.8</v>
      </c>
      <c r="H146" s="12">
        <v>10.2</v>
      </c>
      <c r="I146" s="12">
        <v>10.6</v>
      </c>
      <c r="J146" s="12">
        <v>11</v>
      </c>
      <c r="K146" s="12">
        <v>10.3</v>
      </c>
      <c r="L146" s="12">
        <v>10.7</v>
      </c>
      <c r="M146" s="12">
        <v>10.1</v>
      </c>
      <c r="N146" s="12">
        <v>10.5</v>
      </c>
      <c r="O146" s="13">
        <f>IF(COUNT(AG146:AP146)&gt;0,MIN(AG146:AP146),"")</f>
        <v>10</v>
      </c>
      <c r="P146" s="13">
        <f>IF(COUNT(AG146:AP146)&gt;0,MAX(AG146:AP146),"")</f>
        <v>11</v>
      </c>
      <c r="Q146" s="13">
        <f>IF(ISNUMBER(O146),P146-O146,"")</f>
        <v>1</v>
      </c>
      <c r="R146" s="13">
        <f>IF(ISNUMBER(O146),IF(C146="Ручная",IF($S$150&gt;0,$R$150*Q146/$S$150,IF($W$150=9,$R$150,0)),0),"")</f>
        <v>0</v>
      </c>
      <c r="S146" s="13">
        <f>IF(ISNUMBER(O146),O146+R146,"")</f>
        <v>10</v>
      </c>
      <c r="T146" s="13">
        <f>IF(ISNUMBER(S146),P146-S146,"")</f>
        <v>1</v>
      </c>
      <c r="U146" s="13">
        <f>IF(COUNT(AG146:AP146)&gt;0,AVERAGE(AG146:AP146),"")</f>
        <v>10.46</v>
      </c>
      <c r="AG146" s="13">
        <f>IF(ISNUMBER(E$150),E146,"")</f>
        <v>10</v>
      </c>
      <c r="AH146" s="13">
        <f>IF(ISNUMBER(F$150),F146,"")</f>
        <v>10.4</v>
      </c>
      <c r="AI146" s="13">
        <f>IF(ISNUMBER(G$150),G146,"")</f>
        <v>10.8</v>
      </c>
      <c r="AJ146" s="13">
        <f>IF(ISNUMBER(H$150),H146,"")</f>
        <v>10.2</v>
      </c>
      <c r="AK146" s="13">
        <f>IF(ISNUMBER(I$150),I146,"")</f>
        <v>10.6</v>
      </c>
      <c r="AL146" s="13">
        <f>IF(ISNUMBER(J$150),J146,"")</f>
        <v>11</v>
      </c>
      <c r="AM146" s="13">
        <f>IF(ISNUMBER(K$150),K146,"")</f>
        <v>10.3</v>
      </c>
      <c r="AN146" s="13">
        <f>IF(ISNUMBER(L$150),L146,"")</f>
        <v>10.7</v>
      </c>
      <c r="AO146" s="13">
        <f>IF(ISNUMBER(M$150),M146,"")</f>
        <v>10.1</v>
      </c>
      <c r="AP146" s="13">
        <f>IF(ISNUMBER(N$150),N146,"")</f>
        <v>10.5</v>
      </c>
      <c r="AQ146" s="13">
        <f>IF(C146="Ручная",O146,0)</f>
        <v>0</v>
      </c>
    </row>
    <row r="147" spans="1:43" ht="40" customHeight="1">
      <c r="A147" s="5" t="s">
        <v>189</v>
      </c>
      <c r="B147" s="5" t="s">
        <v>204</v>
      </c>
      <c r="C147" s="11" t="s">
        <v>191</v>
      </c>
      <c r="D147" s="7" t="s">
        <v>205</v>
      </c>
      <c r="E147" s="12">
        <v>10.2</v>
      </c>
      <c r="F147" s="12">
        <v>10.6</v>
      </c>
      <c r="G147" s="12">
        <v>11</v>
      </c>
      <c r="H147" s="12">
        <v>10.3</v>
      </c>
      <c r="I147" s="12">
        <v>10.7</v>
      </c>
      <c r="J147" s="12">
        <v>10.1</v>
      </c>
      <c r="K147" s="12">
        <v>10.5</v>
      </c>
      <c r="L147" s="12">
        <v>10</v>
      </c>
      <c r="M147" s="12">
        <v>10.4</v>
      </c>
      <c r="N147" s="12">
        <v>10.8</v>
      </c>
      <c r="O147" s="13">
        <f>IF(COUNT(AG147:AP147)&gt;0,MIN(AG147:AP147),"")</f>
        <v>10</v>
      </c>
      <c r="P147" s="13">
        <f>IF(COUNT(AG147:AP147)&gt;0,MAX(AG147:AP147),"")</f>
        <v>11</v>
      </c>
      <c r="Q147" s="13">
        <f>IF(ISNUMBER(O147),P147-O147,"")</f>
        <v>1</v>
      </c>
      <c r="R147" s="13">
        <f>IF(ISNUMBER(O147),IF(C147="Ручная",IF($S$150&gt;0,$R$150*Q147/$S$150,IF($W$150=10,$R$150,0)),0),"")</f>
        <v>0</v>
      </c>
      <c r="S147" s="13">
        <f>IF(ISNUMBER(O147),O147+R147,"")</f>
        <v>10</v>
      </c>
      <c r="T147" s="13">
        <f>IF(ISNUMBER(S147),P147-S147,"")</f>
        <v>1</v>
      </c>
      <c r="U147" s="13">
        <f>IF(COUNT(AG147:AP147)&gt;0,AVERAGE(AG147:AP147),"")</f>
        <v>10.46</v>
      </c>
      <c r="AG147" s="13">
        <f>IF(ISNUMBER(E$150),E147,"")</f>
        <v>10.2</v>
      </c>
      <c r="AH147" s="13">
        <f>IF(ISNUMBER(F$150),F147,"")</f>
        <v>10.6</v>
      </c>
      <c r="AI147" s="13">
        <f>IF(ISNUMBER(G$150),G147,"")</f>
        <v>11</v>
      </c>
      <c r="AJ147" s="13">
        <f>IF(ISNUMBER(H$150),H147,"")</f>
        <v>10.3</v>
      </c>
      <c r="AK147" s="13">
        <f>IF(ISNUMBER(I$150),I147,"")</f>
        <v>10.7</v>
      </c>
      <c r="AL147" s="13">
        <f>IF(ISNUMBER(J$150),J147,"")</f>
        <v>10.1</v>
      </c>
      <c r="AM147" s="13">
        <f>IF(ISNUMBER(K$150),K147,"")</f>
        <v>10.5</v>
      </c>
      <c r="AN147" s="13">
        <f>IF(ISNUMBER(L$150),L147,"")</f>
        <v>10</v>
      </c>
      <c r="AO147" s="13">
        <f>IF(ISNUMBER(M$150),M147,"")</f>
        <v>10.4</v>
      </c>
      <c r="AP147" s="13">
        <f>IF(ISNUMBER(N$150),N147,"")</f>
        <v>10.8</v>
      </c>
      <c r="AQ147" s="13">
        <f>IF(C147="Ручная",O147,0)</f>
        <v>0</v>
      </c>
    </row>
    <row r="148" spans="1:43" ht="40" customHeight="1">
      <c r="A148" s="5" t="s">
        <v>189</v>
      </c>
      <c r="B148" s="5" t="s">
        <v>206</v>
      </c>
      <c r="C148" s="11" t="s">
        <v>207</v>
      </c>
      <c r="D148" s="7" t="s">
        <v>208</v>
      </c>
      <c r="E148" s="12">
        <v>12.36</v>
      </c>
      <c r="F148" s="12">
        <v>12.84</v>
      </c>
      <c r="G148" s="12">
        <v>12.12</v>
      </c>
      <c r="H148" s="12">
        <v>12.6</v>
      </c>
      <c r="I148" s="12">
        <v>12</v>
      </c>
      <c r="J148" s="12">
        <v>12.48</v>
      </c>
      <c r="K148" s="12">
        <v>12.96</v>
      </c>
      <c r="L148" s="12">
        <v>12.24</v>
      </c>
      <c r="M148" s="12">
        <v>12.72</v>
      </c>
      <c r="N148" s="12">
        <v>13.2</v>
      </c>
      <c r="O148" s="13">
        <f>IF(COUNT(AG148:AP148)&gt;0,MIN(AG148:AP148),"")</f>
        <v>12</v>
      </c>
      <c r="P148" s="13">
        <f>IF(COUNT(AG148:AP148)&gt;0,MAX(AG148:AP148),"")</f>
        <v>13.2</v>
      </c>
      <c r="Q148" s="13">
        <f>IF(ISNUMBER(O148),P148-O148,"")</f>
        <v>1.2</v>
      </c>
      <c r="R148" s="13">
        <f>IF(ISNUMBER(O148),IF(C148="Ручная",IF($S$150&gt;0,$R$150*Q148/$S$150,IF($W$150=11,$R$150,0)),0),"")</f>
        <v>0</v>
      </c>
      <c r="S148" s="13">
        <f>IF(ISNUMBER(O148),O148+R148,"")</f>
        <v>12</v>
      </c>
      <c r="T148" s="13">
        <f>IF(ISNUMBER(S148),P148-S148,"")</f>
        <v>1.2</v>
      </c>
      <c r="U148" s="13">
        <f>IF(COUNT(AG148:AP148)&gt;0,AVERAGE(AG148:AP148),"")</f>
        <v>12.552</v>
      </c>
      <c r="AG148" s="13">
        <f>IF(ISNUMBER(E$150),E148,"")</f>
        <v>12.36</v>
      </c>
      <c r="AH148" s="13">
        <f>IF(ISNUMBER(F$150),F148,"")</f>
        <v>12.84</v>
      </c>
      <c r="AI148" s="13">
        <f>IF(ISNUMBER(G$150),G148,"")</f>
        <v>12.12</v>
      </c>
      <c r="AJ148" s="13">
        <f>IF(ISNUMBER(H$150),H148,"")</f>
        <v>12.6</v>
      </c>
      <c r="AK148" s="13">
        <f>IF(ISNUMBER(I$150),I148,"")</f>
        <v>12</v>
      </c>
      <c r="AL148" s="13">
        <f>IF(ISNUMBER(J$150),J148,"")</f>
        <v>12.48</v>
      </c>
      <c r="AM148" s="13">
        <f>IF(ISNUMBER(K$150),K148,"")</f>
        <v>12.96</v>
      </c>
      <c r="AN148" s="13">
        <f>IF(ISNUMBER(L$150),L148,"")</f>
        <v>12.24</v>
      </c>
      <c r="AO148" s="13">
        <f>IF(ISNUMBER(M$150),M148,"")</f>
        <v>12.72</v>
      </c>
      <c r="AP148" s="13">
        <f>IF(ISNUMBER(N$150),N148,"")</f>
        <v>13.2</v>
      </c>
      <c r="AQ148" s="13">
        <f>IF(C148="Ручная",O148,0)</f>
        <v>0</v>
      </c>
    </row>
    <row r="149" spans="1:43" ht="23" customHeight="1">
      <c r="B149" s="4" t="s">
        <v>209</v>
      </c>
      <c r="E149" s="6">
        <f>IF(COUNT(E138:E148)=11,SUM(E138:E148),"")</f>
        <v>586.68</v>
      </c>
      <c r="F149" s="6">
        <f>IF(COUNT(F138:F148)=11,SUM(F138:F148),"")</f>
        <v>583.32</v>
      </c>
      <c r="G149" s="6">
        <f>IF(COUNT(G138:G148)=11,SUM(G138:G148),"")</f>
        <v>584.13</v>
      </c>
      <c r="H149" s="6">
        <f>IF(COUNT(H138:H148)=11,SUM(H138:H148),"")</f>
        <v>590.17</v>
      </c>
      <c r="I149" s="6">
        <f>IF(COUNT(I138:I148)=11,SUM(I138:I148),"")</f>
        <v>582.38</v>
      </c>
      <c r="J149" s="6">
        <f>IF(COUNT(J138:J148)=11,SUM(J138:J148),"")</f>
        <v>587.76</v>
      </c>
      <c r="K149" s="6">
        <f>IF(COUNT(K138:K148)=11,SUM(K138:K148),"")</f>
        <v>590.92</v>
      </c>
      <c r="L149" s="6">
        <f>IF(COUNT(L138:L148)=11,SUM(L138:L148),"")</f>
        <v>586.28</v>
      </c>
      <c r="M149" s="6">
        <f>IF(COUNT(M138:M148)=11,SUM(M138:M148),"")</f>
        <v>589.21</v>
      </c>
      <c r="N149" s="6">
        <f>IF(COUNT(N138:N148)=11,SUM(N138:N148),"")</f>
        <v>585.19</v>
      </c>
      <c r="O149" s="6">
        <f>IF(COUNT(O138:O148)=11,SUM(O138:O148),"")</f>
        <v>574</v>
      </c>
      <c r="P149" s="6">
        <f>IF(COUNT(P138:P148)=11,SUM(P138:P148),"")</f>
        <v>601.4</v>
      </c>
      <c r="Q149" s="6">
        <f>IF(COUNT(Q138:Q148)=11,SUM(Q138:Q148),"")</f>
        <v>27.4</v>
      </c>
      <c r="R149" s="6">
        <f>IF(COUNT(R138:R148)=11,SUM(R138:R148),"")</f>
        <v>8.38</v>
      </c>
      <c r="S149" s="6">
        <f>IF(COUNT(S138:S148)=11,SUM(S138:S148),"")</f>
        <v>582.38</v>
      </c>
      <c r="T149" s="6">
        <f>IF(COUNT(T138:T148)=11,SUM(T138:T148),"")</f>
        <v>19.02</v>
      </c>
      <c r="U149" s="6">
        <f>IF(COUNT(U138:U148)=11,SUM(U138:U148),"")</f>
        <v>586.604</v>
      </c>
    </row>
    <row r="150" spans="1:43" ht="23" customHeight="1">
      <c r="B150" s="4" t="s">
        <v>210</v>
      </c>
      <c r="E150" s="6">
        <f>IF(AND(E136=1,COUNT(E138:E148)=11,MIN(E138:E148)&gt;=0),E149,"")</f>
        <v>586.68</v>
      </c>
      <c r="F150" s="6">
        <f>IF(AND(F136=1,COUNT(F138:F148)=11,MIN(F138:F148)&gt;=0),F149,"")</f>
        <v>583.32</v>
      </c>
      <c r="G150" s="6">
        <f>IF(AND(G136=1,COUNT(G138:G148)=11,MIN(G138:G148)&gt;=0),G149,"")</f>
        <v>584.13</v>
      </c>
      <c r="H150" s="6">
        <f>IF(AND(H136=1,COUNT(H138:H148)=11,MIN(H138:H148)&gt;=0),H149,"")</f>
        <v>590.17</v>
      </c>
      <c r="I150" s="6">
        <f>IF(AND(I136=1,COUNT(I138:I148)=11,MIN(I138:I148)&gt;=0),I149,"")</f>
        <v>582.38</v>
      </c>
      <c r="J150" s="6">
        <f>IF(AND(J136=1,COUNT(J138:J148)=11,MIN(J138:J148)&gt;=0),J149,"")</f>
        <v>587.76</v>
      </c>
      <c r="K150" s="6">
        <f>IF(AND(K136=1,COUNT(K138:K148)=11,MIN(K138:K148)&gt;=0),K149,"")</f>
        <v>590.92</v>
      </c>
      <c r="L150" s="6">
        <f>IF(AND(L136=1,COUNT(L138:L148)=11,MIN(L138:L148)&gt;=0),L149,"")</f>
        <v>586.28</v>
      </c>
      <c r="M150" s="6">
        <f>IF(AND(M136=1,COUNT(M138:M148)=11,MIN(M138:M148)&gt;=0),M149,"")</f>
        <v>589.21</v>
      </c>
      <c r="N150" s="6">
        <f>IF(AND(N136=1,COUNT(N138:N148)=11,MIN(N138:N148)&gt;=0),N149,"")</f>
        <v>585.19</v>
      </c>
      <c r="O150" s="6">
        <f>IF(COUNT(E150:N150)&gt;0,MIN(E150:N150),"")</f>
        <v>582.38</v>
      </c>
      <c r="P150" s="6">
        <f>IF(COUNT(E150:N150)&gt;0,MAX(E150:N150),"")</f>
        <v>590.92</v>
      </c>
      <c r="Q150" s="6">
        <f>IF(ISNUMBER(O150),P150-O150,"")</f>
        <v>8.54000000000008</v>
      </c>
      <c r="R150" s="6">
        <f>IF(ISNUMBER(O150),MAX(0,O150-O149),"")</f>
        <v>8.38</v>
      </c>
      <c r="S150" s="6">
        <f>SUMIF(C138:C148,"Ручная",Q138:Q148)</f>
        <v>23</v>
      </c>
      <c r="T150" s="6">
        <f>COUNT(E150:N150)</f>
        <v>10</v>
      </c>
      <c r="U150" s="6">
        <f>IF(COUNT(E150:N150)&gt;0,AVERAGE(E150:N150),"")</f>
        <v>586.604</v>
      </c>
      <c r="V150" s="6">
        <f>IF(ISNUMBER(O150),S149-O150,"")</f>
        <v>0</v>
      </c>
      <c r="W150" s="6">
        <f>MATCH(MAX(AQ138:AQ148),AQ138:AQ148,0)</f>
        <v>2</v>
      </c>
      <c r="X150" s="17" t="str">
        <f>IF(T150=0,"НЕТ ЗАМЕРОВ",IF(T150&lt;10,"МЕНЕЕ 10 ЦИКЛОВ",IF(ABS(V150)&lt;0.000001,"ОК","ОШИБКА РЕГУЛИРОВКИ")))</f>
        <v>ОК</v>
      </c>
    </row>
    <row r="151" spans="1:43" ht="23" customHeight="1">
      <c r="A151" s="7" t="s">
        <v>211</v>
      </c>
      <c r="B151" s="7"/>
      <c r="C151" s="7"/>
      <c r="D151" s="7"/>
      <c r="E151" s="7"/>
      <c r="F151" s="7"/>
      <c r="G151" s="7"/>
      <c r="H151" s="7"/>
      <c r="I151" s="7"/>
      <c r="J151" s="7"/>
      <c r="K151" s="7"/>
      <c r="L151" s="7"/>
      <c r="M151" s="7"/>
      <c r="N151" s="7"/>
      <c r="O151" s="7"/>
      <c r="P151" s="7"/>
      <c r="Q151" s="7"/>
      <c r="R151" s="7"/>
      <c r="S151" s="7"/>
      <c r="T151" s="7"/>
      <c r="U151" s="7"/>
      <c r="V151" s="7"/>
      <c r="W151" s="7"/>
      <c r="X151" s="7"/>
    </row>
    <row r="154" spans="1:43" ht="23" customHeight="1">
      <c r="A154" s="4" t="s">
        <v>218</v>
      </c>
      <c r="B154" s="4"/>
      <c r="C154" s="4"/>
      <c r="D154" s="4"/>
      <c r="E154" s="4"/>
      <c r="F154" s="4"/>
      <c r="G154" s="4"/>
      <c r="H154" s="4"/>
      <c r="I154" s="4"/>
      <c r="J154" s="4"/>
      <c r="K154" s="4"/>
      <c r="L154" s="4"/>
      <c r="M154" s="4"/>
      <c r="N154" s="4"/>
      <c r="O154" s="4"/>
      <c r="P154" s="4"/>
      <c r="Q154" s="4"/>
      <c r="R154" s="4"/>
      <c r="S154" s="4"/>
      <c r="T154" s="4"/>
      <c r="U154" s="4"/>
      <c r="V154" s="4"/>
      <c r="W154" s="4"/>
      <c r="X154" s="4"/>
    </row>
    <row r="155" spans="1:43" ht="23" customHeight="1">
      <c r="A155" s="7" t="str">
        <f>"Масса замера, кг: "&amp;'Ассортимент'!J15&amp;".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155" s="7"/>
      <c r="C155" s="7"/>
      <c r="D155" s="7"/>
      <c r="E155" s="7"/>
      <c r="F155" s="7"/>
      <c r="G155" s="7"/>
      <c r="H155" s="7"/>
      <c r="I155" s="7"/>
      <c r="J155" s="7"/>
      <c r="K155" s="7"/>
      <c r="L155" s="7"/>
      <c r="M155" s="7"/>
      <c r="N155" s="7"/>
      <c r="O155" s="7"/>
      <c r="P155" s="7"/>
      <c r="Q155" s="7"/>
      <c r="R155" s="7"/>
      <c r="S155" s="7"/>
      <c r="T155" s="7"/>
      <c r="U155" s="7"/>
      <c r="V155" s="7"/>
      <c r="W155" s="7"/>
      <c r="X155" s="7"/>
    </row>
    <row r="156" spans="1:43" ht="44" customHeight="1">
      <c r="A156" s="8" t="s">
        <v>113</v>
      </c>
      <c r="B156" s="8" t="s">
        <v>156</v>
      </c>
      <c r="C156" s="8" t="s">
        <v>157</v>
      </c>
      <c r="D156" s="8" t="s">
        <v>158</v>
      </c>
      <c r="E156" s="8" t="s">
        <v>159</v>
      </c>
      <c r="F156" s="8" t="s">
        <v>160</v>
      </c>
      <c r="G156" s="8" t="s">
        <v>161</v>
      </c>
      <c r="H156" s="8" t="s">
        <v>162</v>
      </c>
      <c r="I156" s="8" t="s">
        <v>163</v>
      </c>
      <c r="J156" s="8" t="s">
        <v>164</v>
      </c>
      <c r="K156" s="8" t="s">
        <v>165</v>
      </c>
      <c r="L156" s="8" t="s">
        <v>166</v>
      </c>
      <c r="M156" s="8" t="s">
        <v>167</v>
      </c>
      <c r="N156" s="8" t="s">
        <v>168</v>
      </c>
      <c r="O156" s="8" t="s">
        <v>169</v>
      </c>
      <c r="P156" s="8" t="s">
        <v>170</v>
      </c>
      <c r="Q156" s="8" t="s">
        <v>171</v>
      </c>
      <c r="R156" s="8" t="s">
        <v>172</v>
      </c>
      <c r="S156" s="8" t="s">
        <v>173</v>
      </c>
      <c r="T156" s="8" t="s">
        <v>174</v>
      </c>
      <c r="U156" s="8" t="s">
        <v>175</v>
      </c>
      <c r="V156" s="8" t="s">
        <v>176</v>
      </c>
      <c r="W156" s="8" t="s">
        <v>177</v>
      </c>
      <c r="X156" s="8" t="s">
        <v>178</v>
      </c>
    </row>
    <row r="157" spans="1:43" ht="23" customHeight="1">
      <c r="B157" s="5" t="s">
        <v>179</v>
      </c>
      <c r="E157" s="12">
        <v>1</v>
      </c>
      <c r="F157" s="12">
        <v>1</v>
      </c>
      <c r="G157" s="12">
        <v>1</v>
      </c>
      <c r="H157" s="12">
        <v>1</v>
      </c>
      <c r="I157" s="12">
        <v>1</v>
      </c>
      <c r="J157" s="12">
        <v>1</v>
      </c>
      <c r="K157" s="12">
        <v>1</v>
      </c>
      <c r="L157" s="12">
        <v>1</v>
      </c>
      <c r="M157" s="12">
        <v>1</v>
      </c>
      <c r="N157" s="12">
        <v>1</v>
      </c>
    </row>
    <row r="158" spans="1:43" ht="33" customHeight="1">
      <c r="B158" s="5" t="s">
        <v>180</v>
      </c>
      <c r="E158" s="9" t="s">
        <v>181</v>
      </c>
      <c r="F158" s="9" t="s">
        <v>181</v>
      </c>
      <c r="G158" s="9" t="s">
        <v>181</v>
      </c>
      <c r="H158" s="9" t="s">
        <v>181</v>
      </c>
      <c r="I158" s="9" t="s">
        <v>181</v>
      </c>
      <c r="J158" s="9" t="s">
        <v>181</v>
      </c>
      <c r="K158" s="9" t="s">
        <v>181</v>
      </c>
      <c r="L158" s="9" t="s">
        <v>181</v>
      </c>
      <c r="M158" s="9" t="s">
        <v>181</v>
      </c>
      <c r="N158" s="9" t="s">
        <v>181</v>
      </c>
    </row>
    <row r="159" spans="1:43" ht="40" customHeight="1">
      <c r="A159" s="5">
        <v>1</v>
      </c>
      <c r="B159" s="5" t="s">
        <v>182</v>
      </c>
      <c r="C159" s="11" t="s">
        <v>183</v>
      </c>
      <c r="D159" s="7" t="s">
        <v>184</v>
      </c>
      <c r="E159" s="12">
        <v>26.75</v>
      </c>
      <c r="F159" s="12">
        <v>25.25</v>
      </c>
      <c r="G159" s="12">
        <v>26.25</v>
      </c>
      <c r="H159" s="12">
        <v>25</v>
      </c>
      <c r="I159" s="12">
        <v>26</v>
      </c>
      <c r="J159" s="12">
        <v>27</v>
      </c>
      <c r="K159" s="12">
        <v>25.5</v>
      </c>
      <c r="L159" s="12">
        <v>26.5</v>
      </c>
      <c r="M159" s="12">
        <v>27.5</v>
      </c>
      <c r="N159" s="12">
        <v>25.75</v>
      </c>
      <c r="O159" s="13">
        <f>IF(COUNT(AG159:AP159)&gt;0,MIN(AG159:AP159),"")</f>
        <v>25</v>
      </c>
      <c r="P159" s="13">
        <f>IF(COUNT(AG159:AP159)&gt;0,MAX(AG159:AP159),"")</f>
        <v>27.5</v>
      </c>
      <c r="Q159" s="13">
        <f>IF(ISNUMBER(O159),P159-O159,"")</f>
        <v>2.5</v>
      </c>
      <c r="R159" s="13">
        <f>IF(ISNUMBER(O159),IF(C159="Ручная",IF($S$171&gt;0,$R$171*Q159/$S$171,IF($W$171=1,$R$171,0)),0),"")</f>
        <v>0.878000000000009</v>
      </c>
      <c r="S159" s="13">
        <f>IF(ISNUMBER(O159),O159+R159,"")</f>
        <v>25.878</v>
      </c>
      <c r="T159" s="13">
        <f>IF(ISNUMBER(S159),P159-S159,"")</f>
        <v>1.62199999999999</v>
      </c>
      <c r="U159" s="13">
        <f>IF(COUNT(AG159:AP159)&gt;0,AVERAGE(AG159:AP159),"")</f>
        <v>26.15</v>
      </c>
      <c r="AG159" s="13">
        <f>IF(ISNUMBER(E$171),E159,"")</f>
        <v>26.75</v>
      </c>
      <c r="AH159" s="13">
        <f>IF(ISNUMBER(F$171),F159,"")</f>
        <v>25.25</v>
      </c>
      <c r="AI159" s="13">
        <f>IF(ISNUMBER(G$171),G159,"")</f>
        <v>26.25</v>
      </c>
      <c r="AJ159" s="13">
        <f>IF(ISNUMBER(H$171),H159,"")</f>
        <v>25</v>
      </c>
      <c r="AK159" s="13">
        <f>IF(ISNUMBER(I$171),I159,"")</f>
        <v>26</v>
      </c>
      <c r="AL159" s="13">
        <f>IF(ISNUMBER(J$171),J159,"")</f>
        <v>27</v>
      </c>
      <c r="AM159" s="13">
        <f>IF(ISNUMBER(K$171),K159,"")</f>
        <v>25.5</v>
      </c>
      <c r="AN159" s="13">
        <f>IF(ISNUMBER(L$171),L159,"")</f>
        <v>26.5</v>
      </c>
      <c r="AO159" s="13">
        <f>IF(ISNUMBER(M$171),M159,"")</f>
        <v>27.5</v>
      </c>
      <c r="AP159" s="13">
        <f>IF(ISNUMBER(N$171),N159,"")</f>
        <v>25.75</v>
      </c>
      <c r="AQ159" s="13">
        <f>IF(C159="Ручная",O159,0)</f>
        <v>25</v>
      </c>
    </row>
    <row r="160" spans="1:43" ht="40" customHeight="1">
      <c r="A160" s="5">
        <v>2</v>
      </c>
      <c r="B160" s="5" t="s">
        <v>185</v>
      </c>
      <c r="C160" s="11" t="s">
        <v>183</v>
      </c>
      <c r="D160" s="7" t="s">
        <v>186</v>
      </c>
      <c r="E160" s="12">
        <v>120</v>
      </c>
      <c r="F160" s="12">
        <v>124.8</v>
      </c>
      <c r="G160" s="12">
        <v>129.6</v>
      </c>
      <c r="H160" s="12">
        <v>122.4</v>
      </c>
      <c r="I160" s="12">
        <v>127.2</v>
      </c>
      <c r="J160" s="12">
        <v>132</v>
      </c>
      <c r="K160" s="12">
        <v>123.6</v>
      </c>
      <c r="L160" s="12">
        <v>128.4</v>
      </c>
      <c r="M160" s="12">
        <v>121.2</v>
      </c>
      <c r="N160" s="12">
        <v>126</v>
      </c>
      <c r="O160" s="13">
        <f>IF(COUNT(AG160:AP160)&gt;0,MIN(AG160:AP160),"")</f>
        <v>120</v>
      </c>
      <c r="P160" s="13">
        <f>IF(COUNT(AG160:AP160)&gt;0,MAX(AG160:AP160),"")</f>
        <v>132</v>
      </c>
      <c r="Q160" s="13">
        <f>IF(ISNUMBER(O160),P160-O160,"")</f>
        <v>12</v>
      </c>
      <c r="R160" s="13">
        <f>IF(ISNUMBER(O160),IF(C160="Ручная",IF($S$171&gt;0,$R$171*Q160/$S$171,IF($W$171=2,$R$171,0)),0),"")</f>
        <v>4.21440000000004</v>
      </c>
      <c r="S160" s="13">
        <f>IF(ISNUMBER(O160),O160+R160,"")</f>
        <v>124.2144</v>
      </c>
      <c r="T160" s="13">
        <f>IF(ISNUMBER(S160),P160-S160,"")</f>
        <v>7.78559999999996</v>
      </c>
      <c r="U160" s="13">
        <f>IF(COUNT(AG160:AP160)&gt;0,AVERAGE(AG160:AP160),"")</f>
        <v>125.52</v>
      </c>
      <c r="AG160" s="13">
        <f>IF(ISNUMBER(E$171),E160,"")</f>
        <v>120</v>
      </c>
      <c r="AH160" s="13">
        <f>IF(ISNUMBER(F$171),F160,"")</f>
        <v>124.8</v>
      </c>
      <c r="AI160" s="13">
        <f>IF(ISNUMBER(G$171),G160,"")</f>
        <v>129.6</v>
      </c>
      <c r="AJ160" s="13">
        <f>IF(ISNUMBER(H$171),H160,"")</f>
        <v>122.4</v>
      </c>
      <c r="AK160" s="13">
        <f>IF(ISNUMBER(I$171),I160,"")</f>
        <v>127.2</v>
      </c>
      <c r="AL160" s="13">
        <f>IF(ISNUMBER(J$171),J160,"")</f>
        <v>132</v>
      </c>
      <c r="AM160" s="13">
        <f>IF(ISNUMBER(K$171),K160,"")</f>
        <v>123.6</v>
      </c>
      <c r="AN160" s="13">
        <f>IF(ISNUMBER(L$171),L160,"")</f>
        <v>128.4</v>
      </c>
      <c r="AO160" s="13">
        <f>IF(ISNUMBER(M$171),M160,"")</f>
        <v>121.2</v>
      </c>
      <c r="AP160" s="13">
        <f>IF(ISNUMBER(N$171),N160,"")</f>
        <v>126</v>
      </c>
      <c r="AQ160" s="13">
        <f>IF(C160="Ручная",O160,0)</f>
        <v>120</v>
      </c>
    </row>
    <row r="161" spans="1:43" ht="40" customHeight="1">
      <c r="A161" s="5">
        <v>3</v>
      </c>
      <c r="B161" s="5" t="s">
        <v>187</v>
      </c>
      <c r="C161" s="11" t="s">
        <v>183</v>
      </c>
      <c r="D161" s="7" t="s">
        <v>188</v>
      </c>
      <c r="E161" s="12">
        <v>22.44</v>
      </c>
      <c r="F161" s="12">
        <v>23.32</v>
      </c>
      <c r="G161" s="12">
        <v>24.2</v>
      </c>
      <c r="H161" s="12">
        <v>22.66</v>
      </c>
      <c r="I161" s="12">
        <v>23.54</v>
      </c>
      <c r="J161" s="12">
        <v>22.22</v>
      </c>
      <c r="K161" s="12">
        <v>23.1</v>
      </c>
      <c r="L161" s="12">
        <v>22</v>
      </c>
      <c r="M161" s="12">
        <v>22.88</v>
      </c>
      <c r="N161" s="12">
        <v>23.76</v>
      </c>
      <c r="O161" s="13">
        <f>IF(COUNT(AG161:AP161)&gt;0,MIN(AG161:AP161),"")</f>
        <v>22</v>
      </c>
      <c r="P161" s="13">
        <f>IF(COUNT(AG161:AP161)&gt;0,MAX(AG161:AP161),"")</f>
        <v>24.2</v>
      </c>
      <c r="Q161" s="13">
        <f>IF(ISNUMBER(O161),P161-O161,"")</f>
        <v>2.2</v>
      </c>
      <c r="R161" s="13">
        <f>IF(ISNUMBER(O161),IF(C161="Ручная",IF($S$171&gt;0,$R$171*Q161/$S$171,IF($W$171=3,$R$171,0)),0),"")</f>
        <v>0.772640000000007</v>
      </c>
      <c r="S161" s="13">
        <f>IF(ISNUMBER(O161),O161+R161,"")</f>
        <v>22.77264</v>
      </c>
      <c r="T161" s="13">
        <f>IF(ISNUMBER(S161),P161-S161,"")</f>
        <v>1.42735999999999</v>
      </c>
      <c r="U161" s="13">
        <f>IF(COUNT(AG161:AP161)&gt;0,AVERAGE(AG161:AP161),"")</f>
        <v>23.012</v>
      </c>
      <c r="AG161" s="13">
        <f>IF(ISNUMBER(E$171),E161,"")</f>
        <v>22.44</v>
      </c>
      <c r="AH161" s="13">
        <f>IF(ISNUMBER(F$171),F161,"")</f>
        <v>23.32</v>
      </c>
      <c r="AI161" s="13">
        <f>IF(ISNUMBER(G$171),G161,"")</f>
        <v>24.2</v>
      </c>
      <c r="AJ161" s="13">
        <f>IF(ISNUMBER(H$171),H161,"")</f>
        <v>22.66</v>
      </c>
      <c r="AK161" s="13">
        <f>IF(ISNUMBER(I$171),I161,"")</f>
        <v>23.54</v>
      </c>
      <c r="AL161" s="13">
        <f>IF(ISNUMBER(J$171),J161,"")</f>
        <v>22.22</v>
      </c>
      <c r="AM161" s="13">
        <f>IF(ISNUMBER(K$171),K161,"")</f>
        <v>23.1</v>
      </c>
      <c r="AN161" s="13">
        <f>IF(ISNUMBER(L$171),L161,"")</f>
        <v>22</v>
      </c>
      <c r="AO161" s="13">
        <f>IF(ISNUMBER(M$171),M161,"")</f>
        <v>22.88</v>
      </c>
      <c r="AP161" s="13">
        <f>IF(ISNUMBER(N$171),N161,"")</f>
        <v>23.76</v>
      </c>
      <c r="AQ161" s="13">
        <f>IF(C161="Ручная",O161,0)</f>
        <v>22</v>
      </c>
    </row>
    <row r="162" spans="1:43" ht="40" customHeight="1">
      <c r="A162" s="5" t="s">
        <v>189</v>
      </c>
      <c r="B162" s="5" t="s">
        <v>190</v>
      </c>
      <c r="C162" s="11" t="s">
        <v>191</v>
      </c>
      <c r="D162" s="7" t="s">
        <v>192</v>
      </c>
      <c r="E162" s="12">
        <v>12.36</v>
      </c>
      <c r="F162" s="12">
        <v>12.84</v>
      </c>
      <c r="G162" s="12">
        <v>12.12</v>
      </c>
      <c r="H162" s="12">
        <v>12.6</v>
      </c>
      <c r="I162" s="12">
        <v>12</v>
      </c>
      <c r="J162" s="12">
        <v>12.48</v>
      </c>
      <c r="K162" s="12">
        <v>12.96</v>
      </c>
      <c r="L162" s="12">
        <v>12.24</v>
      </c>
      <c r="M162" s="12">
        <v>12.72</v>
      </c>
      <c r="N162" s="12">
        <v>13.2</v>
      </c>
      <c r="O162" s="13">
        <f>IF(COUNT(AG162:AP162)&gt;0,MIN(AG162:AP162),"")</f>
        <v>12</v>
      </c>
      <c r="P162" s="13">
        <f>IF(COUNT(AG162:AP162)&gt;0,MAX(AG162:AP162),"")</f>
        <v>13.2</v>
      </c>
      <c r="Q162" s="13">
        <f>IF(ISNUMBER(O162),P162-O162,"")</f>
        <v>1.2</v>
      </c>
      <c r="R162" s="13">
        <f>IF(ISNUMBER(O162),IF(C162="Ручная",IF($S$171&gt;0,$R$171*Q162/$S$171,IF($W$171=4,$R$171,0)),0),"")</f>
        <v>0</v>
      </c>
      <c r="S162" s="13">
        <f>IF(ISNUMBER(O162),O162+R162,"")</f>
        <v>12</v>
      </c>
      <c r="T162" s="13">
        <f>IF(ISNUMBER(S162),P162-S162,"")</f>
        <v>1.2</v>
      </c>
      <c r="U162" s="13">
        <f>IF(COUNT(AG162:AP162)&gt;0,AVERAGE(AG162:AP162),"")</f>
        <v>12.552</v>
      </c>
      <c r="AG162" s="13">
        <f>IF(ISNUMBER(E$171),E162,"")</f>
        <v>12.36</v>
      </c>
      <c r="AH162" s="13">
        <f>IF(ISNUMBER(F$171),F162,"")</f>
        <v>12.84</v>
      </c>
      <c r="AI162" s="13">
        <f>IF(ISNUMBER(G$171),G162,"")</f>
        <v>12.12</v>
      </c>
      <c r="AJ162" s="13">
        <f>IF(ISNUMBER(H$171),H162,"")</f>
        <v>12.6</v>
      </c>
      <c r="AK162" s="13">
        <f>IF(ISNUMBER(I$171),I162,"")</f>
        <v>12</v>
      </c>
      <c r="AL162" s="13">
        <f>IF(ISNUMBER(J$171),J162,"")</f>
        <v>12.48</v>
      </c>
      <c r="AM162" s="13">
        <f>IF(ISNUMBER(K$171),K162,"")</f>
        <v>12.96</v>
      </c>
      <c r="AN162" s="13">
        <f>IF(ISNUMBER(L$171),L162,"")</f>
        <v>12.24</v>
      </c>
      <c r="AO162" s="13">
        <f>IF(ISNUMBER(M$171),M162,"")</f>
        <v>12.72</v>
      </c>
      <c r="AP162" s="13">
        <f>IF(ISNUMBER(N$171),N162,"")</f>
        <v>13.2</v>
      </c>
      <c r="AQ162" s="13">
        <f>IF(C162="Ручная",O162,0)</f>
        <v>0</v>
      </c>
    </row>
    <row r="163" spans="1:43" ht="40" customHeight="1">
      <c r="A163" s="5">
        <v>5</v>
      </c>
      <c r="B163" s="5" t="s">
        <v>193</v>
      </c>
      <c r="C163" s="11" t="s">
        <v>183</v>
      </c>
      <c r="D163" s="7" t="s">
        <v>194</v>
      </c>
      <c r="E163" s="12">
        <v>36.75</v>
      </c>
      <c r="F163" s="12">
        <v>35</v>
      </c>
      <c r="G163" s="12">
        <v>36.4</v>
      </c>
      <c r="H163" s="12">
        <v>37.8</v>
      </c>
      <c r="I163" s="12">
        <v>35.7</v>
      </c>
      <c r="J163" s="12">
        <v>37.1</v>
      </c>
      <c r="K163" s="12">
        <v>38.5</v>
      </c>
      <c r="L163" s="12">
        <v>36.05</v>
      </c>
      <c r="M163" s="12">
        <v>37.45</v>
      </c>
      <c r="N163" s="12">
        <v>35.35</v>
      </c>
      <c r="O163" s="13">
        <f>IF(COUNT(AG163:AP163)&gt;0,MIN(AG163:AP163),"")</f>
        <v>35</v>
      </c>
      <c r="P163" s="13">
        <f>IF(COUNT(AG163:AP163)&gt;0,MAX(AG163:AP163),"")</f>
        <v>38.5</v>
      </c>
      <c r="Q163" s="13">
        <f>IF(ISNUMBER(O163),P163-O163,"")</f>
        <v>3.5</v>
      </c>
      <c r="R163" s="13">
        <f>IF(ISNUMBER(O163),IF(C163="Ручная",IF($S$171&gt;0,$R$171*Q163/$S$171,IF($W$171=5,$R$171,0)),0),"")</f>
        <v>1.22920000000001</v>
      </c>
      <c r="S163" s="13">
        <f>IF(ISNUMBER(O163),O163+R163,"")</f>
        <v>36.2292</v>
      </c>
      <c r="T163" s="13">
        <f>IF(ISNUMBER(S163),P163-S163,"")</f>
        <v>2.27079999999999</v>
      </c>
      <c r="U163" s="13">
        <f>IF(COUNT(AG163:AP163)&gt;0,AVERAGE(AG163:AP163),"")</f>
        <v>36.61</v>
      </c>
      <c r="AG163" s="13">
        <f>IF(ISNUMBER(E$171),E163,"")</f>
        <v>36.75</v>
      </c>
      <c r="AH163" s="13">
        <f>IF(ISNUMBER(F$171),F163,"")</f>
        <v>35</v>
      </c>
      <c r="AI163" s="13">
        <f>IF(ISNUMBER(G$171),G163,"")</f>
        <v>36.4</v>
      </c>
      <c r="AJ163" s="13">
        <f>IF(ISNUMBER(H$171),H163,"")</f>
        <v>37.8</v>
      </c>
      <c r="AK163" s="13">
        <f>IF(ISNUMBER(I$171),I163,"")</f>
        <v>35.7</v>
      </c>
      <c r="AL163" s="13">
        <f>IF(ISNUMBER(J$171),J163,"")</f>
        <v>37.1</v>
      </c>
      <c r="AM163" s="13">
        <f>IF(ISNUMBER(K$171),K163,"")</f>
        <v>38.5</v>
      </c>
      <c r="AN163" s="13">
        <f>IF(ISNUMBER(L$171),L163,"")</f>
        <v>36.05</v>
      </c>
      <c r="AO163" s="13">
        <f>IF(ISNUMBER(M$171),M163,"")</f>
        <v>37.45</v>
      </c>
      <c r="AP163" s="13">
        <f>IF(ISNUMBER(N$171),N163,"")</f>
        <v>35.35</v>
      </c>
      <c r="AQ163" s="13">
        <f>IF(C163="Ручная",O163,0)</f>
        <v>35</v>
      </c>
    </row>
    <row r="164" spans="1:43" ht="40" customHeight="1">
      <c r="A164" s="5" t="s">
        <v>189</v>
      </c>
      <c r="B164" s="5" t="s">
        <v>195</v>
      </c>
      <c r="C164" s="11" t="s">
        <v>196</v>
      </c>
      <c r="D164" s="7" t="s">
        <v>197</v>
      </c>
      <c r="E164" s="18">
        <f>'Ассортимент'!R15</f>
        <v>300</v>
      </c>
      <c r="F164" s="18">
        <f>'Ассортимент'!R15</f>
        <v>300</v>
      </c>
      <c r="G164" s="18">
        <f>'Ассортимент'!R15</f>
        <v>300</v>
      </c>
      <c r="H164" s="18">
        <f>'Ассортимент'!R15</f>
        <v>300</v>
      </c>
      <c r="I164" s="18">
        <f>'Ассортимент'!R15</f>
        <v>300</v>
      </c>
      <c r="J164" s="18">
        <f>'Ассортимент'!R15</f>
        <v>300</v>
      </c>
      <c r="K164" s="18">
        <f>'Ассортимент'!R15</f>
        <v>300</v>
      </c>
      <c r="L164" s="18">
        <f>'Ассортимент'!R15</f>
        <v>300</v>
      </c>
      <c r="M164" s="18">
        <f>'Ассортимент'!R15</f>
        <v>300</v>
      </c>
      <c r="N164" s="18">
        <f>'Ассортимент'!R15</f>
        <v>300</v>
      </c>
      <c r="O164" s="13">
        <f>IF(COUNT(AG164:AP164)&gt;0,MIN(AG164:AP164),"")</f>
        <v>300</v>
      </c>
      <c r="P164" s="13">
        <f>IF(COUNT(AG164:AP164)&gt;0,MAX(AG164:AP164),"")</f>
        <v>300</v>
      </c>
      <c r="Q164" s="13">
        <f>IF(ISNUMBER(O164),P164-O164,"")</f>
        <v>0</v>
      </c>
      <c r="R164" s="13">
        <f>IF(ISNUMBER(O164),IF(C164="Ручная",IF($S$171&gt;0,$R$171*Q164/$S$171,IF($W$171=6,$R$171,0)),0),"")</f>
        <v>0</v>
      </c>
      <c r="S164" s="13">
        <f>IF(ISNUMBER(O164),O164+R164,"")</f>
        <v>300</v>
      </c>
      <c r="T164" s="13">
        <f>IF(ISNUMBER(S164),P164-S164,"")</f>
        <v>0</v>
      </c>
      <c r="U164" s="13">
        <f>IF(COUNT(AG164:AP164)&gt;0,AVERAGE(AG164:AP164),"")</f>
        <v>300</v>
      </c>
      <c r="AG164" s="13">
        <f>IF(ISNUMBER(E$171),E164,"")</f>
        <v>300</v>
      </c>
      <c r="AH164" s="13">
        <f>IF(ISNUMBER(F$171),F164,"")</f>
        <v>300</v>
      </c>
      <c r="AI164" s="13">
        <f>IF(ISNUMBER(G$171),G164,"")</f>
        <v>300</v>
      </c>
      <c r="AJ164" s="13">
        <f>IF(ISNUMBER(H$171),H164,"")</f>
        <v>300</v>
      </c>
      <c r="AK164" s="13">
        <f>IF(ISNUMBER(I$171),I164,"")</f>
        <v>300</v>
      </c>
      <c r="AL164" s="13">
        <f>IF(ISNUMBER(J$171),J164,"")</f>
        <v>300</v>
      </c>
      <c r="AM164" s="13">
        <f>IF(ISNUMBER(K$171),K164,"")</f>
        <v>300</v>
      </c>
      <c r="AN164" s="13">
        <f>IF(ISNUMBER(L$171),L164,"")</f>
        <v>300</v>
      </c>
      <c r="AO164" s="13">
        <f>IF(ISNUMBER(M$171),M164,"")</f>
        <v>300</v>
      </c>
      <c r="AP164" s="13">
        <f>IF(ISNUMBER(N$171),N164,"")</f>
        <v>300</v>
      </c>
      <c r="AQ164" s="13">
        <f>IF(C164="Ручная",O164,0)</f>
        <v>0</v>
      </c>
    </row>
    <row r="165" spans="1:43" ht="40" customHeight="1">
      <c r="A165" s="5">
        <v>7</v>
      </c>
      <c r="B165" s="5" t="s">
        <v>198</v>
      </c>
      <c r="C165" s="11" t="s">
        <v>183</v>
      </c>
      <c r="D165" s="7" t="s">
        <v>199</v>
      </c>
      <c r="E165" s="12">
        <v>33</v>
      </c>
      <c r="F165" s="12">
        <v>30.9</v>
      </c>
      <c r="G165" s="12">
        <v>32.1</v>
      </c>
      <c r="H165" s="12">
        <v>30.3</v>
      </c>
      <c r="I165" s="12">
        <v>31.5</v>
      </c>
      <c r="J165" s="12">
        <v>30</v>
      </c>
      <c r="K165" s="12">
        <v>31.2</v>
      </c>
      <c r="L165" s="12">
        <v>32.4</v>
      </c>
      <c r="M165" s="12">
        <v>30.6</v>
      </c>
      <c r="N165" s="12">
        <v>31.8</v>
      </c>
      <c r="O165" s="13">
        <f>IF(COUNT(AG165:AP165)&gt;0,MIN(AG165:AP165),"")</f>
        <v>30</v>
      </c>
      <c r="P165" s="13">
        <f>IF(COUNT(AG165:AP165)&gt;0,MAX(AG165:AP165),"")</f>
        <v>33</v>
      </c>
      <c r="Q165" s="13">
        <f>IF(ISNUMBER(O165),P165-O165,"")</f>
        <v>3</v>
      </c>
      <c r="R165" s="13">
        <f>IF(ISNUMBER(O165),IF(C165="Ручная",IF($S$171&gt;0,$R$171*Q165/$S$171,IF($W$171=7,$R$171,0)),0),"")</f>
        <v>1.05360000000001</v>
      </c>
      <c r="S165" s="13">
        <f>IF(ISNUMBER(O165),O165+R165,"")</f>
        <v>31.0536</v>
      </c>
      <c r="T165" s="13">
        <f>IF(ISNUMBER(S165),P165-S165,"")</f>
        <v>1.94639999999999</v>
      </c>
      <c r="U165" s="13">
        <f>IF(COUNT(AG165:AP165)&gt;0,AVERAGE(AG165:AP165),"")</f>
        <v>31.38</v>
      </c>
      <c r="AG165" s="13">
        <f>IF(ISNUMBER(E$171),E165,"")</f>
        <v>33</v>
      </c>
      <c r="AH165" s="13">
        <f>IF(ISNUMBER(F$171),F165,"")</f>
        <v>30.9</v>
      </c>
      <c r="AI165" s="13">
        <f>IF(ISNUMBER(G$171),G165,"")</f>
        <v>32.1</v>
      </c>
      <c r="AJ165" s="13">
        <f>IF(ISNUMBER(H$171),H165,"")</f>
        <v>30.3</v>
      </c>
      <c r="AK165" s="13">
        <f>IF(ISNUMBER(I$171),I165,"")</f>
        <v>31.5</v>
      </c>
      <c r="AL165" s="13">
        <f>IF(ISNUMBER(J$171),J165,"")</f>
        <v>30</v>
      </c>
      <c r="AM165" s="13">
        <f>IF(ISNUMBER(K$171),K165,"")</f>
        <v>31.2</v>
      </c>
      <c r="AN165" s="13">
        <f>IF(ISNUMBER(L$171),L165,"")</f>
        <v>32.4</v>
      </c>
      <c r="AO165" s="13">
        <f>IF(ISNUMBER(M$171),M165,"")</f>
        <v>30.6</v>
      </c>
      <c r="AP165" s="13">
        <f>IF(ISNUMBER(N$171),N165,"")</f>
        <v>31.8</v>
      </c>
      <c r="AQ165" s="13">
        <f>IF(C165="Ручная",O165,0)</f>
        <v>30</v>
      </c>
    </row>
    <row r="166" spans="1:43" ht="40" customHeight="1">
      <c r="A166" s="5">
        <v>8</v>
      </c>
      <c r="B166" s="5" t="s">
        <v>200</v>
      </c>
      <c r="C166" s="11" t="s">
        <v>183</v>
      </c>
      <c r="D166" s="7" t="s">
        <v>201</v>
      </c>
      <c r="E166" s="12">
        <v>18.18</v>
      </c>
      <c r="F166" s="12">
        <v>18.9</v>
      </c>
      <c r="G166" s="12">
        <v>18</v>
      </c>
      <c r="H166" s="12">
        <v>18.72</v>
      </c>
      <c r="I166" s="12">
        <v>19.44</v>
      </c>
      <c r="J166" s="12">
        <v>18.36</v>
      </c>
      <c r="K166" s="12">
        <v>19.08</v>
      </c>
      <c r="L166" s="12">
        <v>19.8</v>
      </c>
      <c r="M166" s="12">
        <v>18.54</v>
      </c>
      <c r="N166" s="12">
        <v>19.26</v>
      </c>
      <c r="O166" s="13">
        <f>IF(COUNT(AG166:AP166)&gt;0,MIN(AG166:AP166),"")</f>
        <v>18</v>
      </c>
      <c r="P166" s="13">
        <f>IF(COUNT(AG166:AP166)&gt;0,MAX(AG166:AP166),"")</f>
        <v>19.8</v>
      </c>
      <c r="Q166" s="13">
        <f>IF(ISNUMBER(O166),P166-O166,"")</f>
        <v>1.8</v>
      </c>
      <c r="R166" s="13">
        <f>IF(ISNUMBER(O166),IF(C166="Ручная",IF($S$171&gt;0,$R$171*Q166/$S$171,IF($W$171=8,$R$171,0)),0),"")</f>
        <v>0.632160000000006</v>
      </c>
      <c r="S166" s="13">
        <f>IF(ISNUMBER(O166),O166+R166,"")</f>
        <v>18.63216</v>
      </c>
      <c r="T166" s="13">
        <f>IF(ISNUMBER(S166),P166-S166,"")</f>
        <v>1.16783999999999</v>
      </c>
      <c r="U166" s="13">
        <f>IF(COUNT(AG166:AP166)&gt;0,AVERAGE(AG166:AP166),"")</f>
        <v>18.828</v>
      </c>
      <c r="AG166" s="13">
        <f>IF(ISNUMBER(E$171),E166,"")</f>
        <v>18.18</v>
      </c>
      <c r="AH166" s="13">
        <f>IF(ISNUMBER(F$171),F166,"")</f>
        <v>18.9</v>
      </c>
      <c r="AI166" s="13">
        <f>IF(ISNUMBER(G$171),G166,"")</f>
        <v>18</v>
      </c>
      <c r="AJ166" s="13">
        <f>IF(ISNUMBER(H$171),H166,"")</f>
        <v>18.72</v>
      </c>
      <c r="AK166" s="13">
        <f>IF(ISNUMBER(I$171),I166,"")</f>
        <v>19.44</v>
      </c>
      <c r="AL166" s="13">
        <f>IF(ISNUMBER(J$171),J166,"")</f>
        <v>18.36</v>
      </c>
      <c r="AM166" s="13">
        <f>IF(ISNUMBER(K$171),K166,"")</f>
        <v>19.08</v>
      </c>
      <c r="AN166" s="13">
        <f>IF(ISNUMBER(L$171),L166,"")</f>
        <v>19.8</v>
      </c>
      <c r="AO166" s="13">
        <f>IF(ISNUMBER(M$171),M166,"")</f>
        <v>18.54</v>
      </c>
      <c r="AP166" s="13">
        <f>IF(ISNUMBER(N$171),N166,"")</f>
        <v>19.26</v>
      </c>
      <c r="AQ166" s="13">
        <f>IF(C166="Ручная",O166,0)</f>
        <v>18</v>
      </c>
    </row>
    <row r="167" spans="1:43" ht="40" customHeight="1">
      <c r="A167" s="5" t="s">
        <v>189</v>
      </c>
      <c r="B167" s="5" t="s">
        <v>202</v>
      </c>
      <c r="C167" s="11" t="s">
        <v>191</v>
      </c>
      <c r="D167" s="7" t="s">
        <v>203</v>
      </c>
      <c r="E167" s="12">
        <v>10.4</v>
      </c>
      <c r="F167" s="12">
        <v>10.8</v>
      </c>
      <c r="G167" s="12">
        <v>10.2</v>
      </c>
      <c r="H167" s="12">
        <v>10.6</v>
      </c>
      <c r="I167" s="12">
        <v>11</v>
      </c>
      <c r="J167" s="12">
        <v>10.3</v>
      </c>
      <c r="K167" s="12">
        <v>10.7</v>
      </c>
      <c r="L167" s="12">
        <v>10.1</v>
      </c>
      <c r="M167" s="12">
        <v>10.5</v>
      </c>
      <c r="N167" s="12">
        <v>10</v>
      </c>
      <c r="O167" s="13">
        <f>IF(COUNT(AG167:AP167)&gt;0,MIN(AG167:AP167),"")</f>
        <v>10</v>
      </c>
      <c r="P167" s="13">
        <f>IF(COUNT(AG167:AP167)&gt;0,MAX(AG167:AP167),"")</f>
        <v>11</v>
      </c>
      <c r="Q167" s="13">
        <f>IF(ISNUMBER(O167),P167-O167,"")</f>
        <v>1</v>
      </c>
      <c r="R167" s="13">
        <f>IF(ISNUMBER(O167),IF(C167="Ручная",IF($S$171&gt;0,$R$171*Q167/$S$171,IF($W$171=9,$R$171,0)),0),"")</f>
        <v>0</v>
      </c>
      <c r="S167" s="13">
        <f>IF(ISNUMBER(O167),O167+R167,"")</f>
        <v>10</v>
      </c>
      <c r="T167" s="13">
        <f>IF(ISNUMBER(S167),P167-S167,"")</f>
        <v>1</v>
      </c>
      <c r="U167" s="13">
        <f>IF(COUNT(AG167:AP167)&gt;0,AVERAGE(AG167:AP167),"")</f>
        <v>10.46</v>
      </c>
      <c r="AG167" s="13">
        <f>IF(ISNUMBER(E$171),E167,"")</f>
        <v>10.4</v>
      </c>
      <c r="AH167" s="13">
        <f>IF(ISNUMBER(F$171),F167,"")</f>
        <v>10.8</v>
      </c>
      <c r="AI167" s="13">
        <f>IF(ISNUMBER(G$171),G167,"")</f>
        <v>10.2</v>
      </c>
      <c r="AJ167" s="13">
        <f>IF(ISNUMBER(H$171),H167,"")</f>
        <v>10.6</v>
      </c>
      <c r="AK167" s="13">
        <f>IF(ISNUMBER(I$171),I167,"")</f>
        <v>11</v>
      </c>
      <c r="AL167" s="13">
        <f>IF(ISNUMBER(J$171),J167,"")</f>
        <v>10.3</v>
      </c>
      <c r="AM167" s="13">
        <f>IF(ISNUMBER(K$171),K167,"")</f>
        <v>10.7</v>
      </c>
      <c r="AN167" s="13">
        <f>IF(ISNUMBER(L$171),L167,"")</f>
        <v>10.1</v>
      </c>
      <c r="AO167" s="13">
        <f>IF(ISNUMBER(M$171),M167,"")</f>
        <v>10.5</v>
      </c>
      <c r="AP167" s="13">
        <f>IF(ISNUMBER(N$171),N167,"")</f>
        <v>10</v>
      </c>
      <c r="AQ167" s="13">
        <f>IF(C167="Ручная",O167,0)</f>
        <v>0</v>
      </c>
    </row>
    <row r="168" spans="1:43" ht="40" customHeight="1">
      <c r="A168" s="5" t="s">
        <v>189</v>
      </c>
      <c r="B168" s="5" t="s">
        <v>204</v>
      </c>
      <c r="C168" s="11" t="s">
        <v>191</v>
      </c>
      <c r="D168" s="7" t="s">
        <v>205</v>
      </c>
      <c r="E168" s="12">
        <v>10.6</v>
      </c>
      <c r="F168" s="12">
        <v>11</v>
      </c>
      <c r="G168" s="12">
        <v>10.3</v>
      </c>
      <c r="H168" s="12">
        <v>10.7</v>
      </c>
      <c r="I168" s="12">
        <v>10.1</v>
      </c>
      <c r="J168" s="12">
        <v>10.5</v>
      </c>
      <c r="K168" s="12">
        <v>10</v>
      </c>
      <c r="L168" s="12">
        <v>10.4</v>
      </c>
      <c r="M168" s="12">
        <v>10.8</v>
      </c>
      <c r="N168" s="12">
        <v>10.2</v>
      </c>
      <c r="O168" s="13">
        <f>IF(COUNT(AG168:AP168)&gt;0,MIN(AG168:AP168),"")</f>
        <v>10</v>
      </c>
      <c r="P168" s="13">
        <f>IF(COUNT(AG168:AP168)&gt;0,MAX(AG168:AP168),"")</f>
        <v>11</v>
      </c>
      <c r="Q168" s="13">
        <f>IF(ISNUMBER(O168),P168-O168,"")</f>
        <v>1</v>
      </c>
      <c r="R168" s="13">
        <f>IF(ISNUMBER(O168),IF(C168="Ручная",IF($S$171&gt;0,$R$171*Q168/$S$171,IF($W$171=10,$R$171,0)),0),"")</f>
        <v>0</v>
      </c>
      <c r="S168" s="13">
        <f>IF(ISNUMBER(O168),O168+R168,"")</f>
        <v>10</v>
      </c>
      <c r="T168" s="13">
        <f>IF(ISNUMBER(S168),P168-S168,"")</f>
        <v>1</v>
      </c>
      <c r="U168" s="13">
        <f>IF(COUNT(AG168:AP168)&gt;0,AVERAGE(AG168:AP168),"")</f>
        <v>10.46</v>
      </c>
      <c r="AG168" s="13">
        <f>IF(ISNUMBER(E$171),E168,"")</f>
        <v>10.6</v>
      </c>
      <c r="AH168" s="13">
        <f>IF(ISNUMBER(F$171),F168,"")</f>
        <v>11</v>
      </c>
      <c r="AI168" s="13">
        <f>IF(ISNUMBER(G$171),G168,"")</f>
        <v>10.3</v>
      </c>
      <c r="AJ168" s="13">
        <f>IF(ISNUMBER(H$171),H168,"")</f>
        <v>10.7</v>
      </c>
      <c r="AK168" s="13">
        <f>IF(ISNUMBER(I$171),I168,"")</f>
        <v>10.1</v>
      </c>
      <c r="AL168" s="13">
        <f>IF(ISNUMBER(J$171),J168,"")</f>
        <v>10.5</v>
      </c>
      <c r="AM168" s="13">
        <f>IF(ISNUMBER(K$171),K168,"")</f>
        <v>10</v>
      </c>
      <c r="AN168" s="13">
        <f>IF(ISNUMBER(L$171),L168,"")</f>
        <v>10.4</v>
      </c>
      <c r="AO168" s="13">
        <f>IF(ISNUMBER(M$171),M168,"")</f>
        <v>10.8</v>
      </c>
      <c r="AP168" s="13">
        <f>IF(ISNUMBER(N$171),N168,"")</f>
        <v>10.2</v>
      </c>
      <c r="AQ168" s="13">
        <f>IF(C168="Ручная",O168,0)</f>
        <v>0</v>
      </c>
    </row>
    <row r="169" spans="1:43" ht="40" customHeight="1">
      <c r="A169" s="5" t="s">
        <v>189</v>
      </c>
      <c r="B169" s="5" t="s">
        <v>206</v>
      </c>
      <c r="C169" s="11" t="s">
        <v>207</v>
      </c>
      <c r="D169" s="7" t="s">
        <v>208</v>
      </c>
      <c r="E169" s="12">
        <v>12.84</v>
      </c>
      <c r="F169" s="12">
        <v>12.12</v>
      </c>
      <c r="G169" s="12">
        <v>12.6</v>
      </c>
      <c r="H169" s="12">
        <v>12</v>
      </c>
      <c r="I169" s="12">
        <v>12.48</v>
      </c>
      <c r="J169" s="12">
        <v>12.96</v>
      </c>
      <c r="K169" s="12">
        <v>12.24</v>
      </c>
      <c r="L169" s="12">
        <v>12.72</v>
      </c>
      <c r="M169" s="12">
        <v>13.2</v>
      </c>
      <c r="N169" s="12">
        <v>12.36</v>
      </c>
      <c r="O169" s="13">
        <f>IF(COUNT(AG169:AP169)&gt;0,MIN(AG169:AP169),"")</f>
        <v>12</v>
      </c>
      <c r="P169" s="13">
        <f>IF(COUNT(AG169:AP169)&gt;0,MAX(AG169:AP169),"")</f>
        <v>13.2</v>
      </c>
      <c r="Q169" s="13">
        <f>IF(ISNUMBER(O169),P169-O169,"")</f>
        <v>1.2</v>
      </c>
      <c r="R169" s="13">
        <f>IF(ISNUMBER(O169),IF(C169="Ручная",IF($S$171&gt;0,$R$171*Q169/$S$171,IF($W$171=11,$R$171,0)),0),"")</f>
        <v>0</v>
      </c>
      <c r="S169" s="13">
        <f>IF(ISNUMBER(O169),O169+R169,"")</f>
        <v>12</v>
      </c>
      <c r="T169" s="13">
        <f>IF(ISNUMBER(S169),P169-S169,"")</f>
        <v>1.2</v>
      </c>
      <c r="U169" s="13">
        <f>IF(COUNT(AG169:AP169)&gt;0,AVERAGE(AG169:AP169),"")</f>
        <v>12.552</v>
      </c>
      <c r="AG169" s="13">
        <f>IF(ISNUMBER(E$171),E169,"")</f>
        <v>12.84</v>
      </c>
      <c r="AH169" s="13">
        <f>IF(ISNUMBER(F$171),F169,"")</f>
        <v>12.12</v>
      </c>
      <c r="AI169" s="13">
        <f>IF(ISNUMBER(G$171),G169,"")</f>
        <v>12.6</v>
      </c>
      <c r="AJ169" s="13">
        <f>IF(ISNUMBER(H$171),H169,"")</f>
        <v>12</v>
      </c>
      <c r="AK169" s="13">
        <f>IF(ISNUMBER(I$171),I169,"")</f>
        <v>12.48</v>
      </c>
      <c r="AL169" s="13">
        <f>IF(ISNUMBER(J$171),J169,"")</f>
        <v>12.96</v>
      </c>
      <c r="AM169" s="13">
        <f>IF(ISNUMBER(K$171),K169,"")</f>
        <v>12.24</v>
      </c>
      <c r="AN169" s="13">
        <f>IF(ISNUMBER(L$171),L169,"")</f>
        <v>12.72</v>
      </c>
      <c r="AO169" s="13">
        <f>IF(ISNUMBER(M$171),M169,"")</f>
        <v>13.2</v>
      </c>
      <c r="AP169" s="13">
        <f>IF(ISNUMBER(N$171),N169,"")</f>
        <v>12.36</v>
      </c>
      <c r="AQ169" s="13">
        <f>IF(C169="Ручная",O169,0)</f>
        <v>0</v>
      </c>
    </row>
    <row r="170" spans="1:43" ht="23" customHeight="1">
      <c r="B170" s="4" t="s">
        <v>209</v>
      </c>
      <c r="E170" s="6">
        <f>IF(COUNT(E159:E169)=11,SUM(E159:E169),"")</f>
        <v>603.32</v>
      </c>
      <c r="F170" s="6">
        <f>IF(COUNT(F159:F169)=11,SUM(F159:F169),"")</f>
        <v>604.93</v>
      </c>
      <c r="G170" s="6">
        <f>IF(COUNT(G159:G169)=11,SUM(G159:G169),"")</f>
        <v>611.77</v>
      </c>
      <c r="H170" s="6">
        <f>IF(COUNT(H159:H169)=11,SUM(H159:H169),"")</f>
        <v>602.78</v>
      </c>
      <c r="I170" s="6">
        <f>IF(COUNT(I159:I169)=11,SUM(I159:I169),"")</f>
        <v>608.96</v>
      </c>
      <c r="J170" s="6">
        <f>IF(COUNT(J159:J169)=11,SUM(J159:J169),"")</f>
        <v>612.92</v>
      </c>
      <c r="K170" s="6">
        <f>IF(COUNT(K159:K169)=11,SUM(K159:K169),"")</f>
        <v>606.88</v>
      </c>
      <c r="L170" s="6">
        <f>IF(COUNT(L159:L169)=11,SUM(L159:L169),"")</f>
        <v>610.61</v>
      </c>
      <c r="M170" s="6">
        <f>IF(COUNT(M159:M169)=11,SUM(M159:M169),"")</f>
        <v>605.39</v>
      </c>
      <c r="N170" s="6">
        <f>IF(COUNT(N159:N169)=11,SUM(N159:N169),"")</f>
        <v>607.68</v>
      </c>
      <c r="O170" s="6">
        <f>IF(COUNT(O159:O169)=11,SUM(O159:O169),"")</f>
        <v>594</v>
      </c>
      <c r="P170" s="6">
        <f>IF(COUNT(P159:P169)=11,SUM(P159:P169),"")</f>
        <v>623.4</v>
      </c>
      <c r="Q170" s="6">
        <f>IF(COUNT(Q159:Q169)=11,SUM(Q159:Q169),"")</f>
        <v>29.4</v>
      </c>
      <c r="R170" s="6">
        <f>IF(COUNT(R159:R169)=11,SUM(R159:R169),"")</f>
        <v>8.78000000000009</v>
      </c>
      <c r="S170" s="6">
        <f>IF(COUNT(S159:S169)=11,SUM(S159:S169),"")</f>
        <v>602.78</v>
      </c>
      <c r="T170" s="6">
        <f>IF(COUNT(T159:T169)=11,SUM(T159:T169),"")</f>
        <v>20.6199999999999</v>
      </c>
      <c r="U170" s="6">
        <f>IF(COUNT(U159:U169)=11,SUM(U159:U169),"")</f>
        <v>607.524</v>
      </c>
    </row>
    <row r="171" spans="1:43" ht="23" customHeight="1">
      <c r="B171" s="4" t="s">
        <v>210</v>
      </c>
      <c r="E171" s="6">
        <f>IF(AND(E157=1,COUNT(E159:E169)=11,MIN(E159:E169)&gt;=0),E170,"")</f>
        <v>603.32</v>
      </c>
      <c r="F171" s="6">
        <f>IF(AND(F157=1,COUNT(F159:F169)=11,MIN(F159:F169)&gt;=0),F170,"")</f>
        <v>604.93</v>
      </c>
      <c r="G171" s="6">
        <f>IF(AND(G157=1,COUNT(G159:G169)=11,MIN(G159:G169)&gt;=0),G170,"")</f>
        <v>611.77</v>
      </c>
      <c r="H171" s="6">
        <f>IF(AND(H157=1,COUNT(H159:H169)=11,MIN(H159:H169)&gt;=0),H170,"")</f>
        <v>602.78</v>
      </c>
      <c r="I171" s="6">
        <f>IF(AND(I157=1,COUNT(I159:I169)=11,MIN(I159:I169)&gt;=0),I170,"")</f>
        <v>608.96</v>
      </c>
      <c r="J171" s="6">
        <f>IF(AND(J157=1,COUNT(J159:J169)=11,MIN(J159:J169)&gt;=0),J170,"")</f>
        <v>612.92</v>
      </c>
      <c r="K171" s="6">
        <f>IF(AND(K157=1,COUNT(K159:K169)=11,MIN(K159:K169)&gt;=0),K170,"")</f>
        <v>606.88</v>
      </c>
      <c r="L171" s="6">
        <f>IF(AND(L157=1,COUNT(L159:L169)=11,MIN(L159:L169)&gt;=0),L170,"")</f>
        <v>610.61</v>
      </c>
      <c r="M171" s="6">
        <f>IF(AND(M157=1,COUNT(M159:M169)=11,MIN(M159:M169)&gt;=0),M170,"")</f>
        <v>605.39</v>
      </c>
      <c r="N171" s="6">
        <f>IF(AND(N157=1,COUNT(N159:N169)=11,MIN(N159:N169)&gt;=0),N170,"")</f>
        <v>607.68</v>
      </c>
      <c r="O171" s="6">
        <f>IF(COUNT(E171:N171)&gt;0,MIN(E171:N171),"")</f>
        <v>602.78</v>
      </c>
      <c r="P171" s="6">
        <f>IF(COUNT(E171:N171)&gt;0,MAX(E171:N171),"")</f>
        <v>612.92</v>
      </c>
      <c r="Q171" s="6">
        <f>IF(ISNUMBER(O171),P171-O171,"")</f>
        <v>10.14</v>
      </c>
      <c r="R171" s="6">
        <f>IF(ISNUMBER(O171),MAX(0,O171-O170),"")</f>
        <v>8.78000000000009</v>
      </c>
      <c r="S171" s="6">
        <f>SUMIF(C159:C169,"Ручная",Q159:Q169)</f>
        <v>25</v>
      </c>
      <c r="T171" s="6">
        <f>COUNT(E171:N171)</f>
        <v>10</v>
      </c>
      <c r="U171" s="6">
        <f>IF(COUNT(E171:N171)&gt;0,AVERAGE(E171:N171),"")</f>
        <v>607.524</v>
      </c>
      <c r="V171" s="6">
        <f>IF(ISNUMBER(O171),S170-O171,"")</f>
        <v>0</v>
      </c>
      <c r="W171" s="6">
        <f>MATCH(MAX(AQ159:AQ169),AQ159:AQ169,0)</f>
        <v>2</v>
      </c>
      <c r="X171" s="17" t="str">
        <f>IF(T171=0,"НЕТ ЗАМЕРОВ",IF(T171&lt;10,"МЕНЕЕ 10 ЦИКЛОВ",IF(ABS(V171)&lt;0.000001,"ОК","ОШИБКА РЕГУЛИРОВКИ")))</f>
        <v>ОК</v>
      </c>
    </row>
    <row r="172" spans="1:43" ht="23" customHeight="1">
      <c r="A172" s="7" t="s">
        <v>211</v>
      </c>
      <c r="B172" s="7"/>
      <c r="C172" s="7"/>
      <c r="D172" s="7"/>
      <c r="E172" s="7"/>
      <c r="F172" s="7"/>
      <c r="G172" s="7"/>
      <c r="H172" s="7"/>
      <c r="I172" s="7"/>
      <c r="J172" s="7"/>
      <c r="K172" s="7"/>
      <c r="L172" s="7"/>
      <c r="M172" s="7"/>
      <c r="N172" s="7"/>
      <c r="O172" s="7"/>
      <c r="P172" s="7"/>
      <c r="Q172" s="7"/>
      <c r="R172" s="7"/>
      <c r="S172" s="7"/>
      <c r="T172" s="7"/>
      <c r="U172" s="7"/>
      <c r="V172" s="7"/>
      <c r="W172" s="7"/>
      <c r="X172" s="7"/>
    </row>
    <row r="175" spans="1:43" ht="23" customHeight="1">
      <c r="A175" s="4" t="s">
        <v>219</v>
      </c>
      <c r="B175" s="4"/>
      <c r="C175" s="4"/>
      <c r="D175" s="4"/>
      <c r="E175" s="4"/>
      <c r="F175" s="4"/>
      <c r="G175" s="4"/>
      <c r="H175" s="4"/>
      <c r="I175" s="4"/>
      <c r="J175" s="4"/>
      <c r="K175" s="4"/>
      <c r="L175" s="4"/>
      <c r="M175" s="4"/>
      <c r="N175" s="4"/>
      <c r="O175" s="4"/>
      <c r="P175" s="4"/>
      <c r="Q175" s="4"/>
      <c r="R175" s="4"/>
      <c r="S175" s="4"/>
      <c r="T175" s="4"/>
      <c r="U175" s="4"/>
      <c r="V175" s="4"/>
      <c r="W175" s="4"/>
      <c r="X175" s="4"/>
    </row>
    <row r="176" spans="1:43" ht="23" customHeight="1">
      <c r="A176" s="7" t="str">
        <f>"Масса замера, кг: "&amp;'Ассортимент'!J16&amp;". Все замеры одной партии/исполнителя/условий. Основание: "&amp;'Ввод'!B14</f>
        <v>Масса замера, кг: 5. Все замеры одной партии/исполнителя/условий. Основание: ДЕМО: синтетические замеры; заменить фактическими</v>
      </c>
      <c r="B176" s="7"/>
      <c r="C176" s="7"/>
      <c r="D176" s="7"/>
      <c r="E176" s="7"/>
      <c r="F176" s="7"/>
      <c r="G176" s="7"/>
      <c r="H176" s="7"/>
      <c r="I176" s="7"/>
      <c r="J176" s="7"/>
      <c r="K176" s="7"/>
      <c r="L176" s="7"/>
      <c r="M176" s="7"/>
      <c r="N176" s="7"/>
      <c r="O176" s="7"/>
      <c r="P176" s="7"/>
      <c r="Q176" s="7"/>
      <c r="R176" s="7"/>
      <c r="S176" s="7"/>
      <c r="T176" s="7"/>
      <c r="U176" s="7"/>
      <c r="V176" s="7"/>
      <c r="W176" s="7"/>
      <c r="X176" s="7"/>
    </row>
    <row r="177" spans="1:43" ht="44" customHeight="1">
      <c r="A177" s="8" t="s">
        <v>113</v>
      </c>
      <c r="B177" s="8" t="s">
        <v>156</v>
      </c>
      <c r="C177" s="8" t="s">
        <v>157</v>
      </c>
      <c r="D177" s="8" t="s">
        <v>158</v>
      </c>
      <c r="E177" s="8" t="s">
        <v>159</v>
      </c>
      <c r="F177" s="8" t="s">
        <v>160</v>
      </c>
      <c r="G177" s="8" t="s">
        <v>161</v>
      </c>
      <c r="H177" s="8" t="s">
        <v>162</v>
      </c>
      <c r="I177" s="8" t="s">
        <v>163</v>
      </c>
      <c r="J177" s="8" t="s">
        <v>164</v>
      </c>
      <c r="K177" s="8" t="s">
        <v>165</v>
      </c>
      <c r="L177" s="8" t="s">
        <v>166</v>
      </c>
      <c r="M177" s="8" t="s">
        <v>167</v>
      </c>
      <c r="N177" s="8" t="s">
        <v>168</v>
      </c>
      <c r="O177" s="8" t="s">
        <v>169</v>
      </c>
      <c r="P177" s="8" t="s">
        <v>170</v>
      </c>
      <c r="Q177" s="8" t="s">
        <v>171</v>
      </c>
      <c r="R177" s="8" t="s">
        <v>172</v>
      </c>
      <c r="S177" s="8" t="s">
        <v>173</v>
      </c>
      <c r="T177" s="8" t="s">
        <v>174</v>
      </c>
      <c r="U177" s="8" t="s">
        <v>175</v>
      </c>
      <c r="V177" s="8" t="s">
        <v>176</v>
      </c>
      <c r="W177" s="8" t="s">
        <v>177</v>
      </c>
      <c r="X177" s="8" t="s">
        <v>178</v>
      </c>
    </row>
    <row r="178" spans="1:43" ht="23" customHeight="1">
      <c r="B178" s="5" t="s">
        <v>179</v>
      </c>
      <c r="E178" s="12">
        <v>1</v>
      </c>
      <c r="F178" s="12">
        <v>1</v>
      </c>
      <c r="G178" s="12">
        <v>1</v>
      </c>
      <c r="H178" s="12">
        <v>1</v>
      </c>
      <c r="I178" s="12">
        <v>1</v>
      </c>
      <c r="J178" s="12">
        <v>1</v>
      </c>
      <c r="K178" s="12">
        <v>1</v>
      </c>
      <c r="L178" s="12">
        <v>1</v>
      </c>
      <c r="M178" s="12">
        <v>1</v>
      </c>
      <c r="N178" s="12">
        <v>1</v>
      </c>
    </row>
    <row r="179" spans="1:43" ht="33" customHeight="1">
      <c r="B179" s="5" t="s">
        <v>180</v>
      </c>
      <c r="E179" s="9" t="s">
        <v>181</v>
      </c>
      <c r="F179" s="9" t="s">
        <v>181</v>
      </c>
      <c r="G179" s="9" t="s">
        <v>181</v>
      </c>
      <c r="H179" s="9" t="s">
        <v>181</v>
      </c>
      <c r="I179" s="9" t="s">
        <v>181</v>
      </c>
      <c r="J179" s="9" t="s">
        <v>181</v>
      </c>
      <c r="K179" s="9" t="s">
        <v>181</v>
      </c>
      <c r="L179" s="9" t="s">
        <v>181</v>
      </c>
      <c r="M179" s="9" t="s">
        <v>181</v>
      </c>
      <c r="N179" s="9" t="s">
        <v>181</v>
      </c>
    </row>
    <row r="180" spans="1:43" ht="40" customHeight="1">
      <c r="A180" s="5">
        <v>1</v>
      </c>
      <c r="B180" s="5" t="s">
        <v>182</v>
      </c>
      <c r="C180" s="11" t="s">
        <v>183</v>
      </c>
      <c r="D180" s="7" t="s">
        <v>184</v>
      </c>
      <c r="E180" s="12">
        <v>25.25</v>
      </c>
      <c r="F180" s="12">
        <v>26.25</v>
      </c>
      <c r="G180" s="12">
        <v>25</v>
      </c>
      <c r="H180" s="12">
        <v>26</v>
      </c>
      <c r="I180" s="12">
        <v>27</v>
      </c>
      <c r="J180" s="12">
        <v>25.5</v>
      </c>
      <c r="K180" s="12">
        <v>26.5</v>
      </c>
      <c r="L180" s="12">
        <v>27.5</v>
      </c>
      <c r="M180" s="12">
        <v>25.75</v>
      </c>
      <c r="N180" s="12">
        <v>26.75</v>
      </c>
      <c r="O180" s="13">
        <f>IF(COUNT(AG180:AP180)&gt;0,MIN(AG180:AP180),"")</f>
        <v>25</v>
      </c>
      <c r="P180" s="13">
        <f>IF(COUNT(AG180:AP180)&gt;0,MAX(AG180:AP180),"")</f>
        <v>27.5</v>
      </c>
      <c r="Q180" s="13">
        <f>IF(ISNUMBER(O180),P180-O180,"")</f>
        <v>2.5</v>
      </c>
      <c r="R180" s="13">
        <f>IF(ISNUMBER(O180),IF(C180="Ручная",IF($S$192&gt;0,$R$192*Q180/$S$192,IF($W$192=1,$R$192,0)),0),"")</f>
        <v>0.984615384615393</v>
      </c>
      <c r="S180" s="13">
        <f>IF(ISNUMBER(O180),O180+R180,"")</f>
        <v>25.9846153846154</v>
      </c>
      <c r="T180" s="13">
        <f>IF(ISNUMBER(S180),P180-S180,"")</f>
        <v>1.51538461538461</v>
      </c>
      <c r="U180" s="13">
        <f>IF(COUNT(AG180:AP180)&gt;0,AVERAGE(AG180:AP180),"")</f>
        <v>26.15</v>
      </c>
      <c r="AG180" s="13">
        <f>IF(ISNUMBER(E$192),E180,"")</f>
        <v>25.25</v>
      </c>
      <c r="AH180" s="13">
        <f>IF(ISNUMBER(F$192),F180,"")</f>
        <v>26.25</v>
      </c>
      <c r="AI180" s="13">
        <f>IF(ISNUMBER(G$192),G180,"")</f>
        <v>25</v>
      </c>
      <c r="AJ180" s="13">
        <f>IF(ISNUMBER(H$192),H180,"")</f>
        <v>26</v>
      </c>
      <c r="AK180" s="13">
        <f>IF(ISNUMBER(I$192),I180,"")</f>
        <v>27</v>
      </c>
      <c r="AL180" s="13">
        <f>IF(ISNUMBER(J$192),J180,"")</f>
        <v>25.5</v>
      </c>
      <c r="AM180" s="13">
        <f>IF(ISNUMBER(K$192),K180,"")</f>
        <v>26.5</v>
      </c>
      <c r="AN180" s="13">
        <f>IF(ISNUMBER(L$192),L180,"")</f>
        <v>27.5</v>
      </c>
      <c r="AO180" s="13">
        <f>IF(ISNUMBER(M$192),M180,"")</f>
        <v>25.75</v>
      </c>
      <c r="AP180" s="13">
        <f>IF(ISNUMBER(N$192),N180,"")</f>
        <v>26.75</v>
      </c>
      <c r="AQ180" s="13">
        <f>IF(C180="Ручная",O180,0)</f>
        <v>25</v>
      </c>
    </row>
    <row r="181" spans="1:43" ht="40" customHeight="1">
      <c r="A181" s="5">
        <v>2</v>
      </c>
      <c r="B181" s="5" t="s">
        <v>185</v>
      </c>
      <c r="C181" s="11" t="s">
        <v>183</v>
      </c>
      <c r="D181" s="7" t="s">
        <v>186</v>
      </c>
      <c r="E181" s="12">
        <v>67.59999999999999</v>
      </c>
      <c r="F181" s="12">
        <v>70.2</v>
      </c>
      <c r="G181" s="12">
        <v>66.3</v>
      </c>
      <c r="H181" s="12">
        <v>68.90000000000001</v>
      </c>
      <c r="I181" s="12">
        <v>71.5</v>
      </c>
      <c r="J181" s="12">
        <v>66.95</v>
      </c>
      <c r="K181" s="12">
        <v>69.55</v>
      </c>
      <c r="L181" s="12">
        <v>65.65000000000001</v>
      </c>
      <c r="M181" s="12">
        <v>68.25</v>
      </c>
      <c r="N181" s="12">
        <v>65</v>
      </c>
      <c r="O181" s="13">
        <f>IF(COUNT(AG181:AP181)&gt;0,MIN(AG181:AP181),"")</f>
        <v>65</v>
      </c>
      <c r="P181" s="13">
        <f>IF(COUNT(AG181:AP181)&gt;0,MAX(AG181:AP181),"")</f>
        <v>71.5</v>
      </c>
      <c r="Q181" s="13">
        <f>IF(ISNUMBER(O181),P181-O181,"")</f>
        <v>6.5</v>
      </c>
      <c r="R181" s="13">
        <f>IF(ISNUMBER(O181),IF(C181="Ручная",IF($S$192&gt;0,$R$192*Q181/$S$192,IF($W$192=2,$R$192,0)),0),"")</f>
        <v>2.56000000000002</v>
      </c>
      <c r="S181" s="13">
        <f>IF(ISNUMBER(O181),O181+R181,"")</f>
        <v>67.56</v>
      </c>
      <c r="T181" s="13">
        <f>IF(ISNUMBER(S181),P181-S181,"")</f>
        <v>3.93999999999998</v>
      </c>
      <c r="U181" s="13">
        <f>IF(COUNT(AG181:AP181)&gt;0,AVERAGE(AG181:AP181),"")</f>
        <v>67.99</v>
      </c>
      <c r="AG181" s="13">
        <f>IF(ISNUMBER(E$192),E181,"")</f>
        <v>67.6</v>
      </c>
      <c r="AH181" s="13">
        <f>IF(ISNUMBER(F$192),F181,"")</f>
        <v>70.2</v>
      </c>
      <c r="AI181" s="13">
        <f>IF(ISNUMBER(G$192),G181,"")</f>
        <v>66.3</v>
      </c>
      <c r="AJ181" s="13">
        <f>IF(ISNUMBER(H$192),H181,"")</f>
        <v>68.9</v>
      </c>
      <c r="AK181" s="13">
        <f>IF(ISNUMBER(I$192),I181,"")</f>
        <v>71.5</v>
      </c>
      <c r="AL181" s="13">
        <f>IF(ISNUMBER(J$192),J181,"")</f>
        <v>66.95</v>
      </c>
      <c r="AM181" s="13">
        <f>IF(ISNUMBER(K$192),K181,"")</f>
        <v>69.55</v>
      </c>
      <c r="AN181" s="13">
        <f>IF(ISNUMBER(L$192),L181,"")</f>
        <v>65.65</v>
      </c>
      <c r="AO181" s="13">
        <f>IF(ISNUMBER(M$192),M181,"")</f>
        <v>68.25</v>
      </c>
      <c r="AP181" s="13">
        <f>IF(ISNUMBER(N$192),N181,"")</f>
        <v>65</v>
      </c>
      <c r="AQ181" s="13">
        <f>IF(C181="Ручная",O181,0)</f>
        <v>65</v>
      </c>
    </row>
    <row r="182" spans="1:43" ht="40" customHeight="1">
      <c r="A182" s="5">
        <v>3</v>
      </c>
      <c r="B182" s="5" t="s">
        <v>187</v>
      </c>
      <c r="C182" s="11" t="s">
        <v>183</v>
      </c>
      <c r="D182" s="7" t="s">
        <v>188</v>
      </c>
      <c r="E182" s="12">
        <v>23.32</v>
      </c>
      <c r="F182" s="12">
        <v>24.2</v>
      </c>
      <c r="G182" s="12">
        <v>22.66</v>
      </c>
      <c r="H182" s="12">
        <v>23.54</v>
      </c>
      <c r="I182" s="12">
        <v>22.22</v>
      </c>
      <c r="J182" s="12">
        <v>23.1</v>
      </c>
      <c r="K182" s="12">
        <v>22</v>
      </c>
      <c r="L182" s="12">
        <v>22.88</v>
      </c>
      <c r="M182" s="12">
        <v>23.76</v>
      </c>
      <c r="N182" s="12">
        <v>22.44</v>
      </c>
      <c r="O182" s="13">
        <f>IF(COUNT(AG182:AP182)&gt;0,MIN(AG182:AP182),"")</f>
        <v>22</v>
      </c>
      <c r="P182" s="13">
        <f>IF(COUNT(AG182:AP182)&gt;0,MAX(AG182:AP182),"")</f>
        <v>24.2</v>
      </c>
      <c r="Q182" s="13">
        <f>IF(ISNUMBER(O182),P182-O182,"")</f>
        <v>2.2</v>
      </c>
      <c r="R182" s="13">
        <f>IF(ISNUMBER(O182),IF(C182="Ручная",IF($S$192&gt;0,$R$192*Q182/$S$192,IF($W$192=3,$R$192,0)),0),"")</f>
        <v>0.866461538461545</v>
      </c>
      <c r="S182" s="13">
        <f>IF(ISNUMBER(O182),O182+R182,"")</f>
        <v>22.8664615384615</v>
      </c>
      <c r="T182" s="13">
        <f>IF(ISNUMBER(S182),P182-S182,"")</f>
        <v>1.33353846153845</v>
      </c>
      <c r="U182" s="13">
        <f>IF(COUNT(AG182:AP182)&gt;0,AVERAGE(AG182:AP182),"")</f>
        <v>23.012</v>
      </c>
      <c r="AG182" s="13">
        <f>IF(ISNUMBER(E$192),E182,"")</f>
        <v>23.32</v>
      </c>
      <c r="AH182" s="13">
        <f>IF(ISNUMBER(F$192),F182,"")</f>
        <v>24.2</v>
      </c>
      <c r="AI182" s="13">
        <f>IF(ISNUMBER(G$192),G182,"")</f>
        <v>22.66</v>
      </c>
      <c r="AJ182" s="13">
        <f>IF(ISNUMBER(H$192),H182,"")</f>
        <v>23.54</v>
      </c>
      <c r="AK182" s="13">
        <f>IF(ISNUMBER(I$192),I182,"")</f>
        <v>22.22</v>
      </c>
      <c r="AL182" s="13">
        <f>IF(ISNUMBER(J$192),J182,"")</f>
        <v>23.1</v>
      </c>
      <c r="AM182" s="13">
        <f>IF(ISNUMBER(K$192),K182,"")</f>
        <v>22</v>
      </c>
      <c r="AN182" s="13">
        <f>IF(ISNUMBER(L$192),L182,"")</f>
        <v>22.88</v>
      </c>
      <c r="AO182" s="13">
        <f>IF(ISNUMBER(M$192),M182,"")</f>
        <v>23.76</v>
      </c>
      <c r="AP182" s="13">
        <f>IF(ISNUMBER(N$192),N182,"")</f>
        <v>22.44</v>
      </c>
      <c r="AQ182" s="13">
        <f>IF(C182="Ручная",O182,0)</f>
        <v>22</v>
      </c>
    </row>
    <row r="183" spans="1:43" ht="40" customHeight="1">
      <c r="A183" s="5" t="s">
        <v>189</v>
      </c>
      <c r="B183" s="5" t="s">
        <v>190</v>
      </c>
      <c r="C183" s="11" t="s">
        <v>191</v>
      </c>
      <c r="D183" s="7" t="s">
        <v>192</v>
      </c>
      <c r="E183" s="12">
        <v>12.84</v>
      </c>
      <c r="F183" s="12">
        <v>12.12</v>
      </c>
      <c r="G183" s="12">
        <v>12.6</v>
      </c>
      <c r="H183" s="12">
        <v>12</v>
      </c>
      <c r="I183" s="12">
        <v>12.48</v>
      </c>
      <c r="J183" s="12">
        <v>12.96</v>
      </c>
      <c r="K183" s="12">
        <v>12.24</v>
      </c>
      <c r="L183" s="12">
        <v>12.72</v>
      </c>
      <c r="M183" s="12">
        <v>13.2</v>
      </c>
      <c r="N183" s="12">
        <v>12.36</v>
      </c>
      <c r="O183" s="13">
        <f>IF(COUNT(AG183:AP183)&gt;0,MIN(AG183:AP183),"")</f>
        <v>12</v>
      </c>
      <c r="P183" s="13">
        <f>IF(COUNT(AG183:AP183)&gt;0,MAX(AG183:AP183),"")</f>
        <v>13.2</v>
      </c>
      <c r="Q183" s="13">
        <f>IF(ISNUMBER(O183),P183-O183,"")</f>
        <v>1.2</v>
      </c>
      <c r="R183" s="13">
        <f>IF(ISNUMBER(O183),IF(C183="Ручная",IF($S$192&gt;0,$R$192*Q183/$S$192,IF($W$192=4,$R$192,0)),0),"")</f>
        <v>0</v>
      </c>
      <c r="S183" s="13">
        <f>IF(ISNUMBER(O183),O183+R183,"")</f>
        <v>12</v>
      </c>
      <c r="T183" s="13">
        <f>IF(ISNUMBER(S183),P183-S183,"")</f>
        <v>1.2</v>
      </c>
      <c r="U183" s="13">
        <f>IF(COUNT(AG183:AP183)&gt;0,AVERAGE(AG183:AP183),"")</f>
        <v>12.552</v>
      </c>
      <c r="AG183" s="13">
        <f>IF(ISNUMBER(E$192),E183,"")</f>
        <v>12.84</v>
      </c>
      <c r="AH183" s="13">
        <f>IF(ISNUMBER(F$192),F183,"")</f>
        <v>12.12</v>
      </c>
      <c r="AI183" s="13">
        <f>IF(ISNUMBER(G$192),G183,"")</f>
        <v>12.6</v>
      </c>
      <c r="AJ183" s="13">
        <f>IF(ISNUMBER(H$192),H183,"")</f>
        <v>12</v>
      </c>
      <c r="AK183" s="13">
        <f>IF(ISNUMBER(I$192),I183,"")</f>
        <v>12.48</v>
      </c>
      <c r="AL183" s="13">
        <f>IF(ISNUMBER(J$192),J183,"")</f>
        <v>12.96</v>
      </c>
      <c r="AM183" s="13">
        <f>IF(ISNUMBER(K$192),K183,"")</f>
        <v>12.24</v>
      </c>
      <c r="AN183" s="13">
        <f>IF(ISNUMBER(L$192),L183,"")</f>
        <v>12.72</v>
      </c>
      <c r="AO183" s="13">
        <f>IF(ISNUMBER(M$192),M183,"")</f>
        <v>13.2</v>
      </c>
      <c r="AP183" s="13">
        <f>IF(ISNUMBER(N$192),N183,"")</f>
        <v>12.36</v>
      </c>
      <c r="AQ183" s="13">
        <f>IF(C183="Ручная",O183,0)</f>
        <v>0</v>
      </c>
    </row>
    <row r="184" spans="1:43" ht="40" customHeight="1">
      <c r="A184" s="5">
        <v>5</v>
      </c>
      <c r="B184" s="5" t="s">
        <v>193</v>
      </c>
      <c r="C184" s="11" t="s">
        <v>183</v>
      </c>
      <c r="D184" s="7" t="s">
        <v>194</v>
      </c>
      <c r="E184" s="12">
        <v>35</v>
      </c>
      <c r="F184" s="12">
        <v>36.4</v>
      </c>
      <c r="G184" s="12">
        <v>37.8</v>
      </c>
      <c r="H184" s="12">
        <v>35.7</v>
      </c>
      <c r="I184" s="12">
        <v>37.1</v>
      </c>
      <c r="J184" s="12">
        <v>38.5</v>
      </c>
      <c r="K184" s="12">
        <v>36.05</v>
      </c>
      <c r="L184" s="12">
        <v>37.45</v>
      </c>
      <c r="M184" s="12">
        <v>35.35</v>
      </c>
      <c r="N184" s="12">
        <v>36.75</v>
      </c>
      <c r="O184" s="13">
        <f>IF(COUNT(AG184:AP184)&gt;0,MIN(AG184:AP184),"")</f>
        <v>35</v>
      </c>
      <c r="P184" s="13">
        <f>IF(COUNT(AG184:AP184)&gt;0,MAX(AG184:AP184),"")</f>
        <v>38.5</v>
      </c>
      <c r="Q184" s="13">
        <f>IF(ISNUMBER(O184),P184-O184,"")</f>
        <v>3.5</v>
      </c>
      <c r="R184" s="13">
        <f>IF(ISNUMBER(O184),IF(C184="Ручная",IF($S$192&gt;0,$R$192*Q184/$S$192,IF($W$192=5,$R$192,0)),0),"")</f>
        <v>1.37846153846155</v>
      </c>
      <c r="S184" s="13">
        <f>IF(ISNUMBER(O184),O184+R184,"")</f>
        <v>36.3784615384616</v>
      </c>
      <c r="T184" s="13">
        <f>IF(ISNUMBER(S184),P184-S184,"")</f>
        <v>2.12153846153845</v>
      </c>
      <c r="U184" s="13">
        <f>IF(COUNT(AG184:AP184)&gt;0,AVERAGE(AG184:AP184),"")</f>
        <v>36.61</v>
      </c>
      <c r="AG184" s="13">
        <f>IF(ISNUMBER(E$192),E184,"")</f>
        <v>35</v>
      </c>
      <c r="AH184" s="13">
        <f>IF(ISNUMBER(F$192),F184,"")</f>
        <v>36.4</v>
      </c>
      <c r="AI184" s="13">
        <f>IF(ISNUMBER(G$192),G184,"")</f>
        <v>37.8</v>
      </c>
      <c r="AJ184" s="13">
        <f>IF(ISNUMBER(H$192),H184,"")</f>
        <v>35.7</v>
      </c>
      <c r="AK184" s="13">
        <f>IF(ISNUMBER(I$192),I184,"")</f>
        <v>37.1</v>
      </c>
      <c r="AL184" s="13">
        <f>IF(ISNUMBER(J$192),J184,"")</f>
        <v>38.5</v>
      </c>
      <c r="AM184" s="13">
        <f>IF(ISNUMBER(K$192),K184,"")</f>
        <v>36.05</v>
      </c>
      <c r="AN184" s="13">
        <f>IF(ISNUMBER(L$192),L184,"")</f>
        <v>37.45</v>
      </c>
      <c r="AO184" s="13">
        <f>IF(ISNUMBER(M$192),M184,"")</f>
        <v>35.35</v>
      </c>
      <c r="AP184" s="13">
        <f>IF(ISNUMBER(N$192),N184,"")</f>
        <v>36.75</v>
      </c>
      <c r="AQ184" s="13">
        <f>IF(C184="Ручная",O184,0)</f>
        <v>35</v>
      </c>
    </row>
    <row r="185" spans="1:43" ht="40" customHeight="1">
      <c r="A185" s="5" t="s">
        <v>189</v>
      </c>
      <c r="B185" s="5" t="s">
        <v>195</v>
      </c>
      <c r="C185" s="11" t="s">
        <v>196</v>
      </c>
      <c r="D185" s="7" t="s">
        <v>197</v>
      </c>
      <c r="E185" s="18">
        <f>'Ассортимент'!R16</f>
        <v>300</v>
      </c>
      <c r="F185" s="18">
        <f>'Ассортимент'!R16</f>
        <v>300</v>
      </c>
      <c r="G185" s="18">
        <f>'Ассортимент'!R16</f>
        <v>300</v>
      </c>
      <c r="H185" s="18">
        <f>'Ассортимент'!R16</f>
        <v>300</v>
      </c>
      <c r="I185" s="18">
        <f>'Ассортимент'!R16</f>
        <v>300</v>
      </c>
      <c r="J185" s="18">
        <f>'Ассортимент'!R16</f>
        <v>300</v>
      </c>
      <c r="K185" s="18">
        <f>'Ассортимент'!R16</f>
        <v>300</v>
      </c>
      <c r="L185" s="18">
        <f>'Ассортимент'!R16</f>
        <v>300</v>
      </c>
      <c r="M185" s="18">
        <f>'Ассортимент'!R16</f>
        <v>300</v>
      </c>
      <c r="N185" s="18">
        <f>'Ассортимент'!R16</f>
        <v>300</v>
      </c>
      <c r="O185" s="13">
        <f>IF(COUNT(AG185:AP185)&gt;0,MIN(AG185:AP185),"")</f>
        <v>300</v>
      </c>
      <c r="P185" s="13">
        <f>IF(COUNT(AG185:AP185)&gt;0,MAX(AG185:AP185),"")</f>
        <v>300</v>
      </c>
      <c r="Q185" s="13">
        <f>IF(ISNUMBER(O185),P185-O185,"")</f>
        <v>0</v>
      </c>
      <c r="R185" s="13">
        <f>IF(ISNUMBER(O185),IF(C185="Ручная",IF($S$192&gt;0,$R$192*Q185/$S$192,IF($W$192=6,$R$192,0)),0),"")</f>
        <v>0</v>
      </c>
      <c r="S185" s="13">
        <f>IF(ISNUMBER(O185),O185+R185,"")</f>
        <v>300</v>
      </c>
      <c r="T185" s="13">
        <f>IF(ISNUMBER(S185),P185-S185,"")</f>
        <v>0</v>
      </c>
      <c r="U185" s="13">
        <f>IF(COUNT(AG185:AP185)&gt;0,AVERAGE(AG185:AP185),"")</f>
        <v>300</v>
      </c>
      <c r="AG185" s="13">
        <f>IF(ISNUMBER(E$192),E185,"")</f>
        <v>300</v>
      </c>
      <c r="AH185" s="13">
        <f>IF(ISNUMBER(F$192),F185,"")</f>
        <v>300</v>
      </c>
      <c r="AI185" s="13">
        <f>IF(ISNUMBER(G$192),G185,"")</f>
        <v>300</v>
      </c>
      <c r="AJ185" s="13">
        <f>IF(ISNUMBER(H$192),H185,"")</f>
        <v>300</v>
      </c>
      <c r="AK185" s="13">
        <f>IF(ISNUMBER(I$192),I185,"")</f>
        <v>300</v>
      </c>
      <c r="AL185" s="13">
        <f>IF(ISNUMBER(J$192),J185,"")</f>
        <v>300</v>
      </c>
      <c r="AM185" s="13">
        <f>IF(ISNUMBER(K$192),K185,"")</f>
        <v>300</v>
      </c>
      <c r="AN185" s="13">
        <f>IF(ISNUMBER(L$192),L185,"")</f>
        <v>300</v>
      </c>
      <c r="AO185" s="13">
        <f>IF(ISNUMBER(M$192),M185,"")</f>
        <v>300</v>
      </c>
      <c r="AP185" s="13">
        <f>IF(ISNUMBER(N$192),N185,"")</f>
        <v>300</v>
      </c>
      <c r="AQ185" s="13">
        <f>IF(C185="Ручная",O185,0)</f>
        <v>0</v>
      </c>
    </row>
    <row r="186" spans="1:43" ht="40" customHeight="1">
      <c r="A186" s="5">
        <v>7</v>
      </c>
      <c r="B186" s="5" t="s">
        <v>198</v>
      </c>
      <c r="C186" s="11" t="s">
        <v>183</v>
      </c>
      <c r="D186" s="7" t="s">
        <v>199</v>
      </c>
      <c r="E186" s="12">
        <v>30.9</v>
      </c>
      <c r="F186" s="12">
        <v>32.1</v>
      </c>
      <c r="G186" s="12">
        <v>30.3</v>
      </c>
      <c r="H186" s="12">
        <v>31.5</v>
      </c>
      <c r="I186" s="12">
        <v>30</v>
      </c>
      <c r="J186" s="12">
        <v>31.2</v>
      </c>
      <c r="K186" s="12">
        <v>32.4</v>
      </c>
      <c r="L186" s="12">
        <v>30.6</v>
      </c>
      <c r="M186" s="12">
        <v>31.8</v>
      </c>
      <c r="N186" s="12">
        <v>33</v>
      </c>
      <c r="O186" s="13">
        <f>IF(COUNT(AG186:AP186)&gt;0,MIN(AG186:AP186),"")</f>
        <v>30</v>
      </c>
      <c r="P186" s="13">
        <f>IF(COUNT(AG186:AP186)&gt;0,MAX(AG186:AP186),"")</f>
        <v>33</v>
      </c>
      <c r="Q186" s="13">
        <f>IF(ISNUMBER(O186),P186-O186,"")</f>
        <v>3</v>
      </c>
      <c r="R186" s="13">
        <f>IF(ISNUMBER(O186),IF(C186="Ручная",IF($S$192&gt;0,$R$192*Q186/$S$192,IF($W$192=7,$R$192,0)),0),"")</f>
        <v>1.18153846153847</v>
      </c>
      <c r="S186" s="13">
        <f>IF(ISNUMBER(O186),O186+R186,"")</f>
        <v>31.1815384615385</v>
      </c>
      <c r="T186" s="13">
        <f>IF(ISNUMBER(S186),P186-S186,"")</f>
        <v>1.81846153846153</v>
      </c>
      <c r="U186" s="13">
        <f>IF(COUNT(AG186:AP186)&gt;0,AVERAGE(AG186:AP186),"")</f>
        <v>31.38</v>
      </c>
      <c r="AG186" s="13">
        <f>IF(ISNUMBER(E$192),E186,"")</f>
        <v>30.9</v>
      </c>
      <c r="AH186" s="13">
        <f>IF(ISNUMBER(F$192),F186,"")</f>
        <v>32.1</v>
      </c>
      <c r="AI186" s="13">
        <f>IF(ISNUMBER(G$192),G186,"")</f>
        <v>30.3</v>
      </c>
      <c r="AJ186" s="13">
        <f>IF(ISNUMBER(H$192),H186,"")</f>
        <v>31.5</v>
      </c>
      <c r="AK186" s="13">
        <f>IF(ISNUMBER(I$192),I186,"")</f>
        <v>30</v>
      </c>
      <c r="AL186" s="13">
        <f>IF(ISNUMBER(J$192),J186,"")</f>
        <v>31.2</v>
      </c>
      <c r="AM186" s="13">
        <f>IF(ISNUMBER(K$192),K186,"")</f>
        <v>32.4</v>
      </c>
      <c r="AN186" s="13">
        <f>IF(ISNUMBER(L$192),L186,"")</f>
        <v>30.6</v>
      </c>
      <c r="AO186" s="13">
        <f>IF(ISNUMBER(M$192),M186,"")</f>
        <v>31.8</v>
      </c>
      <c r="AP186" s="13">
        <f>IF(ISNUMBER(N$192),N186,"")</f>
        <v>33</v>
      </c>
      <c r="AQ186" s="13">
        <f>IF(C186="Ручная",O186,0)</f>
        <v>30</v>
      </c>
    </row>
    <row r="187" spans="1:43" ht="40" customHeight="1">
      <c r="A187" s="5">
        <v>8</v>
      </c>
      <c r="B187" s="5" t="s">
        <v>200</v>
      </c>
      <c r="C187" s="11" t="s">
        <v>183</v>
      </c>
      <c r="D187" s="7" t="s">
        <v>201</v>
      </c>
      <c r="E187" s="12">
        <v>18.9</v>
      </c>
      <c r="F187" s="12">
        <v>18</v>
      </c>
      <c r="G187" s="12">
        <v>18.72</v>
      </c>
      <c r="H187" s="12">
        <v>19.44</v>
      </c>
      <c r="I187" s="12">
        <v>18.36</v>
      </c>
      <c r="J187" s="12">
        <v>19.08</v>
      </c>
      <c r="K187" s="12">
        <v>19.8</v>
      </c>
      <c r="L187" s="12">
        <v>18.54</v>
      </c>
      <c r="M187" s="12">
        <v>19.26</v>
      </c>
      <c r="N187" s="12">
        <v>18.18</v>
      </c>
      <c r="O187" s="13">
        <f>IF(COUNT(AG187:AP187)&gt;0,MIN(AG187:AP187),"")</f>
        <v>18</v>
      </c>
      <c r="P187" s="13">
        <f>IF(COUNT(AG187:AP187)&gt;0,MAX(AG187:AP187),"")</f>
        <v>19.8</v>
      </c>
      <c r="Q187" s="13">
        <f>IF(ISNUMBER(O187),P187-O187,"")</f>
        <v>1.8</v>
      </c>
      <c r="R187" s="13">
        <f>IF(ISNUMBER(O187),IF(C187="Ручная",IF($S$192&gt;0,$R$192*Q187/$S$192,IF($W$192=8,$R$192,0)),0),"")</f>
        <v>0.708923076923083</v>
      </c>
      <c r="S187" s="13">
        <f>IF(ISNUMBER(O187),O187+R187,"")</f>
        <v>18.7089230769231</v>
      </c>
      <c r="T187" s="13">
        <f>IF(ISNUMBER(S187),P187-S187,"")</f>
        <v>1.09107692307692</v>
      </c>
      <c r="U187" s="13">
        <f>IF(COUNT(AG187:AP187)&gt;0,AVERAGE(AG187:AP187),"")</f>
        <v>18.828</v>
      </c>
      <c r="AG187" s="13">
        <f>IF(ISNUMBER(E$192),E187,"")</f>
        <v>18.9</v>
      </c>
      <c r="AH187" s="13">
        <f>IF(ISNUMBER(F$192),F187,"")</f>
        <v>18</v>
      </c>
      <c r="AI187" s="13">
        <f>IF(ISNUMBER(G$192),G187,"")</f>
        <v>18.72</v>
      </c>
      <c r="AJ187" s="13">
        <f>IF(ISNUMBER(H$192),H187,"")</f>
        <v>19.44</v>
      </c>
      <c r="AK187" s="13">
        <f>IF(ISNUMBER(I$192),I187,"")</f>
        <v>18.36</v>
      </c>
      <c r="AL187" s="13">
        <f>IF(ISNUMBER(J$192),J187,"")</f>
        <v>19.08</v>
      </c>
      <c r="AM187" s="13">
        <f>IF(ISNUMBER(K$192),K187,"")</f>
        <v>19.8</v>
      </c>
      <c r="AN187" s="13">
        <f>IF(ISNUMBER(L$192),L187,"")</f>
        <v>18.54</v>
      </c>
      <c r="AO187" s="13">
        <f>IF(ISNUMBER(M$192),M187,"")</f>
        <v>19.26</v>
      </c>
      <c r="AP187" s="13">
        <f>IF(ISNUMBER(N$192),N187,"")</f>
        <v>18.18</v>
      </c>
      <c r="AQ187" s="13">
        <f>IF(C187="Ручная",O187,0)</f>
        <v>18</v>
      </c>
    </row>
    <row r="188" spans="1:43" ht="40" customHeight="1">
      <c r="A188" s="5" t="s">
        <v>189</v>
      </c>
      <c r="B188" s="5" t="s">
        <v>202</v>
      </c>
      <c r="C188" s="11" t="s">
        <v>191</v>
      </c>
      <c r="D188" s="7" t="s">
        <v>203</v>
      </c>
      <c r="E188" s="12">
        <v>10.8</v>
      </c>
      <c r="F188" s="12">
        <v>10.2</v>
      </c>
      <c r="G188" s="12">
        <v>10.6</v>
      </c>
      <c r="H188" s="12">
        <v>11</v>
      </c>
      <c r="I188" s="12">
        <v>10.3</v>
      </c>
      <c r="J188" s="12">
        <v>10.7</v>
      </c>
      <c r="K188" s="12">
        <v>10.1</v>
      </c>
      <c r="L188" s="12">
        <v>10.5</v>
      </c>
      <c r="M188" s="12">
        <v>10</v>
      </c>
      <c r="N188" s="12">
        <v>10.4</v>
      </c>
      <c r="O188" s="13">
        <f>IF(COUNT(AG188:AP188)&gt;0,MIN(AG188:AP188),"")</f>
        <v>10</v>
      </c>
      <c r="P188" s="13">
        <f>IF(COUNT(AG188:AP188)&gt;0,MAX(AG188:AP188),"")</f>
        <v>11</v>
      </c>
      <c r="Q188" s="13">
        <f>IF(ISNUMBER(O188),P188-O188,"")</f>
        <v>1</v>
      </c>
      <c r="R188" s="13">
        <f>IF(ISNUMBER(O188),IF(C188="Ручная",IF($S$192&gt;0,$R$192*Q188/$S$192,IF($W$192=9,$R$192,0)),0),"")</f>
        <v>0</v>
      </c>
      <c r="S188" s="13">
        <f>IF(ISNUMBER(O188),O188+R188,"")</f>
        <v>10</v>
      </c>
      <c r="T188" s="13">
        <f>IF(ISNUMBER(S188),P188-S188,"")</f>
        <v>1</v>
      </c>
      <c r="U188" s="13">
        <f>IF(COUNT(AG188:AP188)&gt;0,AVERAGE(AG188:AP188),"")</f>
        <v>10.46</v>
      </c>
      <c r="AG188" s="13">
        <f>IF(ISNUMBER(E$192),E188,"")</f>
        <v>10.8</v>
      </c>
      <c r="AH188" s="13">
        <f>IF(ISNUMBER(F$192),F188,"")</f>
        <v>10.2</v>
      </c>
      <c r="AI188" s="13">
        <f>IF(ISNUMBER(G$192),G188,"")</f>
        <v>10.6</v>
      </c>
      <c r="AJ188" s="13">
        <f>IF(ISNUMBER(H$192),H188,"")</f>
        <v>11</v>
      </c>
      <c r="AK188" s="13">
        <f>IF(ISNUMBER(I$192),I188,"")</f>
        <v>10.3</v>
      </c>
      <c r="AL188" s="13">
        <f>IF(ISNUMBER(J$192),J188,"")</f>
        <v>10.7</v>
      </c>
      <c r="AM188" s="13">
        <f>IF(ISNUMBER(K$192),K188,"")</f>
        <v>10.1</v>
      </c>
      <c r="AN188" s="13">
        <f>IF(ISNUMBER(L$192),L188,"")</f>
        <v>10.5</v>
      </c>
      <c r="AO188" s="13">
        <f>IF(ISNUMBER(M$192),M188,"")</f>
        <v>10</v>
      </c>
      <c r="AP188" s="13">
        <f>IF(ISNUMBER(N$192),N188,"")</f>
        <v>10.4</v>
      </c>
      <c r="AQ188" s="13">
        <f>IF(C188="Ручная",O188,0)</f>
        <v>0</v>
      </c>
    </row>
    <row r="189" spans="1:43" ht="40" customHeight="1">
      <c r="A189" s="5" t="s">
        <v>189</v>
      </c>
      <c r="B189" s="5" t="s">
        <v>204</v>
      </c>
      <c r="C189" s="11" t="s">
        <v>191</v>
      </c>
      <c r="D189" s="7" t="s">
        <v>205</v>
      </c>
      <c r="E189" s="12">
        <v>11</v>
      </c>
      <c r="F189" s="12">
        <v>10.3</v>
      </c>
      <c r="G189" s="12">
        <v>10.7</v>
      </c>
      <c r="H189" s="12">
        <v>10.1</v>
      </c>
      <c r="I189" s="12">
        <v>10.5</v>
      </c>
      <c r="J189" s="12">
        <v>10</v>
      </c>
      <c r="K189" s="12">
        <v>10.4</v>
      </c>
      <c r="L189" s="12">
        <v>10.8</v>
      </c>
      <c r="M189" s="12">
        <v>10.2</v>
      </c>
      <c r="N189" s="12">
        <v>10.6</v>
      </c>
      <c r="O189" s="13">
        <f>IF(COUNT(AG189:AP189)&gt;0,MIN(AG189:AP189),"")</f>
        <v>10</v>
      </c>
      <c r="P189" s="13">
        <f>IF(COUNT(AG189:AP189)&gt;0,MAX(AG189:AP189),"")</f>
        <v>11</v>
      </c>
      <c r="Q189" s="13">
        <f>IF(ISNUMBER(O189),P189-O189,"")</f>
        <v>1</v>
      </c>
      <c r="R189" s="13">
        <f>IF(ISNUMBER(O189),IF(C189="Ручная",IF($S$192&gt;0,$R$192*Q189/$S$192,IF($W$192=10,$R$192,0)),0),"")</f>
        <v>0</v>
      </c>
      <c r="S189" s="13">
        <f>IF(ISNUMBER(O189),O189+R189,"")</f>
        <v>10</v>
      </c>
      <c r="T189" s="13">
        <f>IF(ISNUMBER(S189),P189-S189,"")</f>
        <v>1</v>
      </c>
      <c r="U189" s="13">
        <f>IF(COUNT(AG189:AP189)&gt;0,AVERAGE(AG189:AP189),"")</f>
        <v>10.46</v>
      </c>
      <c r="AG189" s="13">
        <f>IF(ISNUMBER(E$192),E189,"")</f>
        <v>11</v>
      </c>
      <c r="AH189" s="13">
        <f>IF(ISNUMBER(F$192),F189,"")</f>
        <v>10.3</v>
      </c>
      <c r="AI189" s="13">
        <f>IF(ISNUMBER(G$192),G189,"")</f>
        <v>10.7</v>
      </c>
      <c r="AJ189" s="13">
        <f>IF(ISNUMBER(H$192),H189,"")</f>
        <v>10.1</v>
      </c>
      <c r="AK189" s="13">
        <f>IF(ISNUMBER(I$192),I189,"")</f>
        <v>10.5</v>
      </c>
      <c r="AL189" s="13">
        <f>IF(ISNUMBER(J$192),J189,"")</f>
        <v>10</v>
      </c>
      <c r="AM189" s="13">
        <f>IF(ISNUMBER(K$192),K189,"")</f>
        <v>10.4</v>
      </c>
      <c r="AN189" s="13">
        <f>IF(ISNUMBER(L$192),L189,"")</f>
        <v>10.8</v>
      </c>
      <c r="AO189" s="13">
        <f>IF(ISNUMBER(M$192),M189,"")</f>
        <v>10.2</v>
      </c>
      <c r="AP189" s="13">
        <f>IF(ISNUMBER(N$192),N189,"")</f>
        <v>10.6</v>
      </c>
      <c r="AQ189" s="13">
        <f>IF(C189="Ручная",O189,0)</f>
        <v>0</v>
      </c>
    </row>
    <row r="190" spans="1:43" ht="40" customHeight="1">
      <c r="A190" s="5" t="s">
        <v>189</v>
      </c>
      <c r="B190" s="5" t="s">
        <v>206</v>
      </c>
      <c r="C190" s="11" t="s">
        <v>207</v>
      </c>
      <c r="D190" s="7" t="s">
        <v>208</v>
      </c>
      <c r="E190" s="12">
        <v>12.12</v>
      </c>
      <c r="F190" s="12">
        <v>12.6</v>
      </c>
      <c r="G190" s="12">
        <v>12</v>
      </c>
      <c r="H190" s="12">
        <v>12.48</v>
      </c>
      <c r="I190" s="12">
        <v>12.96</v>
      </c>
      <c r="J190" s="12">
        <v>12.24</v>
      </c>
      <c r="K190" s="12">
        <v>12.72</v>
      </c>
      <c r="L190" s="12">
        <v>13.2</v>
      </c>
      <c r="M190" s="12">
        <v>12.36</v>
      </c>
      <c r="N190" s="12">
        <v>12.84</v>
      </c>
      <c r="O190" s="13">
        <f>IF(COUNT(AG190:AP190)&gt;0,MIN(AG190:AP190),"")</f>
        <v>12</v>
      </c>
      <c r="P190" s="13">
        <f>IF(COUNT(AG190:AP190)&gt;0,MAX(AG190:AP190),"")</f>
        <v>13.2</v>
      </c>
      <c r="Q190" s="13">
        <f>IF(ISNUMBER(O190),P190-O190,"")</f>
        <v>1.2</v>
      </c>
      <c r="R190" s="13">
        <f>IF(ISNUMBER(O190),IF(C190="Ручная",IF($S$192&gt;0,$R$192*Q190/$S$192,IF($W$192=11,$R$192,0)),0),"")</f>
        <v>0</v>
      </c>
      <c r="S190" s="13">
        <f>IF(ISNUMBER(O190),O190+R190,"")</f>
        <v>12</v>
      </c>
      <c r="T190" s="13">
        <f>IF(ISNUMBER(S190),P190-S190,"")</f>
        <v>1.2</v>
      </c>
      <c r="U190" s="13">
        <f>IF(COUNT(AG190:AP190)&gt;0,AVERAGE(AG190:AP190),"")</f>
        <v>12.552</v>
      </c>
      <c r="AG190" s="13">
        <f>IF(ISNUMBER(E$192),E190,"")</f>
        <v>12.12</v>
      </c>
      <c r="AH190" s="13">
        <f>IF(ISNUMBER(F$192),F190,"")</f>
        <v>12.6</v>
      </c>
      <c r="AI190" s="13">
        <f>IF(ISNUMBER(G$192),G190,"")</f>
        <v>12</v>
      </c>
      <c r="AJ190" s="13">
        <f>IF(ISNUMBER(H$192),H190,"")</f>
        <v>12.48</v>
      </c>
      <c r="AK190" s="13">
        <f>IF(ISNUMBER(I$192),I190,"")</f>
        <v>12.96</v>
      </c>
      <c r="AL190" s="13">
        <f>IF(ISNUMBER(J$192),J190,"")</f>
        <v>12.24</v>
      </c>
      <c r="AM190" s="13">
        <f>IF(ISNUMBER(K$192),K190,"")</f>
        <v>12.72</v>
      </c>
      <c r="AN190" s="13">
        <f>IF(ISNUMBER(L$192),L190,"")</f>
        <v>13.2</v>
      </c>
      <c r="AO190" s="13">
        <f>IF(ISNUMBER(M$192),M190,"")</f>
        <v>12.36</v>
      </c>
      <c r="AP190" s="13">
        <f>IF(ISNUMBER(N$192),N190,"")</f>
        <v>12.84</v>
      </c>
      <c r="AQ190" s="13">
        <f>IF(C190="Ручная",O190,0)</f>
        <v>0</v>
      </c>
    </row>
    <row r="191" spans="1:43" ht="23" customHeight="1">
      <c r="B191" s="4" t="s">
        <v>209</v>
      </c>
      <c r="E191" s="6">
        <f>IF(COUNT(E180:E190)=11,SUM(E180:E190),"")</f>
        <v>547.73</v>
      </c>
      <c r="F191" s="6">
        <f>IF(COUNT(F180:F190)=11,SUM(F180:F190),"")</f>
        <v>552.37</v>
      </c>
      <c r="G191" s="6">
        <f>IF(COUNT(G180:G190)=11,SUM(G180:G190),"")</f>
        <v>546.68</v>
      </c>
      <c r="H191" s="6">
        <f>IF(COUNT(H180:H190)=11,SUM(H180:H190),"")</f>
        <v>550.66</v>
      </c>
      <c r="I191" s="6">
        <f>IF(COUNT(I180:I190)=11,SUM(I180:I190),"")</f>
        <v>552.42</v>
      </c>
      <c r="J191" s="6">
        <f>IF(COUNT(J180:J190)=11,SUM(J180:J190),"")</f>
        <v>550.23</v>
      </c>
      <c r="K191" s="6">
        <f>IF(COUNT(K180:K190)=11,SUM(K180:K190),"")</f>
        <v>551.76</v>
      </c>
      <c r="L191" s="6">
        <f>IF(COUNT(L180:L190)=11,SUM(L180:L190),"")</f>
        <v>549.84</v>
      </c>
      <c r="M191" s="6">
        <f>IF(COUNT(M180:M190)=11,SUM(M180:M190),"")</f>
        <v>549.93</v>
      </c>
      <c r="N191" s="6">
        <f>IF(COUNT(N180:N190)=11,SUM(N180:N190),"")</f>
        <v>548.32</v>
      </c>
      <c r="O191" s="6">
        <f>IF(COUNT(O180:O190)=11,SUM(O180:O190),"")</f>
        <v>539</v>
      </c>
      <c r="P191" s="6">
        <f>IF(COUNT(P180:P190)=11,SUM(P180:P190),"")</f>
        <v>562.9</v>
      </c>
      <c r="Q191" s="6">
        <f>IF(COUNT(Q180:Q190)=11,SUM(Q180:Q190),"")</f>
        <v>23.9</v>
      </c>
      <c r="R191" s="6">
        <f>IF(COUNT(R180:R190)=11,SUM(R180:R190),"")</f>
        <v>7.68000000000006</v>
      </c>
      <c r="S191" s="6">
        <f>IF(COUNT(S180:S190)=11,SUM(S180:S190),"")</f>
        <v>546.68</v>
      </c>
      <c r="T191" s="6">
        <f>IF(COUNT(T180:T190)=11,SUM(T180:T190),"")</f>
        <v>16.2199999999999</v>
      </c>
      <c r="U191" s="6">
        <f>IF(COUNT(U180:U190)=11,SUM(U180:U190),"")</f>
        <v>549.994</v>
      </c>
    </row>
    <row r="192" spans="1:43" ht="23" customHeight="1">
      <c r="B192" s="4" t="s">
        <v>210</v>
      </c>
      <c r="E192" s="6">
        <f>IF(AND(E178=1,COUNT(E180:E190)=11,MIN(E180:E190)&gt;=0),E191,"")</f>
        <v>547.73</v>
      </c>
      <c r="F192" s="6">
        <f>IF(AND(F178=1,COUNT(F180:F190)=11,MIN(F180:F190)&gt;=0),F191,"")</f>
        <v>552.37</v>
      </c>
      <c r="G192" s="6">
        <f>IF(AND(G178=1,COUNT(G180:G190)=11,MIN(G180:G190)&gt;=0),G191,"")</f>
        <v>546.68</v>
      </c>
      <c r="H192" s="6">
        <f>IF(AND(H178=1,COUNT(H180:H190)=11,MIN(H180:H190)&gt;=0),H191,"")</f>
        <v>550.66</v>
      </c>
      <c r="I192" s="6">
        <f>IF(AND(I178=1,COUNT(I180:I190)=11,MIN(I180:I190)&gt;=0),I191,"")</f>
        <v>552.42</v>
      </c>
      <c r="J192" s="6">
        <f>IF(AND(J178=1,COUNT(J180:J190)=11,MIN(J180:J190)&gt;=0),J191,"")</f>
        <v>550.23</v>
      </c>
      <c r="K192" s="6">
        <f>IF(AND(K178=1,COUNT(K180:K190)=11,MIN(K180:K190)&gt;=0),K191,"")</f>
        <v>551.76</v>
      </c>
      <c r="L192" s="6">
        <f>IF(AND(L178=1,COUNT(L180:L190)=11,MIN(L180:L190)&gt;=0),L191,"")</f>
        <v>549.84</v>
      </c>
      <c r="M192" s="6">
        <f>IF(AND(M178=1,COUNT(M180:M190)=11,MIN(M180:M190)&gt;=0),M191,"")</f>
        <v>549.93</v>
      </c>
      <c r="N192" s="6">
        <f>IF(AND(N178=1,COUNT(N180:N190)=11,MIN(N180:N190)&gt;=0),N191,"")</f>
        <v>548.32</v>
      </c>
      <c r="O192" s="6">
        <f>IF(COUNT(E192:N192)&gt;0,MIN(E192:N192),"")</f>
        <v>546.68</v>
      </c>
      <c r="P192" s="6">
        <f>IF(COUNT(E192:N192)&gt;0,MAX(E192:N192),"")</f>
        <v>552.42</v>
      </c>
      <c r="Q192" s="6">
        <f>IF(ISNUMBER(O192),P192-O192,"")</f>
        <v>5.74000000000001</v>
      </c>
      <c r="R192" s="6">
        <f>IF(ISNUMBER(O192),MAX(0,O192-O191),"")</f>
        <v>7.68000000000006</v>
      </c>
      <c r="S192" s="6">
        <f>SUMIF(C180:C190,"Ручная",Q180:Q190)</f>
        <v>19.5</v>
      </c>
      <c r="T192" s="6">
        <f>COUNT(E192:N192)</f>
        <v>10</v>
      </c>
      <c r="U192" s="6">
        <f>IF(COUNT(E192:N192)&gt;0,AVERAGE(E192:N192),"")</f>
        <v>549.994</v>
      </c>
      <c r="V192" s="6">
        <f>IF(ISNUMBER(O192),S191-O192,"")</f>
        <v>0</v>
      </c>
      <c r="W192" s="6">
        <f>MATCH(MAX(AQ180:AQ190),AQ180:AQ190,0)</f>
        <v>2</v>
      </c>
      <c r="X192" s="17" t="str">
        <f>IF(T192=0,"НЕТ ЗАМЕРОВ",IF(T192&lt;10,"МЕНЕЕ 10 ЦИКЛОВ",IF(ABS(V192)&lt;0.000001,"ОК","ОШИБКА РЕГУЛИРОВКИ")))</f>
        <v>ОК</v>
      </c>
    </row>
    <row r="193" spans="1:43" ht="23" customHeight="1">
      <c r="A193" s="7" t="s">
        <v>211</v>
      </c>
      <c r="B193" s="7"/>
      <c r="C193" s="7"/>
      <c r="D193" s="7"/>
      <c r="E193" s="7"/>
      <c r="F193" s="7"/>
      <c r="G193" s="7"/>
      <c r="H193" s="7"/>
      <c r="I193" s="7"/>
      <c r="J193" s="7"/>
      <c r="K193" s="7"/>
      <c r="L193" s="7"/>
      <c r="M193" s="7"/>
      <c r="N193" s="7"/>
      <c r="O193" s="7"/>
      <c r="P193" s="7"/>
      <c r="Q193" s="7"/>
      <c r="R193" s="7"/>
      <c r="S193" s="7"/>
      <c r="T193" s="7"/>
      <c r="U193" s="7"/>
      <c r="V193" s="7"/>
      <c r="W193" s="7"/>
      <c r="X193" s="7"/>
    </row>
    <row r="196" spans="1:43" ht="23" customHeight="1">
      <c r="A196" s="4" t="s">
        <v>220</v>
      </c>
      <c r="B196" s="4"/>
      <c r="C196" s="4"/>
      <c r="D196" s="4"/>
      <c r="E196" s="4"/>
      <c r="F196" s="4"/>
      <c r="G196" s="4"/>
      <c r="H196" s="4"/>
      <c r="I196" s="4"/>
      <c r="J196" s="4"/>
      <c r="K196" s="4"/>
      <c r="L196" s="4"/>
      <c r="M196" s="4"/>
      <c r="N196" s="4"/>
      <c r="O196" s="4"/>
      <c r="P196" s="4"/>
      <c r="Q196" s="4"/>
      <c r="R196" s="4"/>
      <c r="S196" s="4"/>
      <c r="T196" s="4"/>
      <c r="U196" s="4"/>
      <c r="V196" s="4"/>
      <c r="W196" s="4"/>
      <c r="X196" s="4"/>
    </row>
    <row r="197" spans="1:43" ht="23" customHeight="1">
      <c r="A197" s="7" t="str">
        <f>"Масса замера, кг: "&amp;'Ассортимент'!J17&amp;". Все замеры одной партии/исполнителя/условий. Основание: "&amp;'Ввод'!B14</f>
        <v>Масса замера, кг: 5. Все замеры одной партии/исполнителя/условий. Основание: ДЕМО: синтетические замеры; заменить фактическими</v>
      </c>
      <c r="B197" s="7"/>
      <c r="C197" s="7"/>
      <c r="D197" s="7"/>
      <c r="E197" s="7"/>
      <c r="F197" s="7"/>
      <c r="G197" s="7"/>
      <c r="H197" s="7"/>
      <c r="I197" s="7"/>
      <c r="J197" s="7"/>
      <c r="K197" s="7"/>
      <c r="L197" s="7"/>
      <c r="M197" s="7"/>
      <c r="N197" s="7"/>
      <c r="O197" s="7"/>
      <c r="P197" s="7"/>
      <c r="Q197" s="7"/>
      <c r="R197" s="7"/>
      <c r="S197" s="7"/>
      <c r="T197" s="7"/>
      <c r="U197" s="7"/>
      <c r="V197" s="7"/>
      <c r="W197" s="7"/>
      <c r="X197" s="7"/>
    </row>
    <row r="198" spans="1:43" ht="44" customHeight="1">
      <c r="A198" s="8" t="s">
        <v>113</v>
      </c>
      <c r="B198" s="8" t="s">
        <v>156</v>
      </c>
      <c r="C198" s="8" t="s">
        <v>157</v>
      </c>
      <c r="D198" s="8" t="s">
        <v>158</v>
      </c>
      <c r="E198" s="8" t="s">
        <v>159</v>
      </c>
      <c r="F198" s="8" t="s">
        <v>160</v>
      </c>
      <c r="G198" s="8" t="s">
        <v>161</v>
      </c>
      <c r="H198" s="8" t="s">
        <v>162</v>
      </c>
      <c r="I198" s="8" t="s">
        <v>163</v>
      </c>
      <c r="J198" s="8" t="s">
        <v>164</v>
      </c>
      <c r="K198" s="8" t="s">
        <v>165</v>
      </c>
      <c r="L198" s="8" t="s">
        <v>166</v>
      </c>
      <c r="M198" s="8" t="s">
        <v>167</v>
      </c>
      <c r="N198" s="8" t="s">
        <v>168</v>
      </c>
      <c r="O198" s="8" t="s">
        <v>169</v>
      </c>
      <c r="P198" s="8" t="s">
        <v>170</v>
      </c>
      <c r="Q198" s="8" t="s">
        <v>171</v>
      </c>
      <c r="R198" s="8" t="s">
        <v>172</v>
      </c>
      <c r="S198" s="8" t="s">
        <v>173</v>
      </c>
      <c r="T198" s="8" t="s">
        <v>174</v>
      </c>
      <c r="U198" s="8" t="s">
        <v>175</v>
      </c>
      <c r="V198" s="8" t="s">
        <v>176</v>
      </c>
      <c r="W198" s="8" t="s">
        <v>177</v>
      </c>
      <c r="X198" s="8" t="s">
        <v>178</v>
      </c>
    </row>
    <row r="199" spans="1:43" ht="23" customHeight="1">
      <c r="B199" s="5" t="s">
        <v>179</v>
      </c>
      <c r="E199" s="12">
        <v>1</v>
      </c>
      <c r="F199" s="12">
        <v>1</v>
      </c>
      <c r="G199" s="12">
        <v>1</v>
      </c>
      <c r="H199" s="12">
        <v>1</v>
      </c>
      <c r="I199" s="12">
        <v>1</v>
      </c>
      <c r="J199" s="12">
        <v>1</v>
      </c>
      <c r="K199" s="12">
        <v>1</v>
      </c>
      <c r="L199" s="12">
        <v>1</v>
      </c>
      <c r="M199" s="12">
        <v>1</v>
      </c>
      <c r="N199" s="12">
        <v>1</v>
      </c>
    </row>
    <row r="200" spans="1:43" ht="33" customHeight="1">
      <c r="B200" s="5" t="s">
        <v>180</v>
      </c>
      <c r="E200" s="9" t="s">
        <v>181</v>
      </c>
      <c r="F200" s="9" t="s">
        <v>181</v>
      </c>
      <c r="G200" s="9" t="s">
        <v>181</v>
      </c>
      <c r="H200" s="9" t="s">
        <v>181</v>
      </c>
      <c r="I200" s="9" t="s">
        <v>181</v>
      </c>
      <c r="J200" s="9" t="s">
        <v>181</v>
      </c>
      <c r="K200" s="9" t="s">
        <v>181</v>
      </c>
      <c r="L200" s="9" t="s">
        <v>181</v>
      </c>
      <c r="M200" s="9" t="s">
        <v>181</v>
      </c>
      <c r="N200" s="9" t="s">
        <v>181</v>
      </c>
    </row>
    <row r="201" spans="1:43" ht="40" customHeight="1">
      <c r="A201" s="5">
        <v>1</v>
      </c>
      <c r="B201" s="5" t="s">
        <v>182</v>
      </c>
      <c r="C201" s="11" t="s">
        <v>183</v>
      </c>
      <c r="D201" s="7" t="s">
        <v>184</v>
      </c>
      <c r="E201" s="12">
        <v>26.25</v>
      </c>
      <c r="F201" s="12">
        <v>25</v>
      </c>
      <c r="G201" s="12">
        <v>26</v>
      </c>
      <c r="H201" s="12">
        <v>27</v>
      </c>
      <c r="I201" s="12">
        <v>25.5</v>
      </c>
      <c r="J201" s="12">
        <v>26.5</v>
      </c>
      <c r="K201" s="12">
        <v>27.5</v>
      </c>
      <c r="L201" s="12">
        <v>25.75</v>
      </c>
      <c r="M201" s="12">
        <v>26.75</v>
      </c>
      <c r="N201" s="12">
        <v>25.25</v>
      </c>
      <c r="O201" s="13">
        <f>IF(COUNT(AG201:AP201)&gt;0,MIN(AG201:AP201),"")</f>
        <v>25</v>
      </c>
      <c r="P201" s="13">
        <f>IF(COUNT(AG201:AP201)&gt;0,MAX(AG201:AP201),"")</f>
        <v>27.5</v>
      </c>
      <c r="Q201" s="13">
        <f>IF(ISNUMBER(O201),P201-O201,"")</f>
        <v>2.5</v>
      </c>
      <c r="R201" s="13">
        <f>IF(ISNUMBER(O201),IF(C201="Ручная",IF($S$213&gt;0,$R$213*Q201/$S$213,IF($W$213=1,$R$213,0)),0),"")</f>
        <v>1.04000000000001</v>
      </c>
      <c r="S201" s="13">
        <f>IF(ISNUMBER(O201),O201+R201,"")</f>
        <v>26.04</v>
      </c>
      <c r="T201" s="13">
        <f>IF(ISNUMBER(S201),P201-S201,"")</f>
        <v>1.45999999999999</v>
      </c>
      <c r="U201" s="13">
        <f>IF(COUNT(AG201:AP201)&gt;0,AVERAGE(AG201:AP201),"")</f>
        <v>26.15</v>
      </c>
      <c r="AG201" s="13">
        <f>IF(ISNUMBER(E$213),E201,"")</f>
        <v>26.25</v>
      </c>
      <c r="AH201" s="13">
        <f>IF(ISNUMBER(F$213),F201,"")</f>
        <v>25</v>
      </c>
      <c r="AI201" s="13">
        <f>IF(ISNUMBER(G$213),G201,"")</f>
        <v>26</v>
      </c>
      <c r="AJ201" s="13">
        <f>IF(ISNUMBER(H$213),H201,"")</f>
        <v>27</v>
      </c>
      <c r="AK201" s="13">
        <f>IF(ISNUMBER(I$213),I201,"")</f>
        <v>25.5</v>
      </c>
      <c r="AL201" s="13">
        <f>IF(ISNUMBER(J$213),J201,"")</f>
        <v>26.5</v>
      </c>
      <c r="AM201" s="13">
        <f>IF(ISNUMBER(K$213),K201,"")</f>
        <v>27.5</v>
      </c>
      <c r="AN201" s="13">
        <f>IF(ISNUMBER(L$213),L201,"")</f>
        <v>25.75</v>
      </c>
      <c r="AO201" s="13">
        <f>IF(ISNUMBER(M$213),M201,"")</f>
        <v>26.75</v>
      </c>
      <c r="AP201" s="13">
        <f>IF(ISNUMBER(N$213),N201,"")</f>
        <v>25.25</v>
      </c>
      <c r="AQ201" s="13">
        <f>IF(C201="Ручная",O201,0)</f>
        <v>25</v>
      </c>
    </row>
    <row r="202" spans="1:43" ht="40" customHeight="1">
      <c r="A202" s="5">
        <v>2</v>
      </c>
      <c r="B202" s="5" t="s">
        <v>185</v>
      </c>
      <c r="C202" s="11" t="s">
        <v>183</v>
      </c>
      <c r="D202" s="7" t="s">
        <v>186</v>
      </c>
      <c r="E202" s="12">
        <v>48.6</v>
      </c>
      <c r="F202" s="12">
        <v>45.9</v>
      </c>
      <c r="G202" s="12">
        <v>47.7</v>
      </c>
      <c r="H202" s="12">
        <v>49.5</v>
      </c>
      <c r="I202" s="12">
        <v>46.35</v>
      </c>
      <c r="J202" s="12">
        <v>48.15</v>
      </c>
      <c r="K202" s="12">
        <v>45.45</v>
      </c>
      <c r="L202" s="12">
        <v>47.25</v>
      </c>
      <c r="M202" s="12">
        <v>45</v>
      </c>
      <c r="N202" s="12">
        <v>46.8</v>
      </c>
      <c r="O202" s="13">
        <f>IF(COUNT(AG202:AP202)&gt;0,MIN(AG202:AP202),"")</f>
        <v>45</v>
      </c>
      <c r="P202" s="13">
        <f>IF(COUNT(AG202:AP202)&gt;0,MAX(AG202:AP202),"")</f>
        <v>49.5</v>
      </c>
      <c r="Q202" s="13">
        <f>IF(ISNUMBER(O202),P202-O202,"")</f>
        <v>4.5</v>
      </c>
      <c r="R202" s="13">
        <f>IF(ISNUMBER(O202),IF(C202="Ручная",IF($S$213&gt;0,$R$213*Q202/$S$213,IF($W$213=2,$R$213,0)),0),"")</f>
        <v>1.87200000000002</v>
      </c>
      <c r="S202" s="13">
        <f>IF(ISNUMBER(O202),O202+R202,"")</f>
        <v>46.872</v>
      </c>
      <c r="T202" s="13">
        <f>IF(ISNUMBER(S202),P202-S202,"")</f>
        <v>2.62799999999998</v>
      </c>
      <c r="U202" s="13">
        <f>IF(COUNT(AG202:AP202)&gt;0,AVERAGE(AG202:AP202),"")</f>
        <v>47.07</v>
      </c>
      <c r="AG202" s="13">
        <f>IF(ISNUMBER(E$213),E202,"")</f>
        <v>48.6</v>
      </c>
      <c r="AH202" s="13">
        <f>IF(ISNUMBER(F$213),F202,"")</f>
        <v>45.9</v>
      </c>
      <c r="AI202" s="13">
        <f>IF(ISNUMBER(G$213),G202,"")</f>
        <v>47.7</v>
      </c>
      <c r="AJ202" s="13">
        <f>IF(ISNUMBER(H$213),H202,"")</f>
        <v>49.5</v>
      </c>
      <c r="AK202" s="13">
        <f>IF(ISNUMBER(I$213),I202,"")</f>
        <v>46.35</v>
      </c>
      <c r="AL202" s="13">
        <f>IF(ISNUMBER(J$213),J202,"")</f>
        <v>48.15</v>
      </c>
      <c r="AM202" s="13">
        <f>IF(ISNUMBER(K$213),K202,"")</f>
        <v>45.45</v>
      </c>
      <c r="AN202" s="13">
        <f>IF(ISNUMBER(L$213),L202,"")</f>
        <v>47.25</v>
      </c>
      <c r="AO202" s="13">
        <f>IF(ISNUMBER(M$213),M202,"")</f>
        <v>45</v>
      </c>
      <c r="AP202" s="13">
        <f>IF(ISNUMBER(N$213),N202,"")</f>
        <v>46.8</v>
      </c>
      <c r="AQ202" s="13">
        <f>IF(C202="Ручная",O202,0)</f>
        <v>45</v>
      </c>
    </row>
    <row r="203" spans="1:43" ht="40" customHeight="1">
      <c r="A203" s="5">
        <v>3</v>
      </c>
      <c r="B203" s="5" t="s">
        <v>187</v>
      </c>
      <c r="C203" s="11" t="s">
        <v>183</v>
      </c>
      <c r="D203" s="7" t="s">
        <v>188</v>
      </c>
      <c r="E203" s="12">
        <v>24.2</v>
      </c>
      <c r="F203" s="12">
        <v>22.66</v>
      </c>
      <c r="G203" s="12">
        <v>23.54</v>
      </c>
      <c r="H203" s="12">
        <v>22.22</v>
      </c>
      <c r="I203" s="12">
        <v>23.1</v>
      </c>
      <c r="J203" s="12">
        <v>22</v>
      </c>
      <c r="K203" s="12">
        <v>22.88</v>
      </c>
      <c r="L203" s="12">
        <v>23.76</v>
      </c>
      <c r="M203" s="12">
        <v>22.44</v>
      </c>
      <c r="N203" s="12">
        <v>23.32</v>
      </c>
      <c r="O203" s="13">
        <f>IF(COUNT(AG203:AP203)&gt;0,MIN(AG203:AP203),"")</f>
        <v>22</v>
      </c>
      <c r="P203" s="13">
        <f>IF(COUNT(AG203:AP203)&gt;0,MAX(AG203:AP203),"")</f>
        <v>24.2</v>
      </c>
      <c r="Q203" s="13">
        <f>IF(ISNUMBER(O203),P203-O203,"")</f>
        <v>2.2</v>
      </c>
      <c r="R203" s="13">
        <f>IF(ISNUMBER(O203),IF(C203="Ручная",IF($S$213&gt;0,$R$213*Q203/$S$213,IF($W$213=3,$R$213,0)),0),"")</f>
        <v>0.915200000000011</v>
      </c>
      <c r="S203" s="13">
        <f>IF(ISNUMBER(O203),O203+R203,"")</f>
        <v>22.9152</v>
      </c>
      <c r="T203" s="13">
        <f>IF(ISNUMBER(S203),P203-S203,"")</f>
        <v>1.28479999999999</v>
      </c>
      <c r="U203" s="13">
        <f>IF(COUNT(AG203:AP203)&gt;0,AVERAGE(AG203:AP203),"")</f>
        <v>23.012</v>
      </c>
      <c r="AG203" s="13">
        <f>IF(ISNUMBER(E$213),E203,"")</f>
        <v>24.2</v>
      </c>
      <c r="AH203" s="13">
        <f>IF(ISNUMBER(F$213),F203,"")</f>
        <v>22.66</v>
      </c>
      <c r="AI203" s="13">
        <f>IF(ISNUMBER(G$213),G203,"")</f>
        <v>23.54</v>
      </c>
      <c r="AJ203" s="13">
        <f>IF(ISNUMBER(H$213),H203,"")</f>
        <v>22.22</v>
      </c>
      <c r="AK203" s="13">
        <f>IF(ISNUMBER(I$213),I203,"")</f>
        <v>23.1</v>
      </c>
      <c r="AL203" s="13">
        <f>IF(ISNUMBER(J$213),J203,"")</f>
        <v>22</v>
      </c>
      <c r="AM203" s="13">
        <f>IF(ISNUMBER(K$213),K203,"")</f>
        <v>22.88</v>
      </c>
      <c r="AN203" s="13">
        <f>IF(ISNUMBER(L$213),L203,"")</f>
        <v>23.76</v>
      </c>
      <c r="AO203" s="13">
        <f>IF(ISNUMBER(M$213),M203,"")</f>
        <v>22.44</v>
      </c>
      <c r="AP203" s="13">
        <f>IF(ISNUMBER(N$213),N203,"")</f>
        <v>23.32</v>
      </c>
      <c r="AQ203" s="13">
        <f>IF(C203="Ручная",O203,0)</f>
        <v>22</v>
      </c>
    </row>
    <row r="204" spans="1:43" ht="40" customHeight="1">
      <c r="A204" s="5" t="s">
        <v>189</v>
      </c>
      <c r="B204" s="5" t="s">
        <v>190</v>
      </c>
      <c r="C204" s="11" t="s">
        <v>191</v>
      </c>
      <c r="D204" s="7" t="s">
        <v>192</v>
      </c>
      <c r="E204" s="12">
        <v>12.12</v>
      </c>
      <c r="F204" s="12">
        <v>12.6</v>
      </c>
      <c r="G204" s="12">
        <v>12</v>
      </c>
      <c r="H204" s="12">
        <v>12.48</v>
      </c>
      <c r="I204" s="12">
        <v>12.96</v>
      </c>
      <c r="J204" s="12">
        <v>12.24</v>
      </c>
      <c r="K204" s="12">
        <v>12.72</v>
      </c>
      <c r="L204" s="12">
        <v>13.2</v>
      </c>
      <c r="M204" s="12">
        <v>12.36</v>
      </c>
      <c r="N204" s="12">
        <v>12.84</v>
      </c>
      <c r="O204" s="13">
        <f>IF(COUNT(AG204:AP204)&gt;0,MIN(AG204:AP204),"")</f>
        <v>12</v>
      </c>
      <c r="P204" s="13">
        <f>IF(COUNT(AG204:AP204)&gt;0,MAX(AG204:AP204),"")</f>
        <v>13.2</v>
      </c>
      <c r="Q204" s="13">
        <f>IF(ISNUMBER(O204),P204-O204,"")</f>
        <v>1.2</v>
      </c>
      <c r="R204" s="13">
        <f>IF(ISNUMBER(O204),IF(C204="Ручная",IF($S$213&gt;0,$R$213*Q204/$S$213,IF($W$213=4,$R$213,0)),0),"")</f>
        <v>0</v>
      </c>
      <c r="S204" s="13">
        <f>IF(ISNUMBER(O204),O204+R204,"")</f>
        <v>12</v>
      </c>
      <c r="T204" s="13">
        <f>IF(ISNUMBER(S204),P204-S204,"")</f>
        <v>1.2</v>
      </c>
      <c r="U204" s="13">
        <f>IF(COUNT(AG204:AP204)&gt;0,AVERAGE(AG204:AP204),"")</f>
        <v>12.552</v>
      </c>
      <c r="AG204" s="13">
        <f>IF(ISNUMBER(E$213),E204,"")</f>
        <v>12.12</v>
      </c>
      <c r="AH204" s="13">
        <f>IF(ISNUMBER(F$213),F204,"")</f>
        <v>12.6</v>
      </c>
      <c r="AI204" s="13">
        <f>IF(ISNUMBER(G$213),G204,"")</f>
        <v>12</v>
      </c>
      <c r="AJ204" s="13">
        <f>IF(ISNUMBER(H$213),H204,"")</f>
        <v>12.48</v>
      </c>
      <c r="AK204" s="13">
        <f>IF(ISNUMBER(I$213),I204,"")</f>
        <v>12.96</v>
      </c>
      <c r="AL204" s="13">
        <f>IF(ISNUMBER(J$213),J204,"")</f>
        <v>12.24</v>
      </c>
      <c r="AM204" s="13">
        <f>IF(ISNUMBER(K$213),K204,"")</f>
        <v>12.72</v>
      </c>
      <c r="AN204" s="13">
        <f>IF(ISNUMBER(L$213),L204,"")</f>
        <v>13.2</v>
      </c>
      <c r="AO204" s="13">
        <f>IF(ISNUMBER(M$213),M204,"")</f>
        <v>12.36</v>
      </c>
      <c r="AP204" s="13">
        <f>IF(ISNUMBER(N$213),N204,"")</f>
        <v>12.84</v>
      </c>
      <c r="AQ204" s="13">
        <f>IF(C204="Ручная",O204,0)</f>
        <v>0</v>
      </c>
    </row>
    <row r="205" spans="1:43" ht="40" customHeight="1">
      <c r="A205" s="5">
        <v>5</v>
      </c>
      <c r="B205" s="5" t="s">
        <v>193</v>
      </c>
      <c r="C205" s="11" t="s">
        <v>183</v>
      </c>
      <c r="D205" s="7" t="s">
        <v>194</v>
      </c>
      <c r="E205" s="12">
        <v>36.4</v>
      </c>
      <c r="F205" s="12">
        <v>37.8</v>
      </c>
      <c r="G205" s="12">
        <v>35.7</v>
      </c>
      <c r="H205" s="12">
        <v>37.1</v>
      </c>
      <c r="I205" s="12">
        <v>38.5</v>
      </c>
      <c r="J205" s="12">
        <v>36.05</v>
      </c>
      <c r="K205" s="12">
        <v>37.45</v>
      </c>
      <c r="L205" s="12">
        <v>35.35</v>
      </c>
      <c r="M205" s="12">
        <v>36.75</v>
      </c>
      <c r="N205" s="12">
        <v>35</v>
      </c>
      <c r="O205" s="13">
        <f>IF(COUNT(AG205:AP205)&gt;0,MIN(AG205:AP205),"")</f>
        <v>35</v>
      </c>
      <c r="P205" s="13">
        <f>IF(COUNT(AG205:AP205)&gt;0,MAX(AG205:AP205),"")</f>
        <v>38.5</v>
      </c>
      <c r="Q205" s="13">
        <f>IF(ISNUMBER(O205),P205-O205,"")</f>
        <v>3.5</v>
      </c>
      <c r="R205" s="13">
        <f>IF(ISNUMBER(O205),IF(C205="Ручная",IF($S$213&gt;0,$R$213*Q205/$S$213,IF($W$213=5,$R$213,0)),0),"")</f>
        <v>1.45600000000002</v>
      </c>
      <c r="S205" s="13">
        <f>IF(ISNUMBER(O205),O205+R205,"")</f>
        <v>36.456</v>
      </c>
      <c r="T205" s="13">
        <f>IF(ISNUMBER(S205),P205-S205,"")</f>
        <v>2.04399999999998</v>
      </c>
      <c r="U205" s="13">
        <f>IF(COUNT(AG205:AP205)&gt;0,AVERAGE(AG205:AP205),"")</f>
        <v>36.61</v>
      </c>
      <c r="AG205" s="13">
        <f>IF(ISNUMBER(E$213),E205,"")</f>
        <v>36.4</v>
      </c>
      <c r="AH205" s="13">
        <f>IF(ISNUMBER(F$213),F205,"")</f>
        <v>37.8</v>
      </c>
      <c r="AI205" s="13">
        <f>IF(ISNUMBER(G$213),G205,"")</f>
        <v>35.7</v>
      </c>
      <c r="AJ205" s="13">
        <f>IF(ISNUMBER(H$213),H205,"")</f>
        <v>37.1</v>
      </c>
      <c r="AK205" s="13">
        <f>IF(ISNUMBER(I$213),I205,"")</f>
        <v>38.5</v>
      </c>
      <c r="AL205" s="13">
        <f>IF(ISNUMBER(J$213),J205,"")</f>
        <v>36.05</v>
      </c>
      <c r="AM205" s="13">
        <f>IF(ISNUMBER(K$213),K205,"")</f>
        <v>37.45</v>
      </c>
      <c r="AN205" s="13">
        <f>IF(ISNUMBER(L$213),L205,"")</f>
        <v>35.35</v>
      </c>
      <c r="AO205" s="13">
        <f>IF(ISNUMBER(M$213),M205,"")</f>
        <v>36.75</v>
      </c>
      <c r="AP205" s="13">
        <f>IF(ISNUMBER(N$213),N205,"")</f>
        <v>35</v>
      </c>
      <c r="AQ205" s="13">
        <f>IF(C205="Ручная",O205,0)</f>
        <v>35</v>
      </c>
    </row>
    <row r="206" spans="1:43" ht="40" customHeight="1">
      <c r="A206" s="5" t="s">
        <v>189</v>
      </c>
      <c r="B206" s="5" t="s">
        <v>195</v>
      </c>
      <c r="C206" s="11" t="s">
        <v>196</v>
      </c>
      <c r="D206" s="7" t="s">
        <v>197</v>
      </c>
      <c r="E206" s="18">
        <f>'Ассортимент'!R17</f>
        <v>300</v>
      </c>
      <c r="F206" s="18">
        <f>'Ассортимент'!R17</f>
        <v>300</v>
      </c>
      <c r="G206" s="18">
        <f>'Ассортимент'!R17</f>
        <v>300</v>
      </c>
      <c r="H206" s="18">
        <f>'Ассортимент'!R17</f>
        <v>300</v>
      </c>
      <c r="I206" s="18">
        <f>'Ассортимент'!R17</f>
        <v>300</v>
      </c>
      <c r="J206" s="18">
        <f>'Ассортимент'!R17</f>
        <v>300</v>
      </c>
      <c r="K206" s="18">
        <f>'Ассортимент'!R17</f>
        <v>300</v>
      </c>
      <c r="L206" s="18">
        <f>'Ассортимент'!R17</f>
        <v>300</v>
      </c>
      <c r="M206" s="18">
        <f>'Ассортимент'!R17</f>
        <v>300</v>
      </c>
      <c r="N206" s="18">
        <f>'Ассортимент'!R17</f>
        <v>300</v>
      </c>
      <c r="O206" s="13">
        <f>IF(COUNT(AG206:AP206)&gt;0,MIN(AG206:AP206),"")</f>
        <v>300</v>
      </c>
      <c r="P206" s="13">
        <f>IF(COUNT(AG206:AP206)&gt;0,MAX(AG206:AP206),"")</f>
        <v>300</v>
      </c>
      <c r="Q206" s="13">
        <f>IF(ISNUMBER(O206),P206-O206,"")</f>
        <v>0</v>
      </c>
      <c r="R206" s="13">
        <f>IF(ISNUMBER(O206),IF(C206="Ручная",IF($S$213&gt;0,$R$213*Q206/$S$213,IF($W$213=6,$R$213,0)),0),"")</f>
        <v>0</v>
      </c>
      <c r="S206" s="13">
        <f>IF(ISNUMBER(O206),O206+R206,"")</f>
        <v>300</v>
      </c>
      <c r="T206" s="13">
        <f>IF(ISNUMBER(S206),P206-S206,"")</f>
        <v>0</v>
      </c>
      <c r="U206" s="13">
        <f>IF(COUNT(AG206:AP206)&gt;0,AVERAGE(AG206:AP206),"")</f>
        <v>300</v>
      </c>
      <c r="AG206" s="13">
        <f>IF(ISNUMBER(E$213),E206,"")</f>
        <v>300</v>
      </c>
      <c r="AH206" s="13">
        <f>IF(ISNUMBER(F$213),F206,"")</f>
        <v>300</v>
      </c>
      <c r="AI206" s="13">
        <f>IF(ISNUMBER(G$213),G206,"")</f>
        <v>300</v>
      </c>
      <c r="AJ206" s="13">
        <f>IF(ISNUMBER(H$213),H206,"")</f>
        <v>300</v>
      </c>
      <c r="AK206" s="13">
        <f>IF(ISNUMBER(I$213),I206,"")</f>
        <v>300</v>
      </c>
      <c r="AL206" s="13">
        <f>IF(ISNUMBER(J$213),J206,"")</f>
        <v>300</v>
      </c>
      <c r="AM206" s="13">
        <f>IF(ISNUMBER(K$213),K206,"")</f>
        <v>300</v>
      </c>
      <c r="AN206" s="13">
        <f>IF(ISNUMBER(L$213),L206,"")</f>
        <v>300</v>
      </c>
      <c r="AO206" s="13">
        <f>IF(ISNUMBER(M$213),M206,"")</f>
        <v>300</v>
      </c>
      <c r="AP206" s="13">
        <f>IF(ISNUMBER(N$213),N206,"")</f>
        <v>300</v>
      </c>
      <c r="AQ206" s="13">
        <f>IF(C206="Ручная",O206,0)</f>
        <v>0</v>
      </c>
    </row>
    <row r="207" spans="1:43" ht="40" customHeight="1">
      <c r="A207" s="5">
        <v>7</v>
      </c>
      <c r="B207" s="5" t="s">
        <v>198</v>
      </c>
      <c r="C207" s="11" t="s">
        <v>183</v>
      </c>
      <c r="D207" s="7" t="s">
        <v>199</v>
      </c>
      <c r="E207" s="12">
        <v>32.1</v>
      </c>
      <c r="F207" s="12">
        <v>30.3</v>
      </c>
      <c r="G207" s="12">
        <v>31.5</v>
      </c>
      <c r="H207" s="12">
        <v>30</v>
      </c>
      <c r="I207" s="12">
        <v>31.2</v>
      </c>
      <c r="J207" s="12">
        <v>32.4</v>
      </c>
      <c r="K207" s="12">
        <v>30.6</v>
      </c>
      <c r="L207" s="12">
        <v>31.8</v>
      </c>
      <c r="M207" s="12">
        <v>33</v>
      </c>
      <c r="N207" s="12">
        <v>30.9</v>
      </c>
      <c r="O207" s="13">
        <f>IF(COUNT(AG207:AP207)&gt;0,MIN(AG207:AP207),"")</f>
        <v>30</v>
      </c>
      <c r="P207" s="13">
        <f>IF(COUNT(AG207:AP207)&gt;0,MAX(AG207:AP207),"")</f>
        <v>33</v>
      </c>
      <c r="Q207" s="13">
        <f>IF(ISNUMBER(O207),P207-O207,"")</f>
        <v>3</v>
      </c>
      <c r="R207" s="13">
        <f>IF(ISNUMBER(O207),IF(C207="Ручная",IF($S$213&gt;0,$R$213*Q207/$S$213,IF($W$213=7,$R$213,0)),0),"")</f>
        <v>1.24800000000001</v>
      </c>
      <c r="S207" s="13">
        <f>IF(ISNUMBER(O207),O207+R207,"")</f>
        <v>31.248</v>
      </c>
      <c r="T207" s="13">
        <f>IF(ISNUMBER(S207),P207-S207,"")</f>
        <v>1.75199999999998</v>
      </c>
      <c r="U207" s="13">
        <f>IF(COUNT(AG207:AP207)&gt;0,AVERAGE(AG207:AP207),"")</f>
        <v>31.38</v>
      </c>
      <c r="AG207" s="13">
        <f>IF(ISNUMBER(E$213),E207,"")</f>
        <v>32.1</v>
      </c>
      <c r="AH207" s="13">
        <f>IF(ISNUMBER(F$213),F207,"")</f>
        <v>30.3</v>
      </c>
      <c r="AI207" s="13">
        <f>IF(ISNUMBER(G$213),G207,"")</f>
        <v>31.5</v>
      </c>
      <c r="AJ207" s="13">
        <f>IF(ISNUMBER(H$213),H207,"")</f>
        <v>30</v>
      </c>
      <c r="AK207" s="13">
        <f>IF(ISNUMBER(I$213),I207,"")</f>
        <v>31.2</v>
      </c>
      <c r="AL207" s="13">
        <f>IF(ISNUMBER(J$213),J207,"")</f>
        <v>32.4</v>
      </c>
      <c r="AM207" s="13">
        <f>IF(ISNUMBER(K$213),K207,"")</f>
        <v>30.6</v>
      </c>
      <c r="AN207" s="13">
        <f>IF(ISNUMBER(L$213),L207,"")</f>
        <v>31.8</v>
      </c>
      <c r="AO207" s="13">
        <f>IF(ISNUMBER(M$213),M207,"")</f>
        <v>33</v>
      </c>
      <c r="AP207" s="13">
        <f>IF(ISNUMBER(N$213),N207,"")</f>
        <v>30.9</v>
      </c>
      <c r="AQ207" s="13">
        <f>IF(C207="Ручная",O207,0)</f>
        <v>30</v>
      </c>
    </row>
    <row r="208" spans="1:43" ht="40" customHeight="1">
      <c r="A208" s="5">
        <v>8</v>
      </c>
      <c r="B208" s="5" t="s">
        <v>200</v>
      </c>
      <c r="C208" s="11" t="s">
        <v>183</v>
      </c>
      <c r="D208" s="7" t="s">
        <v>201</v>
      </c>
      <c r="E208" s="12">
        <v>18</v>
      </c>
      <c r="F208" s="12">
        <v>18.72</v>
      </c>
      <c r="G208" s="12">
        <v>19.44</v>
      </c>
      <c r="H208" s="12">
        <v>18.36</v>
      </c>
      <c r="I208" s="12">
        <v>19.08</v>
      </c>
      <c r="J208" s="12">
        <v>19.8</v>
      </c>
      <c r="K208" s="12">
        <v>18.54</v>
      </c>
      <c r="L208" s="12">
        <v>19.26</v>
      </c>
      <c r="M208" s="12">
        <v>18.18</v>
      </c>
      <c r="N208" s="12">
        <v>18.9</v>
      </c>
      <c r="O208" s="13">
        <f>IF(COUNT(AG208:AP208)&gt;0,MIN(AG208:AP208),"")</f>
        <v>18</v>
      </c>
      <c r="P208" s="13">
        <f>IF(COUNT(AG208:AP208)&gt;0,MAX(AG208:AP208),"")</f>
        <v>19.8</v>
      </c>
      <c r="Q208" s="13">
        <f>IF(ISNUMBER(O208),P208-O208,"")</f>
        <v>1.8</v>
      </c>
      <c r="R208" s="13">
        <f>IF(ISNUMBER(O208),IF(C208="Ручная",IF($S$213&gt;0,$R$213*Q208/$S$213,IF($W$213=8,$R$213,0)),0),"")</f>
        <v>0.748800000000009</v>
      </c>
      <c r="S208" s="13">
        <f>IF(ISNUMBER(O208),O208+R208,"")</f>
        <v>18.7488</v>
      </c>
      <c r="T208" s="13">
        <f>IF(ISNUMBER(S208),P208-S208,"")</f>
        <v>1.05119999999999</v>
      </c>
      <c r="U208" s="13">
        <f>IF(COUNT(AG208:AP208)&gt;0,AVERAGE(AG208:AP208),"")</f>
        <v>18.828</v>
      </c>
      <c r="AG208" s="13">
        <f>IF(ISNUMBER(E$213),E208,"")</f>
        <v>18</v>
      </c>
      <c r="AH208" s="13">
        <f>IF(ISNUMBER(F$213),F208,"")</f>
        <v>18.72</v>
      </c>
      <c r="AI208" s="13">
        <f>IF(ISNUMBER(G$213),G208,"")</f>
        <v>19.44</v>
      </c>
      <c r="AJ208" s="13">
        <f>IF(ISNUMBER(H$213),H208,"")</f>
        <v>18.36</v>
      </c>
      <c r="AK208" s="13">
        <f>IF(ISNUMBER(I$213),I208,"")</f>
        <v>19.08</v>
      </c>
      <c r="AL208" s="13">
        <f>IF(ISNUMBER(J$213),J208,"")</f>
        <v>19.8</v>
      </c>
      <c r="AM208" s="13">
        <f>IF(ISNUMBER(K$213),K208,"")</f>
        <v>18.54</v>
      </c>
      <c r="AN208" s="13">
        <f>IF(ISNUMBER(L$213),L208,"")</f>
        <v>19.26</v>
      </c>
      <c r="AO208" s="13">
        <f>IF(ISNUMBER(M$213),M208,"")</f>
        <v>18.18</v>
      </c>
      <c r="AP208" s="13">
        <f>IF(ISNUMBER(N$213),N208,"")</f>
        <v>18.9</v>
      </c>
      <c r="AQ208" s="13">
        <f>IF(C208="Ручная",O208,0)</f>
        <v>18</v>
      </c>
    </row>
    <row r="209" spans="1:43" ht="40" customHeight="1">
      <c r="A209" s="5" t="s">
        <v>189</v>
      </c>
      <c r="B209" s="5" t="s">
        <v>202</v>
      </c>
      <c r="C209" s="11" t="s">
        <v>191</v>
      </c>
      <c r="D209" s="7" t="s">
        <v>203</v>
      </c>
      <c r="E209" s="12">
        <v>10.2</v>
      </c>
      <c r="F209" s="12">
        <v>10.6</v>
      </c>
      <c r="G209" s="12">
        <v>11</v>
      </c>
      <c r="H209" s="12">
        <v>10.3</v>
      </c>
      <c r="I209" s="12">
        <v>10.7</v>
      </c>
      <c r="J209" s="12">
        <v>10.1</v>
      </c>
      <c r="K209" s="12">
        <v>10.5</v>
      </c>
      <c r="L209" s="12">
        <v>10</v>
      </c>
      <c r="M209" s="12">
        <v>10.4</v>
      </c>
      <c r="N209" s="12">
        <v>10.8</v>
      </c>
      <c r="O209" s="13">
        <f>IF(COUNT(AG209:AP209)&gt;0,MIN(AG209:AP209),"")</f>
        <v>10</v>
      </c>
      <c r="P209" s="13">
        <f>IF(COUNT(AG209:AP209)&gt;0,MAX(AG209:AP209),"")</f>
        <v>11</v>
      </c>
      <c r="Q209" s="13">
        <f>IF(ISNUMBER(O209),P209-O209,"")</f>
        <v>1</v>
      </c>
      <c r="R209" s="13">
        <f>IF(ISNUMBER(O209),IF(C209="Ручная",IF($S$213&gt;0,$R$213*Q209/$S$213,IF($W$213=9,$R$213,0)),0),"")</f>
        <v>0</v>
      </c>
      <c r="S209" s="13">
        <f>IF(ISNUMBER(O209),O209+R209,"")</f>
        <v>10</v>
      </c>
      <c r="T209" s="13">
        <f>IF(ISNUMBER(S209),P209-S209,"")</f>
        <v>1</v>
      </c>
      <c r="U209" s="13">
        <f>IF(COUNT(AG209:AP209)&gt;0,AVERAGE(AG209:AP209),"")</f>
        <v>10.46</v>
      </c>
      <c r="AG209" s="13">
        <f>IF(ISNUMBER(E$213),E209,"")</f>
        <v>10.2</v>
      </c>
      <c r="AH209" s="13">
        <f>IF(ISNUMBER(F$213),F209,"")</f>
        <v>10.6</v>
      </c>
      <c r="AI209" s="13">
        <f>IF(ISNUMBER(G$213),G209,"")</f>
        <v>11</v>
      </c>
      <c r="AJ209" s="13">
        <f>IF(ISNUMBER(H$213),H209,"")</f>
        <v>10.3</v>
      </c>
      <c r="AK209" s="13">
        <f>IF(ISNUMBER(I$213),I209,"")</f>
        <v>10.7</v>
      </c>
      <c r="AL209" s="13">
        <f>IF(ISNUMBER(J$213),J209,"")</f>
        <v>10.1</v>
      </c>
      <c r="AM209" s="13">
        <f>IF(ISNUMBER(K$213),K209,"")</f>
        <v>10.5</v>
      </c>
      <c r="AN209" s="13">
        <f>IF(ISNUMBER(L$213),L209,"")</f>
        <v>10</v>
      </c>
      <c r="AO209" s="13">
        <f>IF(ISNUMBER(M$213),M209,"")</f>
        <v>10.4</v>
      </c>
      <c r="AP209" s="13">
        <f>IF(ISNUMBER(N$213),N209,"")</f>
        <v>10.8</v>
      </c>
      <c r="AQ209" s="13">
        <f>IF(C209="Ручная",O209,0)</f>
        <v>0</v>
      </c>
    </row>
    <row r="210" spans="1:43" ht="40" customHeight="1">
      <c r="A210" s="5" t="s">
        <v>189</v>
      </c>
      <c r="B210" s="5" t="s">
        <v>204</v>
      </c>
      <c r="C210" s="11" t="s">
        <v>191</v>
      </c>
      <c r="D210" s="7" t="s">
        <v>205</v>
      </c>
      <c r="E210" s="12">
        <v>10.3</v>
      </c>
      <c r="F210" s="12">
        <v>10.7</v>
      </c>
      <c r="G210" s="12">
        <v>10.1</v>
      </c>
      <c r="H210" s="12">
        <v>10.5</v>
      </c>
      <c r="I210" s="12">
        <v>10</v>
      </c>
      <c r="J210" s="12">
        <v>10.4</v>
      </c>
      <c r="K210" s="12">
        <v>10.8</v>
      </c>
      <c r="L210" s="12">
        <v>10.2</v>
      </c>
      <c r="M210" s="12">
        <v>10.6</v>
      </c>
      <c r="N210" s="12">
        <v>11</v>
      </c>
      <c r="O210" s="13">
        <f>IF(COUNT(AG210:AP210)&gt;0,MIN(AG210:AP210),"")</f>
        <v>10</v>
      </c>
      <c r="P210" s="13">
        <f>IF(COUNT(AG210:AP210)&gt;0,MAX(AG210:AP210),"")</f>
        <v>11</v>
      </c>
      <c r="Q210" s="13">
        <f>IF(ISNUMBER(O210),P210-O210,"")</f>
        <v>1</v>
      </c>
      <c r="R210" s="13">
        <f>IF(ISNUMBER(O210),IF(C210="Ручная",IF($S$213&gt;0,$R$213*Q210/$S$213,IF($W$213=10,$R$213,0)),0),"")</f>
        <v>0</v>
      </c>
      <c r="S210" s="13">
        <f>IF(ISNUMBER(O210),O210+R210,"")</f>
        <v>10</v>
      </c>
      <c r="T210" s="13">
        <f>IF(ISNUMBER(S210),P210-S210,"")</f>
        <v>1</v>
      </c>
      <c r="U210" s="13">
        <f>IF(COUNT(AG210:AP210)&gt;0,AVERAGE(AG210:AP210),"")</f>
        <v>10.46</v>
      </c>
      <c r="AG210" s="13">
        <f>IF(ISNUMBER(E$213),E210,"")</f>
        <v>10.3</v>
      </c>
      <c r="AH210" s="13">
        <f>IF(ISNUMBER(F$213),F210,"")</f>
        <v>10.7</v>
      </c>
      <c r="AI210" s="13">
        <f>IF(ISNUMBER(G$213),G210,"")</f>
        <v>10.1</v>
      </c>
      <c r="AJ210" s="13">
        <f>IF(ISNUMBER(H$213),H210,"")</f>
        <v>10.5</v>
      </c>
      <c r="AK210" s="13">
        <f>IF(ISNUMBER(I$213),I210,"")</f>
        <v>10</v>
      </c>
      <c r="AL210" s="13">
        <f>IF(ISNUMBER(J$213),J210,"")</f>
        <v>10.4</v>
      </c>
      <c r="AM210" s="13">
        <f>IF(ISNUMBER(K$213),K210,"")</f>
        <v>10.8</v>
      </c>
      <c r="AN210" s="13">
        <f>IF(ISNUMBER(L$213),L210,"")</f>
        <v>10.2</v>
      </c>
      <c r="AO210" s="13">
        <f>IF(ISNUMBER(M$213),M210,"")</f>
        <v>10.6</v>
      </c>
      <c r="AP210" s="13">
        <f>IF(ISNUMBER(N$213),N210,"")</f>
        <v>11</v>
      </c>
      <c r="AQ210" s="13">
        <f>IF(C210="Ручная",O210,0)</f>
        <v>0</v>
      </c>
    </row>
    <row r="211" spans="1:43" ht="40" customHeight="1">
      <c r="A211" s="5" t="s">
        <v>189</v>
      </c>
      <c r="B211" s="5" t="s">
        <v>206</v>
      </c>
      <c r="C211" s="11" t="s">
        <v>207</v>
      </c>
      <c r="D211" s="7" t="s">
        <v>208</v>
      </c>
      <c r="E211" s="12">
        <v>12.6</v>
      </c>
      <c r="F211" s="12">
        <v>12</v>
      </c>
      <c r="G211" s="12">
        <v>12.48</v>
      </c>
      <c r="H211" s="12">
        <v>12.96</v>
      </c>
      <c r="I211" s="12">
        <v>12.24</v>
      </c>
      <c r="J211" s="12">
        <v>12.72</v>
      </c>
      <c r="K211" s="12">
        <v>13.2</v>
      </c>
      <c r="L211" s="12">
        <v>12.36</v>
      </c>
      <c r="M211" s="12">
        <v>12.84</v>
      </c>
      <c r="N211" s="12">
        <v>12.12</v>
      </c>
      <c r="O211" s="13">
        <f>IF(COUNT(AG211:AP211)&gt;0,MIN(AG211:AP211),"")</f>
        <v>12</v>
      </c>
      <c r="P211" s="13">
        <f>IF(COUNT(AG211:AP211)&gt;0,MAX(AG211:AP211),"")</f>
        <v>13.2</v>
      </c>
      <c r="Q211" s="13">
        <f>IF(ISNUMBER(O211),P211-O211,"")</f>
        <v>1.2</v>
      </c>
      <c r="R211" s="13">
        <f>IF(ISNUMBER(O211),IF(C211="Ручная",IF($S$213&gt;0,$R$213*Q211/$S$213,IF($W$213=11,$R$213,0)),0),"")</f>
        <v>0</v>
      </c>
      <c r="S211" s="13">
        <f>IF(ISNUMBER(O211),O211+R211,"")</f>
        <v>12</v>
      </c>
      <c r="T211" s="13">
        <f>IF(ISNUMBER(S211),P211-S211,"")</f>
        <v>1.2</v>
      </c>
      <c r="U211" s="13">
        <f>IF(COUNT(AG211:AP211)&gt;0,AVERAGE(AG211:AP211),"")</f>
        <v>12.552</v>
      </c>
      <c r="AG211" s="13">
        <f>IF(ISNUMBER(E$213),E211,"")</f>
        <v>12.6</v>
      </c>
      <c r="AH211" s="13">
        <f>IF(ISNUMBER(F$213),F211,"")</f>
        <v>12</v>
      </c>
      <c r="AI211" s="13">
        <f>IF(ISNUMBER(G$213),G211,"")</f>
        <v>12.48</v>
      </c>
      <c r="AJ211" s="13">
        <f>IF(ISNUMBER(H$213),H211,"")</f>
        <v>12.96</v>
      </c>
      <c r="AK211" s="13">
        <f>IF(ISNUMBER(I$213),I211,"")</f>
        <v>12.24</v>
      </c>
      <c r="AL211" s="13">
        <f>IF(ISNUMBER(J$213),J211,"")</f>
        <v>12.72</v>
      </c>
      <c r="AM211" s="13">
        <f>IF(ISNUMBER(K$213),K211,"")</f>
        <v>13.2</v>
      </c>
      <c r="AN211" s="13">
        <f>IF(ISNUMBER(L$213),L211,"")</f>
        <v>12.36</v>
      </c>
      <c r="AO211" s="13">
        <f>IF(ISNUMBER(M$213),M211,"")</f>
        <v>12.84</v>
      </c>
      <c r="AP211" s="13">
        <f>IF(ISNUMBER(N$213),N211,"")</f>
        <v>12.12</v>
      </c>
      <c r="AQ211" s="13">
        <f>IF(C211="Ручная",O211,0)</f>
        <v>0</v>
      </c>
    </row>
    <row r="212" spans="1:43" ht="23" customHeight="1">
      <c r="B212" s="4" t="s">
        <v>209</v>
      </c>
      <c r="E212" s="6">
        <f>IF(COUNT(E201:E211)=11,SUM(E201:E211),"")</f>
        <v>530.77</v>
      </c>
      <c r="F212" s="6">
        <f>IF(COUNT(F201:F211)=11,SUM(F201:F211),"")</f>
        <v>526.28</v>
      </c>
      <c r="G212" s="6">
        <f>IF(COUNT(G201:G211)=11,SUM(G201:G211),"")</f>
        <v>529.46</v>
      </c>
      <c r="H212" s="6">
        <f>IF(COUNT(H201:H211)=11,SUM(H201:H211),"")</f>
        <v>530.42</v>
      </c>
      <c r="I212" s="6">
        <f>IF(COUNT(I201:I211)=11,SUM(I201:I211),"")</f>
        <v>529.63</v>
      </c>
      <c r="J212" s="6">
        <f>IF(COUNT(J201:J211)=11,SUM(J201:J211),"")</f>
        <v>530.36</v>
      </c>
      <c r="K212" s="6">
        <f>IF(COUNT(K201:K211)=11,SUM(K201:K211),"")</f>
        <v>529.64</v>
      </c>
      <c r="L212" s="6">
        <f>IF(COUNT(L201:L211)=11,SUM(L201:L211),"")</f>
        <v>528.93</v>
      </c>
      <c r="M212" s="6">
        <f>IF(COUNT(M201:M211)=11,SUM(M201:M211),"")</f>
        <v>528.32</v>
      </c>
      <c r="N212" s="6">
        <f>IF(COUNT(N201:N211)=11,SUM(N201:N211),"")</f>
        <v>526.93</v>
      </c>
      <c r="O212" s="6">
        <f>IF(COUNT(O201:O211)=11,SUM(O201:O211),"")</f>
        <v>519</v>
      </c>
      <c r="P212" s="6">
        <f>IF(COUNT(P201:P211)=11,SUM(P201:P211),"")</f>
        <v>540.9</v>
      </c>
      <c r="Q212" s="6">
        <f>IF(COUNT(Q201:Q211)=11,SUM(Q201:Q211),"")</f>
        <v>21.9</v>
      </c>
      <c r="R212" s="6">
        <f>IF(COUNT(R201:R211)=11,SUM(R201:R211),"")</f>
        <v>7.28000000000009</v>
      </c>
      <c r="S212" s="6">
        <f>IF(COUNT(S201:S211)=11,SUM(S201:S211),"")</f>
        <v>526.28</v>
      </c>
      <c r="T212" s="6">
        <f>IF(COUNT(T201:T211)=11,SUM(T201:T211),"")</f>
        <v>14.6199999999999</v>
      </c>
      <c r="U212" s="6">
        <f>IF(COUNT(U201:U211)=11,SUM(U201:U211),"")</f>
        <v>529.074</v>
      </c>
    </row>
    <row r="213" spans="1:43" ht="23" customHeight="1">
      <c r="B213" s="4" t="s">
        <v>210</v>
      </c>
      <c r="E213" s="6">
        <f>IF(AND(E199=1,COUNT(E201:E211)=11,MIN(E201:E211)&gt;=0),E212,"")</f>
        <v>530.77</v>
      </c>
      <c r="F213" s="6">
        <f>IF(AND(F199=1,COUNT(F201:F211)=11,MIN(F201:F211)&gt;=0),F212,"")</f>
        <v>526.28</v>
      </c>
      <c r="G213" s="6">
        <f>IF(AND(G199=1,COUNT(G201:G211)=11,MIN(G201:G211)&gt;=0),G212,"")</f>
        <v>529.46</v>
      </c>
      <c r="H213" s="6">
        <f>IF(AND(H199=1,COUNT(H201:H211)=11,MIN(H201:H211)&gt;=0),H212,"")</f>
        <v>530.42</v>
      </c>
      <c r="I213" s="6">
        <f>IF(AND(I199=1,COUNT(I201:I211)=11,MIN(I201:I211)&gt;=0),I212,"")</f>
        <v>529.63</v>
      </c>
      <c r="J213" s="6">
        <f>IF(AND(J199=1,COUNT(J201:J211)=11,MIN(J201:J211)&gt;=0),J212,"")</f>
        <v>530.36</v>
      </c>
      <c r="K213" s="6">
        <f>IF(AND(K199=1,COUNT(K201:K211)=11,MIN(K201:K211)&gt;=0),K212,"")</f>
        <v>529.64</v>
      </c>
      <c r="L213" s="6">
        <f>IF(AND(L199=1,COUNT(L201:L211)=11,MIN(L201:L211)&gt;=0),L212,"")</f>
        <v>528.93</v>
      </c>
      <c r="M213" s="6">
        <f>IF(AND(M199=1,COUNT(M201:M211)=11,MIN(M201:M211)&gt;=0),M212,"")</f>
        <v>528.32</v>
      </c>
      <c r="N213" s="6">
        <f>IF(AND(N199=1,COUNT(N201:N211)=11,MIN(N201:N211)&gt;=0),N212,"")</f>
        <v>526.93</v>
      </c>
      <c r="O213" s="6">
        <f>IF(COUNT(E213:N213)&gt;0,MIN(E213:N213),"")</f>
        <v>526.28</v>
      </c>
      <c r="P213" s="6">
        <f>IF(COUNT(E213:N213)&gt;0,MAX(E213:N213),"")</f>
        <v>530.77</v>
      </c>
      <c r="Q213" s="6">
        <f>IF(ISNUMBER(O213),P213-O213,"")</f>
        <v>4.4899999999999</v>
      </c>
      <c r="R213" s="6">
        <f>IF(ISNUMBER(O213),MAX(0,O213-O212),"")</f>
        <v>7.28000000000009</v>
      </c>
      <c r="S213" s="6">
        <f>SUMIF(C201:C211,"Ручная",Q201:Q211)</f>
        <v>17.5</v>
      </c>
      <c r="T213" s="6">
        <f>COUNT(E213:N213)</f>
        <v>10</v>
      </c>
      <c r="U213" s="6">
        <f>IF(COUNT(E213:N213)&gt;0,AVERAGE(E213:N213),"")</f>
        <v>529.074</v>
      </c>
      <c r="V213" s="6">
        <f>IF(ISNUMBER(O213),S212-O213,"")</f>
        <v>0</v>
      </c>
      <c r="W213" s="6">
        <f>MATCH(MAX(AQ201:AQ211),AQ201:AQ211,0)</f>
        <v>2</v>
      </c>
      <c r="X213" s="17" t="str">
        <f>IF(T213=0,"НЕТ ЗАМЕРОВ",IF(T213&lt;10,"МЕНЕЕ 10 ЦИКЛОВ",IF(ABS(V213)&lt;0.000001,"ОК","ОШИБКА РЕГУЛИРОВКИ")))</f>
        <v>ОК</v>
      </c>
    </row>
    <row r="214" spans="1:43" ht="23" customHeight="1">
      <c r="A214" s="7" t="s">
        <v>211</v>
      </c>
      <c r="B214" s="7"/>
      <c r="C214" s="7"/>
      <c r="D214" s="7"/>
      <c r="E214" s="7"/>
      <c r="F214" s="7"/>
      <c r="G214" s="7"/>
      <c r="H214" s="7"/>
      <c r="I214" s="7"/>
      <c r="J214" s="7"/>
      <c r="K214" s="7"/>
      <c r="L214" s="7"/>
      <c r="M214" s="7"/>
      <c r="N214" s="7"/>
      <c r="O214" s="7"/>
      <c r="P214" s="7"/>
      <c r="Q214" s="7"/>
      <c r="R214" s="7"/>
      <c r="S214" s="7"/>
      <c r="T214" s="7"/>
      <c r="U214" s="7"/>
      <c r="V214" s="7"/>
      <c r="W214" s="7"/>
      <c r="X214" s="7"/>
    </row>
    <row r="217" spans="1:43" ht="23" customHeight="1">
      <c r="A217" s="4" t="s">
        <v>221</v>
      </c>
      <c r="B217" s="4"/>
      <c r="C217" s="4"/>
      <c r="D217" s="4"/>
      <c r="E217" s="4"/>
      <c r="F217" s="4"/>
      <c r="G217" s="4"/>
      <c r="H217" s="4"/>
      <c r="I217" s="4"/>
      <c r="J217" s="4"/>
      <c r="K217" s="4"/>
      <c r="L217" s="4"/>
      <c r="M217" s="4"/>
      <c r="N217" s="4"/>
      <c r="O217" s="4"/>
      <c r="P217" s="4"/>
      <c r="Q217" s="4"/>
      <c r="R217" s="4"/>
      <c r="S217" s="4"/>
      <c r="T217" s="4"/>
      <c r="U217" s="4"/>
      <c r="V217" s="4"/>
      <c r="W217" s="4"/>
      <c r="X217" s="4"/>
    </row>
    <row r="218" spans="1:43" ht="23" customHeight="1">
      <c r="A218" s="7" t="str">
        <f>"Масса замера, кг: "&amp;'Ассортимент'!J18&amp;". Все замеры одной партии/исполнителя/условий. Основание: "&amp;'Ввод'!B14</f>
        <v>Масса замера, кг: 5. Все замеры одной партии/исполнителя/условий. Основание: ДЕМО: синтетические замеры; заменить фактическими</v>
      </c>
      <c r="B218" s="7"/>
      <c r="C218" s="7"/>
      <c r="D218" s="7"/>
      <c r="E218" s="7"/>
      <c r="F218" s="7"/>
      <c r="G218" s="7"/>
      <c r="H218" s="7"/>
      <c r="I218" s="7"/>
      <c r="J218" s="7"/>
      <c r="K218" s="7"/>
      <c r="L218" s="7"/>
      <c r="M218" s="7"/>
      <c r="N218" s="7"/>
      <c r="O218" s="7"/>
      <c r="P218" s="7"/>
      <c r="Q218" s="7"/>
      <c r="R218" s="7"/>
      <c r="S218" s="7"/>
      <c r="T218" s="7"/>
      <c r="U218" s="7"/>
      <c r="V218" s="7"/>
      <c r="W218" s="7"/>
      <c r="X218" s="7"/>
    </row>
    <row r="219" spans="1:43" ht="44" customHeight="1">
      <c r="A219" s="8" t="s">
        <v>113</v>
      </c>
      <c r="B219" s="8" t="s">
        <v>156</v>
      </c>
      <c r="C219" s="8" t="s">
        <v>157</v>
      </c>
      <c r="D219" s="8" t="s">
        <v>158</v>
      </c>
      <c r="E219" s="8" t="s">
        <v>159</v>
      </c>
      <c r="F219" s="8" t="s">
        <v>160</v>
      </c>
      <c r="G219" s="8" t="s">
        <v>161</v>
      </c>
      <c r="H219" s="8" t="s">
        <v>162</v>
      </c>
      <c r="I219" s="8" t="s">
        <v>163</v>
      </c>
      <c r="J219" s="8" t="s">
        <v>164</v>
      </c>
      <c r="K219" s="8" t="s">
        <v>165</v>
      </c>
      <c r="L219" s="8" t="s">
        <v>166</v>
      </c>
      <c r="M219" s="8" t="s">
        <v>167</v>
      </c>
      <c r="N219" s="8" t="s">
        <v>168</v>
      </c>
      <c r="O219" s="8" t="s">
        <v>169</v>
      </c>
      <c r="P219" s="8" t="s">
        <v>170</v>
      </c>
      <c r="Q219" s="8" t="s">
        <v>171</v>
      </c>
      <c r="R219" s="8" t="s">
        <v>172</v>
      </c>
      <c r="S219" s="8" t="s">
        <v>173</v>
      </c>
      <c r="T219" s="8" t="s">
        <v>174</v>
      </c>
      <c r="U219" s="8" t="s">
        <v>175</v>
      </c>
      <c r="V219" s="8" t="s">
        <v>176</v>
      </c>
      <c r="W219" s="8" t="s">
        <v>177</v>
      </c>
      <c r="X219" s="8" t="s">
        <v>178</v>
      </c>
    </row>
    <row r="220" spans="1:43" ht="23" customHeight="1">
      <c r="B220" s="5" t="s">
        <v>179</v>
      </c>
      <c r="E220" s="12">
        <v>1</v>
      </c>
      <c r="F220" s="12">
        <v>1</v>
      </c>
      <c r="G220" s="12">
        <v>1</v>
      </c>
      <c r="H220" s="12">
        <v>1</v>
      </c>
      <c r="I220" s="12">
        <v>1</v>
      </c>
      <c r="J220" s="12">
        <v>1</v>
      </c>
      <c r="K220" s="12">
        <v>1</v>
      </c>
      <c r="L220" s="12">
        <v>1</v>
      </c>
      <c r="M220" s="12">
        <v>1</v>
      </c>
      <c r="N220" s="12">
        <v>1</v>
      </c>
    </row>
    <row r="221" spans="1:43" ht="33" customHeight="1">
      <c r="B221" s="5" t="s">
        <v>180</v>
      </c>
      <c r="E221" s="9" t="s">
        <v>181</v>
      </c>
      <c r="F221" s="9" t="s">
        <v>181</v>
      </c>
      <c r="G221" s="9" t="s">
        <v>181</v>
      </c>
      <c r="H221" s="9" t="s">
        <v>181</v>
      </c>
      <c r="I221" s="9" t="s">
        <v>181</v>
      </c>
      <c r="J221" s="9" t="s">
        <v>181</v>
      </c>
      <c r="K221" s="9" t="s">
        <v>181</v>
      </c>
      <c r="L221" s="9" t="s">
        <v>181</v>
      </c>
      <c r="M221" s="9" t="s">
        <v>181</v>
      </c>
      <c r="N221" s="9" t="s">
        <v>181</v>
      </c>
    </row>
    <row r="222" spans="1:43" ht="40" customHeight="1">
      <c r="A222" s="5">
        <v>1</v>
      </c>
      <c r="B222" s="5" t="s">
        <v>182</v>
      </c>
      <c r="C222" s="11" t="s">
        <v>183</v>
      </c>
      <c r="D222" s="7" t="s">
        <v>184</v>
      </c>
      <c r="E222" s="12">
        <v>25</v>
      </c>
      <c r="F222" s="12">
        <v>26</v>
      </c>
      <c r="G222" s="12">
        <v>27</v>
      </c>
      <c r="H222" s="12">
        <v>25.5</v>
      </c>
      <c r="I222" s="12">
        <v>26.5</v>
      </c>
      <c r="J222" s="12">
        <v>27.5</v>
      </c>
      <c r="K222" s="12">
        <v>25.75</v>
      </c>
      <c r="L222" s="12">
        <v>26.75</v>
      </c>
      <c r="M222" s="12">
        <v>25.25</v>
      </c>
      <c r="N222" s="12">
        <v>26.25</v>
      </c>
      <c r="O222" s="13">
        <f>IF(COUNT(AG222:AP222)&gt;0,MIN(AG222:AP222),"")</f>
        <v>25</v>
      </c>
      <c r="P222" s="13">
        <f>IF(COUNT(AG222:AP222)&gt;0,MAX(AG222:AP222),"")</f>
        <v>27.5</v>
      </c>
      <c r="Q222" s="13">
        <f>IF(ISNUMBER(O222),P222-O222,"")</f>
        <v>2.5</v>
      </c>
      <c r="R222" s="13">
        <f>IF(ISNUMBER(O222),IF(C222="Ручная",IF($S$234&gt;0,$R$234*Q222/$S$234,IF($W$234=1,$R$234,0)),0),"")</f>
        <v>1.07272727272726</v>
      </c>
      <c r="S222" s="13">
        <f>IF(ISNUMBER(O222),O222+R222,"")</f>
        <v>26.0727272727273</v>
      </c>
      <c r="T222" s="13">
        <f>IF(ISNUMBER(S222),P222-S222,"")</f>
        <v>1.42727272727274</v>
      </c>
      <c r="U222" s="13">
        <f>IF(COUNT(AG222:AP222)&gt;0,AVERAGE(AG222:AP222),"")</f>
        <v>26.15</v>
      </c>
      <c r="AG222" s="13">
        <f>IF(ISNUMBER(E$234),E222,"")</f>
        <v>25</v>
      </c>
      <c r="AH222" s="13">
        <f>IF(ISNUMBER(F$234),F222,"")</f>
        <v>26</v>
      </c>
      <c r="AI222" s="13">
        <f>IF(ISNUMBER(G$234),G222,"")</f>
        <v>27</v>
      </c>
      <c r="AJ222" s="13">
        <f>IF(ISNUMBER(H$234),H222,"")</f>
        <v>25.5</v>
      </c>
      <c r="AK222" s="13">
        <f>IF(ISNUMBER(I$234),I222,"")</f>
        <v>26.5</v>
      </c>
      <c r="AL222" s="13">
        <f>IF(ISNUMBER(J$234),J222,"")</f>
        <v>27.5</v>
      </c>
      <c r="AM222" s="13">
        <f>IF(ISNUMBER(K$234),K222,"")</f>
        <v>25.75</v>
      </c>
      <c r="AN222" s="13">
        <f>IF(ISNUMBER(L$234),L222,"")</f>
        <v>26.75</v>
      </c>
      <c r="AO222" s="13">
        <f>IF(ISNUMBER(M$234),M222,"")</f>
        <v>25.25</v>
      </c>
      <c r="AP222" s="13">
        <f>IF(ISNUMBER(N$234),N222,"")</f>
        <v>26.25</v>
      </c>
      <c r="AQ222" s="13">
        <f>IF(C222="Ручная",O222,0)</f>
        <v>25</v>
      </c>
    </row>
    <row r="223" spans="1:43" ht="40" customHeight="1">
      <c r="A223" s="5">
        <v>2</v>
      </c>
      <c r="B223" s="5" t="s">
        <v>185</v>
      </c>
      <c r="C223" s="11" t="s">
        <v>183</v>
      </c>
      <c r="D223" s="7" t="s">
        <v>186</v>
      </c>
      <c r="E223" s="12">
        <v>35.7</v>
      </c>
      <c r="F223" s="12">
        <v>37.1</v>
      </c>
      <c r="G223" s="12">
        <v>38.5</v>
      </c>
      <c r="H223" s="12">
        <v>36.05</v>
      </c>
      <c r="I223" s="12">
        <v>37.45</v>
      </c>
      <c r="J223" s="12">
        <v>35.35</v>
      </c>
      <c r="K223" s="12">
        <v>36.75</v>
      </c>
      <c r="L223" s="12">
        <v>35</v>
      </c>
      <c r="M223" s="12">
        <v>36.4</v>
      </c>
      <c r="N223" s="12">
        <v>37.8</v>
      </c>
      <c r="O223" s="13">
        <f>IF(COUNT(AG223:AP223)&gt;0,MIN(AG223:AP223),"")</f>
        <v>35</v>
      </c>
      <c r="P223" s="13">
        <f>IF(COUNT(AG223:AP223)&gt;0,MAX(AG223:AP223),"")</f>
        <v>38.5</v>
      </c>
      <c r="Q223" s="13">
        <f>IF(ISNUMBER(O223),P223-O223,"")</f>
        <v>3.5</v>
      </c>
      <c r="R223" s="13">
        <f>IF(ISNUMBER(O223),IF(C223="Ручная",IF($S$234&gt;0,$R$234*Q223/$S$234,IF($W$234=2,$R$234,0)),0),"")</f>
        <v>1.50181818181817</v>
      </c>
      <c r="S223" s="13">
        <f>IF(ISNUMBER(O223),O223+R223,"")</f>
        <v>36.5018181818182</v>
      </c>
      <c r="T223" s="13">
        <f>IF(ISNUMBER(S223),P223-S223,"")</f>
        <v>1.99818181818183</v>
      </c>
      <c r="U223" s="13">
        <f>IF(COUNT(AG223:AP223)&gt;0,AVERAGE(AG223:AP223),"")</f>
        <v>36.61</v>
      </c>
      <c r="AG223" s="13">
        <f>IF(ISNUMBER(E$234),E223,"")</f>
        <v>35.7</v>
      </c>
      <c r="AH223" s="13">
        <f>IF(ISNUMBER(F$234),F223,"")</f>
        <v>37.1</v>
      </c>
      <c r="AI223" s="13">
        <f>IF(ISNUMBER(G$234),G223,"")</f>
        <v>38.5</v>
      </c>
      <c r="AJ223" s="13">
        <f>IF(ISNUMBER(H$234),H223,"")</f>
        <v>36.05</v>
      </c>
      <c r="AK223" s="13">
        <f>IF(ISNUMBER(I$234),I223,"")</f>
        <v>37.45</v>
      </c>
      <c r="AL223" s="13">
        <f>IF(ISNUMBER(J$234),J223,"")</f>
        <v>35.35</v>
      </c>
      <c r="AM223" s="13">
        <f>IF(ISNUMBER(K$234),K223,"")</f>
        <v>36.75</v>
      </c>
      <c r="AN223" s="13">
        <f>IF(ISNUMBER(L$234),L223,"")</f>
        <v>35</v>
      </c>
      <c r="AO223" s="13">
        <f>IF(ISNUMBER(M$234),M223,"")</f>
        <v>36.4</v>
      </c>
      <c r="AP223" s="13">
        <f>IF(ISNUMBER(N$234),N223,"")</f>
        <v>37.8</v>
      </c>
      <c r="AQ223" s="13">
        <f>IF(C223="Ручная",O223,0)</f>
        <v>35</v>
      </c>
    </row>
    <row r="224" spans="1:43" ht="40" customHeight="1">
      <c r="A224" s="5">
        <v>3</v>
      </c>
      <c r="B224" s="5" t="s">
        <v>187</v>
      </c>
      <c r="C224" s="11" t="s">
        <v>183</v>
      </c>
      <c r="D224" s="7" t="s">
        <v>188</v>
      </c>
      <c r="E224" s="12">
        <v>22.66</v>
      </c>
      <c r="F224" s="12">
        <v>23.54</v>
      </c>
      <c r="G224" s="12">
        <v>22.22</v>
      </c>
      <c r="H224" s="12">
        <v>23.1</v>
      </c>
      <c r="I224" s="12">
        <v>22</v>
      </c>
      <c r="J224" s="12">
        <v>22.88</v>
      </c>
      <c r="K224" s="12">
        <v>23.76</v>
      </c>
      <c r="L224" s="12">
        <v>22.44</v>
      </c>
      <c r="M224" s="12">
        <v>23.32</v>
      </c>
      <c r="N224" s="12">
        <v>24.2</v>
      </c>
      <c r="O224" s="13">
        <f>IF(COUNT(AG224:AP224)&gt;0,MIN(AG224:AP224),"")</f>
        <v>22</v>
      </c>
      <c r="P224" s="13">
        <f>IF(COUNT(AG224:AP224)&gt;0,MAX(AG224:AP224),"")</f>
        <v>24.2</v>
      </c>
      <c r="Q224" s="13">
        <f>IF(ISNUMBER(O224),P224-O224,"")</f>
        <v>2.2</v>
      </c>
      <c r="R224" s="13">
        <f>IF(ISNUMBER(O224),IF(C224="Ручная",IF($S$234&gt;0,$R$234*Q224/$S$234,IF($W$234=3,$R$234,0)),0),"")</f>
        <v>0.94399999999999</v>
      </c>
      <c r="S224" s="13">
        <f>IF(ISNUMBER(O224),O224+R224,"")</f>
        <v>22.944</v>
      </c>
      <c r="T224" s="13">
        <f>IF(ISNUMBER(S224),P224-S224,"")</f>
        <v>1.25600000000001</v>
      </c>
      <c r="U224" s="13">
        <f>IF(COUNT(AG224:AP224)&gt;0,AVERAGE(AG224:AP224),"")</f>
        <v>23.012</v>
      </c>
      <c r="AG224" s="13">
        <f>IF(ISNUMBER(E$234),E224,"")</f>
        <v>22.66</v>
      </c>
      <c r="AH224" s="13">
        <f>IF(ISNUMBER(F$234),F224,"")</f>
        <v>23.54</v>
      </c>
      <c r="AI224" s="13">
        <f>IF(ISNUMBER(G$234),G224,"")</f>
        <v>22.22</v>
      </c>
      <c r="AJ224" s="13">
        <f>IF(ISNUMBER(H$234),H224,"")</f>
        <v>23.1</v>
      </c>
      <c r="AK224" s="13">
        <f>IF(ISNUMBER(I$234),I224,"")</f>
        <v>22</v>
      </c>
      <c r="AL224" s="13">
        <f>IF(ISNUMBER(J$234),J224,"")</f>
        <v>22.88</v>
      </c>
      <c r="AM224" s="13">
        <f>IF(ISNUMBER(K$234),K224,"")</f>
        <v>23.76</v>
      </c>
      <c r="AN224" s="13">
        <f>IF(ISNUMBER(L$234),L224,"")</f>
        <v>22.44</v>
      </c>
      <c r="AO224" s="13">
        <f>IF(ISNUMBER(M$234),M224,"")</f>
        <v>23.32</v>
      </c>
      <c r="AP224" s="13">
        <f>IF(ISNUMBER(N$234),N224,"")</f>
        <v>24.2</v>
      </c>
      <c r="AQ224" s="13">
        <f>IF(C224="Ручная",O224,0)</f>
        <v>22</v>
      </c>
    </row>
    <row r="225" spans="1:43" ht="40" customHeight="1">
      <c r="A225" s="5" t="s">
        <v>189</v>
      </c>
      <c r="B225" s="5" t="s">
        <v>190</v>
      </c>
      <c r="C225" s="11" t="s">
        <v>191</v>
      </c>
      <c r="D225" s="7" t="s">
        <v>192</v>
      </c>
      <c r="E225" s="12">
        <v>12.6</v>
      </c>
      <c r="F225" s="12">
        <v>12</v>
      </c>
      <c r="G225" s="12">
        <v>12.48</v>
      </c>
      <c r="H225" s="12">
        <v>12.96</v>
      </c>
      <c r="I225" s="12">
        <v>12.24</v>
      </c>
      <c r="J225" s="12">
        <v>12.72</v>
      </c>
      <c r="K225" s="12">
        <v>13.2</v>
      </c>
      <c r="L225" s="12">
        <v>12.36</v>
      </c>
      <c r="M225" s="12">
        <v>12.84</v>
      </c>
      <c r="N225" s="12">
        <v>12.12</v>
      </c>
      <c r="O225" s="13">
        <f>IF(COUNT(AG225:AP225)&gt;0,MIN(AG225:AP225),"")</f>
        <v>12</v>
      </c>
      <c r="P225" s="13">
        <f>IF(COUNT(AG225:AP225)&gt;0,MAX(AG225:AP225),"")</f>
        <v>13.2</v>
      </c>
      <c r="Q225" s="13">
        <f>IF(ISNUMBER(O225),P225-O225,"")</f>
        <v>1.2</v>
      </c>
      <c r="R225" s="13">
        <f>IF(ISNUMBER(O225),IF(C225="Ручная",IF($S$234&gt;0,$R$234*Q225/$S$234,IF($W$234=4,$R$234,0)),0),"")</f>
        <v>0</v>
      </c>
      <c r="S225" s="13">
        <f>IF(ISNUMBER(O225),O225+R225,"")</f>
        <v>12</v>
      </c>
      <c r="T225" s="13">
        <f>IF(ISNUMBER(S225),P225-S225,"")</f>
        <v>1.2</v>
      </c>
      <c r="U225" s="13">
        <f>IF(COUNT(AG225:AP225)&gt;0,AVERAGE(AG225:AP225),"")</f>
        <v>12.552</v>
      </c>
      <c r="AG225" s="13">
        <f>IF(ISNUMBER(E$234),E225,"")</f>
        <v>12.6</v>
      </c>
      <c r="AH225" s="13">
        <f>IF(ISNUMBER(F$234),F225,"")</f>
        <v>12</v>
      </c>
      <c r="AI225" s="13">
        <f>IF(ISNUMBER(G$234),G225,"")</f>
        <v>12.48</v>
      </c>
      <c r="AJ225" s="13">
        <f>IF(ISNUMBER(H$234),H225,"")</f>
        <v>12.96</v>
      </c>
      <c r="AK225" s="13">
        <f>IF(ISNUMBER(I$234),I225,"")</f>
        <v>12.24</v>
      </c>
      <c r="AL225" s="13">
        <f>IF(ISNUMBER(J$234),J225,"")</f>
        <v>12.72</v>
      </c>
      <c r="AM225" s="13">
        <f>IF(ISNUMBER(K$234),K225,"")</f>
        <v>13.2</v>
      </c>
      <c r="AN225" s="13">
        <f>IF(ISNUMBER(L$234),L225,"")</f>
        <v>12.36</v>
      </c>
      <c r="AO225" s="13">
        <f>IF(ISNUMBER(M$234),M225,"")</f>
        <v>12.84</v>
      </c>
      <c r="AP225" s="13">
        <f>IF(ISNUMBER(N$234),N225,"")</f>
        <v>12.12</v>
      </c>
      <c r="AQ225" s="13">
        <f>IF(C225="Ручная",O225,0)</f>
        <v>0</v>
      </c>
    </row>
    <row r="226" spans="1:43" ht="40" customHeight="1">
      <c r="A226" s="5">
        <v>5</v>
      </c>
      <c r="B226" s="5" t="s">
        <v>193</v>
      </c>
      <c r="C226" s="11" t="s">
        <v>183</v>
      </c>
      <c r="D226" s="7" t="s">
        <v>194</v>
      </c>
      <c r="E226" s="12">
        <v>37.8</v>
      </c>
      <c r="F226" s="12">
        <v>35.7</v>
      </c>
      <c r="G226" s="12">
        <v>37.1</v>
      </c>
      <c r="H226" s="12">
        <v>38.5</v>
      </c>
      <c r="I226" s="12">
        <v>36.05</v>
      </c>
      <c r="J226" s="12">
        <v>37.45</v>
      </c>
      <c r="K226" s="12">
        <v>35.35</v>
      </c>
      <c r="L226" s="12">
        <v>36.75</v>
      </c>
      <c r="M226" s="12">
        <v>35</v>
      </c>
      <c r="N226" s="12">
        <v>36.4</v>
      </c>
      <c r="O226" s="13">
        <f>IF(COUNT(AG226:AP226)&gt;0,MIN(AG226:AP226),"")</f>
        <v>35</v>
      </c>
      <c r="P226" s="13">
        <f>IF(COUNT(AG226:AP226)&gt;0,MAX(AG226:AP226),"")</f>
        <v>38.5</v>
      </c>
      <c r="Q226" s="13">
        <f>IF(ISNUMBER(O226),P226-O226,"")</f>
        <v>3.5</v>
      </c>
      <c r="R226" s="13">
        <f>IF(ISNUMBER(O226),IF(C226="Ручная",IF($S$234&gt;0,$R$234*Q226/$S$234,IF($W$234=5,$R$234,0)),0),"")</f>
        <v>1.50181818181817</v>
      </c>
      <c r="S226" s="13">
        <f>IF(ISNUMBER(O226),O226+R226,"")</f>
        <v>36.5018181818182</v>
      </c>
      <c r="T226" s="13">
        <f>IF(ISNUMBER(S226),P226-S226,"")</f>
        <v>1.99818181818183</v>
      </c>
      <c r="U226" s="13">
        <f>IF(COUNT(AG226:AP226)&gt;0,AVERAGE(AG226:AP226),"")</f>
        <v>36.61</v>
      </c>
      <c r="AG226" s="13">
        <f>IF(ISNUMBER(E$234),E226,"")</f>
        <v>37.8</v>
      </c>
      <c r="AH226" s="13">
        <f>IF(ISNUMBER(F$234),F226,"")</f>
        <v>35.7</v>
      </c>
      <c r="AI226" s="13">
        <f>IF(ISNUMBER(G$234),G226,"")</f>
        <v>37.1</v>
      </c>
      <c r="AJ226" s="13">
        <f>IF(ISNUMBER(H$234),H226,"")</f>
        <v>38.5</v>
      </c>
      <c r="AK226" s="13">
        <f>IF(ISNUMBER(I$234),I226,"")</f>
        <v>36.05</v>
      </c>
      <c r="AL226" s="13">
        <f>IF(ISNUMBER(J$234),J226,"")</f>
        <v>37.45</v>
      </c>
      <c r="AM226" s="13">
        <f>IF(ISNUMBER(K$234),K226,"")</f>
        <v>35.35</v>
      </c>
      <c r="AN226" s="13">
        <f>IF(ISNUMBER(L$234),L226,"")</f>
        <v>36.75</v>
      </c>
      <c r="AO226" s="13">
        <f>IF(ISNUMBER(M$234),M226,"")</f>
        <v>35</v>
      </c>
      <c r="AP226" s="13">
        <f>IF(ISNUMBER(N$234),N226,"")</f>
        <v>36.4</v>
      </c>
      <c r="AQ226" s="13">
        <f>IF(C226="Ручная",O226,0)</f>
        <v>35</v>
      </c>
    </row>
    <row r="227" spans="1:43" ht="40" customHeight="1">
      <c r="A227" s="5" t="s">
        <v>189</v>
      </c>
      <c r="B227" s="5" t="s">
        <v>195</v>
      </c>
      <c r="C227" s="11" t="s">
        <v>196</v>
      </c>
      <c r="D227" s="7" t="s">
        <v>197</v>
      </c>
      <c r="E227" s="18">
        <f>'Ассортимент'!R18</f>
        <v>300</v>
      </c>
      <c r="F227" s="18">
        <f>'Ассортимент'!R18</f>
        <v>300</v>
      </c>
      <c r="G227" s="18">
        <f>'Ассортимент'!R18</f>
        <v>300</v>
      </c>
      <c r="H227" s="18">
        <f>'Ассортимент'!R18</f>
        <v>300</v>
      </c>
      <c r="I227" s="18">
        <f>'Ассортимент'!R18</f>
        <v>300</v>
      </c>
      <c r="J227" s="18">
        <f>'Ассортимент'!R18</f>
        <v>300</v>
      </c>
      <c r="K227" s="18">
        <f>'Ассортимент'!R18</f>
        <v>300</v>
      </c>
      <c r="L227" s="18">
        <f>'Ассортимент'!R18</f>
        <v>300</v>
      </c>
      <c r="M227" s="18">
        <f>'Ассортимент'!R18</f>
        <v>300</v>
      </c>
      <c r="N227" s="18">
        <f>'Ассортимент'!R18</f>
        <v>300</v>
      </c>
      <c r="O227" s="13">
        <f>IF(COUNT(AG227:AP227)&gt;0,MIN(AG227:AP227),"")</f>
        <v>300</v>
      </c>
      <c r="P227" s="13">
        <f>IF(COUNT(AG227:AP227)&gt;0,MAX(AG227:AP227),"")</f>
        <v>300</v>
      </c>
      <c r="Q227" s="13">
        <f>IF(ISNUMBER(O227),P227-O227,"")</f>
        <v>0</v>
      </c>
      <c r="R227" s="13">
        <f>IF(ISNUMBER(O227),IF(C227="Ручная",IF($S$234&gt;0,$R$234*Q227/$S$234,IF($W$234=6,$R$234,0)),0),"")</f>
        <v>0</v>
      </c>
      <c r="S227" s="13">
        <f>IF(ISNUMBER(O227),O227+R227,"")</f>
        <v>300</v>
      </c>
      <c r="T227" s="13">
        <f>IF(ISNUMBER(S227),P227-S227,"")</f>
        <v>0</v>
      </c>
      <c r="U227" s="13">
        <f>IF(COUNT(AG227:AP227)&gt;0,AVERAGE(AG227:AP227),"")</f>
        <v>300</v>
      </c>
      <c r="AG227" s="13">
        <f>IF(ISNUMBER(E$234),E227,"")</f>
        <v>300</v>
      </c>
      <c r="AH227" s="13">
        <f>IF(ISNUMBER(F$234),F227,"")</f>
        <v>300</v>
      </c>
      <c r="AI227" s="13">
        <f>IF(ISNUMBER(G$234),G227,"")</f>
        <v>300</v>
      </c>
      <c r="AJ227" s="13">
        <f>IF(ISNUMBER(H$234),H227,"")</f>
        <v>300</v>
      </c>
      <c r="AK227" s="13">
        <f>IF(ISNUMBER(I$234),I227,"")</f>
        <v>300</v>
      </c>
      <c r="AL227" s="13">
        <f>IF(ISNUMBER(J$234),J227,"")</f>
        <v>300</v>
      </c>
      <c r="AM227" s="13">
        <f>IF(ISNUMBER(K$234),K227,"")</f>
        <v>300</v>
      </c>
      <c r="AN227" s="13">
        <f>IF(ISNUMBER(L$234),L227,"")</f>
        <v>300</v>
      </c>
      <c r="AO227" s="13">
        <f>IF(ISNUMBER(M$234),M227,"")</f>
        <v>300</v>
      </c>
      <c r="AP227" s="13">
        <f>IF(ISNUMBER(N$234),N227,"")</f>
        <v>300</v>
      </c>
      <c r="AQ227" s="13">
        <f>IF(C227="Ручная",O227,0)</f>
        <v>0</v>
      </c>
    </row>
    <row r="228" spans="1:43" ht="40" customHeight="1">
      <c r="A228" s="5">
        <v>7</v>
      </c>
      <c r="B228" s="5" t="s">
        <v>198</v>
      </c>
      <c r="C228" s="11" t="s">
        <v>183</v>
      </c>
      <c r="D228" s="7" t="s">
        <v>199</v>
      </c>
      <c r="E228" s="12">
        <v>30.3</v>
      </c>
      <c r="F228" s="12">
        <v>31.5</v>
      </c>
      <c r="G228" s="12">
        <v>30</v>
      </c>
      <c r="H228" s="12">
        <v>31.2</v>
      </c>
      <c r="I228" s="12">
        <v>32.4</v>
      </c>
      <c r="J228" s="12">
        <v>30.6</v>
      </c>
      <c r="K228" s="12">
        <v>31.8</v>
      </c>
      <c r="L228" s="12">
        <v>33</v>
      </c>
      <c r="M228" s="12">
        <v>30.9</v>
      </c>
      <c r="N228" s="12">
        <v>32.1</v>
      </c>
      <c r="O228" s="13">
        <f>IF(COUNT(AG228:AP228)&gt;0,MIN(AG228:AP228),"")</f>
        <v>30</v>
      </c>
      <c r="P228" s="13">
        <f>IF(COUNT(AG228:AP228)&gt;0,MAX(AG228:AP228),"")</f>
        <v>33</v>
      </c>
      <c r="Q228" s="13">
        <f>IF(ISNUMBER(O228),P228-O228,"")</f>
        <v>3</v>
      </c>
      <c r="R228" s="13">
        <f>IF(ISNUMBER(O228),IF(C228="Ручная",IF($S$234&gt;0,$R$234*Q228/$S$234,IF($W$234=7,$R$234,0)),0),"")</f>
        <v>1.28727272727271</v>
      </c>
      <c r="S228" s="13">
        <f>IF(ISNUMBER(O228),O228+R228,"")</f>
        <v>31.2872727272727</v>
      </c>
      <c r="T228" s="13">
        <f>IF(ISNUMBER(S228),P228-S228,"")</f>
        <v>1.71272727272729</v>
      </c>
      <c r="U228" s="13">
        <f>IF(COUNT(AG228:AP228)&gt;0,AVERAGE(AG228:AP228),"")</f>
        <v>31.38</v>
      </c>
      <c r="AG228" s="13">
        <f>IF(ISNUMBER(E$234),E228,"")</f>
        <v>30.3</v>
      </c>
      <c r="AH228" s="13">
        <f>IF(ISNUMBER(F$234),F228,"")</f>
        <v>31.5</v>
      </c>
      <c r="AI228" s="13">
        <f>IF(ISNUMBER(G$234),G228,"")</f>
        <v>30</v>
      </c>
      <c r="AJ228" s="13">
        <f>IF(ISNUMBER(H$234),H228,"")</f>
        <v>31.2</v>
      </c>
      <c r="AK228" s="13">
        <f>IF(ISNUMBER(I$234),I228,"")</f>
        <v>32.4</v>
      </c>
      <c r="AL228" s="13">
        <f>IF(ISNUMBER(J$234),J228,"")</f>
        <v>30.6</v>
      </c>
      <c r="AM228" s="13">
        <f>IF(ISNUMBER(K$234),K228,"")</f>
        <v>31.8</v>
      </c>
      <c r="AN228" s="13">
        <f>IF(ISNUMBER(L$234),L228,"")</f>
        <v>33</v>
      </c>
      <c r="AO228" s="13">
        <f>IF(ISNUMBER(M$234),M228,"")</f>
        <v>30.9</v>
      </c>
      <c r="AP228" s="13">
        <f>IF(ISNUMBER(N$234),N228,"")</f>
        <v>32.1</v>
      </c>
      <c r="AQ228" s="13">
        <f>IF(C228="Ручная",O228,0)</f>
        <v>30</v>
      </c>
    </row>
    <row r="229" spans="1:43" ht="40" customHeight="1">
      <c r="A229" s="5">
        <v>8</v>
      </c>
      <c r="B229" s="5" t="s">
        <v>200</v>
      </c>
      <c r="C229" s="11" t="s">
        <v>183</v>
      </c>
      <c r="D229" s="7" t="s">
        <v>201</v>
      </c>
      <c r="E229" s="12">
        <v>18.72</v>
      </c>
      <c r="F229" s="12">
        <v>19.44</v>
      </c>
      <c r="G229" s="12">
        <v>18.36</v>
      </c>
      <c r="H229" s="12">
        <v>19.08</v>
      </c>
      <c r="I229" s="12">
        <v>19.8</v>
      </c>
      <c r="J229" s="12">
        <v>18.54</v>
      </c>
      <c r="K229" s="12">
        <v>19.26</v>
      </c>
      <c r="L229" s="12">
        <v>18.18</v>
      </c>
      <c r="M229" s="12">
        <v>18.9</v>
      </c>
      <c r="N229" s="12">
        <v>18</v>
      </c>
      <c r="O229" s="13">
        <f>IF(COUNT(AG229:AP229)&gt;0,MIN(AG229:AP229),"")</f>
        <v>18</v>
      </c>
      <c r="P229" s="13">
        <f>IF(COUNT(AG229:AP229)&gt;0,MAX(AG229:AP229),"")</f>
        <v>19.8</v>
      </c>
      <c r="Q229" s="13">
        <f>IF(ISNUMBER(O229),P229-O229,"")</f>
        <v>1.8</v>
      </c>
      <c r="R229" s="13">
        <f>IF(ISNUMBER(O229),IF(C229="Ручная",IF($S$234&gt;0,$R$234*Q229/$S$234,IF($W$234=8,$R$234,0)),0),"")</f>
        <v>0.772363636363629</v>
      </c>
      <c r="S229" s="13">
        <f>IF(ISNUMBER(O229),O229+R229,"")</f>
        <v>18.7723636363636</v>
      </c>
      <c r="T229" s="13">
        <f>IF(ISNUMBER(S229),P229-S229,"")</f>
        <v>1.02763636363637</v>
      </c>
      <c r="U229" s="13">
        <f>IF(COUNT(AG229:AP229)&gt;0,AVERAGE(AG229:AP229),"")</f>
        <v>18.828</v>
      </c>
      <c r="AG229" s="13">
        <f>IF(ISNUMBER(E$234),E229,"")</f>
        <v>18.72</v>
      </c>
      <c r="AH229" s="13">
        <f>IF(ISNUMBER(F$234),F229,"")</f>
        <v>19.44</v>
      </c>
      <c r="AI229" s="13">
        <f>IF(ISNUMBER(G$234),G229,"")</f>
        <v>18.36</v>
      </c>
      <c r="AJ229" s="13">
        <f>IF(ISNUMBER(H$234),H229,"")</f>
        <v>19.08</v>
      </c>
      <c r="AK229" s="13">
        <f>IF(ISNUMBER(I$234),I229,"")</f>
        <v>19.8</v>
      </c>
      <c r="AL229" s="13">
        <f>IF(ISNUMBER(J$234),J229,"")</f>
        <v>18.54</v>
      </c>
      <c r="AM229" s="13">
        <f>IF(ISNUMBER(K$234),K229,"")</f>
        <v>19.26</v>
      </c>
      <c r="AN229" s="13">
        <f>IF(ISNUMBER(L$234),L229,"")</f>
        <v>18.18</v>
      </c>
      <c r="AO229" s="13">
        <f>IF(ISNUMBER(M$234),M229,"")</f>
        <v>18.9</v>
      </c>
      <c r="AP229" s="13">
        <f>IF(ISNUMBER(N$234),N229,"")</f>
        <v>18</v>
      </c>
      <c r="AQ229" s="13">
        <f>IF(C229="Ручная",O229,0)</f>
        <v>18</v>
      </c>
    </row>
    <row r="230" spans="1:43" ht="40" customHeight="1">
      <c r="A230" s="5" t="s">
        <v>189</v>
      </c>
      <c r="B230" s="5" t="s">
        <v>202</v>
      </c>
      <c r="C230" s="11" t="s">
        <v>191</v>
      </c>
      <c r="D230" s="7" t="s">
        <v>203</v>
      </c>
      <c r="E230" s="12">
        <v>10.6</v>
      </c>
      <c r="F230" s="12">
        <v>11</v>
      </c>
      <c r="G230" s="12">
        <v>10.3</v>
      </c>
      <c r="H230" s="12">
        <v>10.7</v>
      </c>
      <c r="I230" s="12">
        <v>10.1</v>
      </c>
      <c r="J230" s="12">
        <v>10.5</v>
      </c>
      <c r="K230" s="12">
        <v>10</v>
      </c>
      <c r="L230" s="12">
        <v>10.4</v>
      </c>
      <c r="M230" s="12">
        <v>10.8</v>
      </c>
      <c r="N230" s="12">
        <v>10.2</v>
      </c>
      <c r="O230" s="13">
        <f>IF(COUNT(AG230:AP230)&gt;0,MIN(AG230:AP230),"")</f>
        <v>10</v>
      </c>
      <c r="P230" s="13">
        <f>IF(COUNT(AG230:AP230)&gt;0,MAX(AG230:AP230),"")</f>
        <v>11</v>
      </c>
      <c r="Q230" s="13">
        <f>IF(ISNUMBER(O230),P230-O230,"")</f>
        <v>1</v>
      </c>
      <c r="R230" s="13">
        <f>IF(ISNUMBER(O230),IF(C230="Ручная",IF($S$234&gt;0,$R$234*Q230/$S$234,IF($W$234=9,$R$234,0)),0),"")</f>
        <v>0</v>
      </c>
      <c r="S230" s="13">
        <f>IF(ISNUMBER(O230),O230+R230,"")</f>
        <v>10</v>
      </c>
      <c r="T230" s="13">
        <f>IF(ISNUMBER(S230),P230-S230,"")</f>
        <v>1</v>
      </c>
      <c r="U230" s="13">
        <f>IF(COUNT(AG230:AP230)&gt;0,AVERAGE(AG230:AP230),"")</f>
        <v>10.46</v>
      </c>
      <c r="AG230" s="13">
        <f>IF(ISNUMBER(E$234),E230,"")</f>
        <v>10.6</v>
      </c>
      <c r="AH230" s="13">
        <f>IF(ISNUMBER(F$234),F230,"")</f>
        <v>11</v>
      </c>
      <c r="AI230" s="13">
        <f>IF(ISNUMBER(G$234),G230,"")</f>
        <v>10.3</v>
      </c>
      <c r="AJ230" s="13">
        <f>IF(ISNUMBER(H$234),H230,"")</f>
        <v>10.7</v>
      </c>
      <c r="AK230" s="13">
        <f>IF(ISNUMBER(I$234),I230,"")</f>
        <v>10.1</v>
      </c>
      <c r="AL230" s="13">
        <f>IF(ISNUMBER(J$234),J230,"")</f>
        <v>10.5</v>
      </c>
      <c r="AM230" s="13">
        <f>IF(ISNUMBER(K$234),K230,"")</f>
        <v>10</v>
      </c>
      <c r="AN230" s="13">
        <f>IF(ISNUMBER(L$234),L230,"")</f>
        <v>10.4</v>
      </c>
      <c r="AO230" s="13">
        <f>IF(ISNUMBER(M$234),M230,"")</f>
        <v>10.8</v>
      </c>
      <c r="AP230" s="13">
        <f>IF(ISNUMBER(N$234),N230,"")</f>
        <v>10.2</v>
      </c>
      <c r="AQ230" s="13">
        <f>IF(C230="Ручная",O230,0)</f>
        <v>0</v>
      </c>
    </row>
    <row r="231" spans="1:43" ht="40" customHeight="1">
      <c r="A231" s="5" t="s">
        <v>189</v>
      </c>
      <c r="B231" s="5" t="s">
        <v>204</v>
      </c>
      <c r="C231" s="11" t="s">
        <v>191</v>
      </c>
      <c r="D231" s="7" t="s">
        <v>205</v>
      </c>
      <c r="E231" s="12">
        <v>10.7</v>
      </c>
      <c r="F231" s="12">
        <v>10.1</v>
      </c>
      <c r="G231" s="12">
        <v>10.5</v>
      </c>
      <c r="H231" s="12">
        <v>10</v>
      </c>
      <c r="I231" s="12">
        <v>10.4</v>
      </c>
      <c r="J231" s="12">
        <v>10.8</v>
      </c>
      <c r="K231" s="12">
        <v>10.2</v>
      </c>
      <c r="L231" s="12">
        <v>10.6</v>
      </c>
      <c r="M231" s="12">
        <v>11</v>
      </c>
      <c r="N231" s="12">
        <v>10.3</v>
      </c>
      <c r="O231" s="13">
        <f>IF(COUNT(AG231:AP231)&gt;0,MIN(AG231:AP231),"")</f>
        <v>10</v>
      </c>
      <c r="P231" s="13">
        <f>IF(COUNT(AG231:AP231)&gt;0,MAX(AG231:AP231),"")</f>
        <v>11</v>
      </c>
      <c r="Q231" s="13">
        <f>IF(ISNUMBER(O231),P231-O231,"")</f>
        <v>1</v>
      </c>
      <c r="R231" s="13">
        <f>IF(ISNUMBER(O231),IF(C231="Ручная",IF($S$234&gt;0,$R$234*Q231/$S$234,IF($W$234=10,$R$234,0)),0),"")</f>
        <v>0</v>
      </c>
      <c r="S231" s="13">
        <f>IF(ISNUMBER(O231),O231+R231,"")</f>
        <v>10</v>
      </c>
      <c r="T231" s="13">
        <f>IF(ISNUMBER(S231),P231-S231,"")</f>
        <v>1</v>
      </c>
      <c r="U231" s="13">
        <f>IF(COUNT(AG231:AP231)&gt;0,AVERAGE(AG231:AP231),"")</f>
        <v>10.46</v>
      </c>
      <c r="AG231" s="13">
        <f>IF(ISNUMBER(E$234),E231,"")</f>
        <v>10.7</v>
      </c>
      <c r="AH231" s="13">
        <f>IF(ISNUMBER(F$234),F231,"")</f>
        <v>10.1</v>
      </c>
      <c r="AI231" s="13">
        <f>IF(ISNUMBER(G$234),G231,"")</f>
        <v>10.5</v>
      </c>
      <c r="AJ231" s="13">
        <f>IF(ISNUMBER(H$234),H231,"")</f>
        <v>10</v>
      </c>
      <c r="AK231" s="13">
        <f>IF(ISNUMBER(I$234),I231,"")</f>
        <v>10.4</v>
      </c>
      <c r="AL231" s="13">
        <f>IF(ISNUMBER(J$234),J231,"")</f>
        <v>10.8</v>
      </c>
      <c r="AM231" s="13">
        <f>IF(ISNUMBER(K$234),K231,"")</f>
        <v>10.2</v>
      </c>
      <c r="AN231" s="13">
        <f>IF(ISNUMBER(L$234),L231,"")</f>
        <v>10.6</v>
      </c>
      <c r="AO231" s="13">
        <f>IF(ISNUMBER(M$234),M231,"")</f>
        <v>11</v>
      </c>
      <c r="AP231" s="13">
        <f>IF(ISNUMBER(N$234),N231,"")</f>
        <v>10.3</v>
      </c>
      <c r="AQ231" s="13">
        <f>IF(C231="Ручная",O231,0)</f>
        <v>0</v>
      </c>
    </row>
    <row r="232" spans="1:43" ht="40" customHeight="1">
      <c r="A232" s="5" t="s">
        <v>189</v>
      </c>
      <c r="B232" s="5" t="s">
        <v>206</v>
      </c>
      <c r="C232" s="11" t="s">
        <v>207</v>
      </c>
      <c r="D232" s="7" t="s">
        <v>208</v>
      </c>
      <c r="E232" s="12">
        <v>12</v>
      </c>
      <c r="F232" s="12">
        <v>12.48</v>
      </c>
      <c r="G232" s="12">
        <v>12.96</v>
      </c>
      <c r="H232" s="12">
        <v>12.24</v>
      </c>
      <c r="I232" s="12">
        <v>12.72</v>
      </c>
      <c r="J232" s="12">
        <v>13.2</v>
      </c>
      <c r="K232" s="12">
        <v>12.36</v>
      </c>
      <c r="L232" s="12">
        <v>12.84</v>
      </c>
      <c r="M232" s="12">
        <v>12.12</v>
      </c>
      <c r="N232" s="12">
        <v>12.6</v>
      </c>
      <c r="O232" s="13">
        <f>IF(COUNT(AG232:AP232)&gt;0,MIN(AG232:AP232),"")</f>
        <v>12</v>
      </c>
      <c r="P232" s="13">
        <f>IF(COUNT(AG232:AP232)&gt;0,MAX(AG232:AP232),"")</f>
        <v>13.2</v>
      </c>
      <c r="Q232" s="13">
        <f>IF(ISNUMBER(O232),P232-O232,"")</f>
        <v>1.2</v>
      </c>
      <c r="R232" s="13">
        <f>IF(ISNUMBER(O232),IF(C232="Ручная",IF($S$234&gt;0,$R$234*Q232/$S$234,IF($W$234=11,$R$234,0)),0),"")</f>
        <v>0</v>
      </c>
      <c r="S232" s="13">
        <f>IF(ISNUMBER(O232),O232+R232,"")</f>
        <v>12</v>
      </c>
      <c r="T232" s="13">
        <f>IF(ISNUMBER(S232),P232-S232,"")</f>
        <v>1.2</v>
      </c>
      <c r="U232" s="13">
        <f>IF(COUNT(AG232:AP232)&gt;0,AVERAGE(AG232:AP232),"")</f>
        <v>12.552</v>
      </c>
      <c r="AG232" s="13">
        <f>IF(ISNUMBER(E$234),E232,"")</f>
        <v>12</v>
      </c>
      <c r="AH232" s="13">
        <f>IF(ISNUMBER(F$234),F232,"")</f>
        <v>12.48</v>
      </c>
      <c r="AI232" s="13">
        <f>IF(ISNUMBER(G$234),G232,"")</f>
        <v>12.96</v>
      </c>
      <c r="AJ232" s="13">
        <f>IF(ISNUMBER(H$234),H232,"")</f>
        <v>12.24</v>
      </c>
      <c r="AK232" s="13">
        <f>IF(ISNUMBER(I$234),I232,"")</f>
        <v>12.72</v>
      </c>
      <c r="AL232" s="13">
        <f>IF(ISNUMBER(J$234),J232,"")</f>
        <v>13.2</v>
      </c>
      <c r="AM232" s="13">
        <f>IF(ISNUMBER(K$234),K232,"")</f>
        <v>12.36</v>
      </c>
      <c r="AN232" s="13">
        <f>IF(ISNUMBER(L$234),L232,"")</f>
        <v>12.84</v>
      </c>
      <c r="AO232" s="13">
        <f>IF(ISNUMBER(M$234),M232,"")</f>
        <v>12.12</v>
      </c>
      <c r="AP232" s="13">
        <f>IF(ISNUMBER(N$234),N232,"")</f>
        <v>12.6</v>
      </c>
      <c r="AQ232" s="13">
        <f>IF(C232="Ручная",O232,0)</f>
        <v>0</v>
      </c>
    </row>
    <row r="233" spans="1:43" ht="23" customHeight="1">
      <c r="B233" s="4" t="s">
        <v>209</v>
      </c>
      <c r="E233" s="6">
        <f>IF(COUNT(E222:E232)=11,SUM(E222:E232),"")</f>
        <v>516.08</v>
      </c>
      <c r="F233" s="6">
        <f>IF(COUNT(F222:F232)=11,SUM(F222:F232),"")</f>
        <v>518.86</v>
      </c>
      <c r="G233" s="6">
        <f>IF(COUNT(G222:G232)=11,SUM(G222:G232),"")</f>
        <v>519.42</v>
      </c>
      <c r="H233" s="6">
        <f>IF(COUNT(H222:H232)=11,SUM(H222:H232),"")</f>
        <v>519.33</v>
      </c>
      <c r="I233" s="6">
        <f>IF(COUNT(I222:I232)=11,SUM(I222:I232),"")</f>
        <v>519.66</v>
      </c>
      <c r="J233" s="6">
        <f>IF(COUNT(J222:J232)=11,SUM(J222:J232),"")</f>
        <v>519.54</v>
      </c>
      <c r="K233" s="6">
        <f>IF(COUNT(K222:K232)=11,SUM(K222:K232),"")</f>
        <v>518.43</v>
      </c>
      <c r="L233" s="6">
        <f>IF(COUNT(L222:L232)=11,SUM(L222:L232),"")</f>
        <v>518.32</v>
      </c>
      <c r="M233" s="6">
        <f>IF(COUNT(M222:M232)=11,SUM(M222:M232),"")</f>
        <v>516.53</v>
      </c>
      <c r="N233" s="6">
        <f>IF(COUNT(N222:N232)=11,SUM(N222:N232),"")</f>
        <v>519.97</v>
      </c>
      <c r="O233" s="6">
        <f>IF(COUNT(O222:O232)=11,SUM(O222:O232),"")</f>
        <v>509</v>
      </c>
      <c r="P233" s="6">
        <f>IF(COUNT(P222:P232)=11,SUM(P222:P232),"")</f>
        <v>529.9</v>
      </c>
      <c r="Q233" s="6">
        <f>IF(COUNT(Q222:Q232)=11,SUM(Q222:Q232),"")</f>
        <v>20.9</v>
      </c>
      <c r="R233" s="6">
        <f>IF(COUNT(R222:R232)=11,SUM(R222:R232),"")</f>
        <v>7.07999999999993</v>
      </c>
      <c r="S233" s="6">
        <f>IF(COUNT(S222:S232)=11,SUM(S222:S232),"")</f>
        <v>516.08</v>
      </c>
      <c r="T233" s="6">
        <f>IF(COUNT(T222:T232)=11,SUM(T222:T232),"")</f>
        <v>13.8200000000001</v>
      </c>
      <c r="U233" s="6">
        <f>IF(COUNT(U222:U232)=11,SUM(U222:U232),"")</f>
        <v>518.614</v>
      </c>
    </row>
    <row r="234" spans="1:43" ht="23" customHeight="1">
      <c r="B234" s="4" t="s">
        <v>210</v>
      </c>
      <c r="E234" s="6">
        <f>IF(AND(E220=1,COUNT(E222:E232)=11,MIN(E222:E232)&gt;=0),E233,"")</f>
        <v>516.08</v>
      </c>
      <c r="F234" s="6">
        <f>IF(AND(F220=1,COUNT(F222:F232)=11,MIN(F222:F232)&gt;=0),F233,"")</f>
        <v>518.86</v>
      </c>
      <c r="G234" s="6">
        <f>IF(AND(G220=1,COUNT(G222:G232)=11,MIN(G222:G232)&gt;=0),G233,"")</f>
        <v>519.42</v>
      </c>
      <c r="H234" s="6">
        <f>IF(AND(H220=1,COUNT(H222:H232)=11,MIN(H222:H232)&gt;=0),H233,"")</f>
        <v>519.33</v>
      </c>
      <c r="I234" s="6">
        <f>IF(AND(I220=1,COUNT(I222:I232)=11,MIN(I222:I232)&gt;=0),I233,"")</f>
        <v>519.66</v>
      </c>
      <c r="J234" s="6">
        <f>IF(AND(J220=1,COUNT(J222:J232)=11,MIN(J222:J232)&gt;=0),J233,"")</f>
        <v>519.54</v>
      </c>
      <c r="K234" s="6">
        <f>IF(AND(K220=1,COUNT(K222:K232)=11,MIN(K222:K232)&gt;=0),K233,"")</f>
        <v>518.43</v>
      </c>
      <c r="L234" s="6">
        <f>IF(AND(L220=1,COUNT(L222:L232)=11,MIN(L222:L232)&gt;=0),L233,"")</f>
        <v>518.32</v>
      </c>
      <c r="M234" s="6">
        <f>IF(AND(M220=1,COUNT(M222:M232)=11,MIN(M222:M232)&gt;=0),M233,"")</f>
        <v>516.53</v>
      </c>
      <c r="N234" s="6">
        <f>IF(AND(N220=1,COUNT(N222:N232)=11,MIN(N222:N232)&gt;=0),N233,"")</f>
        <v>519.97</v>
      </c>
      <c r="O234" s="6">
        <f>IF(COUNT(E234:N234)&gt;0,MIN(E234:N234),"")</f>
        <v>516.08</v>
      </c>
      <c r="P234" s="6">
        <f>IF(COUNT(E234:N234)&gt;0,MAX(E234:N234),"")</f>
        <v>519.97</v>
      </c>
      <c r="Q234" s="6">
        <f>IF(ISNUMBER(O234),P234-O234,"")</f>
        <v>3.8900000000001</v>
      </c>
      <c r="R234" s="6">
        <f>IF(ISNUMBER(O234),MAX(0,O234-O233),"")</f>
        <v>7.07999999999993</v>
      </c>
      <c r="S234" s="6">
        <f>SUMIF(C222:C232,"Ручная",Q222:Q232)</f>
        <v>16.5</v>
      </c>
      <c r="T234" s="6">
        <f>COUNT(E234:N234)</f>
        <v>10</v>
      </c>
      <c r="U234" s="6">
        <f>IF(COUNT(E234:N234)&gt;0,AVERAGE(E234:N234),"")</f>
        <v>518.614</v>
      </c>
      <c r="V234" s="6">
        <f>IF(ISNUMBER(O234),S233-O234,"")</f>
        <v>0</v>
      </c>
      <c r="W234" s="6">
        <f>MATCH(MAX(AQ222:AQ232),AQ222:AQ232,0)</f>
        <v>2</v>
      </c>
      <c r="X234" s="17" t="str">
        <f>IF(T234=0,"НЕТ ЗАМЕРОВ",IF(T234&lt;10,"МЕНЕЕ 10 ЦИКЛОВ",IF(ABS(V234)&lt;0.000001,"ОК","ОШИБКА РЕГУЛИРОВКИ")))</f>
        <v>ОК</v>
      </c>
    </row>
    <row r="235" spans="1:43" ht="23" customHeight="1">
      <c r="A235" s="7" t="s">
        <v>211</v>
      </c>
      <c r="B235" s="7"/>
      <c r="C235" s="7"/>
      <c r="D235" s="7"/>
      <c r="E235" s="7"/>
      <c r="F235" s="7"/>
      <c r="G235" s="7"/>
      <c r="H235" s="7"/>
      <c r="I235" s="7"/>
      <c r="J235" s="7"/>
      <c r="K235" s="7"/>
      <c r="L235" s="7"/>
      <c r="M235" s="7"/>
      <c r="N235" s="7"/>
      <c r="O235" s="7"/>
      <c r="P235" s="7"/>
      <c r="Q235" s="7"/>
      <c r="R235" s="7"/>
      <c r="S235" s="7"/>
      <c r="T235" s="7"/>
      <c r="U235" s="7"/>
      <c r="V235" s="7"/>
      <c r="W235" s="7"/>
      <c r="X235" s="7"/>
    </row>
    <row r="238" spans="1:43" ht="23" customHeight="1">
      <c r="A238" s="4" t="s">
        <v>222</v>
      </c>
      <c r="B238" s="4"/>
      <c r="C238" s="4"/>
      <c r="D238" s="4"/>
      <c r="E238" s="4"/>
      <c r="F238" s="4"/>
      <c r="G238" s="4"/>
      <c r="H238" s="4"/>
      <c r="I238" s="4"/>
      <c r="J238" s="4"/>
      <c r="K238" s="4"/>
      <c r="L238" s="4"/>
      <c r="M238" s="4"/>
      <c r="N238" s="4"/>
      <c r="O238" s="4"/>
      <c r="P238" s="4"/>
      <c r="Q238" s="4"/>
      <c r="R238" s="4"/>
      <c r="S238" s="4"/>
      <c r="T238" s="4"/>
      <c r="U238" s="4"/>
      <c r="V238" s="4"/>
      <c r="W238" s="4"/>
      <c r="X238" s="4"/>
    </row>
    <row r="239" spans="1:43" ht="23" customHeight="1">
      <c r="A239" s="7" t="str">
        <f>"Масса замера, кг: "&amp;'Ассортимент'!J19&amp;". Все замеры одной партии/исполнителя/условий. Основание: "&amp;'Ввод'!B14</f>
        <v>Масса замера, кг: 3. Все замеры одной партии/исполнителя/условий. Основание: ДЕМО: синтетические замеры; заменить фактическими</v>
      </c>
      <c r="B239" s="7"/>
      <c r="C239" s="7"/>
      <c r="D239" s="7"/>
      <c r="E239" s="7"/>
      <c r="F239" s="7"/>
      <c r="G239" s="7"/>
      <c r="H239" s="7"/>
      <c r="I239" s="7"/>
      <c r="J239" s="7"/>
      <c r="K239" s="7"/>
      <c r="L239" s="7"/>
      <c r="M239" s="7"/>
      <c r="N239" s="7"/>
      <c r="O239" s="7"/>
      <c r="P239" s="7"/>
      <c r="Q239" s="7"/>
      <c r="R239" s="7"/>
      <c r="S239" s="7"/>
      <c r="T239" s="7"/>
      <c r="U239" s="7"/>
      <c r="V239" s="7"/>
      <c r="W239" s="7"/>
      <c r="X239" s="7"/>
    </row>
    <row r="240" spans="1:43" ht="44" customHeight="1">
      <c r="A240" s="8" t="s">
        <v>113</v>
      </c>
      <c r="B240" s="8" t="s">
        <v>156</v>
      </c>
      <c r="C240" s="8" t="s">
        <v>157</v>
      </c>
      <c r="D240" s="8" t="s">
        <v>158</v>
      </c>
      <c r="E240" s="8" t="s">
        <v>159</v>
      </c>
      <c r="F240" s="8" t="s">
        <v>160</v>
      </c>
      <c r="G240" s="8" t="s">
        <v>161</v>
      </c>
      <c r="H240" s="8" t="s">
        <v>162</v>
      </c>
      <c r="I240" s="8" t="s">
        <v>163</v>
      </c>
      <c r="J240" s="8" t="s">
        <v>164</v>
      </c>
      <c r="K240" s="8" t="s">
        <v>165</v>
      </c>
      <c r="L240" s="8" t="s">
        <v>166</v>
      </c>
      <c r="M240" s="8" t="s">
        <v>167</v>
      </c>
      <c r="N240" s="8" t="s">
        <v>168</v>
      </c>
      <c r="O240" s="8" t="s">
        <v>169</v>
      </c>
      <c r="P240" s="8" t="s">
        <v>170</v>
      </c>
      <c r="Q240" s="8" t="s">
        <v>171</v>
      </c>
      <c r="R240" s="8" t="s">
        <v>172</v>
      </c>
      <c r="S240" s="8" t="s">
        <v>173</v>
      </c>
      <c r="T240" s="8" t="s">
        <v>174</v>
      </c>
      <c r="U240" s="8" t="s">
        <v>175</v>
      </c>
      <c r="V240" s="8" t="s">
        <v>176</v>
      </c>
      <c r="W240" s="8" t="s">
        <v>177</v>
      </c>
      <c r="X240" s="8" t="s">
        <v>178</v>
      </c>
    </row>
    <row r="241" spans="1:43" ht="23" customHeight="1">
      <c r="B241" s="5" t="s">
        <v>179</v>
      </c>
      <c r="E241" s="12">
        <v>1</v>
      </c>
      <c r="F241" s="12">
        <v>1</v>
      </c>
      <c r="G241" s="12">
        <v>1</v>
      </c>
      <c r="H241" s="12">
        <v>1</v>
      </c>
      <c r="I241" s="12">
        <v>1</v>
      </c>
      <c r="J241" s="12">
        <v>1</v>
      </c>
      <c r="K241" s="12">
        <v>1</v>
      </c>
      <c r="L241" s="12">
        <v>1</v>
      </c>
      <c r="M241" s="12">
        <v>1</v>
      </c>
      <c r="N241" s="12">
        <v>1</v>
      </c>
    </row>
    <row r="242" spans="1:43" ht="33" customHeight="1">
      <c r="B242" s="5" t="s">
        <v>180</v>
      </c>
      <c r="E242" s="9" t="s">
        <v>181</v>
      </c>
      <c r="F242" s="9" t="s">
        <v>181</v>
      </c>
      <c r="G242" s="9" t="s">
        <v>181</v>
      </c>
      <c r="H242" s="9" t="s">
        <v>181</v>
      </c>
      <c r="I242" s="9" t="s">
        <v>181</v>
      </c>
      <c r="J242" s="9" t="s">
        <v>181</v>
      </c>
      <c r="K242" s="9" t="s">
        <v>181</v>
      </c>
      <c r="L242" s="9" t="s">
        <v>181</v>
      </c>
      <c r="M242" s="9" t="s">
        <v>181</v>
      </c>
      <c r="N242" s="9" t="s">
        <v>181</v>
      </c>
    </row>
    <row r="243" spans="1:43" ht="40" customHeight="1">
      <c r="A243" s="5">
        <v>1</v>
      </c>
      <c r="B243" s="5" t="s">
        <v>182</v>
      </c>
      <c r="C243" s="11" t="s">
        <v>183</v>
      </c>
      <c r="D243" s="7" t="s">
        <v>184</v>
      </c>
      <c r="E243" s="12">
        <v>26</v>
      </c>
      <c r="F243" s="12">
        <v>27</v>
      </c>
      <c r="G243" s="12">
        <v>25.5</v>
      </c>
      <c r="H243" s="12">
        <v>26.5</v>
      </c>
      <c r="I243" s="12">
        <v>27.5</v>
      </c>
      <c r="J243" s="12">
        <v>25.75</v>
      </c>
      <c r="K243" s="12">
        <v>26.75</v>
      </c>
      <c r="L243" s="12">
        <v>25.25</v>
      </c>
      <c r="M243" s="12">
        <v>26.25</v>
      </c>
      <c r="N243" s="12">
        <v>25</v>
      </c>
      <c r="O243" s="13">
        <f>IF(COUNT(AG243:AP243)&gt;0,MIN(AG243:AP243),"")</f>
        <v>25</v>
      </c>
      <c r="P243" s="13">
        <f>IF(COUNT(AG243:AP243)&gt;0,MAX(AG243:AP243),"")</f>
        <v>27.5</v>
      </c>
      <c r="Q243" s="13">
        <f>IF(ISNUMBER(O243),P243-O243,"")</f>
        <v>2.5</v>
      </c>
      <c r="R243" s="13">
        <f>IF(ISNUMBER(O243),IF(C243="Ручная",IF($S$255&gt;0,$R$255*Q243/$S$255,IF($W$255=1,$R$255,0)),0),"")</f>
        <v>0.997368421052637</v>
      </c>
      <c r="S243" s="13">
        <f>IF(ISNUMBER(O243),O243+R243,"")</f>
        <v>25.9973684210526</v>
      </c>
      <c r="T243" s="13">
        <f>IF(ISNUMBER(S243),P243-S243,"")</f>
        <v>1.50263157894736</v>
      </c>
      <c r="U243" s="13">
        <f>IF(COUNT(AG243:AP243)&gt;0,AVERAGE(AG243:AP243),"")</f>
        <v>26.15</v>
      </c>
      <c r="AG243" s="13">
        <f>IF(ISNUMBER(E$255),E243,"")</f>
        <v>26</v>
      </c>
      <c r="AH243" s="13">
        <f>IF(ISNUMBER(F$255),F243,"")</f>
        <v>27</v>
      </c>
      <c r="AI243" s="13">
        <f>IF(ISNUMBER(G$255),G243,"")</f>
        <v>25.5</v>
      </c>
      <c r="AJ243" s="13">
        <f>IF(ISNUMBER(H$255),H243,"")</f>
        <v>26.5</v>
      </c>
      <c r="AK243" s="13">
        <f>IF(ISNUMBER(I$255),I243,"")</f>
        <v>27.5</v>
      </c>
      <c r="AL243" s="13">
        <f>IF(ISNUMBER(J$255),J243,"")</f>
        <v>25.75</v>
      </c>
      <c r="AM243" s="13">
        <f>IF(ISNUMBER(K$255),K243,"")</f>
        <v>26.75</v>
      </c>
      <c r="AN243" s="13">
        <f>IF(ISNUMBER(L$255),L243,"")</f>
        <v>25.25</v>
      </c>
      <c r="AO243" s="13">
        <f>IF(ISNUMBER(M$255),M243,"")</f>
        <v>26.25</v>
      </c>
      <c r="AP243" s="13">
        <f>IF(ISNUMBER(N$255),N243,"")</f>
        <v>25</v>
      </c>
      <c r="AQ243" s="13">
        <f>IF(C243="Ручная",O243,0)</f>
        <v>25</v>
      </c>
    </row>
    <row r="244" spans="1:43" ht="40" customHeight="1">
      <c r="A244" s="5">
        <v>2</v>
      </c>
      <c r="B244" s="5" t="s">
        <v>185</v>
      </c>
      <c r="C244" s="11" t="s">
        <v>183</v>
      </c>
      <c r="D244" s="7" t="s">
        <v>186</v>
      </c>
      <c r="E244" s="12">
        <v>63.6</v>
      </c>
      <c r="F244" s="12">
        <v>66</v>
      </c>
      <c r="G244" s="12">
        <v>61.8</v>
      </c>
      <c r="H244" s="12">
        <v>64.2</v>
      </c>
      <c r="I244" s="12">
        <v>60.6</v>
      </c>
      <c r="J244" s="12">
        <v>63</v>
      </c>
      <c r="K244" s="12">
        <v>60</v>
      </c>
      <c r="L244" s="12">
        <v>62.4</v>
      </c>
      <c r="M244" s="12">
        <v>64.8</v>
      </c>
      <c r="N244" s="12">
        <v>61.2</v>
      </c>
      <c r="O244" s="13">
        <f>IF(COUNT(AG244:AP244)&gt;0,MIN(AG244:AP244),"")</f>
        <v>60</v>
      </c>
      <c r="P244" s="13">
        <f>IF(COUNT(AG244:AP244)&gt;0,MAX(AG244:AP244),"")</f>
        <v>66</v>
      </c>
      <c r="Q244" s="13">
        <f>IF(ISNUMBER(O244),P244-O244,"")</f>
        <v>6</v>
      </c>
      <c r="R244" s="13">
        <f>IF(ISNUMBER(O244),IF(C244="Ручная",IF($S$255&gt;0,$R$255*Q244/$S$255,IF($W$255=2,$R$255,0)),0),"")</f>
        <v>2.39368421052633</v>
      </c>
      <c r="S244" s="13">
        <f>IF(ISNUMBER(O244),O244+R244,"")</f>
        <v>62.3936842105263</v>
      </c>
      <c r="T244" s="13">
        <f>IF(ISNUMBER(S244),P244-S244,"")</f>
        <v>3.60631578947367</v>
      </c>
      <c r="U244" s="13">
        <f>IF(COUNT(AG244:AP244)&gt;0,AVERAGE(AG244:AP244),"")</f>
        <v>62.76</v>
      </c>
      <c r="AG244" s="13">
        <f>IF(ISNUMBER(E$255),E244,"")</f>
        <v>63.6</v>
      </c>
      <c r="AH244" s="13">
        <f>IF(ISNUMBER(F$255),F244,"")</f>
        <v>66</v>
      </c>
      <c r="AI244" s="13">
        <f>IF(ISNUMBER(G$255),G244,"")</f>
        <v>61.8</v>
      </c>
      <c r="AJ244" s="13">
        <f>IF(ISNUMBER(H$255),H244,"")</f>
        <v>64.2</v>
      </c>
      <c r="AK244" s="13">
        <f>IF(ISNUMBER(I$255),I244,"")</f>
        <v>60.6</v>
      </c>
      <c r="AL244" s="13">
        <f>IF(ISNUMBER(J$255),J244,"")</f>
        <v>63</v>
      </c>
      <c r="AM244" s="13">
        <f>IF(ISNUMBER(K$255),K244,"")</f>
        <v>60</v>
      </c>
      <c r="AN244" s="13">
        <f>IF(ISNUMBER(L$255),L244,"")</f>
        <v>62.4</v>
      </c>
      <c r="AO244" s="13">
        <f>IF(ISNUMBER(M$255),M244,"")</f>
        <v>64.8</v>
      </c>
      <c r="AP244" s="13">
        <f>IF(ISNUMBER(N$255),N244,"")</f>
        <v>61.2</v>
      </c>
      <c r="AQ244" s="13">
        <f>IF(C244="Ручная",O244,0)</f>
        <v>60</v>
      </c>
    </row>
    <row r="245" spans="1:43" ht="40" customHeight="1">
      <c r="A245" s="5">
        <v>3</v>
      </c>
      <c r="B245" s="5" t="s">
        <v>187</v>
      </c>
      <c r="C245" s="11" t="s">
        <v>183</v>
      </c>
      <c r="D245" s="7" t="s">
        <v>188</v>
      </c>
      <c r="E245" s="12">
        <v>23.54</v>
      </c>
      <c r="F245" s="12">
        <v>22.22</v>
      </c>
      <c r="G245" s="12">
        <v>23.1</v>
      </c>
      <c r="H245" s="12">
        <v>22</v>
      </c>
      <c r="I245" s="12">
        <v>22.88</v>
      </c>
      <c r="J245" s="12">
        <v>23.76</v>
      </c>
      <c r="K245" s="12">
        <v>22.44</v>
      </c>
      <c r="L245" s="12">
        <v>23.32</v>
      </c>
      <c r="M245" s="12">
        <v>24.2</v>
      </c>
      <c r="N245" s="12">
        <v>22.66</v>
      </c>
      <c r="O245" s="13">
        <f>IF(COUNT(AG245:AP245)&gt;0,MIN(AG245:AP245),"")</f>
        <v>22</v>
      </c>
      <c r="P245" s="13">
        <f>IF(COUNT(AG245:AP245)&gt;0,MAX(AG245:AP245),"")</f>
        <v>24.2</v>
      </c>
      <c r="Q245" s="13">
        <f>IF(ISNUMBER(O245),P245-O245,"")</f>
        <v>2.2</v>
      </c>
      <c r="R245" s="13">
        <f>IF(ISNUMBER(O245),IF(C245="Ручная",IF($S$255&gt;0,$R$255*Q245/$S$255,IF($W$255=3,$R$255,0)),0),"")</f>
        <v>0.87768421052632</v>
      </c>
      <c r="S245" s="13">
        <f>IF(ISNUMBER(O245),O245+R245,"")</f>
        <v>22.8776842105263</v>
      </c>
      <c r="T245" s="13">
        <f>IF(ISNUMBER(S245),P245-S245,"")</f>
        <v>1.32231578947368</v>
      </c>
      <c r="U245" s="13">
        <f>IF(COUNT(AG245:AP245)&gt;0,AVERAGE(AG245:AP245),"")</f>
        <v>23.012</v>
      </c>
      <c r="AG245" s="13">
        <f>IF(ISNUMBER(E$255),E245,"")</f>
        <v>23.54</v>
      </c>
      <c r="AH245" s="13">
        <f>IF(ISNUMBER(F$255),F245,"")</f>
        <v>22.22</v>
      </c>
      <c r="AI245" s="13">
        <f>IF(ISNUMBER(G$255),G245,"")</f>
        <v>23.1</v>
      </c>
      <c r="AJ245" s="13">
        <f>IF(ISNUMBER(H$255),H245,"")</f>
        <v>22</v>
      </c>
      <c r="AK245" s="13">
        <f>IF(ISNUMBER(I$255),I245,"")</f>
        <v>22.88</v>
      </c>
      <c r="AL245" s="13">
        <f>IF(ISNUMBER(J$255),J245,"")</f>
        <v>23.76</v>
      </c>
      <c r="AM245" s="13">
        <f>IF(ISNUMBER(K$255),K245,"")</f>
        <v>22.44</v>
      </c>
      <c r="AN245" s="13">
        <f>IF(ISNUMBER(L$255),L245,"")</f>
        <v>23.32</v>
      </c>
      <c r="AO245" s="13">
        <f>IF(ISNUMBER(M$255),M245,"")</f>
        <v>24.2</v>
      </c>
      <c r="AP245" s="13">
        <f>IF(ISNUMBER(N$255),N245,"")</f>
        <v>22.66</v>
      </c>
      <c r="AQ245" s="13">
        <f>IF(C245="Ручная",O245,0)</f>
        <v>22</v>
      </c>
    </row>
    <row r="246" spans="1:43" ht="40" customHeight="1">
      <c r="A246" s="5" t="s">
        <v>189</v>
      </c>
      <c r="B246" s="5" t="s">
        <v>190</v>
      </c>
      <c r="C246" s="11" t="s">
        <v>191</v>
      </c>
      <c r="D246" s="7" t="s">
        <v>192</v>
      </c>
      <c r="E246" s="12">
        <v>12</v>
      </c>
      <c r="F246" s="12">
        <v>12.48</v>
      </c>
      <c r="G246" s="12">
        <v>12.96</v>
      </c>
      <c r="H246" s="12">
        <v>12.24</v>
      </c>
      <c r="I246" s="12">
        <v>12.72</v>
      </c>
      <c r="J246" s="12">
        <v>13.2</v>
      </c>
      <c r="K246" s="12">
        <v>12.36</v>
      </c>
      <c r="L246" s="12">
        <v>12.84</v>
      </c>
      <c r="M246" s="12">
        <v>12.12</v>
      </c>
      <c r="N246" s="12">
        <v>12.6</v>
      </c>
      <c r="O246" s="13">
        <f>IF(COUNT(AG246:AP246)&gt;0,MIN(AG246:AP246),"")</f>
        <v>12</v>
      </c>
      <c r="P246" s="13">
        <f>IF(COUNT(AG246:AP246)&gt;0,MAX(AG246:AP246),"")</f>
        <v>13.2</v>
      </c>
      <c r="Q246" s="13">
        <f>IF(ISNUMBER(O246),P246-O246,"")</f>
        <v>1.2</v>
      </c>
      <c r="R246" s="13">
        <f>IF(ISNUMBER(O246),IF(C246="Ручная",IF($S$255&gt;0,$R$255*Q246/$S$255,IF($W$255=4,$R$255,0)),0),"")</f>
        <v>0</v>
      </c>
      <c r="S246" s="13">
        <f>IF(ISNUMBER(O246),O246+R246,"")</f>
        <v>12</v>
      </c>
      <c r="T246" s="13">
        <f>IF(ISNUMBER(S246),P246-S246,"")</f>
        <v>1.2</v>
      </c>
      <c r="U246" s="13">
        <f>IF(COUNT(AG246:AP246)&gt;0,AVERAGE(AG246:AP246),"")</f>
        <v>12.552</v>
      </c>
      <c r="AG246" s="13">
        <f>IF(ISNUMBER(E$255),E246,"")</f>
        <v>12</v>
      </c>
      <c r="AH246" s="13">
        <f>IF(ISNUMBER(F$255),F246,"")</f>
        <v>12.48</v>
      </c>
      <c r="AI246" s="13">
        <f>IF(ISNUMBER(G$255),G246,"")</f>
        <v>12.96</v>
      </c>
      <c r="AJ246" s="13">
        <f>IF(ISNUMBER(H$255),H246,"")</f>
        <v>12.24</v>
      </c>
      <c r="AK246" s="13">
        <f>IF(ISNUMBER(I$255),I246,"")</f>
        <v>12.72</v>
      </c>
      <c r="AL246" s="13">
        <f>IF(ISNUMBER(J$255),J246,"")</f>
        <v>13.2</v>
      </c>
      <c r="AM246" s="13">
        <f>IF(ISNUMBER(K$255),K246,"")</f>
        <v>12.36</v>
      </c>
      <c r="AN246" s="13">
        <f>IF(ISNUMBER(L$255),L246,"")</f>
        <v>12.84</v>
      </c>
      <c r="AO246" s="13">
        <f>IF(ISNUMBER(M$255),M246,"")</f>
        <v>12.12</v>
      </c>
      <c r="AP246" s="13">
        <f>IF(ISNUMBER(N$255),N246,"")</f>
        <v>12.6</v>
      </c>
      <c r="AQ246" s="13">
        <f>IF(C246="Ручная",O246,0)</f>
        <v>0</v>
      </c>
    </row>
    <row r="247" spans="1:43" ht="40" customHeight="1">
      <c r="A247" s="5">
        <v>5</v>
      </c>
      <c r="B247" s="5" t="s">
        <v>193</v>
      </c>
      <c r="C247" s="11" t="s">
        <v>183</v>
      </c>
      <c r="D247" s="7" t="s">
        <v>194</v>
      </c>
      <c r="E247" s="12">
        <v>35.7</v>
      </c>
      <c r="F247" s="12">
        <v>37.1</v>
      </c>
      <c r="G247" s="12">
        <v>38.5</v>
      </c>
      <c r="H247" s="12">
        <v>36.05</v>
      </c>
      <c r="I247" s="12">
        <v>37.45</v>
      </c>
      <c r="J247" s="12">
        <v>35.35</v>
      </c>
      <c r="K247" s="12">
        <v>36.75</v>
      </c>
      <c r="L247" s="12">
        <v>35</v>
      </c>
      <c r="M247" s="12">
        <v>36.4</v>
      </c>
      <c r="N247" s="12">
        <v>37.8</v>
      </c>
      <c r="O247" s="13">
        <f>IF(COUNT(AG247:AP247)&gt;0,MIN(AG247:AP247),"")</f>
        <v>35</v>
      </c>
      <c r="P247" s="13">
        <f>IF(COUNT(AG247:AP247)&gt;0,MAX(AG247:AP247),"")</f>
        <v>38.5</v>
      </c>
      <c r="Q247" s="13">
        <f>IF(ISNUMBER(O247),P247-O247,"")</f>
        <v>3.5</v>
      </c>
      <c r="R247" s="13">
        <f>IF(ISNUMBER(O247),IF(C247="Ручная",IF($S$255&gt;0,$R$255*Q247/$S$255,IF($W$255=5,$R$255,0)),0),"")</f>
        <v>1.39631578947369</v>
      </c>
      <c r="S247" s="13">
        <f>IF(ISNUMBER(O247),O247+R247,"")</f>
        <v>36.3963157894737</v>
      </c>
      <c r="T247" s="13">
        <f>IF(ISNUMBER(S247),P247-S247,"")</f>
        <v>2.10368421052631</v>
      </c>
      <c r="U247" s="13">
        <f>IF(COUNT(AG247:AP247)&gt;0,AVERAGE(AG247:AP247),"")</f>
        <v>36.61</v>
      </c>
      <c r="AG247" s="13">
        <f>IF(ISNUMBER(E$255),E247,"")</f>
        <v>35.7</v>
      </c>
      <c r="AH247" s="13">
        <f>IF(ISNUMBER(F$255),F247,"")</f>
        <v>37.1</v>
      </c>
      <c r="AI247" s="13">
        <f>IF(ISNUMBER(G$255),G247,"")</f>
        <v>38.5</v>
      </c>
      <c r="AJ247" s="13">
        <f>IF(ISNUMBER(H$255),H247,"")</f>
        <v>36.05</v>
      </c>
      <c r="AK247" s="13">
        <f>IF(ISNUMBER(I$255),I247,"")</f>
        <v>37.45</v>
      </c>
      <c r="AL247" s="13">
        <f>IF(ISNUMBER(J$255),J247,"")</f>
        <v>35.35</v>
      </c>
      <c r="AM247" s="13">
        <f>IF(ISNUMBER(K$255),K247,"")</f>
        <v>36.75</v>
      </c>
      <c r="AN247" s="13">
        <f>IF(ISNUMBER(L$255),L247,"")</f>
        <v>35</v>
      </c>
      <c r="AO247" s="13">
        <f>IF(ISNUMBER(M$255),M247,"")</f>
        <v>36.4</v>
      </c>
      <c r="AP247" s="13">
        <f>IF(ISNUMBER(N$255),N247,"")</f>
        <v>37.8</v>
      </c>
      <c r="AQ247" s="13">
        <f>IF(C247="Ручная",O247,0)</f>
        <v>35</v>
      </c>
    </row>
    <row r="248" spans="1:43" ht="40" customHeight="1">
      <c r="A248" s="5" t="s">
        <v>189</v>
      </c>
      <c r="B248" s="5" t="s">
        <v>195</v>
      </c>
      <c r="C248" s="11" t="s">
        <v>196</v>
      </c>
      <c r="D248" s="7" t="s">
        <v>197</v>
      </c>
      <c r="E248" s="18">
        <f>'Ассортимент'!R19</f>
        <v>300</v>
      </c>
      <c r="F248" s="18">
        <f>'Ассортимент'!R19</f>
        <v>300</v>
      </c>
      <c r="G248" s="18">
        <f>'Ассортимент'!R19</f>
        <v>300</v>
      </c>
      <c r="H248" s="18">
        <f>'Ассортимент'!R19</f>
        <v>300</v>
      </c>
      <c r="I248" s="18">
        <f>'Ассортимент'!R19</f>
        <v>300</v>
      </c>
      <c r="J248" s="18">
        <f>'Ассортимент'!R19</f>
        <v>300</v>
      </c>
      <c r="K248" s="18">
        <f>'Ассортимент'!R19</f>
        <v>300</v>
      </c>
      <c r="L248" s="18">
        <f>'Ассортимент'!R19</f>
        <v>300</v>
      </c>
      <c r="M248" s="18">
        <f>'Ассортимент'!R19</f>
        <v>300</v>
      </c>
      <c r="N248" s="18">
        <f>'Ассортимент'!R19</f>
        <v>300</v>
      </c>
      <c r="O248" s="13">
        <f>IF(COUNT(AG248:AP248)&gt;0,MIN(AG248:AP248),"")</f>
        <v>300</v>
      </c>
      <c r="P248" s="13">
        <f>IF(COUNT(AG248:AP248)&gt;0,MAX(AG248:AP248),"")</f>
        <v>300</v>
      </c>
      <c r="Q248" s="13">
        <f>IF(ISNUMBER(O248),P248-O248,"")</f>
        <v>0</v>
      </c>
      <c r="R248" s="13">
        <f>IF(ISNUMBER(O248),IF(C248="Ручная",IF($S$255&gt;0,$R$255*Q248/$S$255,IF($W$255=6,$R$255,0)),0),"")</f>
        <v>0</v>
      </c>
      <c r="S248" s="13">
        <f>IF(ISNUMBER(O248),O248+R248,"")</f>
        <v>300</v>
      </c>
      <c r="T248" s="13">
        <f>IF(ISNUMBER(S248),P248-S248,"")</f>
        <v>0</v>
      </c>
      <c r="U248" s="13">
        <f>IF(COUNT(AG248:AP248)&gt;0,AVERAGE(AG248:AP248),"")</f>
        <v>300</v>
      </c>
      <c r="AG248" s="13">
        <f>IF(ISNUMBER(E$255),E248,"")</f>
        <v>300</v>
      </c>
      <c r="AH248" s="13">
        <f>IF(ISNUMBER(F$255),F248,"")</f>
        <v>300</v>
      </c>
      <c r="AI248" s="13">
        <f>IF(ISNUMBER(G$255),G248,"")</f>
        <v>300</v>
      </c>
      <c r="AJ248" s="13">
        <f>IF(ISNUMBER(H$255),H248,"")</f>
        <v>300</v>
      </c>
      <c r="AK248" s="13">
        <f>IF(ISNUMBER(I$255),I248,"")</f>
        <v>300</v>
      </c>
      <c r="AL248" s="13">
        <f>IF(ISNUMBER(J$255),J248,"")</f>
        <v>300</v>
      </c>
      <c r="AM248" s="13">
        <f>IF(ISNUMBER(K$255),K248,"")</f>
        <v>300</v>
      </c>
      <c r="AN248" s="13">
        <f>IF(ISNUMBER(L$255),L248,"")</f>
        <v>300</v>
      </c>
      <c r="AO248" s="13">
        <f>IF(ISNUMBER(M$255),M248,"")</f>
        <v>300</v>
      </c>
      <c r="AP248" s="13">
        <f>IF(ISNUMBER(N$255),N248,"")</f>
        <v>300</v>
      </c>
      <c r="AQ248" s="13">
        <f>IF(C248="Ручная",O248,0)</f>
        <v>0</v>
      </c>
    </row>
    <row r="249" spans="1:43" ht="40" customHeight="1">
      <c r="A249" s="5">
        <v>7</v>
      </c>
      <c r="B249" s="5" t="s">
        <v>198</v>
      </c>
      <c r="C249" s="11" t="s">
        <v>183</v>
      </c>
      <c r="D249" s="7" t="s">
        <v>199</v>
      </c>
      <c r="E249" s="12">
        <v>31.5</v>
      </c>
      <c r="F249" s="12">
        <v>30</v>
      </c>
      <c r="G249" s="12">
        <v>31.2</v>
      </c>
      <c r="H249" s="12">
        <v>32.4</v>
      </c>
      <c r="I249" s="12">
        <v>30.6</v>
      </c>
      <c r="J249" s="12">
        <v>31.8</v>
      </c>
      <c r="K249" s="12">
        <v>33</v>
      </c>
      <c r="L249" s="12">
        <v>30.9</v>
      </c>
      <c r="M249" s="12">
        <v>32.1</v>
      </c>
      <c r="N249" s="12">
        <v>30.3</v>
      </c>
      <c r="O249" s="13">
        <f>IF(COUNT(AG249:AP249)&gt;0,MIN(AG249:AP249),"")</f>
        <v>30</v>
      </c>
      <c r="P249" s="13">
        <f>IF(COUNT(AG249:AP249)&gt;0,MAX(AG249:AP249),"")</f>
        <v>33</v>
      </c>
      <c r="Q249" s="13">
        <f>IF(ISNUMBER(O249),P249-O249,"")</f>
        <v>3</v>
      </c>
      <c r="R249" s="13">
        <f>IF(ISNUMBER(O249),IF(C249="Ручная",IF($S$255&gt;0,$R$255*Q249/$S$255,IF($W$255=7,$R$255,0)),0),"")</f>
        <v>1.19684210526316</v>
      </c>
      <c r="S249" s="13">
        <f>IF(ISNUMBER(O249),O249+R249,"")</f>
        <v>31.1968421052632</v>
      </c>
      <c r="T249" s="13">
        <f>IF(ISNUMBER(S249),P249-S249,"")</f>
        <v>1.80315789473683</v>
      </c>
      <c r="U249" s="13">
        <f>IF(COUNT(AG249:AP249)&gt;0,AVERAGE(AG249:AP249),"")</f>
        <v>31.38</v>
      </c>
      <c r="AG249" s="13">
        <f>IF(ISNUMBER(E$255),E249,"")</f>
        <v>31.5</v>
      </c>
      <c r="AH249" s="13">
        <f>IF(ISNUMBER(F$255),F249,"")</f>
        <v>30</v>
      </c>
      <c r="AI249" s="13">
        <f>IF(ISNUMBER(G$255),G249,"")</f>
        <v>31.2</v>
      </c>
      <c r="AJ249" s="13">
        <f>IF(ISNUMBER(H$255),H249,"")</f>
        <v>32.4</v>
      </c>
      <c r="AK249" s="13">
        <f>IF(ISNUMBER(I$255),I249,"")</f>
        <v>30.6</v>
      </c>
      <c r="AL249" s="13">
        <f>IF(ISNUMBER(J$255),J249,"")</f>
        <v>31.8</v>
      </c>
      <c r="AM249" s="13">
        <f>IF(ISNUMBER(K$255),K249,"")</f>
        <v>33</v>
      </c>
      <c r="AN249" s="13">
        <f>IF(ISNUMBER(L$255),L249,"")</f>
        <v>30.9</v>
      </c>
      <c r="AO249" s="13">
        <f>IF(ISNUMBER(M$255),M249,"")</f>
        <v>32.1</v>
      </c>
      <c r="AP249" s="13">
        <f>IF(ISNUMBER(N$255),N249,"")</f>
        <v>30.3</v>
      </c>
      <c r="AQ249" s="13">
        <f>IF(C249="Ручная",O249,0)</f>
        <v>30</v>
      </c>
    </row>
    <row r="250" spans="1:43" ht="40" customHeight="1">
      <c r="A250" s="5">
        <v>8</v>
      </c>
      <c r="B250" s="5" t="s">
        <v>200</v>
      </c>
      <c r="C250" s="11" t="s">
        <v>183</v>
      </c>
      <c r="D250" s="7" t="s">
        <v>201</v>
      </c>
      <c r="E250" s="12">
        <v>19.44</v>
      </c>
      <c r="F250" s="12">
        <v>18.36</v>
      </c>
      <c r="G250" s="12">
        <v>19.08</v>
      </c>
      <c r="H250" s="12">
        <v>19.8</v>
      </c>
      <c r="I250" s="12">
        <v>18.54</v>
      </c>
      <c r="J250" s="12">
        <v>19.26</v>
      </c>
      <c r="K250" s="12">
        <v>18.18</v>
      </c>
      <c r="L250" s="12">
        <v>18.9</v>
      </c>
      <c r="M250" s="12">
        <v>18</v>
      </c>
      <c r="N250" s="12">
        <v>18.72</v>
      </c>
      <c r="O250" s="13">
        <f>IF(COUNT(AG250:AP250)&gt;0,MIN(AG250:AP250),"")</f>
        <v>18</v>
      </c>
      <c r="P250" s="13">
        <f>IF(COUNT(AG250:AP250)&gt;0,MAX(AG250:AP250),"")</f>
        <v>19.8</v>
      </c>
      <c r="Q250" s="13">
        <f>IF(ISNUMBER(O250),P250-O250,"")</f>
        <v>1.8</v>
      </c>
      <c r="R250" s="13">
        <f>IF(ISNUMBER(O250),IF(C250="Ручная",IF($S$255&gt;0,$R$255*Q250/$S$255,IF($W$255=8,$R$255,0)),0),"")</f>
        <v>0.718105263157899</v>
      </c>
      <c r="S250" s="13">
        <f>IF(ISNUMBER(O250),O250+R250,"")</f>
        <v>18.7181052631579</v>
      </c>
      <c r="T250" s="13">
        <f>IF(ISNUMBER(S250),P250-S250,"")</f>
        <v>1.0818947368421</v>
      </c>
      <c r="U250" s="13">
        <f>IF(COUNT(AG250:AP250)&gt;0,AVERAGE(AG250:AP250),"")</f>
        <v>18.828</v>
      </c>
      <c r="AG250" s="13">
        <f>IF(ISNUMBER(E$255),E250,"")</f>
        <v>19.44</v>
      </c>
      <c r="AH250" s="13">
        <f>IF(ISNUMBER(F$255),F250,"")</f>
        <v>18.36</v>
      </c>
      <c r="AI250" s="13">
        <f>IF(ISNUMBER(G$255),G250,"")</f>
        <v>19.08</v>
      </c>
      <c r="AJ250" s="13">
        <f>IF(ISNUMBER(H$255),H250,"")</f>
        <v>19.8</v>
      </c>
      <c r="AK250" s="13">
        <f>IF(ISNUMBER(I$255),I250,"")</f>
        <v>18.54</v>
      </c>
      <c r="AL250" s="13">
        <f>IF(ISNUMBER(J$255),J250,"")</f>
        <v>19.26</v>
      </c>
      <c r="AM250" s="13">
        <f>IF(ISNUMBER(K$255),K250,"")</f>
        <v>18.18</v>
      </c>
      <c r="AN250" s="13">
        <f>IF(ISNUMBER(L$255),L250,"")</f>
        <v>18.9</v>
      </c>
      <c r="AO250" s="13">
        <f>IF(ISNUMBER(M$255),M250,"")</f>
        <v>18</v>
      </c>
      <c r="AP250" s="13">
        <f>IF(ISNUMBER(N$255),N250,"")</f>
        <v>18.72</v>
      </c>
      <c r="AQ250" s="13">
        <f>IF(C250="Ручная",O250,0)</f>
        <v>18</v>
      </c>
    </row>
    <row r="251" spans="1:43" ht="40" customHeight="1">
      <c r="A251" s="5" t="s">
        <v>189</v>
      </c>
      <c r="B251" s="5" t="s">
        <v>202</v>
      </c>
      <c r="C251" s="11" t="s">
        <v>191</v>
      </c>
      <c r="D251" s="7" t="s">
        <v>203</v>
      </c>
      <c r="E251" s="12">
        <v>11</v>
      </c>
      <c r="F251" s="12">
        <v>10.3</v>
      </c>
      <c r="G251" s="12">
        <v>10.7</v>
      </c>
      <c r="H251" s="12">
        <v>10.1</v>
      </c>
      <c r="I251" s="12">
        <v>10.5</v>
      </c>
      <c r="J251" s="12">
        <v>10</v>
      </c>
      <c r="K251" s="12">
        <v>10.4</v>
      </c>
      <c r="L251" s="12">
        <v>10.8</v>
      </c>
      <c r="M251" s="12">
        <v>10.2</v>
      </c>
      <c r="N251" s="12">
        <v>10.6</v>
      </c>
      <c r="O251" s="13">
        <f>IF(COUNT(AG251:AP251)&gt;0,MIN(AG251:AP251),"")</f>
        <v>10</v>
      </c>
      <c r="P251" s="13">
        <f>IF(COUNT(AG251:AP251)&gt;0,MAX(AG251:AP251),"")</f>
        <v>11</v>
      </c>
      <c r="Q251" s="13">
        <f>IF(ISNUMBER(O251),P251-O251,"")</f>
        <v>1</v>
      </c>
      <c r="R251" s="13">
        <f>IF(ISNUMBER(O251),IF(C251="Ручная",IF($S$255&gt;0,$R$255*Q251/$S$255,IF($W$255=9,$R$255,0)),0),"")</f>
        <v>0</v>
      </c>
      <c r="S251" s="13">
        <f>IF(ISNUMBER(O251),O251+R251,"")</f>
        <v>10</v>
      </c>
      <c r="T251" s="13">
        <f>IF(ISNUMBER(S251),P251-S251,"")</f>
        <v>1</v>
      </c>
      <c r="U251" s="13">
        <f>IF(COUNT(AG251:AP251)&gt;0,AVERAGE(AG251:AP251),"")</f>
        <v>10.46</v>
      </c>
      <c r="AG251" s="13">
        <f>IF(ISNUMBER(E$255),E251,"")</f>
        <v>11</v>
      </c>
      <c r="AH251" s="13">
        <f>IF(ISNUMBER(F$255),F251,"")</f>
        <v>10.3</v>
      </c>
      <c r="AI251" s="13">
        <f>IF(ISNUMBER(G$255),G251,"")</f>
        <v>10.7</v>
      </c>
      <c r="AJ251" s="13">
        <f>IF(ISNUMBER(H$255),H251,"")</f>
        <v>10.1</v>
      </c>
      <c r="AK251" s="13">
        <f>IF(ISNUMBER(I$255),I251,"")</f>
        <v>10.5</v>
      </c>
      <c r="AL251" s="13">
        <f>IF(ISNUMBER(J$255),J251,"")</f>
        <v>10</v>
      </c>
      <c r="AM251" s="13">
        <f>IF(ISNUMBER(K$255),K251,"")</f>
        <v>10.4</v>
      </c>
      <c r="AN251" s="13">
        <f>IF(ISNUMBER(L$255),L251,"")</f>
        <v>10.8</v>
      </c>
      <c r="AO251" s="13">
        <f>IF(ISNUMBER(M$255),M251,"")</f>
        <v>10.2</v>
      </c>
      <c r="AP251" s="13">
        <f>IF(ISNUMBER(N$255),N251,"")</f>
        <v>10.6</v>
      </c>
      <c r="AQ251" s="13">
        <f>IF(C251="Ручная",O251,0)</f>
        <v>0</v>
      </c>
    </row>
    <row r="252" spans="1:43" ht="40" customHeight="1">
      <c r="A252" s="5" t="s">
        <v>189</v>
      </c>
      <c r="B252" s="5" t="s">
        <v>204</v>
      </c>
      <c r="C252" s="11" t="s">
        <v>191</v>
      </c>
      <c r="D252" s="7" t="s">
        <v>205</v>
      </c>
      <c r="E252" s="12">
        <v>10.1</v>
      </c>
      <c r="F252" s="12">
        <v>10.5</v>
      </c>
      <c r="G252" s="12">
        <v>10</v>
      </c>
      <c r="H252" s="12">
        <v>10.4</v>
      </c>
      <c r="I252" s="12">
        <v>10.8</v>
      </c>
      <c r="J252" s="12">
        <v>10.2</v>
      </c>
      <c r="K252" s="12">
        <v>10.6</v>
      </c>
      <c r="L252" s="12">
        <v>11</v>
      </c>
      <c r="M252" s="12">
        <v>10.3</v>
      </c>
      <c r="N252" s="12">
        <v>10.7</v>
      </c>
      <c r="O252" s="13">
        <f>IF(COUNT(AG252:AP252)&gt;0,MIN(AG252:AP252),"")</f>
        <v>10</v>
      </c>
      <c r="P252" s="13">
        <f>IF(COUNT(AG252:AP252)&gt;0,MAX(AG252:AP252),"")</f>
        <v>11</v>
      </c>
      <c r="Q252" s="13">
        <f>IF(ISNUMBER(O252),P252-O252,"")</f>
        <v>1</v>
      </c>
      <c r="R252" s="13">
        <f>IF(ISNUMBER(O252),IF(C252="Ручная",IF($S$255&gt;0,$R$255*Q252/$S$255,IF($W$255=10,$R$255,0)),0),"")</f>
        <v>0</v>
      </c>
      <c r="S252" s="13">
        <f>IF(ISNUMBER(O252),O252+R252,"")</f>
        <v>10</v>
      </c>
      <c r="T252" s="13">
        <f>IF(ISNUMBER(S252),P252-S252,"")</f>
        <v>1</v>
      </c>
      <c r="U252" s="13">
        <f>IF(COUNT(AG252:AP252)&gt;0,AVERAGE(AG252:AP252),"")</f>
        <v>10.46</v>
      </c>
      <c r="AG252" s="13">
        <f>IF(ISNUMBER(E$255),E252,"")</f>
        <v>10.1</v>
      </c>
      <c r="AH252" s="13">
        <f>IF(ISNUMBER(F$255),F252,"")</f>
        <v>10.5</v>
      </c>
      <c r="AI252" s="13">
        <f>IF(ISNUMBER(G$255),G252,"")</f>
        <v>10</v>
      </c>
      <c r="AJ252" s="13">
        <f>IF(ISNUMBER(H$255),H252,"")</f>
        <v>10.4</v>
      </c>
      <c r="AK252" s="13">
        <f>IF(ISNUMBER(I$255),I252,"")</f>
        <v>10.8</v>
      </c>
      <c r="AL252" s="13">
        <f>IF(ISNUMBER(J$255),J252,"")</f>
        <v>10.2</v>
      </c>
      <c r="AM252" s="13">
        <f>IF(ISNUMBER(K$255),K252,"")</f>
        <v>10.6</v>
      </c>
      <c r="AN252" s="13">
        <f>IF(ISNUMBER(L$255),L252,"")</f>
        <v>11</v>
      </c>
      <c r="AO252" s="13">
        <f>IF(ISNUMBER(M$255),M252,"")</f>
        <v>10.3</v>
      </c>
      <c r="AP252" s="13">
        <f>IF(ISNUMBER(N$255),N252,"")</f>
        <v>10.7</v>
      </c>
      <c r="AQ252" s="13">
        <f>IF(C252="Ручная",O252,0)</f>
        <v>0</v>
      </c>
    </row>
    <row r="253" spans="1:43" ht="40" customHeight="1">
      <c r="A253" s="5" t="s">
        <v>189</v>
      </c>
      <c r="B253" s="5" t="s">
        <v>206</v>
      </c>
      <c r="C253" s="11" t="s">
        <v>207</v>
      </c>
      <c r="D253" s="7" t="s">
        <v>208</v>
      </c>
      <c r="E253" s="12">
        <v>12.48</v>
      </c>
      <c r="F253" s="12">
        <v>12.96</v>
      </c>
      <c r="G253" s="12">
        <v>12.24</v>
      </c>
      <c r="H253" s="12">
        <v>12.72</v>
      </c>
      <c r="I253" s="12">
        <v>13.2</v>
      </c>
      <c r="J253" s="12">
        <v>12.36</v>
      </c>
      <c r="K253" s="12">
        <v>12.84</v>
      </c>
      <c r="L253" s="12">
        <v>12.12</v>
      </c>
      <c r="M253" s="12">
        <v>12.6</v>
      </c>
      <c r="N253" s="12">
        <v>12</v>
      </c>
      <c r="O253" s="13">
        <f>IF(COUNT(AG253:AP253)&gt;0,MIN(AG253:AP253),"")</f>
        <v>12</v>
      </c>
      <c r="P253" s="13">
        <f>IF(COUNT(AG253:AP253)&gt;0,MAX(AG253:AP253),"")</f>
        <v>13.2</v>
      </c>
      <c r="Q253" s="13">
        <f>IF(ISNUMBER(O253),P253-O253,"")</f>
        <v>1.2</v>
      </c>
      <c r="R253" s="13">
        <f>IF(ISNUMBER(O253),IF(C253="Ручная",IF($S$255&gt;0,$R$255*Q253/$S$255,IF($W$255=11,$R$255,0)),0),"")</f>
        <v>0</v>
      </c>
      <c r="S253" s="13">
        <f>IF(ISNUMBER(O253),O253+R253,"")</f>
        <v>12</v>
      </c>
      <c r="T253" s="13">
        <f>IF(ISNUMBER(S253),P253-S253,"")</f>
        <v>1.2</v>
      </c>
      <c r="U253" s="13">
        <f>IF(COUNT(AG253:AP253)&gt;0,AVERAGE(AG253:AP253),"")</f>
        <v>12.552</v>
      </c>
      <c r="AG253" s="13">
        <f>IF(ISNUMBER(E$255),E253,"")</f>
        <v>12.48</v>
      </c>
      <c r="AH253" s="13">
        <f>IF(ISNUMBER(F$255),F253,"")</f>
        <v>12.96</v>
      </c>
      <c r="AI253" s="13">
        <f>IF(ISNUMBER(G$255),G253,"")</f>
        <v>12.24</v>
      </c>
      <c r="AJ253" s="13">
        <f>IF(ISNUMBER(H$255),H253,"")</f>
        <v>12.72</v>
      </c>
      <c r="AK253" s="13">
        <f>IF(ISNUMBER(I$255),I253,"")</f>
        <v>13.2</v>
      </c>
      <c r="AL253" s="13">
        <f>IF(ISNUMBER(J$255),J253,"")</f>
        <v>12.36</v>
      </c>
      <c r="AM253" s="13">
        <f>IF(ISNUMBER(K$255),K253,"")</f>
        <v>12.84</v>
      </c>
      <c r="AN253" s="13">
        <f>IF(ISNUMBER(L$255),L253,"")</f>
        <v>12.12</v>
      </c>
      <c r="AO253" s="13">
        <f>IF(ISNUMBER(M$255),M253,"")</f>
        <v>12.6</v>
      </c>
      <c r="AP253" s="13">
        <f>IF(ISNUMBER(N$255),N253,"")</f>
        <v>12</v>
      </c>
      <c r="AQ253" s="13">
        <f>IF(C253="Ручная",O253,0)</f>
        <v>0</v>
      </c>
    </row>
    <row r="254" spans="1:43" ht="23" customHeight="1">
      <c r="B254" s="4" t="s">
        <v>209</v>
      </c>
      <c r="E254" s="6">
        <f>IF(COUNT(E243:E253)=11,SUM(E243:E253),"")</f>
        <v>545.36</v>
      </c>
      <c r="F254" s="6">
        <f>IF(COUNT(F243:F253)=11,SUM(F243:F253),"")</f>
        <v>546.92</v>
      </c>
      <c r="G254" s="6">
        <f>IF(COUNT(G243:G253)=11,SUM(G243:G253),"")</f>
        <v>545.08</v>
      </c>
      <c r="H254" s="6">
        <f>IF(COUNT(H243:H253)=11,SUM(H243:H253),"")</f>
        <v>546.41</v>
      </c>
      <c r="I254" s="6">
        <f>IF(COUNT(I243:I253)=11,SUM(I243:I253),"")</f>
        <v>544.79</v>
      </c>
      <c r="J254" s="6">
        <f>IF(COUNT(J243:J253)=11,SUM(J243:J253),"")</f>
        <v>544.68</v>
      </c>
      <c r="K254" s="6">
        <f>IF(COUNT(K243:K253)=11,SUM(K243:K253),"")</f>
        <v>543.32</v>
      </c>
      <c r="L254" s="6">
        <f>IF(COUNT(L243:L253)=11,SUM(L243:L253),"")</f>
        <v>542.53</v>
      </c>
      <c r="M254" s="6">
        <f>IF(COUNT(M243:M253)=11,SUM(M243:M253),"")</f>
        <v>546.97</v>
      </c>
      <c r="N254" s="6">
        <f>IF(COUNT(N243:N253)=11,SUM(N243:N253),"")</f>
        <v>541.58</v>
      </c>
      <c r="O254" s="6">
        <f>IF(COUNT(O243:O253)=11,SUM(O243:O253),"")</f>
        <v>534</v>
      </c>
      <c r="P254" s="6">
        <f>IF(COUNT(P243:P253)=11,SUM(P243:P253),"")</f>
        <v>557.4</v>
      </c>
      <c r="Q254" s="6">
        <f>IF(COUNT(Q243:Q253)=11,SUM(Q243:Q253),"")</f>
        <v>23.4</v>
      </c>
      <c r="R254" s="6">
        <f>IF(COUNT(R243:R253)=11,SUM(R243:R253),"")</f>
        <v>7.58000000000004</v>
      </c>
      <c r="S254" s="6">
        <f>IF(COUNT(S243:S253)=11,SUM(S243:S253),"")</f>
        <v>541.58</v>
      </c>
      <c r="T254" s="6">
        <f>IF(COUNT(T243:T253)=11,SUM(T243:T253),"")</f>
        <v>15.82</v>
      </c>
      <c r="U254" s="6">
        <f>IF(COUNT(U243:U253)=11,SUM(U243:U253),"")</f>
        <v>544.764</v>
      </c>
    </row>
    <row r="255" spans="1:43" ht="23" customHeight="1">
      <c r="B255" s="4" t="s">
        <v>210</v>
      </c>
      <c r="E255" s="6">
        <f>IF(AND(E241=1,COUNT(E243:E253)=11,MIN(E243:E253)&gt;=0),E254,"")</f>
        <v>545.36</v>
      </c>
      <c r="F255" s="6">
        <f>IF(AND(F241=1,COUNT(F243:F253)=11,MIN(F243:F253)&gt;=0),F254,"")</f>
        <v>546.92</v>
      </c>
      <c r="G255" s="6">
        <f>IF(AND(G241=1,COUNT(G243:G253)=11,MIN(G243:G253)&gt;=0),G254,"")</f>
        <v>545.08</v>
      </c>
      <c r="H255" s="6">
        <f>IF(AND(H241=1,COUNT(H243:H253)=11,MIN(H243:H253)&gt;=0),H254,"")</f>
        <v>546.41</v>
      </c>
      <c r="I255" s="6">
        <f>IF(AND(I241=1,COUNT(I243:I253)=11,MIN(I243:I253)&gt;=0),I254,"")</f>
        <v>544.79</v>
      </c>
      <c r="J255" s="6">
        <f>IF(AND(J241=1,COUNT(J243:J253)=11,MIN(J243:J253)&gt;=0),J254,"")</f>
        <v>544.68</v>
      </c>
      <c r="K255" s="6">
        <f>IF(AND(K241=1,COUNT(K243:K253)=11,MIN(K243:K253)&gt;=0),K254,"")</f>
        <v>543.32</v>
      </c>
      <c r="L255" s="6">
        <f>IF(AND(L241=1,COUNT(L243:L253)=11,MIN(L243:L253)&gt;=0),L254,"")</f>
        <v>542.53</v>
      </c>
      <c r="M255" s="6">
        <f>IF(AND(M241=1,COUNT(M243:M253)=11,MIN(M243:M253)&gt;=0),M254,"")</f>
        <v>546.97</v>
      </c>
      <c r="N255" s="6">
        <f>IF(AND(N241=1,COUNT(N243:N253)=11,MIN(N243:N253)&gt;=0),N254,"")</f>
        <v>541.58</v>
      </c>
      <c r="O255" s="6">
        <f>IF(COUNT(E255:N255)&gt;0,MIN(E255:N255),"")</f>
        <v>541.58</v>
      </c>
      <c r="P255" s="6">
        <f>IF(COUNT(E255:N255)&gt;0,MAX(E255:N255),"")</f>
        <v>546.97</v>
      </c>
      <c r="Q255" s="6">
        <f>IF(ISNUMBER(O255),P255-O255,"")</f>
        <v>5.38999999999999</v>
      </c>
      <c r="R255" s="6">
        <f>IF(ISNUMBER(O255),MAX(0,O255-O254),"")</f>
        <v>7.58000000000004</v>
      </c>
      <c r="S255" s="6">
        <f>SUMIF(C243:C253,"Ручная",Q243:Q253)</f>
        <v>19</v>
      </c>
      <c r="T255" s="6">
        <f>COUNT(E255:N255)</f>
        <v>10</v>
      </c>
      <c r="U255" s="6">
        <f>IF(COUNT(E255:N255)&gt;0,AVERAGE(E255:N255),"")</f>
        <v>544.764</v>
      </c>
      <c r="V255" s="6">
        <f>IF(ISNUMBER(O255),S254-O255,"")</f>
        <v>0</v>
      </c>
      <c r="W255" s="6">
        <f>MATCH(MAX(AQ243:AQ253),AQ243:AQ253,0)</f>
        <v>2</v>
      </c>
      <c r="X255" s="17" t="str">
        <f>IF(T255=0,"НЕТ ЗАМЕРОВ",IF(T255&lt;10,"МЕНЕЕ 10 ЦИКЛОВ",IF(ABS(V255)&lt;0.000001,"ОК","ОШИБКА РЕГУЛИРОВКИ")))</f>
        <v>ОК</v>
      </c>
    </row>
    <row r="256" spans="1:43" ht="23" customHeight="1">
      <c r="A256" s="7" t="s">
        <v>211</v>
      </c>
      <c r="B256" s="7"/>
      <c r="C256" s="7"/>
      <c r="D256" s="7"/>
      <c r="E256" s="7"/>
      <c r="F256" s="7"/>
      <c r="G256" s="7"/>
      <c r="H256" s="7"/>
      <c r="I256" s="7"/>
      <c r="J256" s="7"/>
      <c r="K256" s="7"/>
      <c r="L256" s="7"/>
      <c r="M256" s="7"/>
      <c r="N256" s="7"/>
      <c r="O256" s="7"/>
      <c r="P256" s="7"/>
      <c r="Q256" s="7"/>
      <c r="R256" s="7"/>
      <c r="S256" s="7"/>
      <c r="T256" s="7"/>
      <c r="U256" s="7"/>
      <c r="V256" s="7"/>
      <c r="W256" s="7"/>
      <c r="X256" s="7"/>
    </row>
    <row r="259" spans="1:43" ht="23" customHeight="1">
      <c r="A259" s="4" t="s">
        <v>223</v>
      </c>
      <c r="B259" s="4"/>
      <c r="C259" s="4"/>
      <c r="D259" s="4"/>
      <c r="E259" s="4"/>
      <c r="F259" s="4"/>
      <c r="G259" s="4"/>
      <c r="H259" s="4"/>
      <c r="I259" s="4"/>
      <c r="J259" s="4"/>
      <c r="K259" s="4"/>
      <c r="L259" s="4"/>
      <c r="M259" s="4"/>
      <c r="N259" s="4"/>
      <c r="O259" s="4"/>
      <c r="P259" s="4"/>
      <c r="Q259" s="4"/>
      <c r="R259" s="4"/>
      <c r="S259" s="4"/>
      <c r="T259" s="4"/>
      <c r="U259" s="4"/>
      <c r="V259" s="4"/>
      <c r="W259" s="4"/>
      <c r="X259" s="4"/>
    </row>
    <row r="260" spans="1:43" ht="23" customHeight="1">
      <c r="A260" s="7" t="str">
        <f>"Масса замера, кг: "&amp;'Ассортимент'!J20&amp;".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260" s="7"/>
      <c r="C260" s="7"/>
      <c r="D260" s="7"/>
      <c r="E260" s="7"/>
      <c r="F260" s="7"/>
      <c r="G260" s="7"/>
      <c r="H260" s="7"/>
      <c r="I260" s="7"/>
      <c r="J260" s="7"/>
      <c r="K260" s="7"/>
      <c r="L260" s="7"/>
      <c r="M260" s="7"/>
      <c r="N260" s="7"/>
      <c r="O260" s="7"/>
      <c r="P260" s="7"/>
      <c r="Q260" s="7"/>
      <c r="R260" s="7"/>
      <c r="S260" s="7"/>
      <c r="T260" s="7"/>
      <c r="U260" s="7"/>
      <c r="V260" s="7"/>
      <c r="W260" s="7"/>
      <c r="X260" s="7"/>
    </row>
    <row r="261" spans="1:43" ht="44" customHeight="1">
      <c r="A261" s="8" t="s">
        <v>113</v>
      </c>
      <c r="B261" s="8" t="s">
        <v>156</v>
      </c>
      <c r="C261" s="8" t="s">
        <v>157</v>
      </c>
      <c r="D261" s="8" t="s">
        <v>158</v>
      </c>
      <c r="E261" s="8" t="s">
        <v>159</v>
      </c>
      <c r="F261" s="8" t="s">
        <v>160</v>
      </c>
      <c r="G261" s="8" t="s">
        <v>161</v>
      </c>
      <c r="H261" s="8" t="s">
        <v>162</v>
      </c>
      <c r="I261" s="8" t="s">
        <v>163</v>
      </c>
      <c r="J261" s="8" t="s">
        <v>164</v>
      </c>
      <c r="K261" s="8" t="s">
        <v>165</v>
      </c>
      <c r="L261" s="8" t="s">
        <v>166</v>
      </c>
      <c r="M261" s="8" t="s">
        <v>167</v>
      </c>
      <c r="N261" s="8" t="s">
        <v>168</v>
      </c>
      <c r="O261" s="8" t="s">
        <v>169</v>
      </c>
      <c r="P261" s="8" t="s">
        <v>170</v>
      </c>
      <c r="Q261" s="8" t="s">
        <v>171</v>
      </c>
      <c r="R261" s="8" t="s">
        <v>172</v>
      </c>
      <c r="S261" s="8" t="s">
        <v>173</v>
      </c>
      <c r="T261" s="8" t="s">
        <v>174</v>
      </c>
      <c r="U261" s="8" t="s">
        <v>175</v>
      </c>
      <c r="V261" s="8" t="s">
        <v>176</v>
      </c>
      <c r="W261" s="8" t="s">
        <v>177</v>
      </c>
      <c r="X261" s="8" t="s">
        <v>178</v>
      </c>
    </row>
    <row r="262" spans="1:43" ht="23" customHeight="1">
      <c r="B262" s="5" t="s">
        <v>179</v>
      </c>
      <c r="E262" s="12">
        <v>1</v>
      </c>
      <c r="F262" s="12">
        <v>1</v>
      </c>
      <c r="G262" s="12">
        <v>1</v>
      </c>
      <c r="H262" s="12">
        <v>1</v>
      </c>
      <c r="I262" s="12">
        <v>1</v>
      </c>
      <c r="J262" s="12">
        <v>1</v>
      </c>
      <c r="K262" s="12">
        <v>1</v>
      </c>
      <c r="L262" s="12">
        <v>1</v>
      </c>
      <c r="M262" s="12">
        <v>1</v>
      </c>
      <c r="N262" s="12">
        <v>1</v>
      </c>
    </row>
    <row r="263" spans="1:43" ht="33" customHeight="1">
      <c r="B263" s="5" t="s">
        <v>180</v>
      </c>
      <c r="E263" s="9" t="s">
        <v>181</v>
      </c>
      <c r="F263" s="9" t="s">
        <v>181</v>
      </c>
      <c r="G263" s="9" t="s">
        <v>181</v>
      </c>
      <c r="H263" s="9" t="s">
        <v>181</v>
      </c>
      <c r="I263" s="9" t="s">
        <v>181</v>
      </c>
      <c r="J263" s="9" t="s">
        <v>181</v>
      </c>
      <c r="K263" s="9" t="s">
        <v>181</v>
      </c>
      <c r="L263" s="9" t="s">
        <v>181</v>
      </c>
      <c r="M263" s="9" t="s">
        <v>181</v>
      </c>
      <c r="N263" s="9" t="s">
        <v>181</v>
      </c>
    </row>
    <row r="264" spans="1:43" ht="40" customHeight="1">
      <c r="A264" s="5">
        <v>1</v>
      </c>
      <c r="B264" s="5" t="s">
        <v>182</v>
      </c>
      <c r="C264" s="11" t="s">
        <v>183</v>
      </c>
      <c r="D264" s="7" t="s">
        <v>184</v>
      </c>
      <c r="E264" s="12">
        <v>27</v>
      </c>
      <c r="F264" s="12">
        <v>25.5</v>
      </c>
      <c r="G264" s="12">
        <v>26.5</v>
      </c>
      <c r="H264" s="12">
        <v>27.5</v>
      </c>
      <c r="I264" s="12">
        <v>25.75</v>
      </c>
      <c r="J264" s="12">
        <v>26.75</v>
      </c>
      <c r="K264" s="12">
        <v>25.25</v>
      </c>
      <c r="L264" s="12">
        <v>26.25</v>
      </c>
      <c r="M264" s="12">
        <v>25</v>
      </c>
      <c r="N264" s="12">
        <v>26</v>
      </c>
      <c r="O264" s="13">
        <f>IF(COUNT(AG264:AP264)&gt;0,MIN(AG264:AP264),"")</f>
        <v>25</v>
      </c>
      <c r="P264" s="13">
        <f>IF(COUNT(AG264:AP264)&gt;0,MAX(AG264:AP264),"")</f>
        <v>27.5</v>
      </c>
      <c r="Q264" s="13">
        <f>IF(ISNUMBER(O264),P264-O264,"")</f>
        <v>2.5</v>
      </c>
      <c r="R264" s="13">
        <f>IF(ISNUMBER(O264),IF(C264="Ручная",IF($S$276&gt;0,$R$276*Q264/$S$276,IF($W$276=1,$R$276,0)),0),"")</f>
        <v>0.972500000000011</v>
      </c>
      <c r="S264" s="13">
        <f>IF(ISNUMBER(O264),O264+R264,"")</f>
        <v>25.9725</v>
      </c>
      <c r="T264" s="13">
        <f>IF(ISNUMBER(S264),P264-S264,"")</f>
        <v>1.52749999999999</v>
      </c>
      <c r="U264" s="13">
        <f>IF(COUNT(AG264:AP264)&gt;0,AVERAGE(AG264:AP264),"")</f>
        <v>26.15</v>
      </c>
      <c r="AG264" s="13">
        <f>IF(ISNUMBER(E$276),E264,"")</f>
        <v>27</v>
      </c>
      <c r="AH264" s="13">
        <f>IF(ISNUMBER(F$276),F264,"")</f>
        <v>25.5</v>
      </c>
      <c r="AI264" s="13">
        <f>IF(ISNUMBER(G$276),G264,"")</f>
        <v>26.5</v>
      </c>
      <c r="AJ264" s="13">
        <f>IF(ISNUMBER(H$276),H264,"")</f>
        <v>27.5</v>
      </c>
      <c r="AK264" s="13">
        <f>IF(ISNUMBER(I$276),I264,"")</f>
        <v>25.75</v>
      </c>
      <c r="AL264" s="13">
        <f>IF(ISNUMBER(J$276),J264,"")</f>
        <v>26.75</v>
      </c>
      <c r="AM264" s="13">
        <f>IF(ISNUMBER(K$276),K264,"")</f>
        <v>25.25</v>
      </c>
      <c r="AN264" s="13">
        <f>IF(ISNUMBER(L$276),L264,"")</f>
        <v>26.25</v>
      </c>
      <c r="AO264" s="13">
        <f>IF(ISNUMBER(M$276),M264,"")</f>
        <v>25</v>
      </c>
      <c r="AP264" s="13">
        <f>IF(ISNUMBER(N$276),N264,"")</f>
        <v>26</v>
      </c>
      <c r="AQ264" s="13">
        <f>IF(C264="Ручная",O264,0)</f>
        <v>25</v>
      </c>
    </row>
    <row r="265" spans="1:43" ht="40" customHeight="1">
      <c r="A265" s="5">
        <v>2</v>
      </c>
      <c r="B265" s="5" t="s">
        <v>185</v>
      </c>
      <c r="C265" s="11" t="s">
        <v>183</v>
      </c>
      <c r="D265" s="7" t="s">
        <v>186</v>
      </c>
      <c r="E265" s="12">
        <v>77</v>
      </c>
      <c r="F265" s="12">
        <v>72.09999999999999</v>
      </c>
      <c r="G265" s="12">
        <v>74.90000000000001</v>
      </c>
      <c r="H265" s="12">
        <v>70.7</v>
      </c>
      <c r="I265" s="12">
        <v>73.5</v>
      </c>
      <c r="J265" s="12">
        <v>70</v>
      </c>
      <c r="K265" s="12">
        <v>72.8</v>
      </c>
      <c r="L265" s="12">
        <v>75.59999999999999</v>
      </c>
      <c r="M265" s="12">
        <v>71.40000000000001</v>
      </c>
      <c r="N265" s="12">
        <v>74.2</v>
      </c>
      <c r="O265" s="13">
        <f>IF(COUNT(AG265:AP265)&gt;0,MIN(AG265:AP265),"")</f>
        <v>70</v>
      </c>
      <c r="P265" s="13">
        <f>IF(COUNT(AG265:AP265)&gt;0,MAX(AG265:AP265),"")</f>
        <v>77</v>
      </c>
      <c r="Q265" s="13">
        <f>IF(ISNUMBER(O265),P265-O265,"")</f>
        <v>7</v>
      </c>
      <c r="R265" s="13">
        <f>IF(ISNUMBER(O265),IF(C265="Ручная",IF($S$276&gt;0,$R$276*Q265/$S$276,IF($W$276=2,$R$276,0)),0),"")</f>
        <v>2.72300000000003</v>
      </c>
      <c r="S265" s="13">
        <f>IF(ISNUMBER(O265),O265+R265,"")</f>
        <v>72.723</v>
      </c>
      <c r="T265" s="13">
        <f>IF(ISNUMBER(S265),P265-S265,"")</f>
        <v>4.27699999999997</v>
      </c>
      <c r="U265" s="13">
        <f>IF(COUNT(AG265:AP265)&gt;0,AVERAGE(AG265:AP265),"")</f>
        <v>73.22</v>
      </c>
      <c r="AG265" s="13">
        <f>IF(ISNUMBER(E$276),E265,"")</f>
        <v>77</v>
      </c>
      <c r="AH265" s="13">
        <f>IF(ISNUMBER(F$276),F265,"")</f>
        <v>72.1</v>
      </c>
      <c r="AI265" s="13">
        <f>IF(ISNUMBER(G$276),G265,"")</f>
        <v>74.9</v>
      </c>
      <c r="AJ265" s="13">
        <f>IF(ISNUMBER(H$276),H265,"")</f>
        <v>70.7</v>
      </c>
      <c r="AK265" s="13">
        <f>IF(ISNUMBER(I$276),I265,"")</f>
        <v>73.5</v>
      </c>
      <c r="AL265" s="13">
        <f>IF(ISNUMBER(J$276),J265,"")</f>
        <v>70</v>
      </c>
      <c r="AM265" s="13">
        <f>IF(ISNUMBER(K$276),K265,"")</f>
        <v>72.8</v>
      </c>
      <c r="AN265" s="13">
        <f>IF(ISNUMBER(L$276),L265,"")</f>
        <v>75.6</v>
      </c>
      <c r="AO265" s="13">
        <f>IF(ISNUMBER(M$276),M265,"")</f>
        <v>71.4</v>
      </c>
      <c r="AP265" s="13">
        <f>IF(ISNUMBER(N$276),N265,"")</f>
        <v>74.2</v>
      </c>
      <c r="AQ265" s="13">
        <f>IF(C265="Ручная",O265,0)</f>
        <v>70</v>
      </c>
    </row>
    <row r="266" spans="1:43" ht="40" customHeight="1">
      <c r="A266" s="5">
        <v>3</v>
      </c>
      <c r="B266" s="5" t="s">
        <v>187</v>
      </c>
      <c r="C266" s="11" t="s">
        <v>183</v>
      </c>
      <c r="D266" s="7" t="s">
        <v>188</v>
      </c>
      <c r="E266" s="12">
        <v>22.22</v>
      </c>
      <c r="F266" s="12">
        <v>23.1</v>
      </c>
      <c r="G266" s="12">
        <v>22</v>
      </c>
      <c r="H266" s="12">
        <v>22.88</v>
      </c>
      <c r="I266" s="12">
        <v>23.76</v>
      </c>
      <c r="J266" s="12">
        <v>22.44</v>
      </c>
      <c r="K266" s="12">
        <v>23.32</v>
      </c>
      <c r="L266" s="12">
        <v>24.2</v>
      </c>
      <c r="M266" s="12">
        <v>22.66</v>
      </c>
      <c r="N266" s="12">
        <v>23.54</v>
      </c>
      <c r="O266" s="13">
        <f>IF(COUNT(AG266:AP266)&gt;0,MIN(AG266:AP266),"")</f>
        <v>22</v>
      </c>
      <c r="P266" s="13">
        <f>IF(COUNT(AG266:AP266)&gt;0,MAX(AG266:AP266),"")</f>
        <v>24.2</v>
      </c>
      <c r="Q266" s="13">
        <f>IF(ISNUMBER(O266),P266-O266,"")</f>
        <v>2.2</v>
      </c>
      <c r="R266" s="13">
        <f>IF(ISNUMBER(O266),IF(C266="Ручная",IF($S$276&gt;0,$R$276*Q266/$S$276,IF($W$276=3,$R$276,0)),0),"")</f>
        <v>0.855800000000009</v>
      </c>
      <c r="S266" s="13">
        <f>IF(ISNUMBER(O266),O266+R266,"")</f>
        <v>22.8558</v>
      </c>
      <c r="T266" s="13">
        <f>IF(ISNUMBER(S266),P266-S266,"")</f>
        <v>1.34419999999999</v>
      </c>
      <c r="U266" s="13">
        <f>IF(COUNT(AG266:AP266)&gt;0,AVERAGE(AG266:AP266),"")</f>
        <v>23.012</v>
      </c>
      <c r="AG266" s="13">
        <f>IF(ISNUMBER(E$276),E266,"")</f>
        <v>22.22</v>
      </c>
      <c r="AH266" s="13">
        <f>IF(ISNUMBER(F$276),F266,"")</f>
        <v>23.1</v>
      </c>
      <c r="AI266" s="13">
        <f>IF(ISNUMBER(G$276),G266,"")</f>
        <v>22</v>
      </c>
      <c r="AJ266" s="13">
        <f>IF(ISNUMBER(H$276),H266,"")</f>
        <v>22.88</v>
      </c>
      <c r="AK266" s="13">
        <f>IF(ISNUMBER(I$276),I266,"")</f>
        <v>23.76</v>
      </c>
      <c r="AL266" s="13">
        <f>IF(ISNUMBER(J$276),J266,"")</f>
        <v>22.44</v>
      </c>
      <c r="AM266" s="13">
        <f>IF(ISNUMBER(K$276),K266,"")</f>
        <v>23.32</v>
      </c>
      <c r="AN266" s="13">
        <f>IF(ISNUMBER(L$276),L266,"")</f>
        <v>24.2</v>
      </c>
      <c r="AO266" s="13">
        <f>IF(ISNUMBER(M$276),M266,"")</f>
        <v>22.66</v>
      </c>
      <c r="AP266" s="13">
        <f>IF(ISNUMBER(N$276),N266,"")</f>
        <v>23.54</v>
      </c>
      <c r="AQ266" s="13">
        <f>IF(C266="Ручная",O266,0)</f>
        <v>22</v>
      </c>
    </row>
    <row r="267" spans="1:43" ht="40" customHeight="1">
      <c r="A267" s="5" t="s">
        <v>189</v>
      </c>
      <c r="B267" s="5" t="s">
        <v>190</v>
      </c>
      <c r="C267" s="11" t="s">
        <v>191</v>
      </c>
      <c r="D267" s="7" t="s">
        <v>192</v>
      </c>
      <c r="E267" s="12">
        <v>12.48</v>
      </c>
      <c r="F267" s="12">
        <v>12.96</v>
      </c>
      <c r="G267" s="12">
        <v>12.24</v>
      </c>
      <c r="H267" s="12">
        <v>12.72</v>
      </c>
      <c r="I267" s="12">
        <v>13.2</v>
      </c>
      <c r="J267" s="12">
        <v>12.36</v>
      </c>
      <c r="K267" s="12">
        <v>12.84</v>
      </c>
      <c r="L267" s="12">
        <v>12.12</v>
      </c>
      <c r="M267" s="12">
        <v>12.6</v>
      </c>
      <c r="N267" s="12">
        <v>12</v>
      </c>
      <c r="O267" s="13">
        <f>IF(COUNT(AG267:AP267)&gt;0,MIN(AG267:AP267),"")</f>
        <v>12</v>
      </c>
      <c r="P267" s="13">
        <f>IF(COUNT(AG267:AP267)&gt;0,MAX(AG267:AP267),"")</f>
        <v>13.2</v>
      </c>
      <c r="Q267" s="13">
        <f>IF(ISNUMBER(O267),P267-O267,"")</f>
        <v>1.2</v>
      </c>
      <c r="R267" s="13">
        <f>IF(ISNUMBER(O267),IF(C267="Ручная",IF($S$276&gt;0,$R$276*Q267/$S$276,IF($W$276=4,$R$276,0)),0),"")</f>
        <v>0</v>
      </c>
      <c r="S267" s="13">
        <f>IF(ISNUMBER(O267),O267+R267,"")</f>
        <v>12</v>
      </c>
      <c r="T267" s="13">
        <f>IF(ISNUMBER(S267),P267-S267,"")</f>
        <v>1.2</v>
      </c>
      <c r="U267" s="13">
        <f>IF(COUNT(AG267:AP267)&gt;0,AVERAGE(AG267:AP267),"")</f>
        <v>12.552</v>
      </c>
      <c r="AG267" s="13">
        <f>IF(ISNUMBER(E$276),E267,"")</f>
        <v>12.48</v>
      </c>
      <c r="AH267" s="13">
        <f>IF(ISNUMBER(F$276),F267,"")</f>
        <v>12.96</v>
      </c>
      <c r="AI267" s="13">
        <f>IF(ISNUMBER(G$276),G267,"")</f>
        <v>12.24</v>
      </c>
      <c r="AJ267" s="13">
        <f>IF(ISNUMBER(H$276),H267,"")</f>
        <v>12.72</v>
      </c>
      <c r="AK267" s="13">
        <f>IF(ISNUMBER(I$276),I267,"")</f>
        <v>13.2</v>
      </c>
      <c r="AL267" s="13">
        <f>IF(ISNUMBER(J$276),J267,"")</f>
        <v>12.36</v>
      </c>
      <c r="AM267" s="13">
        <f>IF(ISNUMBER(K$276),K267,"")</f>
        <v>12.84</v>
      </c>
      <c r="AN267" s="13">
        <f>IF(ISNUMBER(L$276),L267,"")</f>
        <v>12.12</v>
      </c>
      <c r="AO267" s="13">
        <f>IF(ISNUMBER(M$276),M267,"")</f>
        <v>12.6</v>
      </c>
      <c r="AP267" s="13">
        <f>IF(ISNUMBER(N$276),N267,"")</f>
        <v>12</v>
      </c>
      <c r="AQ267" s="13">
        <f>IF(C267="Ручная",O267,0)</f>
        <v>0</v>
      </c>
    </row>
    <row r="268" spans="1:43" ht="40" customHeight="1">
      <c r="A268" s="5">
        <v>5</v>
      </c>
      <c r="B268" s="5" t="s">
        <v>193</v>
      </c>
      <c r="C268" s="11" t="s">
        <v>183</v>
      </c>
      <c r="D268" s="7" t="s">
        <v>194</v>
      </c>
      <c r="E268" s="12">
        <v>37.1</v>
      </c>
      <c r="F268" s="12">
        <v>38.5</v>
      </c>
      <c r="G268" s="12">
        <v>36.05</v>
      </c>
      <c r="H268" s="12">
        <v>37.45</v>
      </c>
      <c r="I268" s="12">
        <v>35.35</v>
      </c>
      <c r="J268" s="12">
        <v>36.75</v>
      </c>
      <c r="K268" s="12">
        <v>35</v>
      </c>
      <c r="L268" s="12">
        <v>36.4</v>
      </c>
      <c r="M268" s="12">
        <v>37.8</v>
      </c>
      <c r="N268" s="12">
        <v>35.7</v>
      </c>
      <c r="O268" s="13">
        <f>IF(COUNT(AG268:AP268)&gt;0,MIN(AG268:AP268),"")</f>
        <v>35</v>
      </c>
      <c r="P268" s="13">
        <f>IF(COUNT(AG268:AP268)&gt;0,MAX(AG268:AP268),"")</f>
        <v>38.5</v>
      </c>
      <c r="Q268" s="13">
        <f>IF(ISNUMBER(O268),P268-O268,"")</f>
        <v>3.5</v>
      </c>
      <c r="R268" s="13">
        <f>IF(ISNUMBER(O268),IF(C268="Ручная",IF($S$276&gt;0,$R$276*Q268/$S$276,IF($W$276=5,$R$276,0)),0),"")</f>
        <v>1.36150000000002</v>
      </c>
      <c r="S268" s="13">
        <f>IF(ISNUMBER(O268),O268+R268,"")</f>
        <v>36.3615</v>
      </c>
      <c r="T268" s="13">
        <f>IF(ISNUMBER(S268),P268-S268,"")</f>
        <v>2.13849999999999</v>
      </c>
      <c r="U268" s="13">
        <f>IF(COUNT(AG268:AP268)&gt;0,AVERAGE(AG268:AP268),"")</f>
        <v>36.61</v>
      </c>
      <c r="AG268" s="13">
        <f>IF(ISNUMBER(E$276),E268,"")</f>
        <v>37.1</v>
      </c>
      <c r="AH268" s="13">
        <f>IF(ISNUMBER(F$276),F268,"")</f>
        <v>38.5</v>
      </c>
      <c r="AI268" s="13">
        <f>IF(ISNUMBER(G$276),G268,"")</f>
        <v>36.05</v>
      </c>
      <c r="AJ268" s="13">
        <f>IF(ISNUMBER(H$276),H268,"")</f>
        <v>37.45</v>
      </c>
      <c r="AK268" s="13">
        <f>IF(ISNUMBER(I$276),I268,"")</f>
        <v>35.35</v>
      </c>
      <c r="AL268" s="13">
        <f>IF(ISNUMBER(J$276),J268,"")</f>
        <v>36.75</v>
      </c>
      <c r="AM268" s="13">
        <f>IF(ISNUMBER(K$276),K268,"")</f>
        <v>35</v>
      </c>
      <c r="AN268" s="13">
        <f>IF(ISNUMBER(L$276),L268,"")</f>
        <v>36.4</v>
      </c>
      <c r="AO268" s="13">
        <f>IF(ISNUMBER(M$276),M268,"")</f>
        <v>37.8</v>
      </c>
      <c r="AP268" s="13">
        <f>IF(ISNUMBER(N$276),N268,"")</f>
        <v>35.7</v>
      </c>
      <c r="AQ268" s="13">
        <f>IF(C268="Ручная",O268,0)</f>
        <v>35</v>
      </c>
    </row>
    <row r="269" spans="1:43" ht="40" customHeight="1">
      <c r="A269" s="5" t="s">
        <v>189</v>
      </c>
      <c r="B269" s="5" t="s">
        <v>195</v>
      </c>
      <c r="C269" s="11" t="s">
        <v>196</v>
      </c>
      <c r="D269" s="7" t="s">
        <v>197</v>
      </c>
      <c r="E269" s="18">
        <f>'Ассортимент'!R20</f>
        <v>300</v>
      </c>
      <c r="F269" s="18">
        <f>'Ассортимент'!R20</f>
        <v>300</v>
      </c>
      <c r="G269" s="18">
        <f>'Ассортимент'!R20</f>
        <v>300</v>
      </c>
      <c r="H269" s="18">
        <f>'Ассортимент'!R20</f>
        <v>300</v>
      </c>
      <c r="I269" s="18">
        <f>'Ассортимент'!R20</f>
        <v>300</v>
      </c>
      <c r="J269" s="18">
        <f>'Ассортимент'!R20</f>
        <v>300</v>
      </c>
      <c r="K269" s="18">
        <f>'Ассортимент'!R20</f>
        <v>300</v>
      </c>
      <c r="L269" s="18">
        <f>'Ассортимент'!R20</f>
        <v>300</v>
      </c>
      <c r="M269" s="18">
        <f>'Ассортимент'!R20</f>
        <v>300</v>
      </c>
      <c r="N269" s="18">
        <f>'Ассортимент'!R20</f>
        <v>300</v>
      </c>
      <c r="O269" s="13">
        <f>IF(COUNT(AG269:AP269)&gt;0,MIN(AG269:AP269),"")</f>
        <v>300</v>
      </c>
      <c r="P269" s="13">
        <f>IF(COUNT(AG269:AP269)&gt;0,MAX(AG269:AP269),"")</f>
        <v>300</v>
      </c>
      <c r="Q269" s="13">
        <f>IF(ISNUMBER(O269),P269-O269,"")</f>
        <v>0</v>
      </c>
      <c r="R269" s="13">
        <f>IF(ISNUMBER(O269),IF(C269="Ручная",IF($S$276&gt;0,$R$276*Q269/$S$276,IF($W$276=6,$R$276,0)),0),"")</f>
        <v>0</v>
      </c>
      <c r="S269" s="13">
        <f>IF(ISNUMBER(O269),O269+R269,"")</f>
        <v>300</v>
      </c>
      <c r="T269" s="13">
        <f>IF(ISNUMBER(S269),P269-S269,"")</f>
        <v>0</v>
      </c>
      <c r="U269" s="13">
        <f>IF(COUNT(AG269:AP269)&gt;0,AVERAGE(AG269:AP269),"")</f>
        <v>300</v>
      </c>
      <c r="AG269" s="13">
        <f>IF(ISNUMBER(E$276),E269,"")</f>
        <v>300</v>
      </c>
      <c r="AH269" s="13">
        <f>IF(ISNUMBER(F$276),F269,"")</f>
        <v>300</v>
      </c>
      <c r="AI269" s="13">
        <f>IF(ISNUMBER(G$276),G269,"")</f>
        <v>300</v>
      </c>
      <c r="AJ269" s="13">
        <f>IF(ISNUMBER(H$276),H269,"")</f>
        <v>300</v>
      </c>
      <c r="AK269" s="13">
        <f>IF(ISNUMBER(I$276),I269,"")</f>
        <v>300</v>
      </c>
      <c r="AL269" s="13">
        <f>IF(ISNUMBER(J$276),J269,"")</f>
        <v>300</v>
      </c>
      <c r="AM269" s="13">
        <f>IF(ISNUMBER(K$276),K269,"")</f>
        <v>300</v>
      </c>
      <c r="AN269" s="13">
        <f>IF(ISNUMBER(L$276),L269,"")</f>
        <v>300</v>
      </c>
      <c r="AO269" s="13">
        <f>IF(ISNUMBER(M$276),M269,"")</f>
        <v>300</v>
      </c>
      <c r="AP269" s="13">
        <f>IF(ISNUMBER(N$276),N269,"")</f>
        <v>300</v>
      </c>
      <c r="AQ269" s="13">
        <f>IF(C269="Ручная",O269,0)</f>
        <v>0</v>
      </c>
    </row>
    <row r="270" spans="1:43" ht="40" customHeight="1">
      <c r="A270" s="5">
        <v>7</v>
      </c>
      <c r="B270" s="5" t="s">
        <v>198</v>
      </c>
      <c r="C270" s="11" t="s">
        <v>183</v>
      </c>
      <c r="D270" s="7" t="s">
        <v>199</v>
      </c>
      <c r="E270" s="12">
        <v>30</v>
      </c>
      <c r="F270" s="12">
        <v>31.2</v>
      </c>
      <c r="G270" s="12">
        <v>32.4</v>
      </c>
      <c r="H270" s="12">
        <v>30.6</v>
      </c>
      <c r="I270" s="12">
        <v>31.8</v>
      </c>
      <c r="J270" s="12">
        <v>33</v>
      </c>
      <c r="K270" s="12">
        <v>30.9</v>
      </c>
      <c r="L270" s="12">
        <v>32.1</v>
      </c>
      <c r="M270" s="12">
        <v>30.3</v>
      </c>
      <c r="N270" s="12">
        <v>31.5</v>
      </c>
      <c r="O270" s="13">
        <f>IF(COUNT(AG270:AP270)&gt;0,MIN(AG270:AP270),"")</f>
        <v>30</v>
      </c>
      <c r="P270" s="13">
        <f>IF(COUNT(AG270:AP270)&gt;0,MAX(AG270:AP270),"")</f>
        <v>33</v>
      </c>
      <c r="Q270" s="13">
        <f>IF(ISNUMBER(O270),P270-O270,"")</f>
        <v>3</v>
      </c>
      <c r="R270" s="13">
        <f>IF(ISNUMBER(O270),IF(C270="Ручная",IF($S$276&gt;0,$R$276*Q270/$S$276,IF($W$276=7,$R$276,0)),0),"")</f>
        <v>1.16700000000001</v>
      </c>
      <c r="S270" s="13">
        <f>IF(ISNUMBER(O270),O270+R270,"")</f>
        <v>31.167</v>
      </c>
      <c r="T270" s="13">
        <f>IF(ISNUMBER(S270),P270-S270,"")</f>
        <v>1.83299999999999</v>
      </c>
      <c r="U270" s="13">
        <f>IF(COUNT(AG270:AP270)&gt;0,AVERAGE(AG270:AP270),"")</f>
        <v>31.38</v>
      </c>
      <c r="AG270" s="13">
        <f>IF(ISNUMBER(E$276),E270,"")</f>
        <v>30</v>
      </c>
      <c r="AH270" s="13">
        <f>IF(ISNUMBER(F$276),F270,"")</f>
        <v>31.2</v>
      </c>
      <c r="AI270" s="13">
        <f>IF(ISNUMBER(G$276),G270,"")</f>
        <v>32.4</v>
      </c>
      <c r="AJ270" s="13">
        <f>IF(ISNUMBER(H$276),H270,"")</f>
        <v>30.6</v>
      </c>
      <c r="AK270" s="13">
        <f>IF(ISNUMBER(I$276),I270,"")</f>
        <v>31.8</v>
      </c>
      <c r="AL270" s="13">
        <f>IF(ISNUMBER(J$276),J270,"")</f>
        <v>33</v>
      </c>
      <c r="AM270" s="13">
        <f>IF(ISNUMBER(K$276),K270,"")</f>
        <v>30.9</v>
      </c>
      <c r="AN270" s="13">
        <f>IF(ISNUMBER(L$276),L270,"")</f>
        <v>32.1</v>
      </c>
      <c r="AO270" s="13">
        <f>IF(ISNUMBER(M$276),M270,"")</f>
        <v>30.3</v>
      </c>
      <c r="AP270" s="13">
        <f>IF(ISNUMBER(N$276),N270,"")</f>
        <v>31.5</v>
      </c>
      <c r="AQ270" s="13">
        <f>IF(C270="Ручная",O270,0)</f>
        <v>30</v>
      </c>
    </row>
    <row r="271" spans="1:43" ht="40" customHeight="1">
      <c r="A271" s="5">
        <v>8</v>
      </c>
      <c r="B271" s="5" t="s">
        <v>200</v>
      </c>
      <c r="C271" s="11" t="s">
        <v>183</v>
      </c>
      <c r="D271" s="7" t="s">
        <v>201</v>
      </c>
      <c r="E271" s="12">
        <v>18.36</v>
      </c>
      <c r="F271" s="12">
        <v>19.08</v>
      </c>
      <c r="G271" s="12">
        <v>19.8</v>
      </c>
      <c r="H271" s="12">
        <v>18.54</v>
      </c>
      <c r="I271" s="12">
        <v>19.26</v>
      </c>
      <c r="J271" s="12">
        <v>18.18</v>
      </c>
      <c r="K271" s="12">
        <v>18.9</v>
      </c>
      <c r="L271" s="12">
        <v>18</v>
      </c>
      <c r="M271" s="12">
        <v>18.72</v>
      </c>
      <c r="N271" s="12">
        <v>19.44</v>
      </c>
      <c r="O271" s="13">
        <f>IF(COUNT(AG271:AP271)&gt;0,MIN(AG271:AP271),"")</f>
        <v>18</v>
      </c>
      <c r="P271" s="13">
        <f>IF(COUNT(AG271:AP271)&gt;0,MAX(AG271:AP271),"")</f>
        <v>19.8</v>
      </c>
      <c r="Q271" s="13">
        <f>IF(ISNUMBER(O271),P271-O271,"")</f>
        <v>1.8</v>
      </c>
      <c r="R271" s="13">
        <f>IF(ISNUMBER(O271),IF(C271="Ручная",IF($S$276&gt;0,$R$276*Q271/$S$276,IF($W$276=8,$R$276,0)),0),"")</f>
        <v>0.700200000000008</v>
      </c>
      <c r="S271" s="13">
        <f>IF(ISNUMBER(O271),O271+R271,"")</f>
        <v>18.7002</v>
      </c>
      <c r="T271" s="13">
        <f>IF(ISNUMBER(S271),P271-S271,"")</f>
        <v>1.09979999999999</v>
      </c>
      <c r="U271" s="13">
        <f>IF(COUNT(AG271:AP271)&gt;0,AVERAGE(AG271:AP271),"")</f>
        <v>18.828</v>
      </c>
      <c r="AG271" s="13">
        <f>IF(ISNUMBER(E$276),E271,"")</f>
        <v>18.36</v>
      </c>
      <c r="AH271" s="13">
        <f>IF(ISNUMBER(F$276),F271,"")</f>
        <v>19.08</v>
      </c>
      <c r="AI271" s="13">
        <f>IF(ISNUMBER(G$276),G271,"")</f>
        <v>19.8</v>
      </c>
      <c r="AJ271" s="13">
        <f>IF(ISNUMBER(H$276),H271,"")</f>
        <v>18.54</v>
      </c>
      <c r="AK271" s="13">
        <f>IF(ISNUMBER(I$276),I271,"")</f>
        <v>19.26</v>
      </c>
      <c r="AL271" s="13">
        <f>IF(ISNUMBER(J$276),J271,"")</f>
        <v>18.18</v>
      </c>
      <c r="AM271" s="13">
        <f>IF(ISNUMBER(K$276),K271,"")</f>
        <v>18.9</v>
      </c>
      <c r="AN271" s="13">
        <f>IF(ISNUMBER(L$276),L271,"")</f>
        <v>18</v>
      </c>
      <c r="AO271" s="13">
        <f>IF(ISNUMBER(M$276),M271,"")</f>
        <v>18.72</v>
      </c>
      <c r="AP271" s="13">
        <f>IF(ISNUMBER(N$276),N271,"")</f>
        <v>19.44</v>
      </c>
      <c r="AQ271" s="13">
        <f>IF(C271="Ручная",O271,0)</f>
        <v>18</v>
      </c>
    </row>
    <row r="272" spans="1:43" ht="40" customHeight="1">
      <c r="A272" s="5" t="s">
        <v>189</v>
      </c>
      <c r="B272" s="5" t="s">
        <v>202</v>
      </c>
      <c r="C272" s="11" t="s">
        <v>191</v>
      </c>
      <c r="D272" s="7" t="s">
        <v>203</v>
      </c>
      <c r="E272" s="12">
        <v>10.3</v>
      </c>
      <c r="F272" s="12">
        <v>10.7</v>
      </c>
      <c r="G272" s="12">
        <v>10.1</v>
      </c>
      <c r="H272" s="12">
        <v>10.5</v>
      </c>
      <c r="I272" s="12">
        <v>10</v>
      </c>
      <c r="J272" s="12">
        <v>10.4</v>
      </c>
      <c r="K272" s="12">
        <v>10.8</v>
      </c>
      <c r="L272" s="12">
        <v>10.2</v>
      </c>
      <c r="M272" s="12">
        <v>10.6</v>
      </c>
      <c r="N272" s="12">
        <v>11</v>
      </c>
      <c r="O272" s="13">
        <f>IF(COUNT(AG272:AP272)&gt;0,MIN(AG272:AP272),"")</f>
        <v>10</v>
      </c>
      <c r="P272" s="13">
        <f>IF(COUNT(AG272:AP272)&gt;0,MAX(AG272:AP272),"")</f>
        <v>11</v>
      </c>
      <c r="Q272" s="13">
        <f>IF(ISNUMBER(O272),P272-O272,"")</f>
        <v>1</v>
      </c>
      <c r="R272" s="13">
        <f>IF(ISNUMBER(O272),IF(C272="Ручная",IF($S$276&gt;0,$R$276*Q272/$S$276,IF($W$276=9,$R$276,0)),0),"")</f>
        <v>0</v>
      </c>
      <c r="S272" s="13">
        <f>IF(ISNUMBER(O272),O272+R272,"")</f>
        <v>10</v>
      </c>
      <c r="T272" s="13">
        <f>IF(ISNUMBER(S272),P272-S272,"")</f>
        <v>1</v>
      </c>
      <c r="U272" s="13">
        <f>IF(COUNT(AG272:AP272)&gt;0,AVERAGE(AG272:AP272),"")</f>
        <v>10.46</v>
      </c>
      <c r="AG272" s="13">
        <f>IF(ISNUMBER(E$276),E272,"")</f>
        <v>10.3</v>
      </c>
      <c r="AH272" s="13">
        <f>IF(ISNUMBER(F$276),F272,"")</f>
        <v>10.7</v>
      </c>
      <c r="AI272" s="13">
        <f>IF(ISNUMBER(G$276),G272,"")</f>
        <v>10.1</v>
      </c>
      <c r="AJ272" s="13">
        <f>IF(ISNUMBER(H$276),H272,"")</f>
        <v>10.5</v>
      </c>
      <c r="AK272" s="13">
        <f>IF(ISNUMBER(I$276),I272,"")</f>
        <v>10</v>
      </c>
      <c r="AL272" s="13">
        <f>IF(ISNUMBER(J$276),J272,"")</f>
        <v>10.4</v>
      </c>
      <c r="AM272" s="13">
        <f>IF(ISNUMBER(K$276),K272,"")</f>
        <v>10.8</v>
      </c>
      <c r="AN272" s="13">
        <f>IF(ISNUMBER(L$276),L272,"")</f>
        <v>10.2</v>
      </c>
      <c r="AO272" s="13">
        <f>IF(ISNUMBER(M$276),M272,"")</f>
        <v>10.6</v>
      </c>
      <c r="AP272" s="13">
        <f>IF(ISNUMBER(N$276),N272,"")</f>
        <v>11</v>
      </c>
      <c r="AQ272" s="13">
        <f>IF(C272="Ручная",O272,0)</f>
        <v>0</v>
      </c>
    </row>
    <row r="273" spans="1:43" ht="40" customHeight="1">
      <c r="A273" s="5" t="s">
        <v>189</v>
      </c>
      <c r="B273" s="5" t="s">
        <v>204</v>
      </c>
      <c r="C273" s="11" t="s">
        <v>191</v>
      </c>
      <c r="D273" s="7" t="s">
        <v>205</v>
      </c>
      <c r="E273" s="12">
        <v>10.5</v>
      </c>
      <c r="F273" s="12">
        <v>10</v>
      </c>
      <c r="G273" s="12">
        <v>10.4</v>
      </c>
      <c r="H273" s="12">
        <v>10.8</v>
      </c>
      <c r="I273" s="12">
        <v>10.2</v>
      </c>
      <c r="J273" s="12">
        <v>10.6</v>
      </c>
      <c r="K273" s="12">
        <v>11</v>
      </c>
      <c r="L273" s="12">
        <v>10.3</v>
      </c>
      <c r="M273" s="12">
        <v>10.7</v>
      </c>
      <c r="N273" s="12">
        <v>10.1</v>
      </c>
      <c r="O273" s="13">
        <f>IF(COUNT(AG273:AP273)&gt;0,MIN(AG273:AP273),"")</f>
        <v>10</v>
      </c>
      <c r="P273" s="13">
        <f>IF(COUNT(AG273:AP273)&gt;0,MAX(AG273:AP273),"")</f>
        <v>11</v>
      </c>
      <c r="Q273" s="13">
        <f>IF(ISNUMBER(O273),P273-O273,"")</f>
        <v>1</v>
      </c>
      <c r="R273" s="13">
        <f>IF(ISNUMBER(O273),IF(C273="Ручная",IF($S$276&gt;0,$R$276*Q273/$S$276,IF($W$276=10,$R$276,0)),0),"")</f>
        <v>0</v>
      </c>
      <c r="S273" s="13">
        <f>IF(ISNUMBER(O273),O273+R273,"")</f>
        <v>10</v>
      </c>
      <c r="T273" s="13">
        <f>IF(ISNUMBER(S273),P273-S273,"")</f>
        <v>1</v>
      </c>
      <c r="U273" s="13">
        <f>IF(COUNT(AG273:AP273)&gt;0,AVERAGE(AG273:AP273),"")</f>
        <v>10.46</v>
      </c>
      <c r="AG273" s="13">
        <f>IF(ISNUMBER(E$276),E273,"")</f>
        <v>10.5</v>
      </c>
      <c r="AH273" s="13">
        <f>IF(ISNUMBER(F$276),F273,"")</f>
        <v>10</v>
      </c>
      <c r="AI273" s="13">
        <f>IF(ISNUMBER(G$276),G273,"")</f>
        <v>10.4</v>
      </c>
      <c r="AJ273" s="13">
        <f>IF(ISNUMBER(H$276),H273,"")</f>
        <v>10.8</v>
      </c>
      <c r="AK273" s="13">
        <f>IF(ISNUMBER(I$276),I273,"")</f>
        <v>10.2</v>
      </c>
      <c r="AL273" s="13">
        <f>IF(ISNUMBER(J$276),J273,"")</f>
        <v>10.6</v>
      </c>
      <c r="AM273" s="13">
        <f>IF(ISNUMBER(K$276),K273,"")</f>
        <v>11</v>
      </c>
      <c r="AN273" s="13">
        <f>IF(ISNUMBER(L$276),L273,"")</f>
        <v>10.3</v>
      </c>
      <c r="AO273" s="13">
        <f>IF(ISNUMBER(M$276),M273,"")</f>
        <v>10.7</v>
      </c>
      <c r="AP273" s="13">
        <f>IF(ISNUMBER(N$276),N273,"")</f>
        <v>10.1</v>
      </c>
      <c r="AQ273" s="13">
        <f>IF(C273="Ручная",O273,0)</f>
        <v>0</v>
      </c>
    </row>
    <row r="274" spans="1:43" ht="40" customHeight="1">
      <c r="A274" s="5" t="s">
        <v>189</v>
      </c>
      <c r="B274" s="5" t="s">
        <v>206</v>
      </c>
      <c r="C274" s="11" t="s">
        <v>207</v>
      </c>
      <c r="D274" s="7" t="s">
        <v>208</v>
      </c>
      <c r="E274" s="12">
        <v>12.96</v>
      </c>
      <c r="F274" s="12">
        <v>12.24</v>
      </c>
      <c r="G274" s="12">
        <v>12.72</v>
      </c>
      <c r="H274" s="12">
        <v>13.2</v>
      </c>
      <c r="I274" s="12">
        <v>12.36</v>
      </c>
      <c r="J274" s="12">
        <v>12.84</v>
      </c>
      <c r="K274" s="12">
        <v>12.12</v>
      </c>
      <c r="L274" s="12">
        <v>12.6</v>
      </c>
      <c r="M274" s="12">
        <v>12</v>
      </c>
      <c r="N274" s="12">
        <v>12.48</v>
      </c>
      <c r="O274" s="13">
        <f>IF(COUNT(AG274:AP274)&gt;0,MIN(AG274:AP274),"")</f>
        <v>12</v>
      </c>
      <c r="P274" s="13">
        <f>IF(COUNT(AG274:AP274)&gt;0,MAX(AG274:AP274),"")</f>
        <v>13.2</v>
      </c>
      <c r="Q274" s="13">
        <f>IF(ISNUMBER(O274),P274-O274,"")</f>
        <v>1.2</v>
      </c>
      <c r="R274" s="13">
        <f>IF(ISNUMBER(O274),IF(C274="Ручная",IF($S$276&gt;0,$R$276*Q274/$S$276,IF($W$276=11,$R$276,0)),0),"")</f>
        <v>0</v>
      </c>
      <c r="S274" s="13">
        <f>IF(ISNUMBER(O274),O274+R274,"")</f>
        <v>12</v>
      </c>
      <c r="T274" s="13">
        <f>IF(ISNUMBER(S274),P274-S274,"")</f>
        <v>1.2</v>
      </c>
      <c r="U274" s="13">
        <f>IF(COUNT(AG274:AP274)&gt;0,AVERAGE(AG274:AP274),"")</f>
        <v>12.552</v>
      </c>
      <c r="AG274" s="13">
        <f>IF(ISNUMBER(E$276),E274,"")</f>
        <v>12.96</v>
      </c>
      <c r="AH274" s="13">
        <f>IF(ISNUMBER(F$276),F274,"")</f>
        <v>12.24</v>
      </c>
      <c r="AI274" s="13">
        <f>IF(ISNUMBER(G$276),G274,"")</f>
        <v>12.72</v>
      </c>
      <c r="AJ274" s="13">
        <f>IF(ISNUMBER(H$276),H274,"")</f>
        <v>13.2</v>
      </c>
      <c r="AK274" s="13">
        <f>IF(ISNUMBER(I$276),I274,"")</f>
        <v>12.36</v>
      </c>
      <c r="AL274" s="13">
        <f>IF(ISNUMBER(J$276),J274,"")</f>
        <v>12.84</v>
      </c>
      <c r="AM274" s="13">
        <f>IF(ISNUMBER(K$276),K274,"")</f>
        <v>12.12</v>
      </c>
      <c r="AN274" s="13">
        <f>IF(ISNUMBER(L$276),L274,"")</f>
        <v>12.6</v>
      </c>
      <c r="AO274" s="13">
        <f>IF(ISNUMBER(M$276),M274,"")</f>
        <v>12</v>
      </c>
      <c r="AP274" s="13">
        <f>IF(ISNUMBER(N$276),N274,"")</f>
        <v>12.48</v>
      </c>
      <c r="AQ274" s="13">
        <f>IF(C274="Ручная",O274,0)</f>
        <v>0</v>
      </c>
    </row>
    <row r="275" spans="1:43" ht="23" customHeight="1">
      <c r="B275" s="4" t="s">
        <v>209</v>
      </c>
      <c r="E275" s="6">
        <f>IF(COUNT(E264:E274)=11,SUM(E264:E274),"")</f>
        <v>557.92</v>
      </c>
      <c r="F275" s="6">
        <f>IF(COUNT(F264:F274)=11,SUM(F264:F274),"")</f>
        <v>555.38</v>
      </c>
      <c r="G275" s="6">
        <f>IF(COUNT(G264:G274)=11,SUM(G264:G274),"")</f>
        <v>557.11</v>
      </c>
      <c r="H275" s="6">
        <f>IF(COUNT(H264:H274)=11,SUM(H264:H274),"")</f>
        <v>554.89</v>
      </c>
      <c r="I275" s="6">
        <f>IF(COUNT(I264:I274)=11,SUM(I264:I274),"")</f>
        <v>555.18</v>
      </c>
      <c r="J275" s="6">
        <f>IF(COUNT(J264:J274)=11,SUM(J264:J274),"")</f>
        <v>553.32</v>
      </c>
      <c r="K275" s="6">
        <f>IF(COUNT(K264:K274)=11,SUM(K264:K274),"")</f>
        <v>552.93</v>
      </c>
      <c r="L275" s="6">
        <f>IF(COUNT(L264:L274)=11,SUM(L264:L274),"")</f>
        <v>557.77</v>
      </c>
      <c r="M275" s="6">
        <f>IF(COUNT(M264:M274)=11,SUM(M264:M274),"")</f>
        <v>551.78</v>
      </c>
      <c r="N275" s="6">
        <f>IF(COUNT(N264:N274)=11,SUM(N264:N274),"")</f>
        <v>555.96</v>
      </c>
      <c r="O275" s="6">
        <f>IF(COUNT(O264:O274)=11,SUM(O264:O274),"")</f>
        <v>544</v>
      </c>
      <c r="P275" s="6">
        <f>IF(COUNT(P264:P274)=11,SUM(P264:P274),"")</f>
        <v>568.4</v>
      </c>
      <c r="Q275" s="6">
        <f>IF(COUNT(Q264:Q274)=11,SUM(Q264:Q274),"")</f>
        <v>24.4</v>
      </c>
      <c r="R275" s="6">
        <f>IF(COUNT(R264:R274)=11,SUM(R264:R274),"")</f>
        <v>7.78000000000009</v>
      </c>
      <c r="S275" s="6">
        <f>IF(COUNT(S264:S274)=11,SUM(S264:S274),"")</f>
        <v>551.78</v>
      </c>
      <c r="T275" s="6">
        <f>IF(COUNT(T264:T274)=11,SUM(T264:T274),"")</f>
        <v>16.6199999999999</v>
      </c>
      <c r="U275" s="6">
        <f>IF(COUNT(U264:U274)=11,SUM(U264:U274),"")</f>
        <v>555.224</v>
      </c>
    </row>
    <row r="276" spans="1:43" ht="23" customHeight="1">
      <c r="B276" s="4" t="s">
        <v>210</v>
      </c>
      <c r="E276" s="6">
        <f>IF(AND(E262=1,COUNT(E264:E274)=11,MIN(E264:E274)&gt;=0),E275,"")</f>
        <v>557.92</v>
      </c>
      <c r="F276" s="6">
        <f>IF(AND(F262=1,COUNT(F264:F274)=11,MIN(F264:F274)&gt;=0),F275,"")</f>
        <v>555.38</v>
      </c>
      <c r="G276" s="6">
        <f>IF(AND(G262=1,COUNT(G264:G274)=11,MIN(G264:G274)&gt;=0),G275,"")</f>
        <v>557.11</v>
      </c>
      <c r="H276" s="6">
        <f>IF(AND(H262=1,COUNT(H264:H274)=11,MIN(H264:H274)&gt;=0),H275,"")</f>
        <v>554.89</v>
      </c>
      <c r="I276" s="6">
        <f>IF(AND(I262=1,COUNT(I264:I274)=11,MIN(I264:I274)&gt;=0),I275,"")</f>
        <v>555.18</v>
      </c>
      <c r="J276" s="6">
        <f>IF(AND(J262=1,COUNT(J264:J274)=11,MIN(J264:J274)&gt;=0),J275,"")</f>
        <v>553.32</v>
      </c>
      <c r="K276" s="6">
        <f>IF(AND(K262=1,COUNT(K264:K274)=11,MIN(K264:K274)&gt;=0),K275,"")</f>
        <v>552.93</v>
      </c>
      <c r="L276" s="6">
        <f>IF(AND(L262=1,COUNT(L264:L274)=11,MIN(L264:L274)&gt;=0),L275,"")</f>
        <v>557.77</v>
      </c>
      <c r="M276" s="6">
        <f>IF(AND(M262=1,COUNT(M264:M274)=11,MIN(M264:M274)&gt;=0),M275,"")</f>
        <v>551.78</v>
      </c>
      <c r="N276" s="6">
        <f>IF(AND(N262=1,COUNT(N264:N274)=11,MIN(N264:N274)&gt;=0),N275,"")</f>
        <v>555.96</v>
      </c>
      <c r="O276" s="6">
        <f>IF(COUNT(E276:N276)&gt;0,MIN(E276:N276),"")</f>
        <v>551.78</v>
      </c>
      <c r="P276" s="6">
        <f>IF(COUNT(E276:N276)&gt;0,MAX(E276:N276),"")</f>
        <v>557.92</v>
      </c>
      <c r="Q276" s="6">
        <f>IF(ISNUMBER(O276),P276-O276,"")</f>
        <v>6.13999999999999</v>
      </c>
      <c r="R276" s="6">
        <f>IF(ISNUMBER(O276),MAX(0,O276-O275),"")</f>
        <v>7.78000000000009</v>
      </c>
      <c r="S276" s="6">
        <f>SUMIF(C264:C274,"Ручная",Q264:Q274)</f>
        <v>20</v>
      </c>
      <c r="T276" s="6">
        <f>COUNT(E276:N276)</f>
        <v>10</v>
      </c>
      <c r="U276" s="6">
        <f>IF(COUNT(E276:N276)&gt;0,AVERAGE(E276:N276),"")</f>
        <v>555.224</v>
      </c>
      <c r="V276" s="6">
        <f>IF(ISNUMBER(O276),S275-O276,"")</f>
        <v>0</v>
      </c>
      <c r="W276" s="6">
        <f>MATCH(MAX(AQ264:AQ274),AQ264:AQ274,0)</f>
        <v>2</v>
      </c>
      <c r="X276" s="17" t="str">
        <f>IF(T276=0,"НЕТ ЗАМЕРОВ",IF(T276&lt;10,"МЕНЕЕ 10 ЦИКЛОВ",IF(ABS(V276)&lt;0.000001,"ОК","ОШИБКА РЕГУЛИРОВКИ")))</f>
        <v>ОК</v>
      </c>
    </row>
    <row r="277" spans="1:43" ht="23" customHeight="1">
      <c r="A277" s="7" t="s">
        <v>211</v>
      </c>
      <c r="B277" s="7"/>
      <c r="C277" s="7"/>
      <c r="D277" s="7"/>
      <c r="E277" s="7"/>
      <c r="F277" s="7"/>
      <c r="G277" s="7"/>
      <c r="H277" s="7"/>
      <c r="I277" s="7"/>
      <c r="J277" s="7"/>
      <c r="K277" s="7"/>
      <c r="L277" s="7"/>
      <c r="M277" s="7"/>
      <c r="N277" s="7"/>
      <c r="O277" s="7"/>
      <c r="P277" s="7"/>
      <c r="Q277" s="7"/>
      <c r="R277" s="7"/>
      <c r="S277" s="7"/>
      <c r="T277" s="7"/>
      <c r="U277" s="7"/>
      <c r="V277" s="7"/>
      <c r="W277" s="7"/>
      <c r="X277" s="7"/>
    </row>
    <row r="280" spans="1:43" ht="23" customHeight="1">
      <c r="A280" s="4" t="s">
        <v>224</v>
      </c>
      <c r="B280" s="4"/>
      <c r="C280" s="4"/>
      <c r="D280" s="4"/>
      <c r="E280" s="4"/>
      <c r="F280" s="4"/>
      <c r="G280" s="4"/>
      <c r="H280" s="4"/>
      <c r="I280" s="4"/>
      <c r="J280" s="4"/>
      <c r="K280" s="4"/>
      <c r="L280" s="4"/>
      <c r="M280" s="4"/>
      <c r="N280" s="4"/>
      <c r="O280" s="4"/>
      <c r="P280" s="4"/>
      <c r="Q280" s="4"/>
      <c r="R280" s="4"/>
      <c r="S280" s="4"/>
      <c r="T280" s="4"/>
      <c r="U280" s="4"/>
      <c r="V280" s="4"/>
      <c r="W280" s="4"/>
      <c r="X280" s="4"/>
    </row>
    <row r="281" spans="1:43" ht="23" customHeight="1">
      <c r="A281" s="7" t="str">
        <f>"Масса замера, кг: "&amp;'Ассортимент'!J21&amp;". Все замеры одной партии/исполнителя/условий. Основание: "&amp;'Ввод'!B14</f>
        <v>Масса замера, кг: 1.5. Все замеры одной партии/исполнителя/условий. Основание: ДЕМО: синтетические замеры; заменить фактическими</v>
      </c>
      <c r="B281" s="7"/>
      <c r="C281" s="7"/>
      <c r="D281" s="7"/>
      <c r="E281" s="7"/>
      <c r="F281" s="7"/>
      <c r="G281" s="7"/>
      <c r="H281" s="7"/>
      <c r="I281" s="7"/>
      <c r="J281" s="7"/>
      <c r="K281" s="7"/>
      <c r="L281" s="7"/>
      <c r="M281" s="7"/>
      <c r="N281" s="7"/>
      <c r="O281" s="7"/>
      <c r="P281" s="7"/>
      <c r="Q281" s="7"/>
      <c r="R281" s="7"/>
      <c r="S281" s="7"/>
      <c r="T281" s="7"/>
      <c r="U281" s="7"/>
      <c r="V281" s="7"/>
      <c r="W281" s="7"/>
      <c r="X281" s="7"/>
    </row>
    <row r="282" spans="1:43" ht="44" customHeight="1">
      <c r="A282" s="8" t="s">
        <v>113</v>
      </c>
      <c r="B282" s="8" t="s">
        <v>156</v>
      </c>
      <c r="C282" s="8" t="s">
        <v>157</v>
      </c>
      <c r="D282" s="8" t="s">
        <v>158</v>
      </c>
      <c r="E282" s="8" t="s">
        <v>159</v>
      </c>
      <c r="F282" s="8" t="s">
        <v>160</v>
      </c>
      <c r="G282" s="8" t="s">
        <v>161</v>
      </c>
      <c r="H282" s="8" t="s">
        <v>162</v>
      </c>
      <c r="I282" s="8" t="s">
        <v>163</v>
      </c>
      <c r="J282" s="8" t="s">
        <v>164</v>
      </c>
      <c r="K282" s="8" t="s">
        <v>165</v>
      </c>
      <c r="L282" s="8" t="s">
        <v>166</v>
      </c>
      <c r="M282" s="8" t="s">
        <v>167</v>
      </c>
      <c r="N282" s="8" t="s">
        <v>168</v>
      </c>
      <c r="O282" s="8" t="s">
        <v>169</v>
      </c>
      <c r="P282" s="8" t="s">
        <v>170</v>
      </c>
      <c r="Q282" s="8" t="s">
        <v>171</v>
      </c>
      <c r="R282" s="8" t="s">
        <v>172</v>
      </c>
      <c r="S282" s="8" t="s">
        <v>173</v>
      </c>
      <c r="T282" s="8" t="s">
        <v>174</v>
      </c>
      <c r="U282" s="8" t="s">
        <v>175</v>
      </c>
      <c r="V282" s="8" t="s">
        <v>176</v>
      </c>
      <c r="W282" s="8" t="s">
        <v>177</v>
      </c>
      <c r="X282" s="8" t="s">
        <v>178</v>
      </c>
    </row>
    <row r="283" spans="1:43" ht="23" customHeight="1">
      <c r="B283" s="5" t="s">
        <v>179</v>
      </c>
      <c r="E283" s="12">
        <v>1</v>
      </c>
      <c r="F283" s="12">
        <v>1</v>
      </c>
      <c r="G283" s="12">
        <v>1</v>
      </c>
      <c r="H283" s="12">
        <v>1</v>
      </c>
      <c r="I283" s="12">
        <v>1</v>
      </c>
      <c r="J283" s="12">
        <v>1</v>
      </c>
      <c r="K283" s="12">
        <v>1</v>
      </c>
      <c r="L283" s="12">
        <v>1</v>
      </c>
      <c r="M283" s="12">
        <v>1</v>
      </c>
      <c r="N283" s="12">
        <v>1</v>
      </c>
    </row>
    <row r="284" spans="1:43" ht="33" customHeight="1">
      <c r="B284" s="5" t="s">
        <v>180</v>
      </c>
      <c r="E284" s="9" t="s">
        <v>181</v>
      </c>
      <c r="F284" s="9" t="s">
        <v>181</v>
      </c>
      <c r="G284" s="9" t="s">
        <v>181</v>
      </c>
      <c r="H284" s="9" t="s">
        <v>181</v>
      </c>
      <c r="I284" s="9" t="s">
        <v>181</v>
      </c>
      <c r="J284" s="9" t="s">
        <v>181</v>
      </c>
      <c r="K284" s="9" t="s">
        <v>181</v>
      </c>
      <c r="L284" s="9" t="s">
        <v>181</v>
      </c>
      <c r="M284" s="9" t="s">
        <v>181</v>
      </c>
      <c r="N284" s="9" t="s">
        <v>181</v>
      </c>
    </row>
    <row r="285" spans="1:43" ht="40" customHeight="1">
      <c r="A285" s="5">
        <v>1</v>
      </c>
      <c r="B285" s="5" t="s">
        <v>182</v>
      </c>
      <c r="C285" s="11" t="s">
        <v>183</v>
      </c>
      <c r="D285" s="7" t="s">
        <v>184</v>
      </c>
      <c r="E285" s="12">
        <v>25.5</v>
      </c>
      <c r="F285" s="12">
        <v>26.5</v>
      </c>
      <c r="G285" s="12">
        <v>27.5</v>
      </c>
      <c r="H285" s="12">
        <v>25.75</v>
      </c>
      <c r="I285" s="12">
        <v>26.75</v>
      </c>
      <c r="J285" s="12">
        <v>25.25</v>
      </c>
      <c r="K285" s="12">
        <v>26.25</v>
      </c>
      <c r="L285" s="12">
        <v>25</v>
      </c>
      <c r="M285" s="12">
        <v>26</v>
      </c>
      <c r="N285" s="12">
        <v>27</v>
      </c>
      <c r="O285" s="13">
        <f>IF(COUNT(AG285:AP285)&gt;0,MIN(AG285:AP285),"")</f>
        <v>25</v>
      </c>
      <c r="P285" s="13">
        <f>IF(COUNT(AG285:AP285)&gt;0,MAX(AG285:AP285),"")</f>
        <v>27.5</v>
      </c>
      <c r="Q285" s="13">
        <f>IF(ISNUMBER(O285),P285-O285,"")</f>
        <v>2.5</v>
      </c>
      <c r="R285" s="13">
        <f>IF(ISNUMBER(O285),IF(C285="Ручная",IF($S$297&gt;0,$R$297*Q285/$S$297,IF($W$297=1,$R$297,0)),0),"")</f>
        <v>0.984615384615393</v>
      </c>
      <c r="S285" s="13">
        <f>IF(ISNUMBER(O285),O285+R285,"")</f>
        <v>25.9846153846154</v>
      </c>
      <c r="T285" s="13">
        <f>IF(ISNUMBER(S285),P285-S285,"")</f>
        <v>1.51538461538461</v>
      </c>
      <c r="U285" s="13">
        <f>IF(COUNT(AG285:AP285)&gt;0,AVERAGE(AG285:AP285),"")</f>
        <v>26.15</v>
      </c>
      <c r="AG285" s="13">
        <f>IF(ISNUMBER(E$297),E285,"")</f>
        <v>25.5</v>
      </c>
      <c r="AH285" s="13">
        <f>IF(ISNUMBER(F$297),F285,"")</f>
        <v>26.5</v>
      </c>
      <c r="AI285" s="13">
        <f>IF(ISNUMBER(G$297),G285,"")</f>
        <v>27.5</v>
      </c>
      <c r="AJ285" s="13">
        <f>IF(ISNUMBER(H$297),H285,"")</f>
        <v>25.75</v>
      </c>
      <c r="AK285" s="13">
        <f>IF(ISNUMBER(I$297),I285,"")</f>
        <v>26.75</v>
      </c>
      <c r="AL285" s="13">
        <f>IF(ISNUMBER(J$297),J285,"")</f>
        <v>25.25</v>
      </c>
      <c r="AM285" s="13">
        <f>IF(ISNUMBER(K$297),K285,"")</f>
        <v>26.25</v>
      </c>
      <c r="AN285" s="13">
        <f>IF(ISNUMBER(L$297),L285,"")</f>
        <v>25</v>
      </c>
      <c r="AO285" s="13">
        <f>IF(ISNUMBER(M$297),M285,"")</f>
        <v>26</v>
      </c>
      <c r="AP285" s="13">
        <f>IF(ISNUMBER(N$297),N285,"")</f>
        <v>27</v>
      </c>
      <c r="AQ285" s="13">
        <f>IF(C285="Ручная",O285,0)</f>
        <v>25</v>
      </c>
    </row>
    <row r="286" spans="1:43" ht="40" customHeight="1">
      <c r="A286" s="5">
        <v>2</v>
      </c>
      <c r="B286" s="5" t="s">
        <v>185</v>
      </c>
      <c r="C286" s="11" t="s">
        <v>183</v>
      </c>
      <c r="D286" s="7" t="s">
        <v>186</v>
      </c>
      <c r="E286" s="12">
        <v>66.95</v>
      </c>
      <c r="F286" s="12">
        <v>69.55</v>
      </c>
      <c r="G286" s="12">
        <v>65.65000000000001</v>
      </c>
      <c r="H286" s="12">
        <v>68.25</v>
      </c>
      <c r="I286" s="12">
        <v>65</v>
      </c>
      <c r="J286" s="12">
        <v>67.59999999999999</v>
      </c>
      <c r="K286" s="12">
        <v>70.2</v>
      </c>
      <c r="L286" s="12">
        <v>66.3</v>
      </c>
      <c r="M286" s="12">
        <v>68.90000000000001</v>
      </c>
      <c r="N286" s="12">
        <v>71.5</v>
      </c>
      <c r="O286" s="13">
        <f>IF(COUNT(AG286:AP286)&gt;0,MIN(AG286:AP286),"")</f>
        <v>65</v>
      </c>
      <c r="P286" s="13">
        <f>IF(COUNT(AG286:AP286)&gt;0,MAX(AG286:AP286),"")</f>
        <v>71.5</v>
      </c>
      <c r="Q286" s="13">
        <f>IF(ISNUMBER(O286),P286-O286,"")</f>
        <v>6.5</v>
      </c>
      <c r="R286" s="13">
        <f>IF(ISNUMBER(O286),IF(C286="Ручная",IF($S$297&gt;0,$R$297*Q286/$S$297,IF($W$297=2,$R$297,0)),0),"")</f>
        <v>2.56000000000002</v>
      </c>
      <c r="S286" s="13">
        <f>IF(ISNUMBER(O286),O286+R286,"")</f>
        <v>67.56</v>
      </c>
      <c r="T286" s="13">
        <f>IF(ISNUMBER(S286),P286-S286,"")</f>
        <v>3.93999999999998</v>
      </c>
      <c r="U286" s="13">
        <f>IF(COUNT(AG286:AP286)&gt;0,AVERAGE(AG286:AP286),"")</f>
        <v>67.99</v>
      </c>
      <c r="AG286" s="13">
        <f>IF(ISNUMBER(E$297),E286,"")</f>
        <v>66.95</v>
      </c>
      <c r="AH286" s="13">
        <f>IF(ISNUMBER(F$297),F286,"")</f>
        <v>69.55</v>
      </c>
      <c r="AI286" s="13">
        <f>IF(ISNUMBER(G$297),G286,"")</f>
        <v>65.65</v>
      </c>
      <c r="AJ286" s="13">
        <f>IF(ISNUMBER(H$297),H286,"")</f>
        <v>68.25</v>
      </c>
      <c r="AK286" s="13">
        <f>IF(ISNUMBER(I$297),I286,"")</f>
        <v>65</v>
      </c>
      <c r="AL286" s="13">
        <f>IF(ISNUMBER(J$297),J286,"")</f>
        <v>67.6</v>
      </c>
      <c r="AM286" s="13">
        <f>IF(ISNUMBER(K$297),K286,"")</f>
        <v>70.2</v>
      </c>
      <c r="AN286" s="13">
        <f>IF(ISNUMBER(L$297),L286,"")</f>
        <v>66.3</v>
      </c>
      <c r="AO286" s="13">
        <f>IF(ISNUMBER(M$297),M286,"")</f>
        <v>68.9</v>
      </c>
      <c r="AP286" s="13">
        <f>IF(ISNUMBER(N$297),N286,"")</f>
        <v>71.5</v>
      </c>
      <c r="AQ286" s="13">
        <f>IF(C286="Ручная",O286,0)</f>
        <v>65</v>
      </c>
    </row>
    <row r="287" spans="1:43" ht="40" customHeight="1">
      <c r="A287" s="5">
        <v>3</v>
      </c>
      <c r="B287" s="5" t="s">
        <v>187</v>
      </c>
      <c r="C287" s="11" t="s">
        <v>183</v>
      </c>
      <c r="D287" s="7" t="s">
        <v>188</v>
      </c>
      <c r="E287" s="12">
        <v>23.1</v>
      </c>
      <c r="F287" s="12">
        <v>22</v>
      </c>
      <c r="G287" s="12">
        <v>22.88</v>
      </c>
      <c r="H287" s="12">
        <v>23.76</v>
      </c>
      <c r="I287" s="12">
        <v>22.44</v>
      </c>
      <c r="J287" s="12">
        <v>23.32</v>
      </c>
      <c r="K287" s="12">
        <v>24.2</v>
      </c>
      <c r="L287" s="12">
        <v>22.66</v>
      </c>
      <c r="M287" s="12">
        <v>23.54</v>
      </c>
      <c r="N287" s="12">
        <v>22.22</v>
      </c>
      <c r="O287" s="13">
        <f>IF(COUNT(AG287:AP287)&gt;0,MIN(AG287:AP287),"")</f>
        <v>22</v>
      </c>
      <c r="P287" s="13">
        <f>IF(COUNT(AG287:AP287)&gt;0,MAX(AG287:AP287),"")</f>
        <v>24.2</v>
      </c>
      <c r="Q287" s="13">
        <f>IF(ISNUMBER(O287),P287-O287,"")</f>
        <v>2.2</v>
      </c>
      <c r="R287" s="13">
        <f>IF(ISNUMBER(O287),IF(C287="Ручная",IF($S$297&gt;0,$R$297*Q287/$S$297,IF($W$297=3,$R$297,0)),0),"")</f>
        <v>0.866461538461545</v>
      </c>
      <c r="S287" s="13">
        <f>IF(ISNUMBER(O287),O287+R287,"")</f>
        <v>22.8664615384615</v>
      </c>
      <c r="T287" s="13">
        <f>IF(ISNUMBER(S287),P287-S287,"")</f>
        <v>1.33353846153845</v>
      </c>
      <c r="U287" s="13">
        <f>IF(COUNT(AG287:AP287)&gt;0,AVERAGE(AG287:AP287),"")</f>
        <v>23.012</v>
      </c>
      <c r="AG287" s="13">
        <f>IF(ISNUMBER(E$297),E287,"")</f>
        <v>23.1</v>
      </c>
      <c r="AH287" s="13">
        <f>IF(ISNUMBER(F$297),F287,"")</f>
        <v>22</v>
      </c>
      <c r="AI287" s="13">
        <f>IF(ISNUMBER(G$297),G287,"")</f>
        <v>22.88</v>
      </c>
      <c r="AJ287" s="13">
        <f>IF(ISNUMBER(H$297),H287,"")</f>
        <v>23.76</v>
      </c>
      <c r="AK287" s="13">
        <f>IF(ISNUMBER(I$297),I287,"")</f>
        <v>22.44</v>
      </c>
      <c r="AL287" s="13">
        <f>IF(ISNUMBER(J$297),J287,"")</f>
        <v>23.32</v>
      </c>
      <c r="AM287" s="13">
        <f>IF(ISNUMBER(K$297),K287,"")</f>
        <v>24.2</v>
      </c>
      <c r="AN287" s="13">
        <f>IF(ISNUMBER(L$297),L287,"")</f>
        <v>22.66</v>
      </c>
      <c r="AO287" s="13">
        <f>IF(ISNUMBER(M$297),M287,"")</f>
        <v>23.54</v>
      </c>
      <c r="AP287" s="13">
        <f>IF(ISNUMBER(N$297),N287,"")</f>
        <v>22.22</v>
      </c>
      <c r="AQ287" s="13">
        <f>IF(C287="Ручная",O287,0)</f>
        <v>22</v>
      </c>
    </row>
    <row r="288" spans="1:43" ht="40" customHeight="1">
      <c r="A288" s="5" t="s">
        <v>189</v>
      </c>
      <c r="B288" s="5" t="s">
        <v>190</v>
      </c>
      <c r="C288" s="11" t="s">
        <v>191</v>
      </c>
      <c r="D288" s="7" t="s">
        <v>192</v>
      </c>
      <c r="E288" s="12">
        <v>12.96</v>
      </c>
      <c r="F288" s="12">
        <v>12.24</v>
      </c>
      <c r="G288" s="12">
        <v>12.72</v>
      </c>
      <c r="H288" s="12">
        <v>13.2</v>
      </c>
      <c r="I288" s="12">
        <v>12.36</v>
      </c>
      <c r="J288" s="12">
        <v>12.84</v>
      </c>
      <c r="K288" s="12">
        <v>12.12</v>
      </c>
      <c r="L288" s="12">
        <v>12.6</v>
      </c>
      <c r="M288" s="12">
        <v>12</v>
      </c>
      <c r="N288" s="12">
        <v>12.48</v>
      </c>
      <c r="O288" s="13">
        <f>IF(COUNT(AG288:AP288)&gt;0,MIN(AG288:AP288),"")</f>
        <v>12</v>
      </c>
      <c r="P288" s="13">
        <f>IF(COUNT(AG288:AP288)&gt;0,MAX(AG288:AP288),"")</f>
        <v>13.2</v>
      </c>
      <c r="Q288" s="13">
        <f>IF(ISNUMBER(O288),P288-O288,"")</f>
        <v>1.2</v>
      </c>
      <c r="R288" s="13">
        <f>IF(ISNUMBER(O288),IF(C288="Ручная",IF($S$297&gt;0,$R$297*Q288/$S$297,IF($W$297=4,$R$297,0)),0),"")</f>
        <v>0</v>
      </c>
      <c r="S288" s="13">
        <f>IF(ISNUMBER(O288),O288+R288,"")</f>
        <v>12</v>
      </c>
      <c r="T288" s="13">
        <f>IF(ISNUMBER(S288),P288-S288,"")</f>
        <v>1.2</v>
      </c>
      <c r="U288" s="13">
        <f>IF(COUNT(AG288:AP288)&gt;0,AVERAGE(AG288:AP288),"")</f>
        <v>12.552</v>
      </c>
      <c r="AG288" s="13">
        <f>IF(ISNUMBER(E$297),E288,"")</f>
        <v>12.96</v>
      </c>
      <c r="AH288" s="13">
        <f>IF(ISNUMBER(F$297),F288,"")</f>
        <v>12.24</v>
      </c>
      <c r="AI288" s="13">
        <f>IF(ISNUMBER(G$297),G288,"")</f>
        <v>12.72</v>
      </c>
      <c r="AJ288" s="13">
        <f>IF(ISNUMBER(H$297),H288,"")</f>
        <v>13.2</v>
      </c>
      <c r="AK288" s="13">
        <f>IF(ISNUMBER(I$297),I288,"")</f>
        <v>12.36</v>
      </c>
      <c r="AL288" s="13">
        <f>IF(ISNUMBER(J$297),J288,"")</f>
        <v>12.84</v>
      </c>
      <c r="AM288" s="13">
        <f>IF(ISNUMBER(K$297),K288,"")</f>
        <v>12.12</v>
      </c>
      <c r="AN288" s="13">
        <f>IF(ISNUMBER(L$297),L288,"")</f>
        <v>12.6</v>
      </c>
      <c r="AO288" s="13">
        <f>IF(ISNUMBER(M$297),M288,"")</f>
        <v>12</v>
      </c>
      <c r="AP288" s="13">
        <f>IF(ISNUMBER(N$297),N288,"")</f>
        <v>12.48</v>
      </c>
      <c r="AQ288" s="13">
        <f>IF(C288="Ручная",O288,0)</f>
        <v>0</v>
      </c>
    </row>
    <row r="289" spans="1:43" ht="40" customHeight="1">
      <c r="A289" s="5">
        <v>5</v>
      </c>
      <c r="B289" s="5" t="s">
        <v>193</v>
      </c>
      <c r="C289" s="11" t="s">
        <v>183</v>
      </c>
      <c r="D289" s="7" t="s">
        <v>194</v>
      </c>
      <c r="E289" s="12">
        <v>38.5</v>
      </c>
      <c r="F289" s="12">
        <v>36.05</v>
      </c>
      <c r="G289" s="12">
        <v>37.45</v>
      </c>
      <c r="H289" s="12">
        <v>35.35</v>
      </c>
      <c r="I289" s="12">
        <v>36.75</v>
      </c>
      <c r="J289" s="12">
        <v>35</v>
      </c>
      <c r="K289" s="12">
        <v>36.4</v>
      </c>
      <c r="L289" s="12">
        <v>37.8</v>
      </c>
      <c r="M289" s="12">
        <v>35.7</v>
      </c>
      <c r="N289" s="12">
        <v>37.1</v>
      </c>
      <c r="O289" s="13">
        <f>IF(COUNT(AG289:AP289)&gt;0,MIN(AG289:AP289),"")</f>
        <v>35</v>
      </c>
      <c r="P289" s="13">
        <f>IF(COUNT(AG289:AP289)&gt;0,MAX(AG289:AP289),"")</f>
        <v>38.5</v>
      </c>
      <c r="Q289" s="13">
        <f>IF(ISNUMBER(O289),P289-O289,"")</f>
        <v>3.5</v>
      </c>
      <c r="R289" s="13">
        <f>IF(ISNUMBER(O289),IF(C289="Ручная",IF($S$297&gt;0,$R$297*Q289/$S$297,IF($W$297=5,$R$297,0)),0),"")</f>
        <v>1.37846153846155</v>
      </c>
      <c r="S289" s="13">
        <f>IF(ISNUMBER(O289),O289+R289,"")</f>
        <v>36.3784615384616</v>
      </c>
      <c r="T289" s="13">
        <f>IF(ISNUMBER(S289),P289-S289,"")</f>
        <v>2.12153846153845</v>
      </c>
      <c r="U289" s="13">
        <f>IF(COUNT(AG289:AP289)&gt;0,AVERAGE(AG289:AP289),"")</f>
        <v>36.61</v>
      </c>
      <c r="AG289" s="13">
        <f>IF(ISNUMBER(E$297),E289,"")</f>
        <v>38.5</v>
      </c>
      <c r="AH289" s="13">
        <f>IF(ISNUMBER(F$297),F289,"")</f>
        <v>36.05</v>
      </c>
      <c r="AI289" s="13">
        <f>IF(ISNUMBER(G$297),G289,"")</f>
        <v>37.45</v>
      </c>
      <c r="AJ289" s="13">
        <f>IF(ISNUMBER(H$297),H289,"")</f>
        <v>35.35</v>
      </c>
      <c r="AK289" s="13">
        <f>IF(ISNUMBER(I$297),I289,"")</f>
        <v>36.75</v>
      </c>
      <c r="AL289" s="13">
        <f>IF(ISNUMBER(J$297),J289,"")</f>
        <v>35</v>
      </c>
      <c r="AM289" s="13">
        <f>IF(ISNUMBER(K$297),K289,"")</f>
        <v>36.4</v>
      </c>
      <c r="AN289" s="13">
        <f>IF(ISNUMBER(L$297),L289,"")</f>
        <v>37.8</v>
      </c>
      <c r="AO289" s="13">
        <f>IF(ISNUMBER(M$297),M289,"")</f>
        <v>35.7</v>
      </c>
      <c r="AP289" s="13">
        <f>IF(ISNUMBER(N$297),N289,"")</f>
        <v>37.1</v>
      </c>
      <c r="AQ289" s="13">
        <f>IF(C289="Ручная",O289,0)</f>
        <v>35</v>
      </c>
    </row>
    <row r="290" spans="1:43" ht="40" customHeight="1">
      <c r="A290" s="5" t="s">
        <v>189</v>
      </c>
      <c r="B290" s="5" t="s">
        <v>195</v>
      </c>
      <c r="C290" s="11" t="s">
        <v>196</v>
      </c>
      <c r="D290" s="7" t="s">
        <v>197</v>
      </c>
      <c r="E290" s="18">
        <f>'Ассортимент'!R21</f>
        <v>300</v>
      </c>
      <c r="F290" s="18">
        <f>'Ассортимент'!R21</f>
        <v>300</v>
      </c>
      <c r="G290" s="18">
        <f>'Ассортимент'!R21</f>
        <v>300</v>
      </c>
      <c r="H290" s="18">
        <f>'Ассортимент'!R21</f>
        <v>300</v>
      </c>
      <c r="I290" s="18">
        <f>'Ассортимент'!R21</f>
        <v>300</v>
      </c>
      <c r="J290" s="18">
        <f>'Ассортимент'!R21</f>
        <v>300</v>
      </c>
      <c r="K290" s="18">
        <f>'Ассортимент'!R21</f>
        <v>300</v>
      </c>
      <c r="L290" s="18">
        <f>'Ассортимент'!R21</f>
        <v>300</v>
      </c>
      <c r="M290" s="18">
        <f>'Ассортимент'!R21</f>
        <v>300</v>
      </c>
      <c r="N290" s="18">
        <f>'Ассортимент'!R21</f>
        <v>300</v>
      </c>
      <c r="O290" s="13">
        <f>IF(COUNT(AG290:AP290)&gt;0,MIN(AG290:AP290),"")</f>
        <v>300</v>
      </c>
      <c r="P290" s="13">
        <f>IF(COUNT(AG290:AP290)&gt;0,MAX(AG290:AP290),"")</f>
        <v>300</v>
      </c>
      <c r="Q290" s="13">
        <f>IF(ISNUMBER(O290),P290-O290,"")</f>
        <v>0</v>
      </c>
      <c r="R290" s="13">
        <f>IF(ISNUMBER(O290),IF(C290="Ручная",IF($S$297&gt;0,$R$297*Q290/$S$297,IF($W$297=6,$R$297,0)),0),"")</f>
        <v>0</v>
      </c>
      <c r="S290" s="13">
        <f>IF(ISNUMBER(O290),O290+R290,"")</f>
        <v>300</v>
      </c>
      <c r="T290" s="13">
        <f>IF(ISNUMBER(S290),P290-S290,"")</f>
        <v>0</v>
      </c>
      <c r="U290" s="13">
        <f>IF(COUNT(AG290:AP290)&gt;0,AVERAGE(AG290:AP290),"")</f>
        <v>300</v>
      </c>
      <c r="AG290" s="13">
        <f>IF(ISNUMBER(E$297),E290,"")</f>
        <v>300</v>
      </c>
      <c r="AH290" s="13">
        <f>IF(ISNUMBER(F$297),F290,"")</f>
        <v>300</v>
      </c>
      <c r="AI290" s="13">
        <f>IF(ISNUMBER(G$297),G290,"")</f>
        <v>300</v>
      </c>
      <c r="AJ290" s="13">
        <f>IF(ISNUMBER(H$297),H290,"")</f>
        <v>300</v>
      </c>
      <c r="AK290" s="13">
        <f>IF(ISNUMBER(I$297),I290,"")</f>
        <v>300</v>
      </c>
      <c r="AL290" s="13">
        <f>IF(ISNUMBER(J$297),J290,"")</f>
        <v>300</v>
      </c>
      <c r="AM290" s="13">
        <f>IF(ISNUMBER(K$297),K290,"")</f>
        <v>300</v>
      </c>
      <c r="AN290" s="13">
        <f>IF(ISNUMBER(L$297),L290,"")</f>
        <v>300</v>
      </c>
      <c r="AO290" s="13">
        <f>IF(ISNUMBER(M$297),M290,"")</f>
        <v>300</v>
      </c>
      <c r="AP290" s="13">
        <f>IF(ISNUMBER(N$297),N290,"")</f>
        <v>300</v>
      </c>
      <c r="AQ290" s="13">
        <f>IF(C290="Ручная",O290,0)</f>
        <v>0</v>
      </c>
    </row>
    <row r="291" spans="1:43" ht="40" customHeight="1">
      <c r="A291" s="5">
        <v>7</v>
      </c>
      <c r="B291" s="5" t="s">
        <v>198</v>
      </c>
      <c r="C291" s="11" t="s">
        <v>183</v>
      </c>
      <c r="D291" s="7" t="s">
        <v>199</v>
      </c>
      <c r="E291" s="12">
        <v>31.2</v>
      </c>
      <c r="F291" s="12">
        <v>32.4</v>
      </c>
      <c r="G291" s="12">
        <v>30.6</v>
      </c>
      <c r="H291" s="12">
        <v>31.8</v>
      </c>
      <c r="I291" s="12">
        <v>33</v>
      </c>
      <c r="J291" s="12">
        <v>30.9</v>
      </c>
      <c r="K291" s="12">
        <v>32.1</v>
      </c>
      <c r="L291" s="12">
        <v>30.3</v>
      </c>
      <c r="M291" s="12">
        <v>31.5</v>
      </c>
      <c r="N291" s="12">
        <v>30</v>
      </c>
      <c r="O291" s="13">
        <f>IF(COUNT(AG291:AP291)&gt;0,MIN(AG291:AP291),"")</f>
        <v>30</v>
      </c>
      <c r="P291" s="13">
        <f>IF(COUNT(AG291:AP291)&gt;0,MAX(AG291:AP291),"")</f>
        <v>33</v>
      </c>
      <c r="Q291" s="13">
        <f>IF(ISNUMBER(O291),P291-O291,"")</f>
        <v>3</v>
      </c>
      <c r="R291" s="13">
        <f>IF(ISNUMBER(O291),IF(C291="Ручная",IF($S$297&gt;0,$R$297*Q291/$S$297,IF($W$297=7,$R$297,0)),0),"")</f>
        <v>1.18153846153847</v>
      </c>
      <c r="S291" s="13">
        <f>IF(ISNUMBER(O291),O291+R291,"")</f>
        <v>31.1815384615385</v>
      </c>
      <c r="T291" s="13">
        <f>IF(ISNUMBER(S291),P291-S291,"")</f>
        <v>1.81846153846153</v>
      </c>
      <c r="U291" s="13">
        <f>IF(COUNT(AG291:AP291)&gt;0,AVERAGE(AG291:AP291),"")</f>
        <v>31.38</v>
      </c>
      <c r="AG291" s="13">
        <f>IF(ISNUMBER(E$297),E291,"")</f>
        <v>31.2</v>
      </c>
      <c r="AH291" s="13">
        <f>IF(ISNUMBER(F$297),F291,"")</f>
        <v>32.4</v>
      </c>
      <c r="AI291" s="13">
        <f>IF(ISNUMBER(G$297),G291,"")</f>
        <v>30.6</v>
      </c>
      <c r="AJ291" s="13">
        <f>IF(ISNUMBER(H$297),H291,"")</f>
        <v>31.8</v>
      </c>
      <c r="AK291" s="13">
        <f>IF(ISNUMBER(I$297),I291,"")</f>
        <v>33</v>
      </c>
      <c r="AL291" s="13">
        <f>IF(ISNUMBER(J$297),J291,"")</f>
        <v>30.9</v>
      </c>
      <c r="AM291" s="13">
        <f>IF(ISNUMBER(K$297),K291,"")</f>
        <v>32.1</v>
      </c>
      <c r="AN291" s="13">
        <f>IF(ISNUMBER(L$297),L291,"")</f>
        <v>30.3</v>
      </c>
      <c r="AO291" s="13">
        <f>IF(ISNUMBER(M$297),M291,"")</f>
        <v>31.5</v>
      </c>
      <c r="AP291" s="13">
        <f>IF(ISNUMBER(N$297),N291,"")</f>
        <v>30</v>
      </c>
      <c r="AQ291" s="13">
        <f>IF(C291="Ручная",O291,0)</f>
        <v>30</v>
      </c>
    </row>
    <row r="292" spans="1:43" ht="40" customHeight="1">
      <c r="A292" s="5">
        <v>8</v>
      </c>
      <c r="B292" s="5" t="s">
        <v>200</v>
      </c>
      <c r="C292" s="11" t="s">
        <v>183</v>
      </c>
      <c r="D292" s="7" t="s">
        <v>201</v>
      </c>
      <c r="E292" s="12">
        <v>19.08</v>
      </c>
      <c r="F292" s="12">
        <v>19.8</v>
      </c>
      <c r="G292" s="12">
        <v>18.54</v>
      </c>
      <c r="H292" s="12">
        <v>19.26</v>
      </c>
      <c r="I292" s="12">
        <v>18.18</v>
      </c>
      <c r="J292" s="12">
        <v>18.9</v>
      </c>
      <c r="K292" s="12">
        <v>18</v>
      </c>
      <c r="L292" s="12">
        <v>18.72</v>
      </c>
      <c r="M292" s="12">
        <v>19.44</v>
      </c>
      <c r="N292" s="12">
        <v>18.36</v>
      </c>
      <c r="O292" s="13">
        <f>IF(COUNT(AG292:AP292)&gt;0,MIN(AG292:AP292),"")</f>
        <v>18</v>
      </c>
      <c r="P292" s="13">
        <f>IF(COUNT(AG292:AP292)&gt;0,MAX(AG292:AP292),"")</f>
        <v>19.8</v>
      </c>
      <c r="Q292" s="13">
        <f>IF(ISNUMBER(O292),P292-O292,"")</f>
        <v>1.8</v>
      </c>
      <c r="R292" s="13">
        <f>IF(ISNUMBER(O292),IF(C292="Ручная",IF($S$297&gt;0,$R$297*Q292/$S$297,IF($W$297=8,$R$297,0)),0),"")</f>
        <v>0.708923076923083</v>
      </c>
      <c r="S292" s="13">
        <f>IF(ISNUMBER(O292),O292+R292,"")</f>
        <v>18.7089230769231</v>
      </c>
      <c r="T292" s="13">
        <f>IF(ISNUMBER(S292),P292-S292,"")</f>
        <v>1.09107692307692</v>
      </c>
      <c r="U292" s="13">
        <f>IF(COUNT(AG292:AP292)&gt;0,AVERAGE(AG292:AP292),"")</f>
        <v>18.828</v>
      </c>
      <c r="AG292" s="13">
        <f>IF(ISNUMBER(E$297),E292,"")</f>
        <v>19.08</v>
      </c>
      <c r="AH292" s="13">
        <f>IF(ISNUMBER(F$297),F292,"")</f>
        <v>19.8</v>
      </c>
      <c r="AI292" s="13">
        <f>IF(ISNUMBER(G$297),G292,"")</f>
        <v>18.54</v>
      </c>
      <c r="AJ292" s="13">
        <f>IF(ISNUMBER(H$297),H292,"")</f>
        <v>19.26</v>
      </c>
      <c r="AK292" s="13">
        <f>IF(ISNUMBER(I$297),I292,"")</f>
        <v>18.18</v>
      </c>
      <c r="AL292" s="13">
        <f>IF(ISNUMBER(J$297),J292,"")</f>
        <v>18.9</v>
      </c>
      <c r="AM292" s="13">
        <f>IF(ISNUMBER(K$297),K292,"")</f>
        <v>18</v>
      </c>
      <c r="AN292" s="13">
        <f>IF(ISNUMBER(L$297),L292,"")</f>
        <v>18.72</v>
      </c>
      <c r="AO292" s="13">
        <f>IF(ISNUMBER(M$297),M292,"")</f>
        <v>19.44</v>
      </c>
      <c r="AP292" s="13">
        <f>IF(ISNUMBER(N$297),N292,"")</f>
        <v>18.36</v>
      </c>
      <c r="AQ292" s="13">
        <f>IF(C292="Ручная",O292,0)</f>
        <v>18</v>
      </c>
    </row>
    <row r="293" spans="1:43" ht="40" customHeight="1">
      <c r="A293" s="5" t="s">
        <v>189</v>
      </c>
      <c r="B293" s="5" t="s">
        <v>202</v>
      </c>
      <c r="C293" s="11" t="s">
        <v>191</v>
      </c>
      <c r="D293" s="7" t="s">
        <v>203</v>
      </c>
      <c r="E293" s="12">
        <v>10.7</v>
      </c>
      <c r="F293" s="12">
        <v>10.1</v>
      </c>
      <c r="G293" s="12">
        <v>10.5</v>
      </c>
      <c r="H293" s="12">
        <v>10</v>
      </c>
      <c r="I293" s="12">
        <v>10.4</v>
      </c>
      <c r="J293" s="12">
        <v>10.8</v>
      </c>
      <c r="K293" s="12">
        <v>10.2</v>
      </c>
      <c r="L293" s="12">
        <v>10.6</v>
      </c>
      <c r="M293" s="12">
        <v>11</v>
      </c>
      <c r="N293" s="12">
        <v>10.3</v>
      </c>
      <c r="O293" s="13">
        <f>IF(COUNT(AG293:AP293)&gt;0,MIN(AG293:AP293),"")</f>
        <v>10</v>
      </c>
      <c r="P293" s="13">
        <f>IF(COUNT(AG293:AP293)&gt;0,MAX(AG293:AP293),"")</f>
        <v>11</v>
      </c>
      <c r="Q293" s="13">
        <f>IF(ISNUMBER(O293),P293-O293,"")</f>
        <v>1</v>
      </c>
      <c r="R293" s="13">
        <f>IF(ISNUMBER(O293),IF(C293="Ручная",IF($S$297&gt;0,$R$297*Q293/$S$297,IF($W$297=9,$R$297,0)),0),"")</f>
        <v>0</v>
      </c>
      <c r="S293" s="13">
        <f>IF(ISNUMBER(O293),O293+R293,"")</f>
        <v>10</v>
      </c>
      <c r="T293" s="13">
        <f>IF(ISNUMBER(S293),P293-S293,"")</f>
        <v>1</v>
      </c>
      <c r="U293" s="13">
        <f>IF(COUNT(AG293:AP293)&gt;0,AVERAGE(AG293:AP293),"")</f>
        <v>10.46</v>
      </c>
      <c r="AG293" s="13">
        <f>IF(ISNUMBER(E$297),E293,"")</f>
        <v>10.7</v>
      </c>
      <c r="AH293" s="13">
        <f>IF(ISNUMBER(F$297),F293,"")</f>
        <v>10.1</v>
      </c>
      <c r="AI293" s="13">
        <f>IF(ISNUMBER(G$297),G293,"")</f>
        <v>10.5</v>
      </c>
      <c r="AJ293" s="13">
        <f>IF(ISNUMBER(H$297),H293,"")</f>
        <v>10</v>
      </c>
      <c r="AK293" s="13">
        <f>IF(ISNUMBER(I$297),I293,"")</f>
        <v>10.4</v>
      </c>
      <c r="AL293" s="13">
        <f>IF(ISNUMBER(J$297),J293,"")</f>
        <v>10.8</v>
      </c>
      <c r="AM293" s="13">
        <f>IF(ISNUMBER(K$297),K293,"")</f>
        <v>10.2</v>
      </c>
      <c r="AN293" s="13">
        <f>IF(ISNUMBER(L$297),L293,"")</f>
        <v>10.6</v>
      </c>
      <c r="AO293" s="13">
        <f>IF(ISNUMBER(M$297),M293,"")</f>
        <v>11</v>
      </c>
      <c r="AP293" s="13">
        <f>IF(ISNUMBER(N$297),N293,"")</f>
        <v>10.3</v>
      </c>
      <c r="AQ293" s="13">
        <f>IF(C293="Ручная",O293,0)</f>
        <v>0</v>
      </c>
    </row>
    <row r="294" spans="1:43" ht="40" customHeight="1">
      <c r="A294" s="5" t="s">
        <v>189</v>
      </c>
      <c r="B294" s="5" t="s">
        <v>204</v>
      </c>
      <c r="C294" s="11" t="s">
        <v>191</v>
      </c>
      <c r="D294" s="7" t="s">
        <v>205</v>
      </c>
      <c r="E294" s="12">
        <v>10</v>
      </c>
      <c r="F294" s="12">
        <v>10.4</v>
      </c>
      <c r="G294" s="12">
        <v>10.8</v>
      </c>
      <c r="H294" s="12">
        <v>10.2</v>
      </c>
      <c r="I294" s="12">
        <v>10.6</v>
      </c>
      <c r="J294" s="12">
        <v>11</v>
      </c>
      <c r="K294" s="12">
        <v>10.3</v>
      </c>
      <c r="L294" s="12">
        <v>10.7</v>
      </c>
      <c r="M294" s="12">
        <v>10.1</v>
      </c>
      <c r="N294" s="12">
        <v>10.5</v>
      </c>
      <c r="O294" s="13">
        <f>IF(COUNT(AG294:AP294)&gt;0,MIN(AG294:AP294),"")</f>
        <v>10</v>
      </c>
      <c r="P294" s="13">
        <f>IF(COUNT(AG294:AP294)&gt;0,MAX(AG294:AP294),"")</f>
        <v>11</v>
      </c>
      <c r="Q294" s="13">
        <f>IF(ISNUMBER(O294),P294-O294,"")</f>
        <v>1</v>
      </c>
      <c r="R294" s="13">
        <f>IF(ISNUMBER(O294),IF(C294="Ручная",IF($S$297&gt;0,$R$297*Q294/$S$297,IF($W$297=10,$R$297,0)),0),"")</f>
        <v>0</v>
      </c>
      <c r="S294" s="13">
        <f>IF(ISNUMBER(O294),O294+R294,"")</f>
        <v>10</v>
      </c>
      <c r="T294" s="13">
        <f>IF(ISNUMBER(S294),P294-S294,"")</f>
        <v>1</v>
      </c>
      <c r="U294" s="13">
        <f>IF(COUNT(AG294:AP294)&gt;0,AVERAGE(AG294:AP294),"")</f>
        <v>10.46</v>
      </c>
      <c r="AG294" s="13">
        <f>IF(ISNUMBER(E$297),E294,"")</f>
        <v>10</v>
      </c>
      <c r="AH294" s="13">
        <f>IF(ISNUMBER(F$297),F294,"")</f>
        <v>10.4</v>
      </c>
      <c r="AI294" s="13">
        <f>IF(ISNUMBER(G$297),G294,"")</f>
        <v>10.8</v>
      </c>
      <c r="AJ294" s="13">
        <f>IF(ISNUMBER(H$297),H294,"")</f>
        <v>10.2</v>
      </c>
      <c r="AK294" s="13">
        <f>IF(ISNUMBER(I$297),I294,"")</f>
        <v>10.6</v>
      </c>
      <c r="AL294" s="13">
        <f>IF(ISNUMBER(J$297),J294,"")</f>
        <v>11</v>
      </c>
      <c r="AM294" s="13">
        <f>IF(ISNUMBER(K$297),K294,"")</f>
        <v>10.3</v>
      </c>
      <c r="AN294" s="13">
        <f>IF(ISNUMBER(L$297),L294,"")</f>
        <v>10.7</v>
      </c>
      <c r="AO294" s="13">
        <f>IF(ISNUMBER(M$297),M294,"")</f>
        <v>10.1</v>
      </c>
      <c r="AP294" s="13">
        <f>IF(ISNUMBER(N$297),N294,"")</f>
        <v>10.5</v>
      </c>
      <c r="AQ294" s="13">
        <f>IF(C294="Ручная",O294,0)</f>
        <v>0</v>
      </c>
    </row>
    <row r="295" spans="1:43" ht="40" customHeight="1">
      <c r="A295" s="5" t="s">
        <v>189</v>
      </c>
      <c r="B295" s="5" t="s">
        <v>206</v>
      </c>
      <c r="C295" s="11" t="s">
        <v>207</v>
      </c>
      <c r="D295" s="7" t="s">
        <v>208</v>
      </c>
      <c r="E295" s="12">
        <v>12.24</v>
      </c>
      <c r="F295" s="12">
        <v>12.72</v>
      </c>
      <c r="G295" s="12">
        <v>13.2</v>
      </c>
      <c r="H295" s="12">
        <v>12.36</v>
      </c>
      <c r="I295" s="12">
        <v>12.84</v>
      </c>
      <c r="J295" s="12">
        <v>12.12</v>
      </c>
      <c r="K295" s="12">
        <v>12.6</v>
      </c>
      <c r="L295" s="12">
        <v>12</v>
      </c>
      <c r="M295" s="12">
        <v>12.48</v>
      </c>
      <c r="N295" s="12">
        <v>12.96</v>
      </c>
      <c r="O295" s="13">
        <f>IF(COUNT(AG295:AP295)&gt;0,MIN(AG295:AP295),"")</f>
        <v>12</v>
      </c>
      <c r="P295" s="13">
        <f>IF(COUNT(AG295:AP295)&gt;0,MAX(AG295:AP295),"")</f>
        <v>13.2</v>
      </c>
      <c r="Q295" s="13">
        <f>IF(ISNUMBER(O295),P295-O295,"")</f>
        <v>1.2</v>
      </c>
      <c r="R295" s="13">
        <f>IF(ISNUMBER(O295),IF(C295="Ручная",IF($S$297&gt;0,$R$297*Q295/$S$297,IF($W$297=11,$R$297,0)),0),"")</f>
        <v>0</v>
      </c>
      <c r="S295" s="13">
        <f>IF(ISNUMBER(O295),O295+R295,"")</f>
        <v>12</v>
      </c>
      <c r="T295" s="13">
        <f>IF(ISNUMBER(S295),P295-S295,"")</f>
        <v>1.2</v>
      </c>
      <c r="U295" s="13">
        <f>IF(COUNT(AG295:AP295)&gt;0,AVERAGE(AG295:AP295),"")</f>
        <v>12.552</v>
      </c>
      <c r="AG295" s="13">
        <f>IF(ISNUMBER(E$297),E295,"")</f>
        <v>12.24</v>
      </c>
      <c r="AH295" s="13">
        <f>IF(ISNUMBER(F$297),F295,"")</f>
        <v>12.72</v>
      </c>
      <c r="AI295" s="13">
        <f>IF(ISNUMBER(G$297),G295,"")</f>
        <v>13.2</v>
      </c>
      <c r="AJ295" s="13">
        <f>IF(ISNUMBER(H$297),H295,"")</f>
        <v>12.36</v>
      </c>
      <c r="AK295" s="13">
        <f>IF(ISNUMBER(I$297),I295,"")</f>
        <v>12.84</v>
      </c>
      <c r="AL295" s="13">
        <f>IF(ISNUMBER(J$297),J295,"")</f>
        <v>12.12</v>
      </c>
      <c r="AM295" s="13">
        <f>IF(ISNUMBER(K$297),K295,"")</f>
        <v>12.6</v>
      </c>
      <c r="AN295" s="13">
        <f>IF(ISNUMBER(L$297),L295,"")</f>
        <v>12</v>
      </c>
      <c r="AO295" s="13">
        <f>IF(ISNUMBER(M$297),M295,"")</f>
        <v>12.48</v>
      </c>
      <c r="AP295" s="13">
        <f>IF(ISNUMBER(N$297),N295,"")</f>
        <v>12.96</v>
      </c>
      <c r="AQ295" s="13">
        <f>IF(C295="Ручная",O295,0)</f>
        <v>0</v>
      </c>
    </row>
    <row r="296" spans="1:43" ht="23" customHeight="1">
      <c r="B296" s="4" t="s">
        <v>209</v>
      </c>
      <c r="E296" s="6">
        <f>IF(COUNT(E285:E295)=11,SUM(E285:E295),"")</f>
        <v>550.23</v>
      </c>
      <c r="F296" s="6">
        <f>IF(COUNT(F285:F295)=11,SUM(F285:F295),"")</f>
        <v>551.76</v>
      </c>
      <c r="G296" s="6">
        <f>IF(COUNT(G285:G295)=11,SUM(G285:G295),"")</f>
        <v>549.84</v>
      </c>
      <c r="H296" s="6">
        <f>IF(COUNT(H285:H295)=11,SUM(H285:H295),"")</f>
        <v>549.93</v>
      </c>
      <c r="I296" s="6">
        <f>IF(COUNT(I285:I295)=11,SUM(I285:I295),"")</f>
        <v>548.32</v>
      </c>
      <c r="J296" s="6">
        <f>IF(COUNT(J285:J295)=11,SUM(J285:J295),"")</f>
        <v>547.73</v>
      </c>
      <c r="K296" s="6">
        <f>IF(COUNT(K285:K295)=11,SUM(K285:K295),"")</f>
        <v>552.37</v>
      </c>
      <c r="L296" s="6">
        <f>IF(COUNT(L285:L295)=11,SUM(L285:L295),"")</f>
        <v>546.68</v>
      </c>
      <c r="M296" s="6">
        <f>IF(COUNT(M285:M295)=11,SUM(M285:M295),"")</f>
        <v>550.66</v>
      </c>
      <c r="N296" s="6">
        <f>IF(COUNT(N285:N295)=11,SUM(N285:N295),"")</f>
        <v>552.42</v>
      </c>
      <c r="O296" s="6">
        <f>IF(COUNT(O285:O295)=11,SUM(O285:O295),"")</f>
        <v>539</v>
      </c>
      <c r="P296" s="6">
        <f>IF(COUNT(P285:P295)=11,SUM(P285:P295),"")</f>
        <v>562.9</v>
      </c>
      <c r="Q296" s="6">
        <f>IF(COUNT(Q285:Q295)=11,SUM(Q285:Q295),"")</f>
        <v>23.9</v>
      </c>
      <c r="R296" s="6">
        <f>IF(COUNT(R285:R295)=11,SUM(R285:R295),"")</f>
        <v>7.68000000000006</v>
      </c>
      <c r="S296" s="6">
        <f>IF(COUNT(S285:S295)=11,SUM(S285:S295),"")</f>
        <v>546.68</v>
      </c>
      <c r="T296" s="6">
        <f>IF(COUNT(T285:T295)=11,SUM(T285:T295),"")</f>
        <v>16.2199999999999</v>
      </c>
      <c r="U296" s="6">
        <f>IF(COUNT(U285:U295)=11,SUM(U285:U295),"")</f>
        <v>549.994</v>
      </c>
    </row>
    <row r="297" spans="1:43" ht="23" customHeight="1">
      <c r="B297" s="4" t="s">
        <v>210</v>
      </c>
      <c r="E297" s="6">
        <f>IF(AND(E283=1,COUNT(E285:E295)=11,MIN(E285:E295)&gt;=0),E296,"")</f>
        <v>550.23</v>
      </c>
      <c r="F297" s="6">
        <f>IF(AND(F283=1,COUNT(F285:F295)=11,MIN(F285:F295)&gt;=0),F296,"")</f>
        <v>551.76</v>
      </c>
      <c r="G297" s="6">
        <f>IF(AND(G283=1,COUNT(G285:G295)=11,MIN(G285:G295)&gt;=0),G296,"")</f>
        <v>549.84</v>
      </c>
      <c r="H297" s="6">
        <f>IF(AND(H283=1,COUNT(H285:H295)=11,MIN(H285:H295)&gt;=0),H296,"")</f>
        <v>549.93</v>
      </c>
      <c r="I297" s="6">
        <f>IF(AND(I283=1,COUNT(I285:I295)=11,MIN(I285:I295)&gt;=0),I296,"")</f>
        <v>548.32</v>
      </c>
      <c r="J297" s="6">
        <f>IF(AND(J283=1,COUNT(J285:J295)=11,MIN(J285:J295)&gt;=0),J296,"")</f>
        <v>547.73</v>
      </c>
      <c r="K297" s="6">
        <f>IF(AND(K283=1,COUNT(K285:K295)=11,MIN(K285:K295)&gt;=0),K296,"")</f>
        <v>552.37</v>
      </c>
      <c r="L297" s="6">
        <f>IF(AND(L283=1,COUNT(L285:L295)=11,MIN(L285:L295)&gt;=0),L296,"")</f>
        <v>546.68</v>
      </c>
      <c r="M297" s="6">
        <f>IF(AND(M283=1,COUNT(M285:M295)=11,MIN(M285:M295)&gt;=0),M296,"")</f>
        <v>550.66</v>
      </c>
      <c r="N297" s="6">
        <f>IF(AND(N283=1,COUNT(N285:N295)=11,MIN(N285:N295)&gt;=0),N296,"")</f>
        <v>552.42</v>
      </c>
      <c r="O297" s="6">
        <f>IF(COUNT(E297:N297)&gt;0,MIN(E297:N297),"")</f>
        <v>546.68</v>
      </c>
      <c r="P297" s="6">
        <f>IF(COUNT(E297:N297)&gt;0,MAX(E297:N297),"")</f>
        <v>552.42</v>
      </c>
      <c r="Q297" s="6">
        <f>IF(ISNUMBER(O297),P297-O297,"")</f>
        <v>5.74000000000001</v>
      </c>
      <c r="R297" s="6">
        <f>IF(ISNUMBER(O297),MAX(0,O297-O296),"")</f>
        <v>7.68000000000006</v>
      </c>
      <c r="S297" s="6">
        <f>SUMIF(C285:C295,"Ручная",Q285:Q295)</f>
        <v>19.5</v>
      </c>
      <c r="T297" s="6">
        <f>COUNT(E297:N297)</f>
        <v>10</v>
      </c>
      <c r="U297" s="6">
        <f>IF(COUNT(E297:N297)&gt;0,AVERAGE(E297:N297),"")</f>
        <v>549.994</v>
      </c>
      <c r="V297" s="6">
        <f>IF(ISNUMBER(O297),S296-O297,"")</f>
        <v>0</v>
      </c>
      <c r="W297" s="6">
        <f>MATCH(MAX(AQ285:AQ295),AQ285:AQ295,0)</f>
        <v>2</v>
      </c>
      <c r="X297" s="17" t="str">
        <f>IF(T297=0,"НЕТ ЗАМЕРОВ",IF(T297&lt;10,"МЕНЕЕ 10 ЦИКЛОВ",IF(ABS(V297)&lt;0.000001,"ОК","ОШИБКА РЕГУЛИРОВКИ")))</f>
        <v>ОК</v>
      </c>
    </row>
    <row r="298" spans="1:43" ht="23" customHeight="1">
      <c r="A298" s="7" t="s">
        <v>211</v>
      </c>
      <c r="B298" s="7"/>
      <c r="C298" s="7"/>
      <c r="D298" s="7"/>
      <c r="E298" s="7"/>
      <c r="F298" s="7"/>
      <c r="G298" s="7"/>
      <c r="H298" s="7"/>
      <c r="I298" s="7"/>
      <c r="J298" s="7"/>
      <c r="K298" s="7"/>
      <c r="L298" s="7"/>
      <c r="M298" s="7"/>
      <c r="N298" s="7"/>
      <c r="O298" s="7"/>
      <c r="P298" s="7"/>
      <c r="Q298" s="7"/>
      <c r="R298" s="7"/>
      <c r="S298" s="7"/>
      <c r="T298" s="7"/>
      <c r="U298" s="7"/>
      <c r="V298" s="7"/>
      <c r="W298" s="7"/>
      <c r="X298" s="7"/>
    </row>
    <row r="301" spans="1:43" ht="23" customHeight="1">
      <c r="A301" s="4" t="s">
        <v>225</v>
      </c>
      <c r="B301" s="4"/>
      <c r="C301" s="4"/>
      <c r="D301" s="4"/>
      <c r="E301" s="4"/>
      <c r="F301" s="4"/>
      <c r="G301" s="4"/>
      <c r="H301" s="4"/>
      <c r="I301" s="4"/>
      <c r="J301" s="4"/>
      <c r="K301" s="4"/>
      <c r="L301" s="4"/>
      <c r="M301" s="4"/>
      <c r="N301" s="4"/>
      <c r="O301" s="4"/>
      <c r="P301" s="4"/>
      <c r="Q301" s="4"/>
      <c r="R301" s="4"/>
      <c r="S301" s="4"/>
      <c r="T301" s="4"/>
      <c r="U301" s="4"/>
      <c r="V301" s="4"/>
      <c r="W301" s="4"/>
      <c r="X301" s="4"/>
    </row>
    <row r="302" spans="1:43" ht="23" customHeight="1">
      <c r="A302" s="7" t="str">
        <f>"Масса замера, кг: "&amp;'Ассортимент'!J22&amp;". Все замеры одной партии/исполнителя/условий. Основание: "&amp;'Ввод'!B14</f>
        <v>Масса замера, кг: 3. Все замеры одной партии/исполнителя/условий. Основание: ДЕМО: синтетические замеры; заменить фактическими</v>
      </c>
      <c r="B302" s="7"/>
      <c r="C302" s="7"/>
      <c r="D302" s="7"/>
      <c r="E302" s="7"/>
      <c r="F302" s="7"/>
      <c r="G302" s="7"/>
      <c r="H302" s="7"/>
      <c r="I302" s="7"/>
      <c r="J302" s="7"/>
      <c r="K302" s="7"/>
      <c r="L302" s="7"/>
      <c r="M302" s="7"/>
      <c r="N302" s="7"/>
      <c r="O302" s="7"/>
      <c r="P302" s="7"/>
      <c r="Q302" s="7"/>
      <c r="R302" s="7"/>
      <c r="S302" s="7"/>
      <c r="T302" s="7"/>
      <c r="U302" s="7"/>
      <c r="V302" s="7"/>
      <c r="W302" s="7"/>
      <c r="X302" s="7"/>
    </row>
    <row r="303" spans="1:43" ht="44" customHeight="1">
      <c r="A303" s="8" t="s">
        <v>113</v>
      </c>
      <c r="B303" s="8" t="s">
        <v>156</v>
      </c>
      <c r="C303" s="8" t="s">
        <v>157</v>
      </c>
      <c r="D303" s="8" t="s">
        <v>158</v>
      </c>
      <c r="E303" s="8" t="s">
        <v>159</v>
      </c>
      <c r="F303" s="8" t="s">
        <v>160</v>
      </c>
      <c r="G303" s="8" t="s">
        <v>161</v>
      </c>
      <c r="H303" s="8" t="s">
        <v>162</v>
      </c>
      <c r="I303" s="8" t="s">
        <v>163</v>
      </c>
      <c r="J303" s="8" t="s">
        <v>164</v>
      </c>
      <c r="K303" s="8" t="s">
        <v>165</v>
      </c>
      <c r="L303" s="8" t="s">
        <v>166</v>
      </c>
      <c r="M303" s="8" t="s">
        <v>167</v>
      </c>
      <c r="N303" s="8" t="s">
        <v>168</v>
      </c>
      <c r="O303" s="8" t="s">
        <v>169</v>
      </c>
      <c r="P303" s="8" t="s">
        <v>170</v>
      </c>
      <c r="Q303" s="8" t="s">
        <v>171</v>
      </c>
      <c r="R303" s="8" t="s">
        <v>172</v>
      </c>
      <c r="S303" s="8" t="s">
        <v>173</v>
      </c>
      <c r="T303" s="8" t="s">
        <v>174</v>
      </c>
      <c r="U303" s="8" t="s">
        <v>175</v>
      </c>
      <c r="V303" s="8" t="s">
        <v>176</v>
      </c>
      <c r="W303" s="8" t="s">
        <v>177</v>
      </c>
      <c r="X303" s="8" t="s">
        <v>178</v>
      </c>
    </row>
    <row r="304" spans="1:43" ht="23" customHeight="1">
      <c r="B304" s="5" t="s">
        <v>179</v>
      </c>
      <c r="E304" s="12">
        <v>1</v>
      </c>
      <c r="F304" s="12">
        <v>1</v>
      </c>
      <c r="G304" s="12">
        <v>1</v>
      </c>
      <c r="H304" s="12">
        <v>1</v>
      </c>
      <c r="I304" s="12">
        <v>1</v>
      </c>
      <c r="J304" s="12">
        <v>1</v>
      </c>
      <c r="K304" s="12">
        <v>1</v>
      </c>
      <c r="L304" s="12">
        <v>1</v>
      </c>
      <c r="M304" s="12">
        <v>1</v>
      </c>
      <c r="N304" s="12">
        <v>1</v>
      </c>
    </row>
    <row r="305" spans="1:43" ht="33" customHeight="1">
      <c r="B305" s="5" t="s">
        <v>180</v>
      </c>
      <c r="E305" s="9" t="s">
        <v>181</v>
      </c>
      <c r="F305" s="9" t="s">
        <v>181</v>
      </c>
      <c r="G305" s="9" t="s">
        <v>181</v>
      </c>
      <c r="H305" s="9" t="s">
        <v>181</v>
      </c>
      <c r="I305" s="9" t="s">
        <v>181</v>
      </c>
      <c r="J305" s="9" t="s">
        <v>181</v>
      </c>
      <c r="K305" s="9" t="s">
        <v>181</v>
      </c>
      <c r="L305" s="9" t="s">
        <v>181</v>
      </c>
      <c r="M305" s="9" t="s">
        <v>181</v>
      </c>
      <c r="N305" s="9" t="s">
        <v>181</v>
      </c>
    </row>
    <row r="306" spans="1:43" ht="40" customHeight="1">
      <c r="A306" s="5">
        <v>1</v>
      </c>
      <c r="B306" s="5" t="s">
        <v>182</v>
      </c>
      <c r="C306" s="11" t="s">
        <v>183</v>
      </c>
      <c r="D306" s="7" t="s">
        <v>184</v>
      </c>
      <c r="E306" s="12">
        <v>26.5</v>
      </c>
      <c r="F306" s="12">
        <v>27.5</v>
      </c>
      <c r="G306" s="12">
        <v>25.75</v>
      </c>
      <c r="H306" s="12">
        <v>26.75</v>
      </c>
      <c r="I306" s="12">
        <v>25.25</v>
      </c>
      <c r="J306" s="12">
        <v>26.25</v>
      </c>
      <c r="K306" s="12">
        <v>25</v>
      </c>
      <c r="L306" s="12">
        <v>26</v>
      </c>
      <c r="M306" s="12">
        <v>27</v>
      </c>
      <c r="N306" s="12">
        <v>25.5</v>
      </c>
      <c r="O306" s="13">
        <f>IF(COUNT(AG306:AP306)&gt;0,MIN(AG306:AP306),"")</f>
        <v>25</v>
      </c>
      <c r="P306" s="13">
        <f>IF(COUNT(AG306:AP306)&gt;0,MAX(AG306:AP306),"")</f>
        <v>27.5</v>
      </c>
      <c r="Q306" s="13">
        <f>IF(ISNUMBER(O306),P306-O306,"")</f>
        <v>2.5</v>
      </c>
      <c r="R306" s="13">
        <f>IF(ISNUMBER(O306),IF(C306="Ручная",IF($S$318&gt;0,$R$318*Q306/$S$318,IF($W$318=1,$R$318,0)),0),"")</f>
        <v>1.04000000000001</v>
      </c>
      <c r="S306" s="13">
        <f>IF(ISNUMBER(O306),O306+R306,"")</f>
        <v>26.04</v>
      </c>
      <c r="T306" s="13">
        <f>IF(ISNUMBER(S306),P306-S306,"")</f>
        <v>1.45999999999999</v>
      </c>
      <c r="U306" s="13">
        <f>IF(COUNT(AG306:AP306)&gt;0,AVERAGE(AG306:AP306),"")</f>
        <v>26.15</v>
      </c>
      <c r="AG306" s="13">
        <f>IF(ISNUMBER(E$318),E306,"")</f>
        <v>26.5</v>
      </c>
      <c r="AH306" s="13">
        <f>IF(ISNUMBER(F$318),F306,"")</f>
        <v>27.5</v>
      </c>
      <c r="AI306" s="13">
        <f>IF(ISNUMBER(G$318),G306,"")</f>
        <v>25.75</v>
      </c>
      <c r="AJ306" s="13">
        <f>IF(ISNUMBER(H$318),H306,"")</f>
        <v>26.75</v>
      </c>
      <c r="AK306" s="13">
        <f>IF(ISNUMBER(I$318),I306,"")</f>
        <v>25.25</v>
      </c>
      <c r="AL306" s="13">
        <f>IF(ISNUMBER(J$318),J306,"")</f>
        <v>26.25</v>
      </c>
      <c r="AM306" s="13">
        <f>IF(ISNUMBER(K$318),K306,"")</f>
        <v>25</v>
      </c>
      <c r="AN306" s="13">
        <f>IF(ISNUMBER(L$318),L306,"")</f>
        <v>26</v>
      </c>
      <c r="AO306" s="13">
        <f>IF(ISNUMBER(M$318),M306,"")</f>
        <v>27</v>
      </c>
      <c r="AP306" s="13">
        <f>IF(ISNUMBER(N$318),N306,"")</f>
        <v>25.5</v>
      </c>
      <c r="AQ306" s="13">
        <f>IF(C306="Ручная",O306,0)</f>
        <v>25</v>
      </c>
    </row>
    <row r="307" spans="1:43" ht="40" customHeight="1">
      <c r="A307" s="5">
        <v>2</v>
      </c>
      <c r="B307" s="5" t="s">
        <v>185</v>
      </c>
      <c r="C307" s="11" t="s">
        <v>183</v>
      </c>
      <c r="D307" s="7" t="s">
        <v>186</v>
      </c>
      <c r="E307" s="12">
        <v>48.15</v>
      </c>
      <c r="F307" s="12">
        <v>45.45</v>
      </c>
      <c r="G307" s="12">
        <v>47.25</v>
      </c>
      <c r="H307" s="12">
        <v>45</v>
      </c>
      <c r="I307" s="12">
        <v>46.8</v>
      </c>
      <c r="J307" s="12">
        <v>48.6</v>
      </c>
      <c r="K307" s="12">
        <v>45.9</v>
      </c>
      <c r="L307" s="12">
        <v>47.7</v>
      </c>
      <c r="M307" s="12">
        <v>49.5</v>
      </c>
      <c r="N307" s="12">
        <v>46.35</v>
      </c>
      <c r="O307" s="13">
        <f>IF(COUNT(AG307:AP307)&gt;0,MIN(AG307:AP307),"")</f>
        <v>45</v>
      </c>
      <c r="P307" s="13">
        <f>IF(COUNT(AG307:AP307)&gt;0,MAX(AG307:AP307),"")</f>
        <v>49.5</v>
      </c>
      <c r="Q307" s="13">
        <f>IF(ISNUMBER(O307),P307-O307,"")</f>
        <v>4.5</v>
      </c>
      <c r="R307" s="13">
        <f>IF(ISNUMBER(O307),IF(C307="Ручная",IF($S$318&gt;0,$R$318*Q307/$S$318,IF($W$318=2,$R$318,0)),0),"")</f>
        <v>1.87200000000002</v>
      </c>
      <c r="S307" s="13">
        <f>IF(ISNUMBER(O307),O307+R307,"")</f>
        <v>46.872</v>
      </c>
      <c r="T307" s="13">
        <f>IF(ISNUMBER(S307),P307-S307,"")</f>
        <v>2.62799999999998</v>
      </c>
      <c r="U307" s="13">
        <f>IF(COUNT(AG307:AP307)&gt;0,AVERAGE(AG307:AP307),"")</f>
        <v>47.07</v>
      </c>
      <c r="AG307" s="13">
        <f>IF(ISNUMBER(E$318),E307,"")</f>
        <v>48.15</v>
      </c>
      <c r="AH307" s="13">
        <f>IF(ISNUMBER(F$318),F307,"")</f>
        <v>45.45</v>
      </c>
      <c r="AI307" s="13">
        <f>IF(ISNUMBER(G$318),G307,"")</f>
        <v>47.25</v>
      </c>
      <c r="AJ307" s="13">
        <f>IF(ISNUMBER(H$318),H307,"")</f>
        <v>45</v>
      </c>
      <c r="AK307" s="13">
        <f>IF(ISNUMBER(I$318),I307,"")</f>
        <v>46.8</v>
      </c>
      <c r="AL307" s="13">
        <f>IF(ISNUMBER(J$318),J307,"")</f>
        <v>48.6</v>
      </c>
      <c r="AM307" s="13">
        <f>IF(ISNUMBER(K$318),K307,"")</f>
        <v>45.9</v>
      </c>
      <c r="AN307" s="13">
        <f>IF(ISNUMBER(L$318),L307,"")</f>
        <v>47.7</v>
      </c>
      <c r="AO307" s="13">
        <f>IF(ISNUMBER(M$318),M307,"")</f>
        <v>49.5</v>
      </c>
      <c r="AP307" s="13">
        <f>IF(ISNUMBER(N$318),N307,"")</f>
        <v>46.35</v>
      </c>
      <c r="AQ307" s="13">
        <f>IF(C307="Ручная",O307,0)</f>
        <v>45</v>
      </c>
    </row>
    <row r="308" spans="1:43" ht="40" customHeight="1">
      <c r="A308" s="5">
        <v>3</v>
      </c>
      <c r="B308" s="5" t="s">
        <v>187</v>
      </c>
      <c r="C308" s="11" t="s">
        <v>183</v>
      </c>
      <c r="D308" s="7" t="s">
        <v>188</v>
      </c>
      <c r="E308" s="12">
        <v>22</v>
      </c>
      <c r="F308" s="12">
        <v>22.88</v>
      </c>
      <c r="G308" s="12">
        <v>23.76</v>
      </c>
      <c r="H308" s="12">
        <v>22.44</v>
      </c>
      <c r="I308" s="12">
        <v>23.32</v>
      </c>
      <c r="J308" s="12">
        <v>24.2</v>
      </c>
      <c r="K308" s="12">
        <v>22.66</v>
      </c>
      <c r="L308" s="12">
        <v>23.54</v>
      </c>
      <c r="M308" s="12">
        <v>22.22</v>
      </c>
      <c r="N308" s="12">
        <v>23.1</v>
      </c>
      <c r="O308" s="13">
        <f>IF(COUNT(AG308:AP308)&gt;0,MIN(AG308:AP308),"")</f>
        <v>22</v>
      </c>
      <c r="P308" s="13">
        <f>IF(COUNT(AG308:AP308)&gt;0,MAX(AG308:AP308),"")</f>
        <v>24.2</v>
      </c>
      <c r="Q308" s="13">
        <f>IF(ISNUMBER(O308),P308-O308,"")</f>
        <v>2.2</v>
      </c>
      <c r="R308" s="13">
        <f>IF(ISNUMBER(O308),IF(C308="Ручная",IF($S$318&gt;0,$R$318*Q308/$S$318,IF($W$318=3,$R$318,0)),0),"")</f>
        <v>0.915200000000011</v>
      </c>
      <c r="S308" s="13">
        <f>IF(ISNUMBER(O308),O308+R308,"")</f>
        <v>22.9152</v>
      </c>
      <c r="T308" s="13">
        <f>IF(ISNUMBER(S308),P308-S308,"")</f>
        <v>1.28479999999999</v>
      </c>
      <c r="U308" s="13">
        <f>IF(COUNT(AG308:AP308)&gt;0,AVERAGE(AG308:AP308),"")</f>
        <v>23.012</v>
      </c>
      <c r="AG308" s="13">
        <f>IF(ISNUMBER(E$318),E308,"")</f>
        <v>22</v>
      </c>
      <c r="AH308" s="13">
        <f>IF(ISNUMBER(F$318),F308,"")</f>
        <v>22.88</v>
      </c>
      <c r="AI308" s="13">
        <f>IF(ISNUMBER(G$318),G308,"")</f>
        <v>23.76</v>
      </c>
      <c r="AJ308" s="13">
        <f>IF(ISNUMBER(H$318),H308,"")</f>
        <v>22.44</v>
      </c>
      <c r="AK308" s="13">
        <f>IF(ISNUMBER(I$318),I308,"")</f>
        <v>23.32</v>
      </c>
      <c r="AL308" s="13">
        <f>IF(ISNUMBER(J$318),J308,"")</f>
        <v>24.2</v>
      </c>
      <c r="AM308" s="13">
        <f>IF(ISNUMBER(K$318),K308,"")</f>
        <v>22.66</v>
      </c>
      <c r="AN308" s="13">
        <f>IF(ISNUMBER(L$318),L308,"")</f>
        <v>23.54</v>
      </c>
      <c r="AO308" s="13">
        <f>IF(ISNUMBER(M$318),M308,"")</f>
        <v>22.22</v>
      </c>
      <c r="AP308" s="13">
        <f>IF(ISNUMBER(N$318),N308,"")</f>
        <v>23.1</v>
      </c>
      <c r="AQ308" s="13">
        <f>IF(C308="Ручная",O308,0)</f>
        <v>22</v>
      </c>
    </row>
    <row r="309" spans="1:43" ht="40" customHeight="1">
      <c r="A309" s="5" t="s">
        <v>189</v>
      </c>
      <c r="B309" s="5" t="s">
        <v>190</v>
      </c>
      <c r="C309" s="11" t="s">
        <v>191</v>
      </c>
      <c r="D309" s="7" t="s">
        <v>192</v>
      </c>
      <c r="E309" s="12">
        <v>12.24</v>
      </c>
      <c r="F309" s="12">
        <v>12.72</v>
      </c>
      <c r="G309" s="12">
        <v>13.2</v>
      </c>
      <c r="H309" s="12">
        <v>12.36</v>
      </c>
      <c r="I309" s="12">
        <v>12.84</v>
      </c>
      <c r="J309" s="12">
        <v>12.12</v>
      </c>
      <c r="K309" s="12">
        <v>12.6</v>
      </c>
      <c r="L309" s="12">
        <v>12</v>
      </c>
      <c r="M309" s="12">
        <v>12.48</v>
      </c>
      <c r="N309" s="12">
        <v>12.96</v>
      </c>
      <c r="O309" s="13">
        <f>IF(COUNT(AG309:AP309)&gt;0,MIN(AG309:AP309),"")</f>
        <v>12</v>
      </c>
      <c r="P309" s="13">
        <f>IF(COUNT(AG309:AP309)&gt;0,MAX(AG309:AP309),"")</f>
        <v>13.2</v>
      </c>
      <c r="Q309" s="13">
        <f>IF(ISNUMBER(O309),P309-O309,"")</f>
        <v>1.2</v>
      </c>
      <c r="R309" s="13">
        <f>IF(ISNUMBER(O309),IF(C309="Ручная",IF($S$318&gt;0,$R$318*Q309/$S$318,IF($W$318=4,$R$318,0)),0),"")</f>
        <v>0</v>
      </c>
      <c r="S309" s="13">
        <f>IF(ISNUMBER(O309),O309+R309,"")</f>
        <v>12</v>
      </c>
      <c r="T309" s="13">
        <f>IF(ISNUMBER(S309),P309-S309,"")</f>
        <v>1.2</v>
      </c>
      <c r="U309" s="13">
        <f>IF(COUNT(AG309:AP309)&gt;0,AVERAGE(AG309:AP309),"")</f>
        <v>12.552</v>
      </c>
      <c r="AG309" s="13">
        <f>IF(ISNUMBER(E$318),E309,"")</f>
        <v>12.24</v>
      </c>
      <c r="AH309" s="13">
        <f>IF(ISNUMBER(F$318),F309,"")</f>
        <v>12.72</v>
      </c>
      <c r="AI309" s="13">
        <f>IF(ISNUMBER(G$318),G309,"")</f>
        <v>13.2</v>
      </c>
      <c r="AJ309" s="13">
        <f>IF(ISNUMBER(H$318),H309,"")</f>
        <v>12.36</v>
      </c>
      <c r="AK309" s="13">
        <f>IF(ISNUMBER(I$318),I309,"")</f>
        <v>12.84</v>
      </c>
      <c r="AL309" s="13">
        <f>IF(ISNUMBER(J$318),J309,"")</f>
        <v>12.12</v>
      </c>
      <c r="AM309" s="13">
        <f>IF(ISNUMBER(K$318),K309,"")</f>
        <v>12.6</v>
      </c>
      <c r="AN309" s="13">
        <f>IF(ISNUMBER(L$318),L309,"")</f>
        <v>12</v>
      </c>
      <c r="AO309" s="13">
        <f>IF(ISNUMBER(M$318),M309,"")</f>
        <v>12.48</v>
      </c>
      <c r="AP309" s="13">
        <f>IF(ISNUMBER(N$318),N309,"")</f>
        <v>12.96</v>
      </c>
      <c r="AQ309" s="13">
        <f>IF(C309="Ручная",O309,0)</f>
        <v>0</v>
      </c>
    </row>
    <row r="310" spans="1:43" ht="40" customHeight="1">
      <c r="A310" s="5">
        <v>5</v>
      </c>
      <c r="B310" s="5" t="s">
        <v>193</v>
      </c>
      <c r="C310" s="11" t="s">
        <v>183</v>
      </c>
      <c r="D310" s="7" t="s">
        <v>194</v>
      </c>
      <c r="E310" s="12">
        <v>36.05</v>
      </c>
      <c r="F310" s="12">
        <v>37.45</v>
      </c>
      <c r="G310" s="12">
        <v>35.35</v>
      </c>
      <c r="H310" s="12">
        <v>36.75</v>
      </c>
      <c r="I310" s="12">
        <v>35</v>
      </c>
      <c r="J310" s="12">
        <v>36.4</v>
      </c>
      <c r="K310" s="12">
        <v>37.8</v>
      </c>
      <c r="L310" s="12">
        <v>35.7</v>
      </c>
      <c r="M310" s="12">
        <v>37.1</v>
      </c>
      <c r="N310" s="12">
        <v>38.5</v>
      </c>
      <c r="O310" s="13">
        <f>IF(COUNT(AG310:AP310)&gt;0,MIN(AG310:AP310),"")</f>
        <v>35</v>
      </c>
      <c r="P310" s="13">
        <f>IF(COUNT(AG310:AP310)&gt;0,MAX(AG310:AP310),"")</f>
        <v>38.5</v>
      </c>
      <c r="Q310" s="13">
        <f>IF(ISNUMBER(O310),P310-O310,"")</f>
        <v>3.5</v>
      </c>
      <c r="R310" s="13">
        <f>IF(ISNUMBER(O310),IF(C310="Ручная",IF($S$318&gt;0,$R$318*Q310/$S$318,IF($W$318=5,$R$318,0)),0),"")</f>
        <v>1.45600000000002</v>
      </c>
      <c r="S310" s="13">
        <f>IF(ISNUMBER(O310),O310+R310,"")</f>
        <v>36.456</v>
      </c>
      <c r="T310" s="13">
        <f>IF(ISNUMBER(S310),P310-S310,"")</f>
        <v>2.04399999999998</v>
      </c>
      <c r="U310" s="13">
        <f>IF(COUNT(AG310:AP310)&gt;0,AVERAGE(AG310:AP310),"")</f>
        <v>36.61</v>
      </c>
      <c r="AG310" s="13">
        <f>IF(ISNUMBER(E$318),E310,"")</f>
        <v>36.05</v>
      </c>
      <c r="AH310" s="13">
        <f>IF(ISNUMBER(F$318),F310,"")</f>
        <v>37.45</v>
      </c>
      <c r="AI310" s="13">
        <f>IF(ISNUMBER(G$318),G310,"")</f>
        <v>35.35</v>
      </c>
      <c r="AJ310" s="13">
        <f>IF(ISNUMBER(H$318),H310,"")</f>
        <v>36.75</v>
      </c>
      <c r="AK310" s="13">
        <f>IF(ISNUMBER(I$318),I310,"")</f>
        <v>35</v>
      </c>
      <c r="AL310" s="13">
        <f>IF(ISNUMBER(J$318),J310,"")</f>
        <v>36.4</v>
      </c>
      <c r="AM310" s="13">
        <f>IF(ISNUMBER(K$318),K310,"")</f>
        <v>37.8</v>
      </c>
      <c r="AN310" s="13">
        <f>IF(ISNUMBER(L$318),L310,"")</f>
        <v>35.7</v>
      </c>
      <c r="AO310" s="13">
        <f>IF(ISNUMBER(M$318),M310,"")</f>
        <v>37.1</v>
      </c>
      <c r="AP310" s="13">
        <f>IF(ISNUMBER(N$318),N310,"")</f>
        <v>38.5</v>
      </c>
      <c r="AQ310" s="13">
        <f>IF(C310="Ручная",O310,0)</f>
        <v>35</v>
      </c>
    </row>
    <row r="311" spans="1:43" ht="40" customHeight="1">
      <c r="A311" s="5" t="s">
        <v>189</v>
      </c>
      <c r="B311" s="5" t="s">
        <v>195</v>
      </c>
      <c r="C311" s="11" t="s">
        <v>196</v>
      </c>
      <c r="D311" s="7" t="s">
        <v>197</v>
      </c>
      <c r="E311" s="18">
        <f>'Ассортимент'!R22</f>
        <v>300</v>
      </c>
      <c r="F311" s="18">
        <f>'Ассортимент'!R22</f>
        <v>300</v>
      </c>
      <c r="G311" s="18">
        <f>'Ассортимент'!R22</f>
        <v>300</v>
      </c>
      <c r="H311" s="18">
        <f>'Ассортимент'!R22</f>
        <v>300</v>
      </c>
      <c r="I311" s="18">
        <f>'Ассортимент'!R22</f>
        <v>300</v>
      </c>
      <c r="J311" s="18">
        <f>'Ассортимент'!R22</f>
        <v>300</v>
      </c>
      <c r="K311" s="18">
        <f>'Ассортимент'!R22</f>
        <v>300</v>
      </c>
      <c r="L311" s="18">
        <f>'Ассортимент'!R22</f>
        <v>300</v>
      </c>
      <c r="M311" s="18">
        <f>'Ассортимент'!R22</f>
        <v>300</v>
      </c>
      <c r="N311" s="18">
        <f>'Ассортимент'!R22</f>
        <v>300</v>
      </c>
      <c r="O311" s="13">
        <f>IF(COUNT(AG311:AP311)&gt;0,MIN(AG311:AP311),"")</f>
        <v>300</v>
      </c>
      <c r="P311" s="13">
        <f>IF(COUNT(AG311:AP311)&gt;0,MAX(AG311:AP311),"")</f>
        <v>300</v>
      </c>
      <c r="Q311" s="13">
        <f>IF(ISNUMBER(O311),P311-O311,"")</f>
        <v>0</v>
      </c>
      <c r="R311" s="13">
        <f>IF(ISNUMBER(O311),IF(C311="Ручная",IF($S$318&gt;0,$R$318*Q311/$S$318,IF($W$318=6,$R$318,0)),0),"")</f>
        <v>0</v>
      </c>
      <c r="S311" s="13">
        <f>IF(ISNUMBER(O311),O311+R311,"")</f>
        <v>300</v>
      </c>
      <c r="T311" s="13">
        <f>IF(ISNUMBER(S311),P311-S311,"")</f>
        <v>0</v>
      </c>
      <c r="U311" s="13">
        <f>IF(COUNT(AG311:AP311)&gt;0,AVERAGE(AG311:AP311),"")</f>
        <v>300</v>
      </c>
      <c r="AG311" s="13">
        <f>IF(ISNUMBER(E$318),E311,"")</f>
        <v>300</v>
      </c>
      <c r="AH311" s="13">
        <f>IF(ISNUMBER(F$318),F311,"")</f>
        <v>300</v>
      </c>
      <c r="AI311" s="13">
        <f>IF(ISNUMBER(G$318),G311,"")</f>
        <v>300</v>
      </c>
      <c r="AJ311" s="13">
        <f>IF(ISNUMBER(H$318),H311,"")</f>
        <v>300</v>
      </c>
      <c r="AK311" s="13">
        <f>IF(ISNUMBER(I$318),I311,"")</f>
        <v>300</v>
      </c>
      <c r="AL311" s="13">
        <f>IF(ISNUMBER(J$318),J311,"")</f>
        <v>300</v>
      </c>
      <c r="AM311" s="13">
        <f>IF(ISNUMBER(K$318),K311,"")</f>
        <v>300</v>
      </c>
      <c r="AN311" s="13">
        <f>IF(ISNUMBER(L$318),L311,"")</f>
        <v>300</v>
      </c>
      <c r="AO311" s="13">
        <f>IF(ISNUMBER(M$318),M311,"")</f>
        <v>300</v>
      </c>
      <c r="AP311" s="13">
        <f>IF(ISNUMBER(N$318),N311,"")</f>
        <v>300</v>
      </c>
      <c r="AQ311" s="13">
        <f>IF(C311="Ручная",O311,0)</f>
        <v>0</v>
      </c>
    </row>
    <row r="312" spans="1:43" ht="40" customHeight="1">
      <c r="A312" s="5">
        <v>7</v>
      </c>
      <c r="B312" s="5" t="s">
        <v>198</v>
      </c>
      <c r="C312" s="11" t="s">
        <v>183</v>
      </c>
      <c r="D312" s="7" t="s">
        <v>199</v>
      </c>
      <c r="E312" s="12">
        <v>32.4</v>
      </c>
      <c r="F312" s="12">
        <v>30.6</v>
      </c>
      <c r="G312" s="12">
        <v>31.8</v>
      </c>
      <c r="H312" s="12">
        <v>33</v>
      </c>
      <c r="I312" s="12">
        <v>30.9</v>
      </c>
      <c r="J312" s="12">
        <v>32.1</v>
      </c>
      <c r="K312" s="12">
        <v>30.3</v>
      </c>
      <c r="L312" s="12">
        <v>31.5</v>
      </c>
      <c r="M312" s="12">
        <v>30</v>
      </c>
      <c r="N312" s="12">
        <v>31.2</v>
      </c>
      <c r="O312" s="13">
        <f>IF(COUNT(AG312:AP312)&gt;0,MIN(AG312:AP312),"")</f>
        <v>30</v>
      </c>
      <c r="P312" s="13">
        <f>IF(COUNT(AG312:AP312)&gt;0,MAX(AG312:AP312),"")</f>
        <v>33</v>
      </c>
      <c r="Q312" s="13">
        <f>IF(ISNUMBER(O312),P312-O312,"")</f>
        <v>3</v>
      </c>
      <c r="R312" s="13">
        <f>IF(ISNUMBER(O312),IF(C312="Ручная",IF($S$318&gt;0,$R$318*Q312/$S$318,IF($W$318=7,$R$318,0)),0),"")</f>
        <v>1.24800000000001</v>
      </c>
      <c r="S312" s="13">
        <f>IF(ISNUMBER(O312),O312+R312,"")</f>
        <v>31.248</v>
      </c>
      <c r="T312" s="13">
        <f>IF(ISNUMBER(S312),P312-S312,"")</f>
        <v>1.75199999999998</v>
      </c>
      <c r="U312" s="13">
        <f>IF(COUNT(AG312:AP312)&gt;0,AVERAGE(AG312:AP312),"")</f>
        <v>31.38</v>
      </c>
      <c r="AG312" s="13">
        <f>IF(ISNUMBER(E$318),E312,"")</f>
        <v>32.4</v>
      </c>
      <c r="AH312" s="13">
        <f>IF(ISNUMBER(F$318),F312,"")</f>
        <v>30.6</v>
      </c>
      <c r="AI312" s="13">
        <f>IF(ISNUMBER(G$318),G312,"")</f>
        <v>31.8</v>
      </c>
      <c r="AJ312" s="13">
        <f>IF(ISNUMBER(H$318),H312,"")</f>
        <v>33</v>
      </c>
      <c r="AK312" s="13">
        <f>IF(ISNUMBER(I$318),I312,"")</f>
        <v>30.9</v>
      </c>
      <c r="AL312" s="13">
        <f>IF(ISNUMBER(J$318),J312,"")</f>
        <v>32.1</v>
      </c>
      <c r="AM312" s="13">
        <f>IF(ISNUMBER(K$318),K312,"")</f>
        <v>30.3</v>
      </c>
      <c r="AN312" s="13">
        <f>IF(ISNUMBER(L$318),L312,"")</f>
        <v>31.5</v>
      </c>
      <c r="AO312" s="13">
        <f>IF(ISNUMBER(M$318),M312,"")</f>
        <v>30</v>
      </c>
      <c r="AP312" s="13">
        <f>IF(ISNUMBER(N$318),N312,"")</f>
        <v>31.2</v>
      </c>
      <c r="AQ312" s="13">
        <f>IF(C312="Ручная",O312,0)</f>
        <v>30</v>
      </c>
    </row>
    <row r="313" spans="1:43" ht="40" customHeight="1">
      <c r="A313" s="5">
        <v>8</v>
      </c>
      <c r="B313" s="5" t="s">
        <v>200</v>
      </c>
      <c r="C313" s="11" t="s">
        <v>183</v>
      </c>
      <c r="D313" s="7" t="s">
        <v>201</v>
      </c>
      <c r="E313" s="12">
        <v>19.8</v>
      </c>
      <c r="F313" s="12">
        <v>18.54</v>
      </c>
      <c r="G313" s="12">
        <v>19.26</v>
      </c>
      <c r="H313" s="12">
        <v>18.18</v>
      </c>
      <c r="I313" s="12">
        <v>18.9</v>
      </c>
      <c r="J313" s="12">
        <v>18</v>
      </c>
      <c r="K313" s="12">
        <v>18.72</v>
      </c>
      <c r="L313" s="12">
        <v>19.44</v>
      </c>
      <c r="M313" s="12">
        <v>18.36</v>
      </c>
      <c r="N313" s="12">
        <v>19.08</v>
      </c>
      <c r="O313" s="13">
        <f>IF(COUNT(AG313:AP313)&gt;0,MIN(AG313:AP313),"")</f>
        <v>18</v>
      </c>
      <c r="P313" s="13">
        <f>IF(COUNT(AG313:AP313)&gt;0,MAX(AG313:AP313),"")</f>
        <v>19.8</v>
      </c>
      <c r="Q313" s="13">
        <f>IF(ISNUMBER(O313),P313-O313,"")</f>
        <v>1.8</v>
      </c>
      <c r="R313" s="13">
        <f>IF(ISNUMBER(O313),IF(C313="Ручная",IF($S$318&gt;0,$R$318*Q313/$S$318,IF($W$318=8,$R$318,0)),0),"")</f>
        <v>0.748800000000009</v>
      </c>
      <c r="S313" s="13">
        <f>IF(ISNUMBER(O313),O313+R313,"")</f>
        <v>18.7488</v>
      </c>
      <c r="T313" s="13">
        <f>IF(ISNUMBER(S313),P313-S313,"")</f>
        <v>1.05119999999999</v>
      </c>
      <c r="U313" s="13">
        <f>IF(COUNT(AG313:AP313)&gt;0,AVERAGE(AG313:AP313),"")</f>
        <v>18.828</v>
      </c>
      <c r="AG313" s="13">
        <f>IF(ISNUMBER(E$318),E313,"")</f>
        <v>19.8</v>
      </c>
      <c r="AH313" s="13">
        <f>IF(ISNUMBER(F$318),F313,"")</f>
        <v>18.54</v>
      </c>
      <c r="AI313" s="13">
        <f>IF(ISNUMBER(G$318),G313,"")</f>
        <v>19.26</v>
      </c>
      <c r="AJ313" s="13">
        <f>IF(ISNUMBER(H$318),H313,"")</f>
        <v>18.18</v>
      </c>
      <c r="AK313" s="13">
        <f>IF(ISNUMBER(I$318),I313,"")</f>
        <v>18.9</v>
      </c>
      <c r="AL313" s="13">
        <f>IF(ISNUMBER(J$318),J313,"")</f>
        <v>18</v>
      </c>
      <c r="AM313" s="13">
        <f>IF(ISNUMBER(K$318),K313,"")</f>
        <v>18.72</v>
      </c>
      <c r="AN313" s="13">
        <f>IF(ISNUMBER(L$318),L313,"")</f>
        <v>19.44</v>
      </c>
      <c r="AO313" s="13">
        <f>IF(ISNUMBER(M$318),M313,"")</f>
        <v>18.36</v>
      </c>
      <c r="AP313" s="13">
        <f>IF(ISNUMBER(N$318),N313,"")</f>
        <v>19.08</v>
      </c>
      <c r="AQ313" s="13">
        <f>IF(C313="Ручная",O313,0)</f>
        <v>18</v>
      </c>
    </row>
    <row r="314" spans="1:43" ht="40" customHeight="1">
      <c r="A314" s="5" t="s">
        <v>189</v>
      </c>
      <c r="B314" s="5" t="s">
        <v>202</v>
      </c>
      <c r="C314" s="11" t="s">
        <v>191</v>
      </c>
      <c r="D314" s="7" t="s">
        <v>203</v>
      </c>
      <c r="E314" s="12">
        <v>10.1</v>
      </c>
      <c r="F314" s="12">
        <v>10.5</v>
      </c>
      <c r="G314" s="12">
        <v>10</v>
      </c>
      <c r="H314" s="12">
        <v>10.4</v>
      </c>
      <c r="I314" s="12">
        <v>10.8</v>
      </c>
      <c r="J314" s="12">
        <v>10.2</v>
      </c>
      <c r="K314" s="12">
        <v>10.6</v>
      </c>
      <c r="L314" s="12">
        <v>11</v>
      </c>
      <c r="M314" s="12">
        <v>10.3</v>
      </c>
      <c r="N314" s="12">
        <v>10.7</v>
      </c>
      <c r="O314" s="13">
        <f>IF(COUNT(AG314:AP314)&gt;0,MIN(AG314:AP314),"")</f>
        <v>10</v>
      </c>
      <c r="P314" s="13">
        <f>IF(COUNT(AG314:AP314)&gt;0,MAX(AG314:AP314),"")</f>
        <v>11</v>
      </c>
      <c r="Q314" s="13">
        <f>IF(ISNUMBER(O314),P314-O314,"")</f>
        <v>1</v>
      </c>
      <c r="R314" s="13">
        <f>IF(ISNUMBER(O314),IF(C314="Ручная",IF($S$318&gt;0,$R$318*Q314/$S$318,IF($W$318=9,$R$318,0)),0),"")</f>
        <v>0</v>
      </c>
      <c r="S314" s="13">
        <f>IF(ISNUMBER(O314),O314+R314,"")</f>
        <v>10</v>
      </c>
      <c r="T314" s="13">
        <f>IF(ISNUMBER(S314),P314-S314,"")</f>
        <v>1</v>
      </c>
      <c r="U314" s="13">
        <f>IF(COUNT(AG314:AP314)&gt;0,AVERAGE(AG314:AP314),"")</f>
        <v>10.46</v>
      </c>
      <c r="AG314" s="13">
        <f>IF(ISNUMBER(E$318),E314,"")</f>
        <v>10.1</v>
      </c>
      <c r="AH314" s="13">
        <f>IF(ISNUMBER(F$318),F314,"")</f>
        <v>10.5</v>
      </c>
      <c r="AI314" s="13">
        <f>IF(ISNUMBER(G$318),G314,"")</f>
        <v>10</v>
      </c>
      <c r="AJ314" s="13">
        <f>IF(ISNUMBER(H$318),H314,"")</f>
        <v>10.4</v>
      </c>
      <c r="AK314" s="13">
        <f>IF(ISNUMBER(I$318),I314,"")</f>
        <v>10.8</v>
      </c>
      <c r="AL314" s="13">
        <f>IF(ISNUMBER(J$318),J314,"")</f>
        <v>10.2</v>
      </c>
      <c r="AM314" s="13">
        <f>IF(ISNUMBER(K$318),K314,"")</f>
        <v>10.6</v>
      </c>
      <c r="AN314" s="13">
        <f>IF(ISNUMBER(L$318),L314,"")</f>
        <v>11</v>
      </c>
      <c r="AO314" s="13">
        <f>IF(ISNUMBER(M$318),M314,"")</f>
        <v>10.3</v>
      </c>
      <c r="AP314" s="13">
        <f>IF(ISNUMBER(N$318),N314,"")</f>
        <v>10.7</v>
      </c>
      <c r="AQ314" s="13">
        <f>IF(C314="Ручная",O314,0)</f>
        <v>0</v>
      </c>
    </row>
    <row r="315" spans="1:43" ht="40" customHeight="1">
      <c r="A315" s="5" t="s">
        <v>189</v>
      </c>
      <c r="B315" s="5" t="s">
        <v>204</v>
      </c>
      <c r="C315" s="11" t="s">
        <v>191</v>
      </c>
      <c r="D315" s="7" t="s">
        <v>205</v>
      </c>
      <c r="E315" s="12">
        <v>10.4</v>
      </c>
      <c r="F315" s="12">
        <v>10.8</v>
      </c>
      <c r="G315" s="12">
        <v>10.2</v>
      </c>
      <c r="H315" s="12">
        <v>10.6</v>
      </c>
      <c r="I315" s="12">
        <v>11</v>
      </c>
      <c r="J315" s="12">
        <v>10.3</v>
      </c>
      <c r="K315" s="12">
        <v>10.7</v>
      </c>
      <c r="L315" s="12">
        <v>10.1</v>
      </c>
      <c r="M315" s="12">
        <v>10.5</v>
      </c>
      <c r="N315" s="12">
        <v>10</v>
      </c>
      <c r="O315" s="13">
        <f>IF(COUNT(AG315:AP315)&gt;0,MIN(AG315:AP315),"")</f>
        <v>10</v>
      </c>
      <c r="P315" s="13">
        <f>IF(COUNT(AG315:AP315)&gt;0,MAX(AG315:AP315),"")</f>
        <v>11</v>
      </c>
      <c r="Q315" s="13">
        <f>IF(ISNUMBER(O315),P315-O315,"")</f>
        <v>1</v>
      </c>
      <c r="R315" s="13">
        <f>IF(ISNUMBER(O315),IF(C315="Ручная",IF($S$318&gt;0,$R$318*Q315/$S$318,IF($W$318=10,$R$318,0)),0),"")</f>
        <v>0</v>
      </c>
      <c r="S315" s="13">
        <f>IF(ISNUMBER(O315),O315+R315,"")</f>
        <v>10</v>
      </c>
      <c r="T315" s="13">
        <f>IF(ISNUMBER(S315),P315-S315,"")</f>
        <v>1</v>
      </c>
      <c r="U315" s="13">
        <f>IF(COUNT(AG315:AP315)&gt;0,AVERAGE(AG315:AP315),"")</f>
        <v>10.46</v>
      </c>
      <c r="AG315" s="13">
        <f>IF(ISNUMBER(E$318),E315,"")</f>
        <v>10.4</v>
      </c>
      <c r="AH315" s="13">
        <f>IF(ISNUMBER(F$318),F315,"")</f>
        <v>10.8</v>
      </c>
      <c r="AI315" s="13">
        <f>IF(ISNUMBER(G$318),G315,"")</f>
        <v>10.2</v>
      </c>
      <c r="AJ315" s="13">
        <f>IF(ISNUMBER(H$318),H315,"")</f>
        <v>10.6</v>
      </c>
      <c r="AK315" s="13">
        <f>IF(ISNUMBER(I$318),I315,"")</f>
        <v>11</v>
      </c>
      <c r="AL315" s="13">
        <f>IF(ISNUMBER(J$318),J315,"")</f>
        <v>10.3</v>
      </c>
      <c r="AM315" s="13">
        <f>IF(ISNUMBER(K$318),K315,"")</f>
        <v>10.7</v>
      </c>
      <c r="AN315" s="13">
        <f>IF(ISNUMBER(L$318),L315,"")</f>
        <v>10.1</v>
      </c>
      <c r="AO315" s="13">
        <f>IF(ISNUMBER(M$318),M315,"")</f>
        <v>10.5</v>
      </c>
      <c r="AP315" s="13">
        <f>IF(ISNUMBER(N$318),N315,"")</f>
        <v>10</v>
      </c>
      <c r="AQ315" s="13">
        <f>IF(C315="Ручная",O315,0)</f>
        <v>0</v>
      </c>
    </row>
    <row r="316" spans="1:43" ht="40" customHeight="1">
      <c r="A316" s="5" t="s">
        <v>189</v>
      </c>
      <c r="B316" s="5" t="s">
        <v>206</v>
      </c>
      <c r="C316" s="11" t="s">
        <v>207</v>
      </c>
      <c r="D316" s="7" t="s">
        <v>208</v>
      </c>
      <c r="E316" s="12">
        <v>12.72</v>
      </c>
      <c r="F316" s="12">
        <v>13.2</v>
      </c>
      <c r="G316" s="12">
        <v>12.36</v>
      </c>
      <c r="H316" s="12">
        <v>12.84</v>
      </c>
      <c r="I316" s="12">
        <v>12.12</v>
      </c>
      <c r="J316" s="12">
        <v>12.6</v>
      </c>
      <c r="K316" s="12">
        <v>12</v>
      </c>
      <c r="L316" s="12">
        <v>12.48</v>
      </c>
      <c r="M316" s="12">
        <v>12.96</v>
      </c>
      <c r="N316" s="12">
        <v>12.24</v>
      </c>
      <c r="O316" s="13">
        <f>IF(COUNT(AG316:AP316)&gt;0,MIN(AG316:AP316),"")</f>
        <v>12</v>
      </c>
      <c r="P316" s="13">
        <f>IF(COUNT(AG316:AP316)&gt;0,MAX(AG316:AP316),"")</f>
        <v>13.2</v>
      </c>
      <c r="Q316" s="13">
        <f>IF(ISNUMBER(O316),P316-O316,"")</f>
        <v>1.2</v>
      </c>
      <c r="R316" s="13">
        <f>IF(ISNUMBER(O316),IF(C316="Ручная",IF($S$318&gt;0,$R$318*Q316/$S$318,IF($W$318=11,$R$318,0)),0),"")</f>
        <v>0</v>
      </c>
      <c r="S316" s="13">
        <f>IF(ISNUMBER(O316),O316+R316,"")</f>
        <v>12</v>
      </c>
      <c r="T316" s="13">
        <f>IF(ISNUMBER(S316),P316-S316,"")</f>
        <v>1.2</v>
      </c>
      <c r="U316" s="13">
        <f>IF(COUNT(AG316:AP316)&gt;0,AVERAGE(AG316:AP316),"")</f>
        <v>12.552</v>
      </c>
      <c r="AG316" s="13">
        <f>IF(ISNUMBER(E$318),E316,"")</f>
        <v>12.72</v>
      </c>
      <c r="AH316" s="13">
        <f>IF(ISNUMBER(F$318),F316,"")</f>
        <v>13.2</v>
      </c>
      <c r="AI316" s="13">
        <f>IF(ISNUMBER(G$318),G316,"")</f>
        <v>12.36</v>
      </c>
      <c r="AJ316" s="13">
        <f>IF(ISNUMBER(H$318),H316,"")</f>
        <v>12.84</v>
      </c>
      <c r="AK316" s="13">
        <f>IF(ISNUMBER(I$318),I316,"")</f>
        <v>12.12</v>
      </c>
      <c r="AL316" s="13">
        <f>IF(ISNUMBER(J$318),J316,"")</f>
        <v>12.6</v>
      </c>
      <c r="AM316" s="13">
        <f>IF(ISNUMBER(K$318),K316,"")</f>
        <v>12</v>
      </c>
      <c r="AN316" s="13">
        <f>IF(ISNUMBER(L$318),L316,"")</f>
        <v>12.48</v>
      </c>
      <c r="AO316" s="13">
        <f>IF(ISNUMBER(M$318),M316,"")</f>
        <v>12.96</v>
      </c>
      <c r="AP316" s="13">
        <f>IF(ISNUMBER(N$318),N316,"")</f>
        <v>12.24</v>
      </c>
      <c r="AQ316" s="13">
        <f>IF(C316="Ручная",O316,0)</f>
        <v>0</v>
      </c>
    </row>
    <row r="317" spans="1:43" ht="23" customHeight="1">
      <c r="B317" s="4" t="s">
        <v>209</v>
      </c>
      <c r="E317" s="6">
        <f>IF(COUNT(E306:E316)=11,SUM(E306:E316),"")</f>
        <v>530.36</v>
      </c>
      <c r="F317" s="6">
        <f>IF(COUNT(F306:F316)=11,SUM(F306:F316),"")</f>
        <v>529.64</v>
      </c>
      <c r="G317" s="6">
        <f>IF(COUNT(G306:G316)=11,SUM(G306:G316),"")</f>
        <v>528.93</v>
      </c>
      <c r="H317" s="6">
        <f>IF(COUNT(H306:H316)=11,SUM(H306:H316),"")</f>
        <v>528.32</v>
      </c>
      <c r="I317" s="6">
        <f>IF(COUNT(I306:I316)=11,SUM(I306:I316),"")</f>
        <v>526.93</v>
      </c>
      <c r="J317" s="6">
        <f>IF(COUNT(J306:J316)=11,SUM(J306:J316),"")</f>
        <v>530.77</v>
      </c>
      <c r="K317" s="6">
        <f>IF(COUNT(K306:K316)=11,SUM(K306:K316),"")</f>
        <v>526.28</v>
      </c>
      <c r="L317" s="6">
        <f>IF(COUNT(L306:L316)=11,SUM(L306:L316),"")</f>
        <v>529.46</v>
      </c>
      <c r="M317" s="6">
        <f>IF(COUNT(M306:M316)=11,SUM(M306:M316),"")</f>
        <v>530.42</v>
      </c>
      <c r="N317" s="6">
        <f>IF(COUNT(N306:N316)=11,SUM(N306:N316),"")</f>
        <v>529.63</v>
      </c>
      <c r="O317" s="6">
        <f>IF(COUNT(O306:O316)=11,SUM(O306:O316),"")</f>
        <v>519</v>
      </c>
      <c r="P317" s="6">
        <f>IF(COUNT(P306:P316)=11,SUM(P306:P316),"")</f>
        <v>540.9</v>
      </c>
      <c r="Q317" s="6">
        <f>IF(COUNT(Q306:Q316)=11,SUM(Q306:Q316),"")</f>
        <v>21.9</v>
      </c>
      <c r="R317" s="6">
        <f>IF(COUNT(R306:R316)=11,SUM(R306:R316),"")</f>
        <v>7.28000000000009</v>
      </c>
      <c r="S317" s="6">
        <f>IF(COUNT(S306:S316)=11,SUM(S306:S316),"")</f>
        <v>526.28</v>
      </c>
      <c r="T317" s="6">
        <f>IF(COUNT(T306:T316)=11,SUM(T306:T316),"")</f>
        <v>14.6199999999999</v>
      </c>
      <c r="U317" s="6">
        <f>IF(COUNT(U306:U316)=11,SUM(U306:U316),"")</f>
        <v>529.074</v>
      </c>
    </row>
    <row r="318" spans="1:43" ht="23" customHeight="1">
      <c r="B318" s="4" t="s">
        <v>210</v>
      </c>
      <c r="E318" s="6">
        <f>IF(AND(E304=1,COUNT(E306:E316)=11,MIN(E306:E316)&gt;=0),E317,"")</f>
        <v>530.36</v>
      </c>
      <c r="F318" s="6">
        <f>IF(AND(F304=1,COUNT(F306:F316)=11,MIN(F306:F316)&gt;=0),F317,"")</f>
        <v>529.64</v>
      </c>
      <c r="G318" s="6">
        <f>IF(AND(G304=1,COUNT(G306:G316)=11,MIN(G306:G316)&gt;=0),G317,"")</f>
        <v>528.93</v>
      </c>
      <c r="H318" s="6">
        <f>IF(AND(H304=1,COUNT(H306:H316)=11,MIN(H306:H316)&gt;=0),H317,"")</f>
        <v>528.32</v>
      </c>
      <c r="I318" s="6">
        <f>IF(AND(I304=1,COUNT(I306:I316)=11,MIN(I306:I316)&gt;=0),I317,"")</f>
        <v>526.93</v>
      </c>
      <c r="J318" s="6">
        <f>IF(AND(J304=1,COUNT(J306:J316)=11,MIN(J306:J316)&gt;=0),J317,"")</f>
        <v>530.77</v>
      </c>
      <c r="K318" s="6">
        <f>IF(AND(K304=1,COUNT(K306:K316)=11,MIN(K306:K316)&gt;=0),K317,"")</f>
        <v>526.28</v>
      </c>
      <c r="L318" s="6">
        <f>IF(AND(L304=1,COUNT(L306:L316)=11,MIN(L306:L316)&gt;=0),L317,"")</f>
        <v>529.46</v>
      </c>
      <c r="M318" s="6">
        <f>IF(AND(M304=1,COUNT(M306:M316)=11,MIN(M306:M316)&gt;=0),M317,"")</f>
        <v>530.42</v>
      </c>
      <c r="N318" s="6">
        <f>IF(AND(N304=1,COUNT(N306:N316)=11,MIN(N306:N316)&gt;=0),N317,"")</f>
        <v>529.63</v>
      </c>
      <c r="O318" s="6">
        <f>IF(COUNT(E318:N318)&gt;0,MIN(E318:N318),"")</f>
        <v>526.28</v>
      </c>
      <c r="P318" s="6">
        <f>IF(COUNT(E318:N318)&gt;0,MAX(E318:N318),"")</f>
        <v>530.77</v>
      </c>
      <c r="Q318" s="6">
        <f>IF(ISNUMBER(O318),P318-O318,"")</f>
        <v>4.4899999999999</v>
      </c>
      <c r="R318" s="6">
        <f>IF(ISNUMBER(O318),MAX(0,O318-O317),"")</f>
        <v>7.28000000000009</v>
      </c>
      <c r="S318" s="6">
        <f>SUMIF(C306:C316,"Ручная",Q306:Q316)</f>
        <v>17.5</v>
      </c>
      <c r="T318" s="6">
        <f>COUNT(E318:N318)</f>
        <v>10</v>
      </c>
      <c r="U318" s="6">
        <f>IF(COUNT(E318:N318)&gt;0,AVERAGE(E318:N318),"")</f>
        <v>529.074</v>
      </c>
      <c r="V318" s="6">
        <f>IF(ISNUMBER(O318),S317-O318,"")</f>
        <v>0</v>
      </c>
      <c r="W318" s="6">
        <f>MATCH(MAX(AQ306:AQ316),AQ306:AQ316,0)</f>
        <v>2</v>
      </c>
      <c r="X318" s="17" t="str">
        <f>IF(T318=0,"НЕТ ЗАМЕРОВ",IF(T318&lt;10,"МЕНЕЕ 10 ЦИКЛОВ",IF(ABS(V318)&lt;0.000001,"ОК","ОШИБКА РЕГУЛИРОВКИ")))</f>
        <v>ОК</v>
      </c>
    </row>
    <row r="319" spans="1:43" ht="23" customHeight="1">
      <c r="A319" s="7" t="s">
        <v>211</v>
      </c>
      <c r="B319" s="7"/>
      <c r="C319" s="7"/>
      <c r="D319" s="7"/>
      <c r="E319" s="7"/>
      <c r="F319" s="7"/>
      <c r="G319" s="7"/>
      <c r="H319" s="7"/>
      <c r="I319" s="7"/>
      <c r="J319" s="7"/>
      <c r="K319" s="7"/>
      <c r="L319" s="7"/>
      <c r="M319" s="7"/>
      <c r="N319" s="7"/>
      <c r="O319" s="7"/>
      <c r="P319" s="7"/>
      <c r="Q319" s="7"/>
      <c r="R319" s="7"/>
      <c r="S319" s="7"/>
      <c r="T319" s="7"/>
      <c r="U319" s="7"/>
      <c r="V319" s="7"/>
      <c r="W319" s="7"/>
      <c r="X319" s="7"/>
    </row>
    <row r="322" spans="1:43" ht="23" customHeight="1">
      <c r="A322" s="4" t="s">
        <v>226</v>
      </c>
      <c r="B322" s="4"/>
      <c r="C322" s="4"/>
      <c r="D322" s="4"/>
      <c r="E322" s="4"/>
      <c r="F322" s="4"/>
      <c r="G322" s="4"/>
      <c r="H322" s="4"/>
      <c r="I322" s="4"/>
      <c r="J322" s="4"/>
      <c r="K322" s="4"/>
      <c r="L322" s="4"/>
      <c r="M322" s="4"/>
      <c r="N322" s="4"/>
      <c r="O322" s="4"/>
      <c r="P322" s="4"/>
      <c r="Q322" s="4"/>
      <c r="R322" s="4"/>
      <c r="S322" s="4"/>
      <c r="T322" s="4"/>
      <c r="U322" s="4"/>
      <c r="V322" s="4"/>
      <c r="W322" s="4"/>
      <c r="X322" s="4"/>
    </row>
    <row r="323" spans="1:43" ht="23" customHeight="1">
      <c r="A323" s="7" t="str">
        <f>"Масса замера, кг: "&amp;'Ассортимент'!J23&amp;". Все замеры одной партии/исполнителя/условий. Основание: "&amp;'Ввод'!B14</f>
        <v>Масса замера, кг: 3. Все замеры одной партии/исполнителя/условий. Основание: ДЕМО: синтетические замеры; заменить фактическими</v>
      </c>
      <c r="B323" s="7"/>
      <c r="C323" s="7"/>
      <c r="D323" s="7"/>
      <c r="E323" s="7"/>
      <c r="F323" s="7"/>
      <c r="G323" s="7"/>
      <c r="H323" s="7"/>
      <c r="I323" s="7"/>
      <c r="J323" s="7"/>
      <c r="K323" s="7"/>
      <c r="L323" s="7"/>
      <c r="M323" s="7"/>
      <c r="N323" s="7"/>
      <c r="O323" s="7"/>
      <c r="P323" s="7"/>
      <c r="Q323" s="7"/>
      <c r="R323" s="7"/>
      <c r="S323" s="7"/>
      <c r="T323" s="7"/>
      <c r="U323" s="7"/>
      <c r="V323" s="7"/>
      <c r="W323" s="7"/>
      <c r="X323" s="7"/>
    </row>
    <row r="324" spans="1:43" ht="44" customHeight="1">
      <c r="A324" s="8" t="s">
        <v>113</v>
      </c>
      <c r="B324" s="8" t="s">
        <v>156</v>
      </c>
      <c r="C324" s="8" t="s">
        <v>157</v>
      </c>
      <c r="D324" s="8" t="s">
        <v>158</v>
      </c>
      <c r="E324" s="8" t="s">
        <v>159</v>
      </c>
      <c r="F324" s="8" t="s">
        <v>160</v>
      </c>
      <c r="G324" s="8" t="s">
        <v>161</v>
      </c>
      <c r="H324" s="8" t="s">
        <v>162</v>
      </c>
      <c r="I324" s="8" t="s">
        <v>163</v>
      </c>
      <c r="J324" s="8" t="s">
        <v>164</v>
      </c>
      <c r="K324" s="8" t="s">
        <v>165</v>
      </c>
      <c r="L324" s="8" t="s">
        <v>166</v>
      </c>
      <c r="M324" s="8" t="s">
        <v>167</v>
      </c>
      <c r="N324" s="8" t="s">
        <v>168</v>
      </c>
      <c r="O324" s="8" t="s">
        <v>169</v>
      </c>
      <c r="P324" s="8" t="s">
        <v>170</v>
      </c>
      <c r="Q324" s="8" t="s">
        <v>171</v>
      </c>
      <c r="R324" s="8" t="s">
        <v>172</v>
      </c>
      <c r="S324" s="8" t="s">
        <v>173</v>
      </c>
      <c r="T324" s="8" t="s">
        <v>174</v>
      </c>
      <c r="U324" s="8" t="s">
        <v>175</v>
      </c>
      <c r="V324" s="8" t="s">
        <v>176</v>
      </c>
      <c r="W324" s="8" t="s">
        <v>177</v>
      </c>
      <c r="X324" s="8" t="s">
        <v>178</v>
      </c>
    </row>
    <row r="325" spans="1:43" ht="23" customHeight="1">
      <c r="B325" s="5" t="s">
        <v>179</v>
      </c>
      <c r="E325" s="12">
        <v>1</v>
      </c>
      <c r="F325" s="12">
        <v>1</v>
      </c>
      <c r="G325" s="12">
        <v>1</v>
      </c>
      <c r="H325" s="12">
        <v>1</v>
      </c>
      <c r="I325" s="12">
        <v>1</v>
      </c>
      <c r="J325" s="12">
        <v>1</v>
      </c>
      <c r="K325" s="12">
        <v>1</v>
      </c>
      <c r="L325" s="12">
        <v>1</v>
      </c>
      <c r="M325" s="12">
        <v>1</v>
      </c>
      <c r="N325" s="12">
        <v>1</v>
      </c>
    </row>
    <row r="326" spans="1:43" ht="33" customHeight="1">
      <c r="B326" s="5" t="s">
        <v>180</v>
      </c>
      <c r="E326" s="9" t="s">
        <v>181</v>
      </c>
      <c r="F326" s="9" t="s">
        <v>181</v>
      </c>
      <c r="G326" s="9" t="s">
        <v>181</v>
      </c>
      <c r="H326" s="9" t="s">
        <v>181</v>
      </c>
      <c r="I326" s="9" t="s">
        <v>181</v>
      </c>
      <c r="J326" s="9" t="s">
        <v>181</v>
      </c>
      <c r="K326" s="9" t="s">
        <v>181</v>
      </c>
      <c r="L326" s="9" t="s">
        <v>181</v>
      </c>
      <c r="M326" s="9" t="s">
        <v>181</v>
      </c>
      <c r="N326" s="9" t="s">
        <v>181</v>
      </c>
    </row>
    <row r="327" spans="1:43" ht="40" customHeight="1">
      <c r="A327" s="5">
        <v>1</v>
      </c>
      <c r="B327" s="5" t="s">
        <v>182</v>
      </c>
      <c r="C327" s="11" t="s">
        <v>183</v>
      </c>
      <c r="D327" s="7" t="s">
        <v>184</v>
      </c>
      <c r="E327" s="12">
        <v>27.5</v>
      </c>
      <c r="F327" s="12">
        <v>25.75</v>
      </c>
      <c r="G327" s="12">
        <v>26.75</v>
      </c>
      <c r="H327" s="12">
        <v>25.25</v>
      </c>
      <c r="I327" s="12">
        <v>26.25</v>
      </c>
      <c r="J327" s="12">
        <v>25</v>
      </c>
      <c r="K327" s="12">
        <v>26</v>
      </c>
      <c r="L327" s="12">
        <v>27</v>
      </c>
      <c r="M327" s="12">
        <v>25.5</v>
      </c>
      <c r="N327" s="12">
        <v>26.5</v>
      </c>
      <c r="O327" s="13">
        <f>IF(COUNT(AG327:AP327)&gt;0,MIN(AG327:AP327),"")</f>
        <v>25</v>
      </c>
      <c r="P327" s="13">
        <f>IF(COUNT(AG327:AP327)&gt;0,MAX(AG327:AP327),"")</f>
        <v>27.5</v>
      </c>
      <c r="Q327" s="13">
        <f>IF(ISNUMBER(O327),P327-O327,"")</f>
        <v>2.5</v>
      </c>
      <c r="R327" s="13">
        <f>IF(ISNUMBER(O327),IF(C327="Ручная",IF($S$339&gt;0,$R$339*Q327/$S$339,IF($W$339=1,$R$339,0)),0),"")</f>
        <v>1.01081081081081</v>
      </c>
      <c r="S327" s="13">
        <f>IF(ISNUMBER(O327),O327+R327,"")</f>
        <v>26.0108108108108</v>
      </c>
      <c r="T327" s="13">
        <f>IF(ISNUMBER(S327),P327-S327,"")</f>
        <v>1.48918918918919</v>
      </c>
      <c r="U327" s="13">
        <f>IF(COUNT(AG327:AP327)&gt;0,AVERAGE(AG327:AP327),"")</f>
        <v>26.15</v>
      </c>
      <c r="AG327" s="13">
        <f>IF(ISNUMBER(E$339),E327,"")</f>
        <v>27.5</v>
      </c>
      <c r="AH327" s="13">
        <f>IF(ISNUMBER(F$339),F327,"")</f>
        <v>25.75</v>
      </c>
      <c r="AI327" s="13">
        <f>IF(ISNUMBER(G$339),G327,"")</f>
        <v>26.75</v>
      </c>
      <c r="AJ327" s="13">
        <f>IF(ISNUMBER(H$339),H327,"")</f>
        <v>25.25</v>
      </c>
      <c r="AK327" s="13">
        <f>IF(ISNUMBER(I$339),I327,"")</f>
        <v>26.25</v>
      </c>
      <c r="AL327" s="13">
        <f>IF(ISNUMBER(J$339),J327,"")</f>
        <v>25</v>
      </c>
      <c r="AM327" s="13">
        <f>IF(ISNUMBER(K$339),K327,"")</f>
        <v>26</v>
      </c>
      <c r="AN327" s="13">
        <f>IF(ISNUMBER(L$339),L327,"")</f>
        <v>27</v>
      </c>
      <c r="AO327" s="13">
        <f>IF(ISNUMBER(M$339),M327,"")</f>
        <v>25.5</v>
      </c>
      <c r="AP327" s="13">
        <f>IF(ISNUMBER(N$339),N327,"")</f>
        <v>26.5</v>
      </c>
      <c r="AQ327" s="13">
        <f>IF(C327="Ручная",O327,0)</f>
        <v>25</v>
      </c>
    </row>
    <row r="328" spans="1:43" ht="40" customHeight="1">
      <c r="A328" s="5">
        <v>2</v>
      </c>
      <c r="B328" s="5" t="s">
        <v>185</v>
      </c>
      <c r="C328" s="11" t="s">
        <v>183</v>
      </c>
      <c r="D328" s="7" t="s">
        <v>186</v>
      </c>
      <c r="E328" s="12">
        <v>55.55</v>
      </c>
      <c r="F328" s="12">
        <v>57.75</v>
      </c>
      <c r="G328" s="12">
        <v>55</v>
      </c>
      <c r="H328" s="12">
        <v>57.2</v>
      </c>
      <c r="I328" s="12">
        <v>59.4</v>
      </c>
      <c r="J328" s="12">
        <v>56.1</v>
      </c>
      <c r="K328" s="12">
        <v>58.3</v>
      </c>
      <c r="L328" s="12">
        <v>60.5</v>
      </c>
      <c r="M328" s="12">
        <v>56.65</v>
      </c>
      <c r="N328" s="12">
        <v>58.85</v>
      </c>
      <c r="O328" s="13">
        <f>IF(COUNT(AG328:AP328)&gt;0,MIN(AG328:AP328),"")</f>
        <v>55</v>
      </c>
      <c r="P328" s="13">
        <f>IF(COUNT(AG328:AP328)&gt;0,MAX(AG328:AP328),"")</f>
        <v>60.5</v>
      </c>
      <c r="Q328" s="13">
        <f>IF(ISNUMBER(O328),P328-O328,"")</f>
        <v>5.5</v>
      </c>
      <c r="R328" s="13">
        <f>IF(ISNUMBER(O328),IF(C328="Ручная",IF($S$339&gt;0,$R$339*Q328/$S$339,IF($W$339=2,$R$339,0)),0),"")</f>
        <v>2.22378378378379</v>
      </c>
      <c r="S328" s="13">
        <f>IF(ISNUMBER(O328),O328+R328,"")</f>
        <v>57.2237837837838</v>
      </c>
      <c r="T328" s="13">
        <f>IF(ISNUMBER(S328),P328-S328,"")</f>
        <v>3.27621621621621</v>
      </c>
      <c r="U328" s="13">
        <f>IF(COUNT(AG328:AP328)&gt;0,AVERAGE(AG328:AP328),"")</f>
        <v>57.53</v>
      </c>
      <c r="AG328" s="13">
        <f>IF(ISNUMBER(E$339),E328,"")</f>
        <v>55.55</v>
      </c>
      <c r="AH328" s="13">
        <f>IF(ISNUMBER(F$339),F328,"")</f>
        <v>57.75</v>
      </c>
      <c r="AI328" s="13">
        <f>IF(ISNUMBER(G$339),G328,"")</f>
        <v>55</v>
      </c>
      <c r="AJ328" s="13">
        <f>IF(ISNUMBER(H$339),H328,"")</f>
        <v>57.2</v>
      </c>
      <c r="AK328" s="13">
        <f>IF(ISNUMBER(I$339),I328,"")</f>
        <v>59.4</v>
      </c>
      <c r="AL328" s="13">
        <f>IF(ISNUMBER(J$339),J328,"")</f>
        <v>56.1</v>
      </c>
      <c r="AM328" s="13">
        <f>IF(ISNUMBER(K$339),K328,"")</f>
        <v>58.3</v>
      </c>
      <c r="AN328" s="13">
        <f>IF(ISNUMBER(L$339),L328,"")</f>
        <v>60.5</v>
      </c>
      <c r="AO328" s="13">
        <f>IF(ISNUMBER(M$339),M328,"")</f>
        <v>56.65</v>
      </c>
      <c r="AP328" s="13">
        <f>IF(ISNUMBER(N$339),N328,"")</f>
        <v>58.85</v>
      </c>
      <c r="AQ328" s="13">
        <f>IF(C328="Ручная",O328,0)</f>
        <v>55</v>
      </c>
    </row>
    <row r="329" spans="1:43" ht="40" customHeight="1">
      <c r="A329" s="5">
        <v>3</v>
      </c>
      <c r="B329" s="5" t="s">
        <v>187</v>
      </c>
      <c r="C329" s="11" t="s">
        <v>183</v>
      </c>
      <c r="D329" s="7" t="s">
        <v>188</v>
      </c>
      <c r="E329" s="12">
        <v>22.88</v>
      </c>
      <c r="F329" s="12">
        <v>23.76</v>
      </c>
      <c r="G329" s="12">
        <v>22.44</v>
      </c>
      <c r="H329" s="12">
        <v>23.32</v>
      </c>
      <c r="I329" s="12">
        <v>24.2</v>
      </c>
      <c r="J329" s="12">
        <v>22.66</v>
      </c>
      <c r="K329" s="12">
        <v>23.54</v>
      </c>
      <c r="L329" s="12">
        <v>22.22</v>
      </c>
      <c r="M329" s="12">
        <v>23.1</v>
      </c>
      <c r="N329" s="12">
        <v>22</v>
      </c>
      <c r="O329" s="13">
        <f>IF(COUNT(AG329:AP329)&gt;0,MIN(AG329:AP329),"")</f>
        <v>22</v>
      </c>
      <c r="P329" s="13">
        <f>IF(COUNT(AG329:AP329)&gt;0,MAX(AG329:AP329),"")</f>
        <v>24.2</v>
      </c>
      <c r="Q329" s="13">
        <f>IF(ISNUMBER(O329),P329-O329,"")</f>
        <v>2.2</v>
      </c>
      <c r="R329" s="13">
        <f>IF(ISNUMBER(O329),IF(C329="Ручная",IF($S$339&gt;0,$R$339*Q329/$S$339,IF($W$339=3,$R$339,0)),0),"")</f>
        <v>0.889513513513515</v>
      </c>
      <c r="S329" s="13">
        <f>IF(ISNUMBER(O329),O329+R329,"")</f>
        <v>22.8895135135135</v>
      </c>
      <c r="T329" s="13">
        <f>IF(ISNUMBER(S329),P329-S329,"")</f>
        <v>1.31048648648648</v>
      </c>
      <c r="U329" s="13">
        <f>IF(COUNT(AG329:AP329)&gt;0,AVERAGE(AG329:AP329),"")</f>
        <v>23.012</v>
      </c>
      <c r="AG329" s="13">
        <f>IF(ISNUMBER(E$339),E329,"")</f>
        <v>22.88</v>
      </c>
      <c r="AH329" s="13">
        <f>IF(ISNUMBER(F$339),F329,"")</f>
        <v>23.76</v>
      </c>
      <c r="AI329" s="13">
        <f>IF(ISNUMBER(G$339),G329,"")</f>
        <v>22.44</v>
      </c>
      <c r="AJ329" s="13">
        <f>IF(ISNUMBER(H$339),H329,"")</f>
        <v>23.32</v>
      </c>
      <c r="AK329" s="13">
        <f>IF(ISNUMBER(I$339),I329,"")</f>
        <v>24.2</v>
      </c>
      <c r="AL329" s="13">
        <f>IF(ISNUMBER(J$339),J329,"")</f>
        <v>22.66</v>
      </c>
      <c r="AM329" s="13">
        <f>IF(ISNUMBER(K$339),K329,"")</f>
        <v>23.54</v>
      </c>
      <c r="AN329" s="13">
        <f>IF(ISNUMBER(L$339),L329,"")</f>
        <v>22.22</v>
      </c>
      <c r="AO329" s="13">
        <f>IF(ISNUMBER(M$339),M329,"")</f>
        <v>23.1</v>
      </c>
      <c r="AP329" s="13">
        <f>IF(ISNUMBER(N$339),N329,"")</f>
        <v>22</v>
      </c>
      <c r="AQ329" s="13">
        <f>IF(C329="Ручная",O329,0)</f>
        <v>22</v>
      </c>
    </row>
    <row r="330" spans="1:43" ht="40" customHeight="1">
      <c r="A330" s="5" t="s">
        <v>189</v>
      </c>
      <c r="B330" s="5" t="s">
        <v>190</v>
      </c>
      <c r="C330" s="11" t="s">
        <v>191</v>
      </c>
      <c r="D330" s="7" t="s">
        <v>192</v>
      </c>
      <c r="E330" s="12">
        <v>12.72</v>
      </c>
      <c r="F330" s="12">
        <v>13.2</v>
      </c>
      <c r="G330" s="12">
        <v>12.36</v>
      </c>
      <c r="H330" s="12">
        <v>12.84</v>
      </c>
      <c r="I330" s="12">
        <v>12.12</v>
      </c>
      <c r="J330" s="12">
        <v>12.6</v>
      </c>
      <c r="K330" s="12">
        <v>12</v>
      </c>
      <c r="L330" s="12">
        <v>12.48</v>
      </c>
      <c r="M330" s="12">
        <v>12.96</v>
      </c>
      <c r="N330" s="12">
        <v>12.24</v>
      </c>
      <c r="O330" s="13">
        <f>IF(COUNT(AG330:AP330)&gt;0,MIN(AG330:AP330),"")</f>
        <v>12</v>
      </c>
      <c r="P330" s="13">
        <f>IF(COUNT(AG330:AP330)&gt;0,MAX(AG330:AP330),"")</f>
        <v>13.2</v>
      </c>
      <c r="Q330" s="13">
        <f>IF(ISNUMBER(O330),P330-O330,"")</f>
        <v>1.2</v>
      </c>
      <c r="R330" s="13">
        <f>IF(ISNUMBER(O330),IF(C330="Ручная",IF($S$339&gt;0,$R$339*Q330/$S$339,IF($W$339=4,$R$339,0)),0),"")</f>
        <v>0</v>
      </c>
      <c r="S330" s="13">
        <f>IF(ISNUMBER(O330),O330+R330,"")</f>
        <v>12</v>
      </c>
      <c r="T330" s="13">
        <f>IF(ISNUMBER(S330),P330-S330,"")</f>
        <v>1.2</v>
      </c>
      <c r="U330" s="13">
        <f>IF(COUNT(AG330:AP330)&gt;0,AVERAGE(AG330:AP330),"")</f>
        <v>12.552</v>
      </c>
      <c r="AG330" s="13">
        <f>IF(ISNUMBER(E$339),E330,"")</f>
        <v>12.72</v>
      </c>
      <c r="AH330" s="13">
        <f>IF(ISNUMBER(F$339),F330,"")</f>
        <v>13.2</v>
      </c>
      <c r="AI330" s="13">
        <f>IF(ISNUMBER(G$339),G330,"")</f>
        <v>12.36</v>
      </c>
      <c r="AJ330" s="13">
        <f>IF(ISNUMBER(H$339),H330,"")</f>
        <v>12.84</v>
      </c>
      <c r="AK330" s="13">
        <f>IF(ISNUMBER(I$339),I330,"")</f>
        <v>12.12</v>
      </c>
      <c r="AL330" s="13">
        <f>IF(ISNUMBER(J$339),J330,"")</f>
        <v>12.6</v>
      </c>
      <c r="AM330" s="13">
        <f>IF(ISNUMBER(K$339),K330,"")</f>
        <v>12</v>
      </c>
      <c r="AN330" s="13">
        <f>IF(ISNUMBER(L$339),L330,"")</f>
        <v>12.48</v>
      </c>
      <c r="AO330" s="13">
        <f>IF(ISNUMBER(M$339),M330,"")</f>
        <v>12.96</v>
      </c>
      <c r="AP330" s="13">
        <f>IF(ISNUMBER(N$339),N330,"")</f>
        <v>12.24</v>
      </c>
      <c r="AQ330" s="13">
        <f>IF(C330="Ручная",O330,0)</f>
        <v>0</v>
      </c>
    </row>
    <row r="331" spans="1:43" ht="40" customHeight="1">
      <c r="A331" s="5">
        <v>5</v>
      </c>
      <c r="B331" s="5" t="s">
        <v>193</v>
      </c>
      <c r="C331" s="11" t="s">
        <v>183</v>
      </c>
      <c r="D331" s="7" t="s">
        <v>194</v>
      </c>
      <c r="E331" s="12">
        <v>37.45</v>
      </c>
      <c r="F331" s="12">
        <v>35.35</v>
      </c>
      <c r="G331" s="12">
        <v>36.75</v>
      </c>
      <c r="H331" s="12">
        <v>35</v>
      </c>
      <c r="I331" s="12">
        <v>36.4</v>
      </c>
      <c r="J331" s="12">
        <v>37.8</v>
      </c>
      <c r="K331" s="12">
        <v>35.7</v>
      </c>
      <c r="L331" s="12">
        <v>37.1</v>
      </c>
      <c r="M331" s="12">
        <v>38.5</v>
      </c>
      <c r="N331" s="12">
        <v>36.05</v>
      </c>
      <c r="O331" s="13">
        <f>IF(COUNT(AG331:AP331)&gt;0,MIN(AG331:AP331),"")</f>
        <v>35</v>
      </c>
      <c r="P331" s="13">
        <f>IF(COUNT(AG331:AP331)&gt;0,MAX(AG331:AP331),"")</f>
        <v>38.5</v>
      </c>
      <c r="Q331" s="13">
        <f>IF(ISNUMBER(O331),P331-O331,"")</f>
        <v>3.5</v>
      </c>
      <c r="R331" s="13">
        <f>IF(ISNUMBER(O331),IF(C331="Ручная",IF($S$339&gt;0,$R$339*Q331/$S$339,IF($W$339=5,$R$339,0)),0),"")</f>
        <v>1.41513513513514</v>
      </c>
      <c r="S331" s="13">
        <f>IF(ISNUMBER(O331),O331+R331,"")</f>
        <v>36.4151351351351</v>
      </c>
      <c r="T331" s="13">
        <f>IF(ISNUMBER(S331),P331-S331,"")</f>
        <v>2.08486486486486</v>
      </c>
      <c r="U331" s="13">
        <f>IF(COUNT(AG331:AP331)&gt;0,AVERAGE(AG331:AP331),"")</f>
        <v>36.61</v>
      </c>
      <c r="AG331" s="13">
        <f>IF(ISNUMBER(E$339),E331,"")</f>
        <v>37.45</v>
      </c>
      <c r="AH331" s="13">
        <f>IF(ISNUMBER(F$339),F331,"")</f>
        <v>35.35</v>
      </c>
      <c r="AI331" s="13">
        <f>IF(ISNUMBER(G$339),G331,"")</f>
        <v>36.75</v>
      </c>
      <c r="AJ331" s="13">
        <f>IF(ISNUMBER(H$339),H331,"")</f>
        <v>35</v>
      </c>
      <c r="AK331" s="13">
        <f>IF(ISNUMBER(I$339),I331,"")</f>
        <v>36.4</v>
      </c>
      <c r="AL331" s="13">
        <f>IF(ISNUMBER(J$339),J331,"")</f>
        <v>37.8</v>
      </c>
      <c r="AM331" s="13">
        <f>IF(ISNUMBER(K$339),K331,"")</f>
        <v>35.7</v>
      </c>
      <c r="AN331" s="13">
        <f>IF(ISNUMBER(L$339),L331,"")</f>
        <v>37.1</v>
      </c>
      <c r="AO331" s="13">
        <f>IF(ISNUMBER(M$339),M331,"")</f>
        <v>38.5</v>
      </c>
      <c r="AP331" s="13">
        <f>IF(ISNUMBER(N$339),N331,"")</f>
        <v>36.05</v>
      </c>
      <c r="AQ331" s="13">
        <f>IF(C331="Ручная",O331,0)</f>
        <v>35</v>
      </c>
    </row>
    <row r="332" spans="1:43" ht="40" customHeight="1">
      <c r="A332" s="5" t="s">
        <v>189</v>
      </c>
      <c r="B332" s="5" t="s">
        <v>195</v>
      </c>
      <c r="C332" s="11" t="s">
        <v>196</v>
      </c>
      <c r="D332" s="7" t="s">
        <v>197</v>
      </c>
      <c r="E332" s="18">
        <f>'Ассортимент'!R23</f>
        <v>300</v>
      </c>
      <c r="F332" s="18">
        <f>'Ассортимент'!R23</f>
        <v>300</v>
      </c>
      <c r="G332" s="18">
        <f>'Ассортимент'!R23</f>
        <v>300</v>
      </c>
      <c r="H332" s="18">
        <f>'Ассортимент'!R23</f>
        <v>300</v>
      </c>
      <c r="I332" s="18">
        <f>'Ассортимент'!R23</f>
        <v>300</v>
      </c>
      <c r="J332" s="18">
        <f>'Ассортимент'!R23</f>
        <v>300</v>
      </c>
      <c r="K332" s="18">
        <f>'Ассортимент'!R23</f>
        <v>300</v>
      </c>
      <c r="L332" s="18">
        <f>'Ассортимент'!R23</f>
        <v>300</v>
      </c>
      <c r="M332" s="18">
        <f>'Ассортимент'!R23</f>
        <v>300</v>
      </c>
      <c r="N332" s="18">
        <f>'Ассортимент'!R23</f>
        <v>300</v>
      </c>
      <c r="O332" s="13">
        <f>IF(COUNT(AG332:AP332)&gt;0,MIN(AG332:AP332),"")</f>
        <v>300</v>
      </c>
      <c r="P332" s="13">
        <f>IF(COUNT(AG332:AP332)&gt;0,MAX(AG332:AP332),"")</f>
        <v>300</v>
      </c>
      <c r="Q332" s="13">
        <f>IF(ISNUMBER(O332),P332-O332,"")</f>
        <v>0</v>
      </c>
      <c r="R332" s="13">
        <f>IF(ISNUMBER(O332),IF(C332="Ручная",IF($S$339&gt;0,$R$339*Q332/$S$339,IF($W$339=6,$R$339,0)),0),"")</f>
        <v>0</v>
      </c>
      <c r="S332" s="13">
        <f>IF(ISNUMBER(O332),O332+R332,"")</f>
        <v>300</v>
      </c>
      <c r="T332" s="13">
        <f>IF(ISNUMBER(S332),P332-S332,"")</f>
        <v>0</v>
      </c>
      <c r="U332" s="13">
        <f>IF(COUNT(AG332:AP332)&gt;0,AVERAGE(AG332:AP332),"")</f>
        <v>300</v>
      </c>
      <c r="AG332" s="13">
        <f>IF(ISNUMBER(E$339),E332,"")</f>
        <v>300</v>
      </c>
      <c r="AH332" s="13">
        <f>IF(ISNUMBER(F$339),F332,"")</f>
        <v>300</v>
      </c>
      <c r="AI332" s="13">
        <f>IF(ISNUMBER(G$339),G332,"")</f>
        <v>300</v>
      </c>
      <c r="AJ332" s="13">
        <f>IF(ISNUMBER(H$339),H332,"")</f>
        <v>300</v>
      </c>
      <c r="AK332" s="13">
        <f>IF(ISNUMBER(I$339),I332,"")</f>
        <v>300</v>
      </c>
      <c r="AL332" s="13">
        <f>IF(ISNUMBER(J$339),J332,"")</f>
        <v>300</v>
      </c>
      <c r="AM332" s="13">
        <f>IF(ISNUMBER(K$339),K332,"")</f>
        <v>300</v>
      </c>
      <c r="AN332" s="13">
        <f>IF(ISNUMBER(L$339),L332,"")</f>
        <v>300</v>
      </c>
      <c r="AO332" s="13">
        <f>IF(ISNUMBER(M$339),M332,"")</f>
        <v>300</v>
      </c>
      <c r="AP332" s="13">
        <f>IF(ISNUMBER(N$339),N332,"")</f>
        <v>300</v>
      </c>
      <c r="AQ332" s="13">
        <f>IF(C332="Ручная",O332,0)</f>
        <v>0</v>
      </c>
    </row>
    <row r="333" spans="1:43" ht="40" customHeight="1">
      <c r="A333" s="5">
        <v>7</v>
      </c>
      <c r="B333" s="5" t="s">
        <v>198</v>
      </c>
      <c r="C333" s="11" t="s">
        <v>183</v>
      </c>
      <c r="D333" s="7" t="s">
        <v>199</v>
      </c>
      <c r="E333" s="12">
        <v>30.6</v>
      </c>
      <c r="F333" s="12">
        <v>31.8</v>
      </c>
      <c r="G333" s="12">
        <v>33</v>
      </c>
      <c r="H333" s="12">
        <v>30.9</v>
      </c>
      <c r="I333" s="12">
        <v>32.1</v>
      </c>
      <c r="J333" s="12">
        <v>30.3</v>
      </c>
      <c r="K333" s="12">
        <v>31.5</v>
      </c>
      <c r="L333" s="12">
        <v>30</v>
      </c>
      <c r="M333" s="12">
        <v>31.2</v>
      </c>
      <c r="N333" s="12">
        <v>32.4</v>
      </c>
      <c r="O333" s="13">
        <f>IF(COUNT(AG333:AP333)&gt;0,MIN(AG333:AP333),"")</f>
        <v>30</v>
      </c>
      <c r="P333" s="13">
        <f>IF(COUNT(AG333:AP333)&gt;0,MAX(AG333:AP333),"")</f>
        <v>33</v>
      </c>
      <c r="Q333" s="13">
        <f>IF(ISNUMBER(O333),P333-O333,"")</f>
        <v>3</v>
      </c>
      <c r="R333" s="13">
        <f>IF(ISNUMBER(O333),IF(C333="Ручная",IF($S$339&gt;0,$R$339*Q333/$S$339,IF($W$339=7,$R$339,0)),0),"")</f>
        <v>1.21297297297298</v>
      </c>
      <c r="S333" s="13">
        <f>IF(ISNUMBER(O333),O333+R333,"")</f>
        <v>31.212972972973</v>
      </c>
      <c r="T333" s="13">
        <f>IF(ISNUMBER(S333),P333-S333,"")</f>
        <v>1.78702702702702</v>
      </c>
      <c r="U333" s="13">
        <f>IF(COUNT(AG333:AP333)&gt;0,AVERAGE(AG333:AP333),"")</f>
        <v>31.38</v>
      </c>
      <c r="AG333" s="13">
        <f>IF(ISNUMBER(E$339),E333,"")</f>
        <v>30.6</v>
      </c>
      <c r="AH333" s="13">
        <f>IF(ISNUMBER(F$339),F333,"")</f>
        <v>31.8</v>
      </c>
      <c r="AI333" s="13">
        <f>IF(ISNUMBER(G$339),G333,"")</f>
        <v>33</v>
      </c>
      <c r="AJ333" s="13">
        <f>IF(ISNUMBER(H$339),H333,"")</f>
        <v>30.9</v>
      </c>
      <c r="AK333" s="13">
        <f>IF(ISNUMBER(I$339),I333,"")</f>
        <v>32.1</v>
      </c>
      <c r="AL333" s="13">
        <f>IF(ISNUMBER(J$339),J333,"")</f>
        <v>30.3</v>
      </c>
      <c r="AM333" s="13">
        <f>IF(ISNUMBER(K$339),K333,"")</f>
        <v>31.5</v>
      </c>
      <c r="AN333" s="13">
        <f>IF(ISNUMBER(L$339),L333,"")</f>
        <v>30</v>
      </c>
      <c r="AO333" s="13">
        <f>IF(ISNUMBER(M$339),M333,"")</f>
        <v>31.2</v>
      </c>
      <c r="AP333" s="13">
        <f>IF(ISNUMBER(N$339),N333,"")</f>
        <v>32.4</v>
      </c>
      <c r="AQ333" s="13">
        <f>IF(C333="Ручная",O333,0)</f>
        <v>30</v>
      </c>
    </row>
    <row r="334" spans="1:43" ht="40" customHeight="1">
      <c r="A334" s="5">
        <v>8</v>
      </c>
      <c r="B334" s="5" t="s">
        <v>200</v>
      </c>
      <c r="C334" s="11" t="s">
        <v>183</v>
      </c>
      <c r="D334" s="7" t="s">
        <v>201</v>
      </c>
      <c r="E334" s="12">
        <v>18.54</v>
      </c>
      <c r="F334" s="12">
        <v>19.26</v>
      </c>
      <c r="G334" s="12">
        <v>18.18</v>
      </c>
      <c r="H334" s="12">
        <v>18.9</v>
      </c>
      <c r="I334" s="12">
        <v>18</v>
      </c>
      <c r="J334" s="12">
        <v>18.72</v>
      </c>
      <c r="K334" s="12">
        <v>19.44</v>
      </c>
      <c r="L334" s="12">
        <v>18.36</v>
      </c>
      <c r="M334" s="12">
        <v>19.08</v>
      </c>
      <c r="N334" s="12">
        <v>19.8</v>
      </c>
      <c r="O334" s="13">
        <f>IF(COUNT(AG334:AP334)&gt;0,MIN(AG334:AP334),"")</f>
        <v>18</v>
      </c>
      <c r="P334" s="13">
        <f>IF(COUNT(AG334:AP334)&gt;0,MAX(AG334:AP334),"")</f>
        <v>19.8</v>
      </c>
      <c r="Q334" s="13">
        <f>IF(ISNUMBER(O334),P334-O334,"")</f>
        <v>1.8</v>
      </c>
      <c r="R334" s="13">
        <f>IF(ISNUMBER(O334),IF(C334="Ручная",IF($S$339&gt;0,$R$339*Q334/$S$339,IF($W$339=8,$R$339,0)),0),"")</f>
        <v>0.727783783783786</v>
      </c>
      <c r="S334" s="13">
        <f>IF(ISNUMBER(O334),O334+R334,"")</f>
        <v>18.7277837837838</v>
      </c>
      <c r="T334" s="13">
        <f>IF(ISNUMBER(S334),P334-S334,"")</f>
        <v>1.07221621621622</v>
      </c>
      <c r="U334" s="13">
        <f>IF(COUNT(AG334:AP334)&gt;0,AVERAGE(AG334:AP334),"")</f>
        <v>18.828</v>
      </c>
      <c r="AG334" s="13">
        <f>IF(ISNUMBER(E$339),E334,"")</f>
        <v>18.54</v>
      </c>
      <c r="AH334" s="13">
        <f>IF(ISNUMBER(F$339),F334,"")</f>
        <v>19.26</v>
      </c>
      <c r="AI334" s="13">
        <f>IF(ISNUMBER(G$339),G334,"")</f>
        <v>18.18</v>
      </c>
      <c r="AJ334" s="13">
        <f>IF(ISNUMBER(H$339),H334,"")</f>
        <v>18.9</v>
      </c>
      <c r="AK334" s="13">
        <f>IF(ISNUMBER(I$339),I334,"")</f>
        <v>18</v>
      </c>
      <c r="AL334" s="13">
        <f>IF(ISNUMBER(J$339),J334,"")</f>
        <v>18.72</v>
      </c>
      <c r="AM334" s="13">
        <f>IF(ISNUMBER(K$339),K334,"")</f>
        <v>19.44</v>
      </c>
      <c r="AN334" s="13">
        <f>IF(ISNUMBER(L$339),L334,"")</f>
        <v>18.36</v>
      </c>
      <c r="AO334" s="13">
        <f>IF(ISNUMBER(M$339),M334,"")</f>
        <v>19.08</v>
      </c>
      <c r="AP334" s="13">
        <f>IF(ISNUMBER(N$339),N334,"")</f>
        <v>19.8</v>
      </c>
      <c r="AQ334" s="13">
        <f>IF(C334="Ручная",O334,0)</f>
        <v>18</v>
      </c>
    </row>
    <row r="335" spans="1:43" ht="40" customHeight="1">
      <c r="A335" s="5" t="s">
        <v>189</v>
      </c>
      <c r="B335" s="5" t="s">
        <v>202</v>
      </c>
      <c r="C335" s="11" t="s">
        <v>191</v>
      </c>
      <c r="D335" s="7" t="s">
        <v>203</v>
      </c>
      <c r="E335" s="12">
        <v>10.5</v>
      </c>
      <c r="F335" s="12">
        <v>10</v>
      </c>
      <c r="G335" s="12">
        <v>10.4</v>
      </c>
      <c r="H335" s="12">
        <v>10.8</v>
      </c>
      <c r="I335" s="12">
        <v>10.2</v>
      </c>
      <c r="J335" s="12">
        <v>10.6</v>
      </c>
      <c r="K335" s="12">
        <v>11</v>
      </c>
      <c r="L335" s="12">
        <v>10.3</v>
      </c>
      <c r="M335" s="12">
        <v>10.7</v>
      </c>
      <c r="N335" s="12">
        <v>10.1</v>
      </c>
      <c r="O335" s="13">
        <f>IF(COUNT(AG335:AP335)&gt;0,MIN(AG335:AP335),"")</f>
        <v>10</v>
      </c>
      <c r="P335" s="13">
        <f>IF(COUNT(AG335:AP335)&gt;0,MAX(AG335:AP335),"")</f>
        <v>11</v>
      </c>
      <c r="Q335" s="13">
        <f>IF(ISNUMBER(O335),P335-O335,"")</f>
        <v>1</v>
      </c>
      <c r="R335" s="13">
        <f>IF(ISNUMBER(O335),IF(C335="Ручная",IF($S$339&gt;0,$R$339*Q335/$S$339,IF($W$339=9,$R$339,0)),0),"")</f>
        <v>0</v>
      </c>
      <c r="S335" s="13">
        <f>IF(ISNUMBER(O335),O335+R335,"")</f>
        <v>10</v>
      </c>
      <c r="T335" s="13">
        <f>IF(ISNUMBER(S335),P335-S335,"")</f>
        <v>1</v>
      </c>
      <c r="U335" s="13">
        <f>IF(COUNT(AG335:AP335)&gt;0,AVERAGE(AG335:AP335),"")</f>
        <v>10.46</v>
      </c>
      <c r="AG335" s="13">
        <f>IF(ISNUMBER(E$339),E335,"")</f>
        <v>10.5</v>
      </c>
      <c r="AH335" s="13">
        <f>IF(ISNUMBER(F$339),F335,"")</f>
        <v>10</v>
      </c>
      <c r="AI335" s="13">
        <f>IF(ISNUMBER(G$339),G335,"")</f>
        <v>10.4</v>
      </c>
      <c r="AJ335" s="13">
        <f>IF(ISNUMBER(H$339),H335,"")</f>
        <v>10.8</v>
      </c>
      <c r="AK335" s="13">
        <f>IF(ISNUMBER(I$339),I335,"")</f>
        <v>10.2</v>
      </c>
      <c r="AL335" s="13">
        <f>IF(ISNUMBER(J$339),J335,"")</f>
        <v>10.6</v>
      </c>
      <c r="AM335" s="13">
        <f>IF(ISNUMBER(K$339),K335,"")</f>
        <v>11</v>
      </c>
      <c r="AN335" s="13">
        <f>IF(ISNUMBER(L$339),L335,"")</f>
        <v>10.3</v>
      </c>
      <c r="AO335" s="13">
        <f>IF(ISNUMBER(M$339),M335,"")</f>
        <v>10.7</v>
      </c>
      <c r="AP335" s="13">
        <f>IF(ISNUMBER(N$339),N335,"")</f>
        <v>10.1</v>
      </c>
      <c r="AQ335" s="13">
        <f>IF(C335="Ручная",O335,0)</f>
        <v>0</v>
      </c>
    </row>
    <row r="336" spans="1:43" ht="40" customHeight="1">
      <c r="A336" s="5" t="s">
        <v>189</v>
      </c>
      <c r="B336" s="5" t="s">
        <v>204</v>
      </c>
      <c r="C336" s="11" t="s">
        <v>191</v>
      </c>
      <c r="D336" s="7" t="s">
        <v>205</v>
      </c>
      <c r="E336" s="12">
        <v>10.8</v>
      </c>
      <c r="F336" s="12">
        <v>10.2</v>
      </c>
      <c r="G336" s="12">
        <v>10.6</v>
      </c>
      <c r="H336" s="12">
        <v>11</v>
      </c>
      <c r="I336" s="12">
        <v>10.3</v>
      </c>
      <c r="J336" s="12">
        <v>10.7</v>
      </c>
      <c r="K336" s="12">
        <v>10.1</v>
      </c>
      <c r="L336" s="12">
        <v>10.5</v>
      </c>
      <c r="M336" s="12">
        <v>10</v>
      </c>
      <c r="N336" s="12">
        <v>10.4</v>
      </c>
      <c r="O336" s="13">
        <f>IF(COUNT(AG336:AP336)&gt;0,MIN(AG336:AP336),"")</f>
        <v>10</v>
      </c>
      <c r="P336" s="13">
        <f>IF(COUNT(AG336:AP336)&gt;0,MAX(AG336:AP336),"")</f>
        <v>11</v>
      </c>
      <c r="Q336" s="13">
        <f>IF(ISNUMBER(O336),P336-O336,"")</f>
        <v>1</v>
      </c>
      <c r="R336" s="13">
        <f>IF(ISNUMBER(O336),IF(C336="Ручная",IF($S$339&gt;0,$R$339*Q336/$S$339,IF($W$339=10,$R$339,0)),0),"")</f>
        <v>0</v>
      </c>
      <c r="S336" s="13">
        <f>IF(ISNUMBER(O336),O336+R336,"")</f>
        <v>10</v>
      </c>
      <c r="T336" s="13">
        <f>IF(ISNUMBER(S336),P336-S336,"")</f>
        <v>1</v>
      </c>
      <c r="U336" s="13">
        <f>IF(COUNT(AG336:AP336)&gt;0,AVERAGE(AG336:AP336),"")</f>
        <v>10.46</v>
      </c>
      <c r="AG336" s="13">
        <f>IF(ISNUMBER(E$339),E336,"")</f>
        <v>10.8</v>
      </c>
      <c r="AH336" s="13">
        <f>IF(ISNUMBER(F$339),F336,"")</f>
        <v>10.2</v>
      </c>
      <c r="AI336" s="13">
        <f>IF(ISNUMBER(G$339),G336,"")</f>
        <v>10.6</v>
      </c>
      <c r="AJ336" s="13">
        <f>IF(ISNUMBER(H$339),H336,"")</f>
        <v>11</v>
      </c>
      <c r="AK336" s="13">
        <f>IF(ISNUMBER(I$339),I336,"")</f>
        <v>10.3</v>
      </c>
      <c r="AL336" s="13">
        <f>IF(ISNUMBER(J$339),J336,"")</f>
        <v>10.7</v>
      </c>
      <c r="AM336" s="13">
        <f>IF(ISNUMBER(K$339),K336,"")</f>
        <v>10.1</v>
      </c>
      <c r="AN336" s="13">
        <f>IF(ISNUMBER(L$339),L336,"")</f>
        <v>10.5</v>
      </c>
      <c r="AO336" s="13">
        <f>IF(ISNUMBER(M$339),M336,"")</f>
        <v>10</v>
      </c>
      <c r="AP336" s="13">
        <f>IF(ISNUMBER(N$339),N336,"")</f>
        <v>10.4</v>
      </c>
      <c r="AQ336" s="13">
        <f>IF(C336="Ручная",O336,0)</f>
        <v>0</v>
      </c>
    </row>
    <row r="337" spans="1:43" ht="40" customHeight="1">
      <c r="A337" s="5" t="s">
        <v>189</v>
      </c>
      <c r="B337" s="5" t="s">
        <v>206</v>
      </c>
      <c r="C337" s="11" t="s">
        <v>207</v>
      </c>
      <c r="D337" s="7" t="s">
        <v>208</v>
      </c>
      <c r="E337" s="12">
        <v>13.2</v>
      </c>
      <c r="F337" s="12">
        <v>12.36</v>
      </c>
      <c r="G337" s="12">
        <v>12.84</v>
      </c>
      <c r="H337" s="12">
        <v>12.12</v>
      </c>
      <c r="I337" s="12">
        <v>12.6</v>
      </c>
      <c r="J337" s="12">
        <v>12</v>
      </c>
      <c r="K337" s="12">
        <v>12.48</v>
      </c>
      <c r="L337" s="12">
        <v>12.96</v>
      </c>
      <c r="M337" s="12">
        <v>12.24</v>
      </c>
      <c r="N337" s="12">
        <v>12.72</v>
      </c>
      <c r="O337" s="13">
        <f>IF(COUNT(AG337:AP337)&gt;0,MIN(AG337:AP337),"")</f>
        <v>12</v>
      </c>
      <c r="P337" s="13">
        <f>IF(COUNT(AG337:AP337)&gt;0,MAX(AG337:AP337),"")</f>
        <v>13.2</v>
      </c>
      <c r="Q337" s="13">
        <f>IF(ISNUMBER(O337),P337-O337,"")</f>
        <v>1.2</v>
      </c>
      <c r="R337" s="13">
        <f>IF(ISNUMBER(O337),IF(C337="Ручная",IF($S$339&gt;0,$R$339*Q337/$S$339,IF($W$339=11,$R$339,0)),0),"")</f>
        <v>0</v>
      </c>
      <c r="S337" s="13">
        <f>IF(ISNUMBER(O337),O337+R337,"")</f>
        <v>12</v>
      </c>
      <c r="T337" s="13">
        <f>IF(ISNUMBER(S337),P337-S337,"")</f>
        <v>1.2</v>
      </c>
      <c r="U337" s="13">
        <f>IF(COUNT(AG337:AP337)&gt;0,AVERAGE(AG337:AP337),"")</f>
        <v>12.552</v>
      </c>
      <c r="AG337" s="13">
        <f>IF(ISNUMBER(E$339),E337,"")</f>
        <v>13.2</v>
      </c>
      <c r="AH337" s="13">
        <f>IF(ISNUMBER(F$339),F337,"")</f>
        <v>12.36</v>
      </c>
      <c r="AI337" s="13">
        <f>IF(ISNUMBER(G$339),G337,"")</f>
        <v>12.84</v>
      </c>
      <c r="AJ337" s="13">
        <f>IF(ISNUMBER(H$339),H337,"")</f>
        <v>12.12</v>
      </c>
      <c r="AK337" s="13">
        <f>IF(ISNUMBER(I$339),I337,"")</f>
        <v>12.6</v>
      </c>
      <c r="AL337" s="13">
        <f>IF(ISNUMBER(J$339),J337,"")</f>
        <v>12</v>
      </c>
      <c r="AM337" s="13">
        <f>IF(ISNUMBER(K$339),K337,"")</f>
        <v>12.48</v>
      </c>
      <c r="AN337" s="13">
        <f>IF(ISNUMBER(L$339),L337,"")</f>
        <v>12.96</v>
      </c>
      <c r="AO337" s="13">
        <f>IF(ISNUMBER(M$339),M337,"")</f>
        <v>12.24</v>
      </c>
      <c r="AP337" s="13">
        <f>IF(ISNUMBER(N$339),N337,"")</f>
        <v>12.72</v>
      </c>
      <c r="AQ337" s="13">
        <f>IF(C337="Ручная",O337,0)</f>
        <v>0</v>
      </c>
    </row>
    <row r="338" spans="1:43" ht="23" customHeight="1">
      <c r="B338" s="4" t="s">
        <v>209</v>
      </c>
      <c r="E338" s="6">
        <f>IF(COUNT(E327:E337)=11,SUM(E327:E337),"")</f>
        <v>539.74</v>
      </c>
      <c r="F338" s="6">
        <f>IF(COUNT(F327:F337)=11,SUM(F327:F337),"")</f>
        <v>539.43</v>
      </c>
      <c r="G338" s="6">
        <f>IF(COUNT(G327:G337)=11,SUM(G327:G337),"")</f>
        <v>538.32</v>
      </c>
      <c r="H338" s="6">
        <f>IF(COUNT(H327:H337)=11,SUM(H327:H337),"")</f>
        <v>537.33</v>
      </c>
      <c r="I338" s="6">
        <f>IF(COUNT(I327:I337)=11,SUM(I327:I337),"")</f>
        <v>541.57</v>
      </c>
      <c r="J338" s="6">
        <f>IF(COUNT(J327:J337)=11,SUM(J327:J337),"")</f>
        <v>536.48</v>
      </c>
      <c r="K338" s="6">
        <f>IF(COUNT(K327:K337)=11,SUM(K327:K337),"")</f>
        <v>540.06</v>
      </c>
      <c r="L338" s="6">
        <f>IF(COUNT(L327:L337)=11,SUM(L327:L337),"")</f>
        <v>541.42</v>
      </c>
      <c r="M338" s="6">
        <f>IF(COUNT(M327:M337)=11,SUM(M327:M337),"")</f>
        <v>539.93</v>
      </c>
      <c r="N338" s="6">
        <f>IF(COUNT(N327:N337)=11,SUM(N327:N337),"")</f>
        <v>541.06</v>
      </c>
      <c r="O338" s="6">
        <f>IF(COUNT(O327:O337)=11,SUM(O327:O337),"")</f>
        <v>529</v>
      </c>
      <c r="P338" s="6">
        <f>IF(COUNT(P327:P337)=11,SUM(P327:P337),"")</f>
        <v>551.9</v>
      </c>
      <c r="Q338" s="6">
        <f>IF(COUNT(Q327:Q337)=11,SUM(Q327:Q337),"")</f>
        <v>22.9</v>
      </c>
      <c r="R338" s="6">
        <f>IF(COUNT(R327:R337)=11,SUM(R327:R337),"")</f>
        <v>7.48000000000002</v>
      </c>
      <c r="S338" s="6">
        <f>IF(COUNT(S327:S337)=11,SUM(S327:S337),"")</f>
        <v>536.48</v>
      </c>
      <c r="T338" s="6">
        <f>IF(COUNT(T327:T337)=11,SUM(T327:T337),"")</f>
        <v>15.42</v>
      </c>
      <c r="U338" s="6">
        <f>IF(COUNT(U327:U337)=11,SUM(U327:U337),"")</f>
        <v>539.534</v>
      </c>
    </row>
    <row r="339" spans="1:43" ht="23" customHeight="1">
      <c r="B339" s="4" t="s">
        <v>210</v>
      </c>
      <c r="E339" s="6">
        <f>IF(AND(E325=1,COUNT(E327:E337)=11,MIN(E327:E337)&gt;=0),E338,"")</f>
        <v>539.74</v>
      </c>
      <c r="F339" s="6">
        <f>IF(AND(F325=1,COUNT(F327:F337)=11,MIN(F327:F337)&gt;=0),F338,"")</f>
        <v>539.43</v>
      </c>
      <c r="G339" s="6">
        <f>IF(AND(G325=1,COUNT(G327:G337)=11,MIN(G327:G337)&gt;=0),G338,"")</f>
        <v>538.32</v>
      </c>
      <c r="H339" s="6">
        <f>IF(AND(H325=1,COUNT(H327:H337)=11,MIN(H327:H337)&gt;=0),H338,"")</f>
        <v>537.33</v>
      </c>
      <c r="I339" s="6">
        <f>IF(AND(I325=1,COUNT(I327:I337)=11,MIN(I327:I337)&gt;=0),I338,"")</f>
        <v>541.57</v>
      </c>
      <c r="J339" s="6">
        <f>IF(AND(J325=1,COUNT(J327:J337)=11,MIN(J327:J337)&gt;=0),J338,"")</f>
        <v>536.48</v>
      </c>
      <c r="K339" s="6">
        <f>IF(AND(K325=1,COUNT(K327:K337)=11,MIN(K327:K337)&gt;=0),K338,"")</f>
        <v>540.06</v>
      </c>
      <c r="L339" s="6">
        <f>IF(AND(L325=1,COUNT(L327:L337)=11,MIN(L327:L337)&gt;=0),L338,"")</f>
        <v>541.42</v>
      </c>
      <c r="M339" s="6">
        <f>IF(AND(M325=1,COUNT(M327:M337)=11,MIN(M327:M337)&gt;=0),M338,"")</f>
        <v>539.93</v>
      </c>
      <c r="N339" s="6">
        <f>IF(AND(N325=1,COUNT(N327:N337)=11,MIN(N327:N337)&gt;=0),N338,"")</f>
        <v>541.06</v>
      </c>
      <c r="O339" s="6">
        <f>IF(COUNT(E339:N339)&gt;0,MIN(E339:N339),"")</f>
        <v>536.48</v>
      </c>
      <c r="P339" s="6">
        <f>IF(COUNT(E339:N339)&gt;0,MAX(E339:N339),"")</f>
        <v>541.57</v>
      </c>
      <c r="Q339" s="6">
        <f>IF(ISNUMBER(O339),P339-O339,"")</f>
        <v>5.09000000000003</v>
      </c>
      <c r="R339" s="6">
        <f>IF(ISNUMBER(O339),MAX(0,O339-O338),"")</f>
        <v>7.48000000000002</v>
      </c>
      <c r="S339" s="6">
        <f>SUMIF(C327:C337,"Ручная",Q327:Q337)</f>
        <v>18.5</v>
      </c>
      <c r="T339" s="6">
        <f>COUNT(E339:N339)</f>
        <v>10</v>
      </c>
      <c r="U339" s="6">
        <f>IF(COUNT(E339:N339)&gt;0,AVERAGE(E339:N339),"")</f>
        <v>539.534</v>
      </c>
      <c r="V339" s="6">
        <f>IF(ISNUMBER(O339),S338-O339,"")</f>
        <v>0</v>
      </c>
      <c r="W339" s="6">
        <f>MATCH(MAX(AQ327:AQ337),AQ327:AQ337,0)</f>
        <v>2</v>
      </c>
      <c r="X339" s="17" t="str">
        <f>IF(T339=0,"НЕТ ЗАМЕРОВ",IF(T339&lt;10,"МЕНЕЕ 10 ЦИКЛОВ",IF(ABS(V339)&lt;0.000001,"ОК","ОШИБКА РЕГУЛИРОВКИ")))</f>
        <v>ОК</v>
      </c>
    </row>
    <row r="340" spans="1:43" ht="23" customHeight="1">
      <c r="A340" s="7" t="s">
        <v>211</v>
      </c>
      <c r="B340" s="7"/>
      <c r="C340" s="7"/>
      <c r="D340" s="7"/>
      <c r="E340" s="7"/>
      <c r="F340" s="7"/>
      <c r="G340" s="7"/>
      <c r="H340" s="7"/>
      <c r="I340" s="7"/>
      <c r="J340" s="7"/>
      <c r="K340" s="7"/>
      <c r="L340" s="7"/>
      <c r="M340" s="7"/>
      <c r="N340" s="7"/>
      <c r="O340" s="7"/>
      <c r="P340" s="7"/>
      <c r="Q340" s="7"/>
      <c r="R340" s="7"/>
      <c r="S340" s="7"/>
      <c r="T340" s="7"/>
      <c r="U340" s="7"/>
      <c r="V340" s="7"/>
      <c r="W340" s="7"/>
      <c r="X340" s="7"/>
    </row>
    <row r="343" spans="1:43" ht="23" customHeight="1">
      <c r="A343" s="4" t="s">
        <v>227</v>
      </c>
      <c r="B343" s="4"/>
      <c r="C343" s="4"/>
      <c r="D343" s="4"/>
      <c r="E343" s="4"/>
      <c r="F343" s="4"/>
      <c r="G343" s="4"/>
      <c r="H343" s="4"/>
      <c r="I343" s="4"/>
      <c r="J343" s="4"/>
      <c r="K343" s="4"/>
      <c r="L343" s="4"/>
      <c r="M343" s="4"/>
      <c r="N343" s="4"/>
      <c r="O343" s="4"/>
      <c r="P343" s="4"/>
      <c r="Q343" s="4"/>
      <c r="R343" s="4"/>
      <c r="S343" s="4"/>
      <c r="T343" s="4"/>
      <c r="U343" s="4"/>
      <c r="V343" s="4"/>
      <c r="W343" s="4"/>
      <c r="X343" s="4"/>
    </row>
    <row r="344" spans="1:43" ht="23" customHeight="1">
      <c r="A344" s="7" t="str">
        <f>"Масса замера, кг: "&amp;'Ассортимент'!J24&amp;". Все замеры одной партии/исполнителя/условий. Основание: "&amp;'Ввод'!B14</f>
        <v>Масса замера, кг: 2. Все замеры одной партии/исполнителя/условий. Основание: ДЕМО: синтетические замеры; заменить фактическими</v>
      </c>
      <c r="B344" s="7"/>
      <c r="C344" s="7"/>
      <c r="D344" s="7"/>
      <c r="E344" s="7"/>
      <c r="F344" s="7"/>
      <c r="G344" s="7"/>
      <c r="H344" s="7"/>
      <c r="I344" s="7"/>
      <c r="J344" s="7"/>
      <c r="K344" s="7"/>
      <c r="L344" s="7"/>
      <c r="M344" s="7"/>
      <c r="N344" s="7"/>
      <c r="O344" s="7"/>
      <c r="P344" s="7"/>
      <c r="Q344" s="7"/>
      <c r="R344" s="7"/>
      <c r="S344" s="7"/>
      <c r="T344" s="7"/>
      <c r="U344" s="7"/>
      <c r="V344" s="7"/>
      <c r="W344" s="7"/>
      <c r="X344" s="7"/>
    </row>
    <row r="345" spans="1:43" ht="44" customHeight="1">
      <c r="A345" s="8" t="s">
        <v>113</v>
      </c>
      <c r="B345" s="8" t="s">
        <v>156</v>
      </c>
      <c r="C345" s="8" t="s">
        <v>157</v>
      </c>
      <c r="D345" s="8" t="s">
        <v>158</v>
      </c>
      <c r="E345" s="8" t="s">
        <v>159</v>
      </c>
      <c r="F345" s="8" t="s">
        <v>160</v>
      </c>
      <c r="G345" s="8" t="s">
        <v>161</v>
      </c>
      <c r="H345" s="8" t="s">
        <v>162</v>
      </c>
      <c r="I345" s="8" t="s">
        <v>163</v>
      </c>
      <c r="J345" s="8" t="s">
        <v>164</v>
      </c>
      <c r="K345" s="8" t="s">
        <v>165</v>
      </c>
      <c r="L345" s="8" t="s">
        <v>166</v>
      </c>
      <c r="M345" s="8" t="s">
        <v>167</v>
      </c>
      <c r="N345" s="8" t="s">
        <v>168</v>
      </c>
      <c r="O345" s="8" t="s">
        <v>169</v>
      </c>
      <c r="P345" s="8" t="s">
        <v>170</v>
      </c>
      <c r="Q345" s="8" t="s">
        <v>171</v>
      </c>
      <c r="R345" s="8" t="s">
        <v>172</v>
      </c>
      <c r="S345" s="8" t="s">
        <v>173</v>
      </c>
      <c r="T345" s="8" t="s">
        <v>174</v>
      </c>
      <c r="U345" s="8" t="s">
        <v>175</v>
      </c>
      <c r="V345" s="8" t="s">
        <v>176</v>
      </c>
      <c r="W345" s="8" t="s">
        <v>177</v>
      </c>
      <c r="X345" s="8" t="s">
        <v>178</v>
      </c>
    </row>
    <row r="346" spans="1:43" ht="23" customHeight="1">
      <c r="B346" s="5" t="s">
        <v>179</v>
      </c>
      <c r="E346" s="12">
        <v>1</v>
      </c>
      <c r="F346" s="12">
        <v>1</v>
      </c>
      <c r="G346" s="12">
        <v>1</v>
      </c>
      <c r="H346" s="12">
        <v>1</v>
      </c>
      <c r="I346" s="12">
        <v>1</v>
      </c>
      <c r="J346" s="12">
        <v>1</v>
      </c>
      <c r="K346" s="12">
        <v>1</v>
      </c>
      <c r="L346" s="12">
        <v>1</v>
      </c>
      <c r="M346" s="12">
        <v>1</v>
      </c>
      <c r="N346" s="12">
        <v>1</v>
      </c>
    </row>
    <row r="347" spans="1:43" ht="33" customHeight="1">
      <c r="B347" s="5" t="s">
        <v>180</v>
      </c>
      <c r="E347" s="9" t="s">
        <v>181</v>
      </c>
      <c r="F347" s="9" t="s">
        <v>181</v>
      </c>
      <c r="G347" s="9" t="s">
        <v>181</v>
      </c>
      <c r="H347" s="9" t="s">
        <v>181</v>
      </c>
      <c r="I347" s="9" t="s">
        <v>181</v>
      </c>
      <c r="J347" s="9" t="s">
        <v>181</v>
      </c>
      <c r="K347" s="9" t="s">
        <v>181</v>
      </c>
      <c r="L347" s="9" t="s">
        <v>181</v>
      </c>
      <c r="M347" s="9" t="s">
        <v>181</v>
      </c>
      <c r="N347" s="9" t="s">
        <v>181</v>
      </c>
    </row>
    <row r="348" spans="1:43" ht="40" customHeight="1">
      <c r="A348" s="5">
        <v>1</v>
      </c>
      <c r="B348" s="5" t="s">
        <v>182</v>
      </c>
      <c r="C348" s="11" t="s">
        <v>183</v>
      </c>
      <c r="D348" s="7" t="s">
        <v>184</v>
      </c>
      <c r="E348" s="12">
        <v>25.75</v>
      </c>
      <c r="F348" s="12">
        <v>26.75</v>
      </c>
      <c r="G348" s="12">
        <v>25.25</v>
      </c>
      <c r="H348" s="12">
        <v>26.25</v>
      </c>
      <c r="I348" s="12">
        <v>25</v>
      </c>
      <c r="J348" s="12">
        <v>26</v>
      </c>
      <c r="K348" s="12">
        <v>27</v>
      </c>
      <c r="L348" s="12">
        <v>25.5</v>
      </c>
      <c r="M348" s="12">
        <v>26.5</v>
      </c>
      <c r="N348" s="12">
        <v>27.5</v>
      </c>
      <c r="O348" s="13">
        <f>IF(COUNT(AG348:AP348)&gt;0,MIN(AG348:AP348),"")</f>
        <v>25</v>
      </c>
      <c r="P348" s="13">
        <f>IF(COUNT(AG348:AP348)&gt;0,MAX(AG348:AP348),"")</f>
        <v>27.5</v>
      </c>
      <c r="Q348" s="13">
        <f>IF(ISNUMBER(O348),P348-O348,"")</f>
        <v>2.5</v>
      </c>
      <c r="R348" s="13">
        <f>IF(ISNUMBER(O348),IF(C348="Ручная",IF($S$360&gt;0,$R$360*Q348/$S$360,IF($W$360=1,$R$360,0)),0),"")</f>
        <v>1.090625</v>
      </c>
      <c r="S348" s="13">
        <f>IF(ISNUMBER(O348),O348+R348,"")</f>
        <v>26.090625</v>
      </c>
      <c r="T348" s="13">
        <f>IF(ISNUMBER(S348),P348-S348,"")</f>
        <v>1.409375</v>
      </c>
      <c r="U348" s="13">
        <f>IF(COUNT(AG348:AP348)&gt;0,AVERAGE(AG348:AP348),"")</f>
        <v>26.15</v>
      </c>
      <c r="AG348" s="13">
        <f>IF(ISNUMBER(E$360),E348,"")</f>
        <v>25.75</v>
      </c>
      <c r="AH348" s="13">
        <f>IF(ISNUMBER(F$360),F348,"")</f>
        <v>26.75</v>
      </c>
      <c r="AI348" s="13">
        <f>IF(ISNUMBER(G$360),G348,"")</f>
        <v>25.25</v>
      </c>
      <c r="AJ348" s="13">
        <f>IF(ISNUMBER(H$360),H348,"")</f>
        <v>26.25</v>
      </c>
      <c r="AK348" s="13">
        <f>IF(ISNUMBER(I$360),I348,"")</f>
        <v>25</v>
      </c>
      <c r="AL348" s="13">
        <f>IF(ISNUMBER(J$360),J348,"")</f>
        <v>26</v>
      </c>
      <c r="AM348" s="13">
        <f>IF(ISNUMBER(K$360),K348,"")</f>
        <v>27</v>
      </c>
      <c r="AN348" s="13">
        <f>IF(ISNUMBER(L$360),L348,"")</f>
        <v>25.5</v>
      </c>
      <c r="AO348" s="13">
        <f>IF(ISNUMBER(M$360),M348,"")</f>
        <v>26.5</v>
      </c>
      <c r="AP348" s="13">
        <f>IF(ISNUMBER(N$360),N348,"")</f>
        <v>27.5</v>
      </c>
      <c r="AQ348" s="13">
        <f>IF(C348="Ручная",O348,0)</f>
        <v>25</v>
      </c>
    </row>
    <row r="349" spans="1:43" ht="40" customHeight="1">
      <c r="A349" s="5">
        <v>2</v>
      </c>
      <c r="B349" s="5" t="s">
        <v>185</v>
      </c>
      <c r="C349" s="11" t="s">
        <v>183</v>
      </c>
      <c r="D349" s="7" t="s">
        <v>186</v>
      </c>
      <c r="E349" s="12">
        <v>31.5</v>
      </c>
      <c r="F349" s="12">
        <v>30</v>
      </c>
      <c r="G349" s="12">
        <v>31.2</v>
      </c>
      <c r="H349" s="12">
        <v>32.4</v>
      </c>
      <c r="I349" s="12">
        <v>30.6</v>
      </c>
      <c r="J349" s="12">
        <v>31.8</v>
      </c>
      <c r="K349" s="12">
        <v>33</v>
      </c>
      <c r="L349" s="12">
        <v>30.9</v>
      </c>
      <c r="M349" s="12">
        <v>32.1</v>
      </c>
      <c r="N349" s="12">
        <v>30.3</v>
      </c>
      <c r="O349" s="13">
        <f>IF(COUNT(AG349:AP349)&gt;0,MIN(AG349:AP349),"")</f>
        <v>30</v>
      </c>
      <c r="P349" s="13">
        <f>IF(COUNT(AG349:AP349)&gt;0,MAX(AG349:AP349),"")</f>
        <v>33</v>
      </c>
      <c r="Q349" s="13">
        <f>IF(ISNUMBER(O349),P349-O349,"")</f>
        <v>3</v>
      </c>
      <c r="R349" s="13">
        <f>IF(ISNUMBER(O349),IF(C349="Ручная",IF($S$360&gt;0,$R$360*Q349/$S$360,IF($W$360=2,$R$360,0)),0),"")</f>
        <v>1.30875</v>
      </c>
      <c r="S349" s="13">
        <f>IF(ISNUMBER(O349),O349+R349,"")</f>
        <v>31.30875</v>
      </c>
      <c r="T349" s="13">
        <f>IF(ISNUMBER(S349),P349-S349,"")</f>
        <v>1.69125</v>
      </c>
      <c r="U349" s="13">
        <f>IF(COUNT(AG349:AP349)&gt;0,AVERAGE(AG349:AP349),"")</f>
        <v>31.38</v>
      </c>
      <c r="AG349" s="13">
        <f>IF(ISNUMBER(E$360),E349,"")</f>
        <v>31.5</v>
      </c>
      <c r="AH349" s="13">
        <f>IF(ISNUMBER(F$360),F349,"")</f>
        <v>30</v>
      </c>
      <c r="AI349" s="13">
        <f>IF(ISNUMBER(G$360),G349,"")</f>
        <v>31.2</v>
      </c>
      <c r="AJ349" s="13">
        <f>IF(ISNUMBER(H$360),H349,"")</f>
        <v>32.4</v>
      </c>
      <c r="AK349" s="13">
        <f>IF(ISNUMBER(I$360),I349,"")</f>
        <v>30.6</v>
      </c>
      <c r="AL349" s="13">
        <f>IF(ISNUMBER(J$360),J349,"")</f>
        <v>31.8</v>
      </c>
      <c r="AM349" s="13">
        <f>IF(ISNUMBER(K$360),K349,"")</f>
        <v>33</v>
      </c>
      <c r="AN349" s="13">
        <f>IF(ISNUMBER(L$360),L349,"")</f>
        <v>30.9</v>
      </c>
      <c r="AO349" s="13">
        <f>IF(ISNUMBER(M$360),M349,"")</f>
        <v>32.1</v>
      </c>
      <c r="AP349" s="13">
        <f>IF(ISNUMBER(N$360),N349,"")</f>
        <v>30.3</v>
      </c>
      <c r="AQ349" s="13">
        <f>IF(C349="Ручная",O349,0)</f>
        <v>30</v>
      </c>
    </row>
    <row r="350" spans="1:43" ht="40" customHeight="1">
      <c r="A350" s="5">
        <v>3</v>
      </c>
      <c r="B350" s="5" t="s">
        <v>187</v>
      </c>
      <c r="C350" s="11" t="s">
        <v>183</v>
      </c>
      <c r="D350" s="7" t="s">
        <v>188</v>
      </c>
      <c r="E350" s="12">
        <v>23.76</v>
      </c>
      <c r="F350" s="12">
        <v>22.44</v>
      </c>
      <c r="G350" s="12">
        <v>23.32</v>
      </c>
      <c r="H350" s="12">
        <v>24.2</v>
      </c>
      <c r="I350" s="12">
        <v>22.66</v>
      </c>
      <c r="J350" s="12">
        <v>23.54</v>
      </c>
      <c r="K350" s="12">
        <v>22.22</v>
      </c>
      <c r="L350" s="12">
        <v>23.1</v>
      </c>
      <c r="M350" s="12">
        <v>22</v>
      </c>
      <c r="N350" s="12">
        <v>22.88</v>
      </c>
      <c r="O350" s="13">
        <f>IF(COUNT(AG350:AP350)&gt;0,MIN(AG350:AP350),"")</f>
        <v>22</v>
      </c>
      <c r="P350" s="13">
        <f>IF(COUNT(AG350:AP350)&gt;0,MAX(AG350:AP350),"")</f>
        <v>24.2</v>
      </c>
      <c r="Q350" s="13">
        <f>IF(ISNUMBER(O350),P350-O350,"")</f>
        <v>2.2</v>
      </c>
      <c r="R350" s="13">
        <f>IF(ISNUMBER(O350),IF(C350="Ручная",IF($S$360&gt;0,$R$360*Q350/$S$360,IF($W$360=3,$R$360,0)),0),"")</f>
        <v>0.959750000000002</v>
      </c>
      <c r="S350" s="13">
        <f>IF(ISNUMBER(O350),O350+R350,"")</f>
        <v>22.95975</v>
      </c>
      <c r="T350" s="13">
        <f>IF(ISNUMBER(S350),P350-S350,"")</f>
        <v>1.24025</v>
      </c>
      <c r="U350" s="13">
        <f>IF(COUNT(AG350:AP350)&gt;0,AVERAGE(AG350:AP350),"")</f>
        <v>23.012</v>
      </c>
      <c r="AG350" s="13">
        <f>IF(ISNUMBER(E$360),E350,"")</f>
        <v>23.76</v>
      </c>
      <c r="AH350" s="13">
        <f>IF(ISNUMBER(F$360),F350,"")</f>
        <v>22.44</v>
      </c>
      <c r="AI350" s="13">
        <f>IF(ISNUMBER(G$360),G350,"")</f>
        <v>23.32</v>
      </c>
      <c r="AJ350" s="13">
        <f>IF(ISNUMBER(H$360),H350,"")</f>
        <v>24.2</v>
      </c>
      <c r="AK350" s="13">
        <f>IF(ISNUMBER(I$360),I350,"")</f>
        <v>22.66</v>
      </c>
      <c r="AL350" s="13">
        <f>IF(ISNUMBER(J$360),J350,"")</f>
        <v>23.54</v>
      </c>
      <c r="AM350" s="13">
        <f>IF(ISNUMBER(K$360),K350,"")</f>
        <v>22.22</v>
      </c>
      <c r="AN350" s="13">
        <f>IF(ISNUMBER(L$360),L350,"")</f>
        <v>23.1</v>
      </c>
      <c r="AO350" s="13">
        <f>IF(ISNUMBER(M$360),M350,"")</f>
        <v>22</v>
      </c>
      <c r="AP350" s="13">
        <f>IF(ISNUMBER(N$360),N350,"")</f>
        <v>22.88</v>
      </c>
      <c r="AQ350" s="13">
        <f>IF(C350="Ручная",O350,0)</f>
        <v>22</v>
      </c>
    </row>
    <row r="351" spans="1:43" ht="40" customHeight="1">
      <c r="A351" s="5" t="s">
        <v>189</v>
      </c>
      <c r="B351" s="5" t="s">
        <v>190</v>
      </c>
      <c r="C351" s="11" t="s">
        <v>191</v>
      </c>
      <c r="D351" s="7" t="s">
        <v>192</v>
      </c>
      <c r="E351" s="12">
        <v>13.2</v>
      </c>
      <c r="F351" s="12">
        <v>12.36</v>
      </c>
      <c r="G351" s="12">
        <v>12.84</v>
      </c>
      <c r="H351" s="12">
        <v>12.12</v>
      </c>
      <c r="I351" s="12">
        <v>12.6</v>
      </c>
      <c r="J351" s="12">
        <v>12</v>
      </c>
      <c r="K351" s="12">
        <v>12.48</v>
      </c>
      <c r="L351" s="12">
        <v>12.96</v>
      </c>
      <c r="M351" s="12">
        <v>12.24</v>
      </c>
      <c r="N351" s="12">
        <v>12.72</v>
      </c>
      <c r="O351" s="13">
        <f>IF(COUNT(AG351:AP351)&gt;0,MIN(AG351:AP351),"")</f>
        <v>12</v>
      </c>
      <c r="P351" s="13">
        <f>IF(COUNT(AG351:AP351)&gt;0,MAX(AG351:AP351),"")</f>
        <v>13.2</v>
      </c>
      <c r="Q351" s="13">
        <f>IF(ISNUMBER(O351),P351-O351,"")</f>
        <v>1.2</v>
      </c>
      <c r="R351" s="13">
        <f>IF(ISNUMBER(O351),IF(C351="Ручная",IF($S$360&gt;0,$R$360*Q351/$S$360,IF($W$360=4,$R$360,0)),0),"")</f>
        <v>0</v>
      </c>
      <c r="S351" s="13">
        <f>IF(ISNUMBER(O351),O351+R351,"")</f>
        <v>12</v>
      </c>
      <c r="T351" s="13">
        <f>IF(ISNUMBER(S351),P351-S351,"")</f>
        <v>1.2</v>
      </c>
      <c r="U351" s="13">
        <f>IF(COUNT(AG351:AP351)&gt;0,AVERAGE(AG351:AP351),"")</f>
        <v>12.552</v>
      </c>
      <c r="AG351" s="13">
        <f>IF(ISNUMBER(E$360),E351,"")</f>
        <v>13.2</v>
      </c>
      <c r="AH351" s="13">
        <f>IF(ISNUMBER(F$360),F351,"")</f>
        <v>12.36</v>
      </c>
      <c r="AI351" s="13">
        <f>IF(ISNUMBER(G$360),G351,"")</f>
        <v>12.84</v>
      </c>
      <c r="AJ351" s="13">
        <f>IF(ISNUMBER(H$360),H351,"")</f>
        <v>12.12</v>
      </c>
      <c r="AK351" s="13">
        <f>IF(ISNUMBER(I$360),I351,"")</f>
        <v>12.6</v>
      </c>
      <c r="AL351" s="13">
        <f>IF(ISNUMBER(J$360),J351,"")</f>
        <v>12</v>
      </c>
      <c r="AM351" s="13">
        <f>IF(ISNUMBER(K$360),K351,"")</f>
        <v>12.48</v>
      </c>
      <c r="AN351" s="13">
        <f>IF(ISNUMBER(L$360),L351,"")</f>
        <v>12.96</v>
      </c>
      <c r="AO351" s="13">
        <f>IF(ISNUMBER(M$360),M351,"")</f>
        <v>12.24</v>
      </c>
      <c r="AP351" s="13">
        <f>IF(ISNUMBER(N$360),N351,"")</f>
        <v>12.72</v>
      </c>
      <c r="AQ351" s="13">
        <f>IF(C351="Ручная",O351,0)</f>
        <v>0</v>
      </c>
    </row>
    <row r="352" spans="1:43" ht="40" customHeight="1">
      <c r="A352" s="5">
        <v>5</v>
      </c>
      <c r="B352" s="5" t="s">
        <v>193</v>
      </c>
      <c r="C352" s="11" t="s">
        <v>183</v>
      </c>
      <c r="D352" s="7" t="s">
        <v>194</v>
      </c>
      <c r="E352" s="12">
        <v>35.35</v>
      </c>
      <c r="F352" s="12">
        <v>36.75</v>
      </c>
      <c r="G352" s="12">
        <v>35</v>
      </c>
      <c r="H352" s="12">
        <v>36.4</v>
      </c>
      <c r="I352" s="12">
        <v>37.8</v>
      </c>
      <c r="J352" s="12">
        <v>35.7</v>
      </c>
      <c r="K352" s="12">
        <v>37.1</v>
      </c>
      <c r="L352" s="12">
        <v>38.5</v>
      </c>
      <c r="M352" s="12">
        <v>36.05</v>
      </c>
      <c r="N352" s="12">
        <v>37.45</v>
      </c>
      <c r="O352" s="13">
        <f>IF(COUNT(AG352:AP352)&gt;0,MIN(AG352:AP352),"")</f>
        <v>35</v>
      </c>
      <c r="P352" s="13">
        <f>IF(COUNT(AG352:AP352)&gt;0,MAX(AG352:AP352),"")</f>
        <v>38.5</v>
      </c>
      <c r="Q352" s="13">
        <f>IF(ISNUMBER(O352),P352-O352,"")</f>
        <v>3.5</v>
      </c>
      <c r="R352" s="13">
        <f>IF(ISNUMBER(O352),IF(C352="Ручная",IF($S$360&gt;0,$R$360*Q352/$S$360,IF($W$360=5,$R$360,0)),0),"")</f>
        <v>1.526875</v>
      </c>
      <c r="S352" s="13">
        <f>IF(ISNUMBER(O352),O352+R352,"")</f>
        <v>36.526875</v>
      </c>
      <c r="T352" s="13">
        <f>IF(ISNUMBER(S352),P352-S352,"")</f>
        <v>1.973125</v>
      </c>
      <c r="U352" s="13">
        <f>IF(COUNT(AG352:AP352)&gt;0,AVERAGE(AG352:AP352),"")</f>
        <v>36.61</v>
      </c>
      <c r="AG352" s="13">
        <f>IF(ISNUMBER(E$360),E352,"")</f>
        <v>35.35</v>
      </c>
      <c r="AH352" s="13">
        <f>IF(ISNUMBER(F$360),F352,"")</f>
        <v>36.75</v>
      </c>
      <c r="AI352" s="13">
        <f>IF(ISNUMBER(G$360),G352,"")</f>
        <v>35</v>
      </c>
      <c r="AJ352" s="13">
        <f>IF(ISNUMBER(H$360),H352,"")</f>
        <v>36.4</v>
      </c>
      <c r="AK352" s="13">
        <f>IF(ISNUMBER(I$360),I352,"")</f>
        <v>37.8</v>
      </c>
      <c r="AL352" s="13">
        <f>IF(ISNUMBER(J$360),J352,"")</f>
        <v>35.7</v>
      </c>
      <c r="AM352" s="13">
        <f>IF(ISNUMBER(K$360),K352,"")</f>
        <v>37.1</v>
      </c>
      <c r="AN352" s="13">
        <f>IF(ISNUMBER(L$360),L352,"")</f>
        <v>38.5</v>
      </c>
      <c r="AO352" s="13">
        <f>IF(ISNUMBER(M$360),M352,"")</f>
        <v>36.05</v>
      </c>
      <c r="AP352" s="13">
        <f>IF(ISNUMBER(N$360),N352,"")</f>
        <v>37.45</v>
      </c>
      <c r="AQ352" s="13">
        <f>IF(C352="Ручная",O352,0)</f>
        <v>35</v>
      </c>
    </row>
    <row r="353" spans="1:43" ht="40" customHeight="1">
      <c r="A353" s="5" t="s">
        <v>189</v>
      </c>
      <c r="B353" s="5" t="s">
        <v>195</v>
      </c>
      <c r="C353" s="11" t="s">
        <v>196</v>
      </c>
      <c r="D353" s="7" t="s">
        <v>197</v>
      </c>
      <c r="E353" s="18">
        <f>'Ассортимент'!R24</f>
        <v>300</v>
      </c>
      <c r="F353" s="18">
        <f>'Ассортимент'!R24</f>
        <v>300</v>
      </c>
      <c r="G353" s="18">
        <f>'Ассортимент'!R24</f>
        <v>300</v>
      </c>
      <c r="H353" s="18">
        <f>'Ассортимент'!R24</f>
        <v>300</v>
      </c>
      <c r="I353" s="18">
        <f>'Ассортимент'!R24</f>
        <v>300</v>
      </c>
      <c r="J353" s="18">
        <f>'Ассортимент'!R24</f>
        <v>300</v>
      </c>
      <c r="K353" s="18">
        <f>'Ассортимент'!R24</f>
        <v>300</v>
      </c>
      <c r="L353" s="18">
        <f>'Ассортимент'!R24</f>
        <v>300</v>
      </c>
      <c r="M353" s="18">
        <f>'Ассортимент'!R24</f>
        <v>300</v>
      </c>
      <c r="N353" s="18">
        <f>'Ассортимент'!R24</f>
        <v>300</v>
      </c>
      <c r="O353" s="13">
        <f>IF(COUNT(AG353:AP353)&gt;0,MIN(AG353:AP353),"")</f>
        <v>300</v>
      </c>
      <c r="P353" s="13">
        <f>IF(COUNT(AG353:AP353)&gt;0,MAX(AG353:AP353),"")</f>
        <v>300</v>
      </c>
      <c r="Q353" s="13">
        <f>IF(ISNUMBER(O353),P353-O353,"")</f>
        <v>0</v>
      </c>
      <c r="R353" s="13">
        <f>IF(ISNUMBER(O353),IF(C353="Ручная",IF($S$360&gt;0,$R$360*Q353/$S$360,IF($W$360=6,$R$360,0)),0),"")</f>
        <v>0</v>
      </c>
      <c r="S353" s="13">
        <f>IF(ISNUMBER(O353),O353+R353,"")</f>
        <v>300</v>
      </c>
      <c r="T353" s="13">
        <f>IF(ISNUMBER(S353),P353-S353,"")</f>
        <v>0</v>
      </c>
      <c r="U353" s="13">
        <f>IF(COUNT(AG353:AP353)&gt;0,AVERAGE(AG353:AP353),"")</f>
        <v>300</v>
      </c>
      <c r="AG353" s="13">
        <f>IF(ISNUMBER(E$360),E353,"")</f>
        <v>300</v>
      </c>
      <c r="AH353" s="13">
        <f>IF(ISNUMBER(F$360),F353,"")</f>
        <v>300</v>
      </c>
      <c r="AI353" s="13">
        <f>IF(ISNUMBER(G$360),G353,"")</f>
        <v>300</v>
      </c>
      <c r="AJ353" s="13">
        <f>IF(ISNUMBER(H$360),H353,"")</f>
        <v>300</v>
      </c>
      <c r="AK353" s="13">
        <f>IF(ISNUMBER(I$360),I353,"")</f>
        <v>300</v>
      </c>
      <c r="AL353" s="13">
        <f>IF(ISNUMBER(J$360),J353,"")</f>
        <v>300</v>
      </c>
      <c r="AM353" s="13">
        <f>IF(ISNUMBER(K$360),K353,"")</f>
        <v>300</v>
      </c>
      <c r="AN353" s="13">
        <f>IF(ISNUMBER(L$360),L353,"")</f>
        <v>300</v>
      </c>
      <c r="AO353" s="13">
        <f>IF(ISNUMBER(M$360),M353,"")</f>
        <v>300</v>
      </c>
      <c r="AP353" s="13">
        <f>IF(ISNUMBER(N$360),N353,"")</f>
        <v>300</v>
      </c>
      <c r="AQ353" s="13">
        <f>IF(C353="Ручная",O353,0)</f>
        <v>0</v>
      </c>
    </row>
    <row r="354" spans="1:43" ht="40" customHeight="1">
      <c r="A354" s="5">
        <v>7</v>
      </c>
      <c r="B354" s="5" t="s">
        <v>198</v>
      </c>
      <c r="C354" s="11" t="s">
        <v>183</v>
      </c>
      <c r="D354" s="7" t="s">
        <v>199</v>
      </c>
      <c r="E354" s="12">
        <v>31.8</v>
      </c>
      <c r="F354" s="12">
        <v>33</v>
      </c>
      <c r="G354" s="12">
        <v>30.9</v>
      </c>
      <c r="H354" s="12">
        <v>32.1</v>
      </c>
      <c r="I354" s="12">
        <v>30.3</v>
      </c>
      <c r="J354" s="12">
        <v>31.5</v>
      </c>
      <c r="K354" s="12">
        <v>30</v>
      </c>
      <c r="L354" s="12">
        <v>31.2</v>
      </c>
      <c r="M354" s="12">
        <v>32.4</v>
      </c>
      <c r="N354" s="12">
        <v>30.6</v>
      </c>
      <c r="O354" s="13">
        <f>IF(COUNT(AG354:AP354)&gt;0,MIN(AG354:AP354),"")</f>
        <v>30</v>
      </c>
      <c r="P354" s="13">
        <f>IF(COUNT(AG354:AP354)&gt;0,MAX(AG354:AP354),"")</f>
        <v>33</v>
      </c>
      <c r="Q354" s="13">
        <f>IF(ISNUMBER(O354),P354-O354,"")</f>
        <v>3</v>
      </c>
      <c r="R354" s="13">
        <f>IF(ISNUMBER(O354),IF(C354="Ручная",IF($S$360&gt;0,$R$360*Q354/$S$360,IF($W$360=7,$R$360,0)),0),"")</f>
        <v>1.30875</v>
      </c>
      <c r="S354" s="13">
        <f>IF(ISNUMBER(O354),O354+R354,"")</f>
        <v>31.30875</v>
      </c>
      <c r="T354" s="13">
        <f>IF(ISNUMBER(S354),P354-S354,"")</f>
        <v>1.69125</v>
      </c>
      <c r="U354" s="13">
        <f>IF(COUNT(AG354:AP354)&gt;0,AVERAGE(AG354:AP354),"")</f>
        <v>31.38</v>
      </c>
      <c r="AG354" s="13">
        <f>IF(ISNUMBER(E$360),E354,"")</f>
        <v>31.8</v>
      </c>
      <c r="AH354" s="13">
        <f>IF(ISNUMBER(F$360),F354,"")</f>
        <v>33</v>
      </c>
      <c r="AI354" s="13">
        <f>IF(ISNUMBER(G$360),G354,"")</f>
        <v>30.9</v>
      </c>
      <c r="AJ354" s="13">
        <f>IF(ISNUMBER(H$360),H354,"")</f>
        <v>32.1</v>
      </c>
      <c r="AK354" s="13">
        <f>IF(ISNUMBER(I$360),I354,"")</f>
        <v>30.3</v>
      </c>
      <c r="AL354" s="13">
        <f>IF(ISNUMBER(J$360),J354,"")</f>
        <v>31.5</v>
      </c>
      <c r="AM354" s="13">
        <f>IF(ISNUMBER(K$360),K354,"")</f>
        <v>30</v>
      </c>
      <c r="AN354" s="13">
        <f>IF(ISNUMBER(L$360),L354,"")</f>
        <v>31.2</v>
      </c>
      <c r="AO354" s="13">
        <f>IF(ISNUMBER(M$360),M354,"")</f>
        <v>32.4</v>
      </c>
      <c r="AP354" s="13">
        <f>IF(ISNUMBER(N$360),N354,"")</f>
        <v>30.6</v>
      </c>
      <c r="AQ354" s="13">
        <f>IF(C354="Ручная",O354,0)</f>
        <v>30</v>
      </c>
    </row>
    <row r="355" spans="1:43" ht="40" customHeight="1">
      <c r="A355" s="5">
        <v>8</v>
      </c>
      <c r="B355" s="5" t="s">
        <v>200</v>
      </c>
      <c r="C355" s="11" t="s">
        <v>183</v>
      </c>
      <c r="D355" s="7" t="s">
        <v>201</v>
      </c>
      <c r="E355" s="12">
        <v>19.26</v>
      </c>
      <c r="F355" s="12">
        <v>18.18</v>
      </c>
      <c r="G355" s="12">
        <v>18.9</v>
      </c>
      <c r="H355" s="12">
        <v>18</v>
      </c>
      <c r="I355" s="12">
        <v>18.72</v>
      </c>
      <c r="J355" s="12">
        <v>19.44</v>
      </c>
      <c r="K355" s="12">
        <v>18.36</v>
      </c>
      <c r="L355" s="12">
        <v>19.08</v>
      </c>
      <c r="M355" s="12">
        <v>19.8</v>
      </c>
      <c r="N355" s="12">
        <v>18.54</v>
      </c>
      <c r="O355" s="13">
        <f>IF(COUNT(AG355:AP355)&gt;0,MIN(AG355:AP355),"")</f>
        <v>18</v>
      </c>
      <c r="P355" s="13">
        <f>IF(COUNT(AG355:AP355)&gt;0,MAX(AG355:AP355),"")</f>
        <v>19.8</v>
      </c>
      <c r="Q355" s="13">
        <f>IF(ISNUMBER(O355),P355-O355,"")</f>
        <v>1.8</v>
      </c>
      <c r="R355" s="13">
        <f>IF(ISNUMBER(O355),IF(C355="Ручная",IF($S$360&gt;0,$R$360*Q355/$S$360,IF($W$360=8,$R$360,0)),0),"")</f>
        <v>0.785250000000002</v>
      </c>
      <c r="S355" s="13">
        <f>IF(ISNUMBER(O355),O355+R355,"")</f>
        <v>18.78525</v>
      </c>
      <c r="T355" s="13">
        <f>IF(ISNUMBER(S355),P355-S355,"")</f>
        <v>1.01475</v>
      </c>
      <c r="U355" s="13">
        <f>IF(COUNT(AG355:AP355)&gt;0,AVERAGE(AG355:AP355),"")</f>
        <v>18.828</v>
      </c>
      <c r="AG355" s="13">
        <f>IF(ISNUMBER(E$360),E355,"")</f>
        <v>19.26</v>
      </c>
      <c r="AH355" s="13">
        <f>IF(ISNUMBER(F$360),F355,"")</f>
        <v>18.18</v>
      </c>
      <c r="AI355" s="13">
        <f>IF(ISNUMBER(G$360),G355,"")</f>
        <v>18.9</v>
      </c>
      <c r="AJ355" s="13">
        <f>IF(ISNUMBER(H$360),H355,"")</f>
        <v>18</v>
      </c>
      <c r="AK355" s="13">
        <f>IF(ISNUMBER(I$360),I355,"")</f>
        <v>18.72</v>
      </c>
      <c r="AL355" s="13">
        <f>IF(ISNUMBER(J$360),J355,"")</f>
        <v>19.44</v>
      </c>
      <c r="AM355" s="13">
        <f>IF(ISNUMBER(K$360),K355,"")</f>
        <v>18.36</v>
      </c>
      <c r="AN355" s="13">
        <f>IF(ISNUMBER(L$360),L355,"")</f>
        <v>19.08</v>
      </c>
      <c r="AO355" s="13">
        <f>IF(ISNUMBER(M$360),M355,"")</f>
        <v>19.8</v>
      </c>
      <c r="AP355" s="13">
        <f>IF(ISNUMBER(N$360),N355,"")</f>
        <v>18.54</v>
      </c>
      <c r="AQ355" s="13">
        <f>IF(C355="Ручная",O355,0)</f>
        <v>18</v>
      </c>
    </row>
    <row r="356" spans="1:43" ht="40" customHeight="1">
      <c r="A356" s="5" t="s">
        <v>189</v>
      </c>
      <c r="B356" s="5" t="s">
        <v>202</v>
      </c>
      <c r="C356" s="11" t="s">
        <v>191</v>
      </c>
      <c r="D356" s="7" t="s">
        <v>203</v>
      </c>
      <c r="E356" s="12">
        <v>10</v>
      </c>
      <c r="F356" s="12">
        <v>10.4</v>
      </c>
      <c r="G356" s="12">
        <v>10.8</v>
      </c>
      <c r="H356" s="12">
        <v>10.2</v>
      </c>
      <c r="I356" s="12">
        <v>10.6</v>
      </c>
      <c r="J356" s="12">
        <v>11</v>
      </c>
      <c r="K356" s="12">
        <v>10.3</v>
      </c>
      <c r="L356" s="12">
        <v>10.7</v>
      </c>
      <c r="M356" s="12">
        <v>10.1</v>
      </c>
      <c r="N356" s="12">
        <v>10.5</v>
      </c>
      <c r="O356" s="13">
        <f>IF(COUNT(AG356:AP356)&gt;0,MIN(AG356:AP356),"")</f>
        <v>10</v>
      </c>
      <c r="P356" s="13">
        <f>IF(COUNT(AG356:AP356)&gt;0,MAX(AG356:AP356),"")</f>
        <v>11</v>
      </c>
      <c r="Q356" s="13">
        <f>IF(ISNUMBER(O356),P356-O356,"")</f>
        <v>1</v>
      </c>
      <c r="R356" s="13">
        <f>IF(ISNUMBER(O356),IF(C356="Ручная",IF($S$360&gt;0,$R$360*Q356/$S$360,IF($W$360=9,$R$360,0)),0),"")</f>
        <v>0</v>
      </c>
      <c r="S356" s="13">
        <f>IF(ISNUMBER(O356),O356+R356,"")</f>
        <v>10</v>
      </c>
      <c r="T356" s="13">
        <f>IF(ISNUMBER(S356),P356-S356,"")</f>
        <v>1</v>
      </c>
      <c r="U356" s="13">
        <f>IF(COUNT(AG356:AP356)&gt;0,AVERAGE(AG356:AP356),"")</f>
        <v>10.46</v>
      </c>
      <c r="AG356" s="13">
        <f>IF(ISNUMBER(E$360),E356,"")</f>
        <v>10</v>
      </c>
      <c r="AH356" s="13">
        <f>IF(ISNUMBER(F$360),F356,"")</f>
        <v>10.4</v>
      </c>
      <c r="AI356" s="13">
        <f>IF(ISNUMBER(G$360),G356,"")</f>
        <v>10.8</v>
      </c>
      <c r="AJ356" s="13">
        <f>IF(ISNUMBER(H$360),H356,"")</f>
        <v>10.2</v>
      </c>
      <c r="AK356" s="13">
        <f>IF(ISNUMBER(I$360),I356,"")</f>
        <v>10.6</v>
      </c>
      <c r="AL356" s="13">
        <f>IF(ISNUMBER(J$360),J356,"")</f>
        <v>11</v>
      </c>
      <c r="AM356" s="13">
        <f>IF(ISNUMBER(K$360),K356,"")</f>
        <v>10.3</v>
      </c>
      <c r="AN356" s="13">
        <f>IF(ISNUMBER(L$360),L356,"")</f>
        <v>10.7</v>
      </c>
      <c r="AO356" s="13">
        <f>IF(ISNUMBER(M$360),M356,"")</f>
        <v>10.1</v>
      </c>
      <c r="AP356" s="13">
        <f>IF(ISNUMBER(N$360),N356,"")</f>
        <v>10.5</v>
      </c>
      <c r="AQ356" s="13">
        <f>IF(C356="Ручная",O356,0)</f>
        <v>0</v>
      </c>
    </row>
    <row r="357" spans="1:43" ht="40" customHeight="1">
      <c r="A357" s="5" t="s">
        <v>189</v>
      </c>
      <c r="B357" s="5" t="s">
        <v>204</v>
      </c>
      <c r="C357" s="11" t="s">
        <v>191</v>
      </c>
      <c r="D357" s="7" t="s">
        <v>205</v>
      </c>
      <c r="E357" s="12">
        <v>10.2</v>
      </c>
      <c r="F357" s="12">
        <v>10.6</v>
      </c>
      <c r="G357" s="12">
        <v>11</v>
      </c>
      <c r="H357" s="12">
        <v>10.3</v>
      </c>
      <c r="I357" s="12">
        <v>10.7</v>
      </c>
      <c r="J357" s="12">
        <v>10.1</v>
      </c>
      <c r="K357" s="12">
        <v>10.5</v>
      </c>
      <c r="L357" s="12">
        <v>10</v>
      </c>
      <c r="M357" s="12">
        <v>10.4</v>
      </c>
      <c r="N357" s="12">
        <v>10.8</v>
      </c>
      <c r="O357" s="13">
        <f>IF(COUNT(AG357:AP357)&gt;0,MIN(AG357:AP357),"")</f>
        <v>10</v>
      </c>
      <c r="P357" s="13">
        <f>IF(COUNT(AG357:AP357)&gt;0,MAX(AG357:AP357),"")</f>
        <v>11</v>
      </c>
      <c r="Q357" s="13">
        <f>IF(ISNUMBER(O357),P357-O357,"")</f>
        <v>1</v>
      </c>
      <c r="R357" s="13">
        <f>IF(ISNUMBER(O357),IF(C357="Ручная",IF($S$360&gt;0,$R$360*Q357/$S$360,IF($W$360=10,$R$360,0)),0),"")</f>
        <v>0</v>
      </c>
      <c r="S357" s="13">
        <f>IF(ISNUMBER(O357),O357+R357,"")</f>
        <v>10</v>
      </c>
      <c r="T357" s="13">
        <f>IF(ISNUMBER(S357),P357-S357,"")</f>
        <v>1</v>
      </c>
      <c r="U357" s="13">
        <f>IF(COUNT(AG357:AP357)&gt;0,AVERAGE(AG357:AP357),"")</f>
        <v>10.46</v>
      </c>
      <c r="AG357" s="13">
        <f>IF(ISNUMBER(E$360),E357,"")</f>
        <v>10.2</v>
      </c>
      <c r="AH357" s="13">
        <f>IF(ISNUMBER(F$360),F357,"")</f>
        <v>10.6</v>
      </c>
      <c r="AI357" s="13">
        <f>IF(ISNUMBER(G$360),G357,"")</f>
        <v>11</v>
      </c>
      <c r="AJ357" s="13">
        <f>IF(ISNUMBER(H$360),H357,"")</f>
        <v>10.3</v>
      </c>
      <c r="AK357" s="13">
        <f>IF(ISNUMBER(I$360),I357,"")</f>
        <v>10.7</v>
      </c>
      <c r="AL357" s="13">
        <f>IF(ISNUMBER(J$360),J357,"")</f>
        <v>10.1</v>
      </c>
      <c r="AM357" s="13">
        <f>IF(ISNUMBER(K$360),K357,"")</f>
        <v>10.5</v>
      </c>
      <c r="AN357" s="13">
        <f>IF(ISNUMBER(L$360),L357,"")</f>
        <v>10</v>
      </c>
      <c r="AO357" s="13">
        <f>IF(ISNUMBER(M$360),M357,"")</f>
        <v>10.4</v>
      </c>
      <c r="AP357" s="13">
        <f>IF(ISNUMBER(N$360),N357,"")</f>
        <v>10.8</v>
      </c>
      <c r="AQ357" s="13">
        <f>IF(C357="Ручная",O357,0)</f>
        <v>0</v>
      </c>
    </row>
    <row r="358" spans="1:43" ht="40" customHeight="1">
      <c r="A358" s="5" t="s">
        <v>189</v>
      </c>
      <c r="B358" s="5" t="s">
        <v>206</v>
      </c>
      <c r="C358" s="11" t="s">
        <v>207</v>
      </c>
      <c r="D358" s="7" t="s">
        <v>208</v>
      </c>
      <c r="E358" s="12">
        <v>12.36</v>
      </c>
      <c r="F358" s="12">
        <v>12.84</v>
      </c>
      <c r="G358" s="12">
        <v>12.12</v>
      </c>
      <c r="H358" s="12">
        <v>12.6</v>
      </c>
      <c r="I358" s="12">
        <v>12</v>
      </c>
      <c r="J358" s="12">
        <v>12.48</v>
      </c>
      <c r="K358" s="12">
        <v>12.96</v>
      </c>
      <c r="L358" s="12">
        <v>12.24</v>
      </c>
      <c r="M358" s="12">
        <v>12.72</v>
      </c>
      <c r="N358" s="12">
        <v>13.2</v>
      </c>
      <c r="O358" s="13">
        <f>IF(COUNT(AG358:AP358)&gt;0,MIN(AG358:AP358),"")</f>
        <v>12</v>
      </c>
      <c r="P358" s="13">
        <f>IF(COUNT(AG358:AP358)&gt;0,MAX(AG358:AP358),"")</f>
        <v>13.2</v>
      </c>
      <c r="Q358" s="13">
        <f>IF(ISNUMBER(O358),P358-O358,"")</f>
        <v>1.2</v>
      </c>
      <c r="R358" s="13">
        <f>IF(ISNUMBER(O358),IF(C358="Ручная",IF($S$360&gt;0,$R$360*Q358/$S$360,IF($W$360=11,$R$360,0)),0),"")</f>
        <v>0</v>
      </c>
      <c r="S358" s="13">
        <f>IF(ISNUMBER(O358),O358+R358,"")</f>
        <v>12</v>
      </c>
      <c r="T358" s="13">
        <f>IF(ISNUMBER(S358),P358-S358,"")</f>
        <v>1.2</v>
      </c>
      <c r="U358" s="13">
        <f>IF(COUNT(AG358:AP358)&gt;0,AVERAGE(AG358:AP358),"")</f>
        <v>12.552</v>
      </c>
      <c r="AG358" s="13">
        <f>IF(ISNUMBER(E$360),E358,"")</f>
        <v>12.36</v>
      </c>
      <c r="AH358" s="13">
        <f>IF(ISNUMBER(F$360),F358,"")</f>
        <v>12.84</v>
      </c>
      <c r="AI358" s="13">
        <f>IF(ISNUMBER(G$360),G358,"")</f>
        <v>12.12</v>
      </c>
      <c r="AJ358" s="13">
        <f>IF(ISNUMBER(H$360),H358,"")</f>
        <v>12.6</v>
      </c>
      <c r="AK358" s="13">
        <f>IF(ISNUMBER(I$360),I358,"")</f>
        <v>12</v>
      </c>
      <c r="AL358" s="13">
        <f>IF(ISNUMBER(J$360),J358,"")</f>
        <v>12.48</v>
      </c>
      <c r="AM358" s="13">
        <f>IF(ISNUMBER(K$360),K358,"")</f>
        <v>12.96</v>
      </c>
      <c r="AN358" s="13">
        <f>IF(ISNUMBER(L$360),L358,"")</f>
        <v>12.24</v>
      </c>
      <c r="AO358" s="13">
        <f>IF(ISNUMBER(M$360),M358,"")</f>
        <v>12.72</v>
      </c>
      <c r="AP358" s="13">
        <f>IF(ISNUMBER(N$360),N358,"")</f>
        <v>13.2</v>
      </c>
      <c r="AQ358" s="13">
        <f>IF(C358="Ручная",O358,0)</f>
        <v>0</v>
      </c>
    </row>
    <row r="359" spans="1:43" ht="23" customHeight="1">
      <c r="B359" s="4" t="s">
        <v>209</v>
      </c>
      <c r="E359" s="6">
        <f>IF(COUNT(E348:E358)=11,SUM(E348:E358),"")</f>
        <v>513.18</v>
      </c>
      <c r="F359" s="6">
        <f>IF(COUNT(F348:F358)=11,SUM(F348:F358),"")</f>
        <v>513.32</v>
      </c>
      <c r="G359" s="6">
        <f>IF(COUNT(G348:G358)=11,SUM(G348:G358),"")</f>
        <v>511.33</v>
      </c>
      <c r="H359" s="6">
        <f>IF(COUNT(H348:H358)=11,SUM(H348:H358),"")</f>
        <v>514.57</v>
      </c>
      <c r="I359" s="6">
        <f>IF(COUNT(I348:I358)=11,SUM(I348:I358),"")</f>
        <v>510.98</v>
      </c>
      <c r="J359" s="6">
        <f>IF(COUNT(J348:J358)=11,SUM(J348:J358),"")</f>
        <v>513.56</v>
      </c>
      <c r="K359" s="6">
        <f>IF(COUNT(K348:K358)=11,SUM(K348:K358),"")</f>
        <v>513.92</v>
      </c>
      <c r="L359" s="6">
        <f>IF(COUNT(L348:L358)=11,SUM(L348:L358),"")</f>
        <v>514.18</v>
      </c>
      <c r="M359" s="6">
        <f>IF(COUNT(M348:M358)=11,SUM(M348:M358),"")</f>
        <v>514.31</v>
      </c>
      <c r="N359" s="6">
        <f>IF(COUNT(N348:N358)=11,SUM(N348:N358),"")</f>
        <v>514.49</v>
      </c>
      <c r="O359" s="6">
        <f>IF(COUNT(O348:O358)=11,SUM(O348:O358),"")</f>
        <v>504</v>
      </c>
      <c r="P359" s="6">
        <f>IF(COUNT(P348:P358)=11,SUM(P348:P358),"")</f>
        <v>524.4</v>
      </c>
      <c r="Q359" s="6">
        <f>IF(COUNT(Q348:Q358)=11,SUM(Q348:Q358),"")</f>
        <v>20.4</v>
      </c>
      <c r="R359" s="6">
        <f>IF(COUNT(R348:R358)=11,SUM(R348:R358),"")</f>
        <v>6.98000000000002</v>
      </c>
      <c r="S359" s="6">
        <f>IF(COUNT(S348:S358)=11,SUM(S348:S358),"")</f>
        <v>510.98</v>
      </c>
      <c r="T359" s="6">
        <f>IF(COUNT(T348:T358)=11,SUM(T348:T358),"")</f>
        <v>13.42</v>
      </c>
      <c r="U359" s="6">
        <f>IF(COUNT(U348:U358)=11,SUM(U348:U358),"")</f>
        <v>513.384</v>
      </c>
    </row>
    <row r="360" spans="1:43" ht="23" customHeight="1">
      <c r="B360" s="4" t="s">
        <v>210</v>
      </c>
      <c r="E360" s="6">
        <f>IF(AND(E346=1,COUNT(E348:E358)=11,MIN(E348:E358)&gt;=0),E359,"")</f>
        <v>513.18</v>
      </c>
      <c r="F360" s="6">
        <f>IF(AND(F346=1,COUNT(F348:F358)=11,MIN(F348:F358)&gt;=0),F359,"")</f>
        <v>513.32</v>
      </c>
      <c r="G360" s="6">
        <f>IF(AND(G346=1,COUNT(G348:G358)=11,MIN(G348:G358)&gt;=0),G359,"")</f>
        <v>511.33</v>
      </c>
      <c r="H360" s="6">
        <f>IF(AND(H346=1,COUNT(H348:H358)=11,MIN(H348:H358)&gt;=0),H359,"")</f>
        <v>514.57</v>
      </c>
      <c r="I360" s="6">
        <f>IF(AND(I346=1,COUNT(I348:I358)=11,MIN(I348:I358)&gt;=0),I359,"")</f>
        <v>510.98</v>
      </c>
      <c r="J360" s="6">
        <f>IF(AND(J346=1,COUNT(J348:J358)=11,MIN(J348:J358)&gt;=0),J359,"")</f>
        <v>513.56</v>
      </c>
      <c r="K360" s="6">
        <f>IF(AND(K346=1,COUNT(K348:K358)=11,MIN(K348:K358)&gt;=0),K359,"")</f>
        <v>513.92</v>
      </c>
      <c r="L360" s="6">
        <f>IF(AND(L346=1,COUNT(L348:L358)=11,MIN(L348:L358)&gt;=0),L359,"")</f>
        <v>514.18</v>
      </c>
      <c r="M360" s="6">
        <f>IF(AND(M346=1,COUNT(M348:M358)=11,MIN(M348:M358)&gt;=0),M359,"")</f>
        <v>514.31</v>
      </c>
      <c r="N360" s="6">
        <f>IF(AND(N346=1,COUNT(N348:N358)=11,MIN(N348:N358)&gt;=0),N359,"")</f>
        <v>514.49</v>
      </c>
      <c r="O360" s="6">
        <f>IF(COUNT(E360:N360)&gt;0,MIN(E360:N360),"")</f>
        <v>510.98</v>
      </c>
      <c r="P360" s="6">
        <f>IF(COUNT(E360:N360)&gt;0,MAX(E360:N360),"")</f>
        <v>514.57</v>
      </c>
      <c r="Q360" s="6">
        <f>IF(ISNUMBER(O360),P360-O360,"")</f>
        <v>3.59000000000003</v>
      </c>
      <c r="R360" s="6">
        <f>IF(ISNUMBER(O360),MAX(0,O360-O359),"")</f>
        <v>6.98000000000002</v>
      </c>
      <c r="S360" s="6">
        <f>SUMIF(C348:C358,"Ручная",Q348:Q358)</f>
        <v>16</v>
      </c>
      <c r="T360" s="6">
        <f>COUNT(E360:N360)</f>
        <v>10</v>
      </c>
      <c r="U360" s="6">
        <f>IF(COUNT(E360:N360)&gt;0,AVERAGE(E360:N360),"")</f>
        <v>513.384</v>
      </c>
      <c r="V360" s="6">
        <f>IF(ISNUMBER(O360),S359-O360,"")</f>
        <v>0</v>
      </c>
      <c r="W360" s="6">
        <f>MATCH(MAX(AQ348:AQ358),AQ348:AQ358,0)</f>
        <v>5</v>
      </c>
      <c r="X360" s="17" t="str">
        <f>IF(T360=0,"НЕТ ЗАМЕРОВ",IF(T360&lt;10,"МЕНЕЕ 10 ЦИКЛОВ",IF(ABS(V360)&lt;0.000001,"ОК","ОШИБКА РЕГУЛИРОВКИ")))</f>
        <v>ОК</v>
      </c>
    </row>
    <row r="361" spans="1:43" ht="23" customHeight="1">
      <c r="A361" s="7" t="s">
        <v>211</v>
      </c>
      <c r="B361" s="7"/>
      <c r="C361" s="7"/>
      <c r="D361" s="7"/>
      <c r="E361" s="7"/>
      <c r="F361" s="7"/>
      <c r="G361" s="7"/>
      <c r="H361" s="7"/>
      <c r="I361" s="7"/>
      <c r="J361" s="7"/>
      <c r="K361" s="7"/>
      <c r="L361" s="7"/>
      <c r="M361" s="7"/>
      <c r="N361" s="7"/>
      <c r="O361" s="7"/>
      <c r="P361" s="7"/>
      <c r="Q361" s="7"/>
      <c r="R361" s="7"/>
      <c r="S361" s="7"/>
      <c r="T361" s="7"/>
      <c r="U361" s="7"/>
      <c r="V361" s="7"/>
      <c r="W361" s="7"/>
      <c r="X361" s="7"/>
    </row>
    <row r="364" spans="1:43" ht="23" customHeight="1">
      <c r="A364" s="4" t="s">
        <v>228</v>
      </c>
      <c r="B364" s="4"/>
      <c r="C364" s="4"/>
      <c r="D364" s="4"/>
      <c r="E364" s="4"/>
      <c r="F364" s="4"/>
      <c r="G364" s="4"/>
      <c r="H364" s="4"/>
      <c r="I364" s="4"/>
      <c r="J364" s="4"/>
      <c r="K364" s="4"/>
      <c r="L364" s="4"/>
      <c r="M364" s="4"/>
      <c r="N364" s="4"/>
      <c r="O364" s="4"/>
      <c r="P364" s="4"/>
      <c r="Q364" s="4"/>
      <c r="R364" s="4"/>
      <c r="S364" s="4"/>
      <c r="T364" s="4"/>
      <c r="U364" s="4"/>
      <c r="V364" s="4"/>
      <c r="W364" s="4"/>
      <c r="X364" s="4"/>
    </row>
    <row r="365" spans="1:43" ht="23" customHeight="1">
      <c r="A365" s="7" t="str">
        <f>"Масса замера, кг: "&amp;'Ассортимент'!J25&amp;". Все замеры одной партии/исполнителя/условий. Основание: "&amp;'Ввод'!B14</f>
        <v>Масса замера, кг: 2. Все замеры одной партии/исполнителя/условий. Основание: ДЕМО: синтетические замеры; заменить фактическими</v>
      </c>
      <c r="B365" s="7"/>
      <c r="C365" s="7"/>
      <c r="D365" s="7"/>
      <c r="E365" s="7"/>
      <c r="F365" s="7"/>
      <c r="G365" s="7"/>
      <c r="H365" s="7"/>
      <c r="I365" s="7"/>
      <c r="J365" s="7"/>
      <c r="K365" s="7"/>
      <c r="L365" s="7"/>
      <c r="M365" s="7"/>
      <c r="N365" s="7"/>
      <c r="O365" s="7"/>
      <c r="P365" s="7"/>
      <c r="Q365" s="7"/>
      <c r="R365" s="7"/>
      <c r="S365" s="7"/>
      <c r="T365" s="7"/>
      <c r="U365" s="7"/>
      <c r="V365" s="7"/>
      <c r="W365" s="7"/>
      <c r="X365" s="7"/>
    </row>
    <row r="366" spans="1:43" ht="44" customHeight="1">
      <c r="A366" s="8" t="s">
        <v>113</v>
      </c>
      <c r="B366" s="8" t="s">
        <v>156</v>
      </c>
      <c r="C366" s="8" t="s">
        <v>157</v>
      </c>
      <c r="D366" s="8" t="s">
        <v>158</v>
      </c>
      <c r="E366" s="8" t="s">
        <v>159</v>
      </c>
      <c r="F366" s="8" t="s">
        <v>160</v>
      </c>
      <c r="G366" s="8" t="s">
        <v>161</v>
      </c>
      <c r="H366" s="8" t="s">
        <v>162</v>
      </c>
      <c r="I366" s="8" t="s">
        <v>163</v>
      </c>
      <c r="J366" s="8" t="s">
        <v>164</v>
      </c>
      <c r="K366" s="8" t="s">
        <v>165</v>
      </c>
      <c r="L366" s="8" t="s">
        <v>166</v>
      </c>
      <c r="M366" s="8" t="s">
        <v>167</v>
      </c>
      <c r="N366" s="8" t="s">
        <v>168</v>
      </c>
      <c r="O366" s="8" t="s">
        <v>169</v>
      </c>
      <c r="P366" s="8" t="s">
        <v>170</v>
      </c>
      <c r="Q366" s="8" t="s">
        <v>171</v>
      </c>
      <c r="R366" s="8" t="s">
        <v>172</v>
      </c>
      <c r="S366" s="8" t="s">
        <v>173</v>
      </c>
      <c r="T366" s="8" t="s">
        <v>174</v>
      </c>
      <c r="U366" s="8" t="s">
        <v>175</v>
      </c>
      <c r="V366" s="8" t="s">
        <v>176</v>
      </c>
      <c r="W366" s="8" t="s">
        <v>177</v>
      </c>
      <c r="X366" s="8" t="s">
        <v>178</v>
      </c>
    </row>
    <row r="367" spans="1:43" ht="23" customHeight="1">
      <c r="B367" s="5" t="s">
        <v>179</v>
      </c>
      <c r="E367" s="12">
        <v>1</v>
      </c>
      <c r="F367" s="12">
        <v>1</v>
      </c>
      <c r="G367" s="12">
        <v>1</v>
      </c>
      <c r="H367" s="12">
        <v>1</v>
      </c>
      <c r="I367" s="12">
        <v>1</v>
      </c>
      <c r="J367" s="12">
        <v>1</v>
      </c>
      <c r="K367" s="12">
        <v>1</v>
      </c>
      <c r="L367" s="12">
        <v>1</v>
      </c>
      <c r="M367" s="12">
        <v>1</v>
      </c>
      <c r="N367" s="12">
        <v>1</v>
      </c>
    </row>
    <row r="368" spans="1:43" ht="33" customHeight="1">
      <c r="B368" s="5" t="s">
        <v>180</v>
      </c>
      <c r="E368" s="9" t="s">
        <v>181</v>
      </c>
      <c r="F368" s="9" t="s">
        <v>181</v>
      </c>
      <c r="G368" s="9" t="s">
        <v>181</v>
      </c>
      <c r="H368" s="9" t="s">
        <v>181</v>
      </c>
      <c r="I368" s="9" t="s">
        <v>181</v>
      </c>
      <c r="J368" s="9" t="s">
        <v>181</v>
      </c>
      <c r="K368" s="9" t="s">
        <v>181</v>
      </c>
      <c r="L368" s="9" t="s">
        <v>181</v>
      </c>
      <c r="M368" s="9" t="s">
        <v>181</v>
      </c>
      <c r="N368" s="9" t="s">
        <v>181</v>
      </c>
    </row>
    <row r="369" spans="1:43" ht="40" customHeight="1">
      <c r="A369" s="5">
        <v>1</v>
      </c>
      <c r="B369" s="5" t="s">
        <v>182</v>
      </c>
      <c r="C369" s="11" t="s">
        <v>183</v>
      </c>
      <c r="D369" s="7" t="s">
        <v>184</v>
      </c>
      <c r="E369" s="12">
        <v>26.75</v>
      </c>
      <c r="F369" s="12">
        <v>25.25</v>
      </c>
      <c r="G369" s="12">
        <v>26.25</v>
      </c>
      <c r="H369" s="12">
        <v>25</v>
      </c>
      <c r="I369" s="12">
        <v>26</v>
      </c>
      <c r="J369" s="12">
        <v>27</v>
      </c>
      <c r="K369" s="12">
        <v>25.5</v>
      </c>
      <c r="L369" s="12">
        <v>26.5</v>
      </c>
      <c r="M369" s="12">
        <v>27.5</v>
      </c>
      <c r="N369" s="12">
        <v>25.75</v>
      </c>
      <c r="O369" s="13">
        <f>IF(COUNT(AG369:AP369)&gt;0,MIN(AG369:AP369),"")</f>
        <v>25</v>
      </c>
      <c r="P369" s="13">
        <f>IF(COUNT(AG369:AP369)&gt;0,MAX(AG369:AP369),"")</f>
        <v>27.5</v>
      </c>
      <c r="Q369" s="13">
        <f>IF(ISNUMBER(O369),P369-O369,"")</f>
        <v>2.5</v>
      </c>
      <c r="R369" s="13">
        <f>IF(ISNUMBER(O369),IF(C369="Ручная",IF($S$381&gt;0,$R$381*Q369/$S$381,IF($W$381=1,$R$381,0)),0),"")</f>
        <v>1.090625</v>
      </c>
      <c r="S369" s="13">
        <f>IF(ISNUMBER(O369),O369+R369,"")</f>
        <v>26.090625</v>
      </c>
      <c r="T369" s="13">
        <f>IF(ISNUMBER(S369),P369-S369,"")</f>
        <v>1.409375</v>
      </c>
      <c r="U369" s="13">
        <f>IF(COUNT(AG369:AP369)&gt;0,AVERAGE(AG369:AP369),"")</f>
        <v>26.15</v>
      </c>
      <c r="AG369" s="13">
        <f>IF(ISNUMBER(E$381),E369,"")</f>
        <v>26.75</v>
      </c>
      <c r="AH369" s="13">
        <f>IF(ISNUMBER(F$381),F369,"")</f>
        <v>25.25</v>
      </c>
      <c r="AI369" s="13">
        <f>IF(ISNUMBER(G$381),G369,"")</f>
        <v>26.25</v>
      </c>
      <c r="AJ369" s="13">
        <f>IF(ISNUMBER(H$381),H369,"")</f>
        <v>25</v>
      </c>
      <c r="AK369" s="13">
        <f>IF(ISNUMBER(I$381),I369,"")</f>
        <v>26</v>
      </c>
      <c r="AL369" s="13">
        <f>IF(ISNUMBER(J$381),J369,"")</f>
        <v>27</v>
      </c>
      <c r="AM369" s="13">
        <f>IF(ISNUMBER(K$381),K369,"")</f>
        <v>25.5</v>
      </c>
      <c r="AN369" s="13">
        <f>IF(ISNUMBER(L$381),L369,"")</f>
        <v>26.5</v>
      </c>
      <c r="AO369" s="13">
        <f>IF(ISNUMBER(M$381),M369,"")</f>
        <v>27.5</v>
      </c>
      <c r="AP369" s="13">
        <f>IF(ISNUMBER(N$381),N369,"")</f>
        <v>25.75</v>
      </c>
      <c r="AQ369" s="13">
        <f>IF(C369="Ручная",O369,0)</f>
        <v>25</v>
      </c>
    </row>
    <row r="370" spans="1:43" ht="40" customHeight="1">
      <c r="A370" s="5">
        <v>2</v>
      </c>
      <c r="B370" s="5" t="s">
        <v>185</v>
      </c>
      <c r="C370" s="11" t="s">
        <v>183</v>
      </c>
      <c r="D370" s="7" t="s">
        <v>186</v>
      </c>
      <c r="E370" s="12">
        <v>30</v>
      </c>
      <c r="F370" s="12">
        <v>31.2</v>
      </c>
      <c r="G370" s="12">
        <v>32.4</v>
      </c>
      <c r="H370" s="12">
        <v>30.6</v>
      </c>
      <c r="I370" s="12">
        <v>31.8</v>
      </c>
      <c r="J370" s="12">
        <v>33</v>
      </c>
      <c r="K370" s="12">
        <v>30.9</v>
      </c>
      <c r="L370" s="12">
        <v>32.1</v>
      </c>
      <c r="M370" s="12">
        <v>30.3</v>
      </c>
      <c r="N370" s="12">
        <v>31.5</v>
      </c>
      <c r="O370" s="13">
        <f>IF(COUNT(AG370:AP370)&gt;0,MIN(AG370:AP370),"")</f>
        <v>30</v>
      </c>
      <c r="P370" s="13">
        <f>IF(COUNT(AG370:AP370)&gt;0,MAX(AG370:AP370),"")</f>
        <v>33</v>
      </c>
      <c r="Q370" s="13">
        <f>IF(ISNUMBER(O370),P370-O370,"")</f>
        <v>3</v>
      </c>
      <c r="R370" s="13">
        <f>IF(ISNUMBER(O370),IF(C370="Ручная",IF($S$381&gt;0,$R$381*Q370/$S$381,IF($W$381=2,$R$381,0)),0),"")</f>
        <v>1.30875</v>
      </c>
      <c r="S370" s="13">
        <f>IF(ISNUMBER(O370),O370+R370,"")</f>
        <v>31.30875</v>
      </c>
      <c r="T370" s="13">
        <f>IF(ISNUMBER(S370),P370-S370,"")</f>
        <v>1.69125</v>
      </c>
      <c r="U370" s="13">
        <f>IF(COUNT(AG370:AP370)&gt;0,AVERAGE(AG370:AP370),"")</f>
        <v>31.38</v>
      </c>
      <c r="AG370" s="13">
        <f>IF(ISNUMBER(E$381),E370,"")</f>
        <v>30</v>
      </c>
      <c r="AH370" s="13">
        <f>IF(ISNUMBER(F$381),F370,"")</f>
        <v>31.2</v>
      </c>
      <c r="AI370" s="13">
        <f>IF(ISNUMBER(G$381),G370,"")</f>
        <v>32.4</v>
      </c>
      <c r="AJ370" s="13">
        <f>IF(ISNUMBER(H$381),H370,"")</f>
        <v>30.6</v>
      </c>
      <c r="AK370" s="13">
        <f>IF(ISNUMBER(I$381),I370,"")</f>
        <v>31.8</v>
      </c>
      <c r="AL370" s="13">
        <f>IF(ISNUMBER(J$381),J370,"")</f>
        <v>33</v>
      </c>
      <c r="AM370" s="13">
        <f>IF(ISNUMBER(K$381),K370,"")</f>
        <v>30.9</v>
      </c>
      <c r="AN370" s="13">
        <f>IF(ISNUMBER(L$381),L370,"")</f>
        <v>32.1</v>
      </c>
      <c r="AO370" s="13">
        <f>IF(ISNUMBER(M$381),M370,"")</f>
        <v>30.3</v>
      </c>
      <c r="AP370" s="13">
        <f>IF(ISNUMBER(N$381),N370,"")</f>
        <v>31.5</v>
      </c>
      <c r="AQ370" s="13">
        <f>IF(C370="Ручная",O370,0)</f>
        <v>30</v>
      </c>
    </row>
    <row r="371" spans="1:43" ht="40" customHeight="1">
      <c r="A371" s="5">
        <v>3</v>
      </c>
      <c r="B371" s="5" t="s">
        <v>187</v>
      </c>
      <c r="C371" s="11" t="s">
        <v>183</v>
      </c>
      <c r="D371" s="7" t="s">
        <v>188</v>
      </c>
      <c r="E371" s="12">
        <v>22.44</v>
      </c>
      <c r="F371" s="12">
        <v>23.32</v>
      </c>
      <c r="G371" s="12">
        <v>24.2</v>
      </c>
      <c r="H371" s="12">
        <v>22.66</v>
      </c>
      <c r="I371" s="12">
        <v>23.54</v>
      </c>
      <c r="J371" s="12">
        <v>22.22</v>
      </c>
      <c r="K371" s="12">
        <v>23.1</v>
      </c>
      <c r="L371" s="12">
        <v>22</v>
      </c>
      <c r="M371" s="12">
        <v>22.88</v>
      </c>
      <c r="N371" s="12">
        <v>23.76</v>
      </c>
      <c r="O371" s="13">
        <f>IF(COUNT(AG371:AP371)&gt;0,MIN(AG371:AP371),"")</f>
        <v>22</v>
      </c>
      <c r="P371" s="13">
        <f>IF(COUNT(AG371:AP371)&gt;0,MAX(AG371:AP371),"")</f>
        <v>24.2</v>
      </c>
      <c r="Q371" s="13">
        <f>IF(ISNUMBER(O371),P371-O371,"")</f>
        <v>2.2</v>
      </c>
      <c r="R371" s="13">
        <f>IF(ISNUMBER(O371),IF(C371="Ручная",IF($S$381&gt;0,$R$381*Q371/$S$381,IF($W$381=3,$R$381,0)),0),"")</f>
        <v>0.959750000000002</v>
      </c>
      <c r="S371" s="13">
        <f>IF(ISNUMBER(O371),O371+R371,"")</f>
        <v>22.95975</v>
      </c>
      <c r="T371" s="13">
        <f>IF(ISNUMBER(S371),P371-S371,"")</f>
        <v>1.24025</v>
      </c>
      <c r="U371" s="13">
        <f>IF(COUNT(AG371:AP371)&gt;0,AVERAGE(AG371:AP371),"")</f>
        <v>23.012</v>
      </c>
      <c r="AG371" s="13">
        <f>IF(ISNUMBER(E$381),E371,"")</f>
        <v>22.44</v>
      </c>
      <c r="AH371" s="13">
        <f>IF(ISNUMBER(F$381),F371,"")</f>
        <v>23.32</v>
      </c>
      <c r="AI371" s="13">
        <f>IF(ISNUMBER(G$381),G371,"")</f>
        <v>24.2</v>
      </c>
      <c r="AJ371" s="13">
        <f>IF(ISNUMBER(H$381),H371,"")</f>
        <v>22.66</v>
      </c>
      <c r="AK371" s="13">
        <f>IF(ISNUMBER(I$381),I371,"")</f>
        <v>23.54</v>
      </c>
      <c r="AL371" s="13">
        <f>IF(ISNUMBER(J$381),J371,"")</f>
        <v>22.22</v>
      </c>
      <c r="AM371" s="13">
        <f>IF(ISNUMBER(K$381),K371,"")</f>
        <v>23.1</v>
      </c>
      <c r="AN371" s="13">
        <f>IF(ISNUMBER(L$381),L371,"")</f>
        <v>22</v>
      </c>
      <c r="AO371" s="13">
        <f>IF(ISNUMBER(M$381),M371,"")</f>
        <v>22.88</v>
      </c>
      <c r="AP371" s="13">
        <f>IF(ISNUMBER(N$381),N371,"")</f>
        <v>23.76</v>
      </c>
      <c r="AQ371" s="13">
        <f>IF(C371="Ручная",O371,0)</f>
        <v>22</v>
      </c>
    </row>
    <row r="372" spans="1:43" ht="40" customHeight="1">
      <c r="A372" s="5" t="s">
        <v>189</v>
      </c>
      <c r="B372" s="5" t="s">
        <v>190</v>
      </c>
      <c r="C372" s="11" t="s">
        <v>191</v>
      </c>
      <c r="D372" s="7" t="s">
        <v>192</v>
      </c>
      <c r="E372" s="12">
        <v>12.36</v>
      </c>
      <c r="F372" s="12">
        <v>12.84</v>
      </c>
      <c r="G372" s="12">
        <v>12.12</v>
      </c>
      <c r="H372" s="12">
        <v>12.6</v>
      </c>
      <c r="I372" s="12">
        <v>12</v>
      </c>
      <c r="J372" s="12">
        <v>12.48</v>
      </c>
      <c r="K372" s="12">
        <v>12.96</v>
      </c>
      <c r="L372" s="12">
        <v>12.24</v>
      </c>
      <c r="M372" s="12">
        <v>12.72</v>
      </c>
      <c r="N372" s="12">
        <v>13.2</v>
      </c>
      <c r="O372" s="13">
        <f>IF(COUNT(AG372:AP372)&gt;0,MIN(AG372:AP372),"")</f>
        <v>12</v>
      </c>
      <c r="P372" s="13">
        <f>IF(COUNT(AG372:AP372)&gt;0,MAX(AG372:AP372),"")</f>
        <v>13.2</v>
      </c>
      <c r="Q372" s="13">
        <f>IF(ISNUMBER(O372),P372-O372,"")</f>
        <v>1.2</v>
      </c>
      <c r="R372" s="13">
        <f>IF(ISNUMBER(O372),IF(C372="Ручная",IF($S$381&gt;0,$R$381*Q372/$S$381,IF($W$381=4,$R$381,0)),0),"")</f>
        <v>0</v>
      </c>
      <c r="S372" s="13">
        <f>IF(ISNUMBER(O372),O372+R372,"")</f>
        <v>12</v>
      </c>
      <c r="T372" s="13">
        <f>IF(ISNUMBER(S372),P372-S372,"")</f>
        <v>1.2</v>
      </c>
      <c r="U372" s="13">
        <f>IF(COUNT(AG372:AP372)&gt;0,AVERAGE(AG372:AP372),"")</f>
        <v>12.552</v>
      </c>
      <c r="AG372" s="13">
        <f>IF(ISNUMBER(E$381),E372,"")</f>
        <v>12.36</v>
      </c>
      <c r="AH372" s="13">
        <f>IF(ISNUMBER(F$381),F372,"")</f>
        <v>12.84</v>
      </c>
      <c r="AI372" s="13">
        <f>IF(ISNUMBER(G$381),G372,"")</f>
        <v>12.12</v>
      </c>
      <c r="AJ372" s="13">
        <f>IF(ISNUMBER(H$381),H372,"")</f>
        <v>12.6</v>
      </c>
      <c r="AK372" s="13">
        <f>IF(ISNUMBER(I$381),I372,"")</f>
        <v>12</v>
      </c>
      <c r="AL372" s="13">
        <f>IF(ISNUMBER(J$381),J372,"")</f>
        <v>12.48</v>
      </c>
      <c r="AM372" s="13">
        <f>IF(ISNUMBER(K$381),K372,"")</f>
        <v>12.96</v>
      </c>
      <c r="AN372" s="13">
        <f>IF(ISNUMBER(L$381),L372,"")</f>
        <v>12.24</v>
      </c>
      <c r="AO372" s="13">
        <f>IF(ISNUMBER(M$381),M372,"")</f>
        <v>12.72</v>
      </c>
      <c r="AP372" s="13">
        <f>IF(ISNUMBER(N$381),N372,"")</f>
        <v>13.2</v>
      </c>
      <c r="AQ372" s="13">
        <f>IF(C372="Ручная",O372,0)</f>
        <v>0</v>
      </c>
    </row>
    <row r="373" spans="1:43" ht="40" customHeight="1">
      <c r="A373" s="5">
        <v>5</v>
      </c>
      <c r="B373" s="5" t="s">
        <v>193</v>
      </c>
      <c r="C373" s="11" t="s">
        <v>183</v>
      </c>
      <c r="D373" s="7" t="s">
        <v>194</v>
      </c>
      <c r="E373" s="12">
        <v>36.75</v>
      </c>
      <c r="F373" s="12">
        <v>35</v>
      </c>
      <c r="G373" s="12">
        <v>36.4</v>
      </c>
      <c r="H373" s="12">
        <v>37.8</v>
      </c>
      <c r="I373" s="12">
        <v>35.7</v>
      </c>
      <c r="J373" s="12">
        <v>37.1</v>
      </c>
      <c r="K373" s="12">
        <v>38.5</v>
      </c>
      <c r="L373" s="12">
        <v>36.05</v>
      </c>
      <c r="M373" s="12">
        <v>37.45</v>
      </c>
      <c r="N373" s="12">
        <v>35.35</v>
      </c>
      <c r="O373" s="13">
        <f>IF(COUNT(AG373:AP373)&gt;0,MIN(AG373:AP373),"")</f>
        <v>35</v>
      </c>
      <c r="P373" s="13">
        <f>IF(COUNT(AG373:AP373)&gt;0,MAX(AG373:AP373),"")</f>
        <v>38.5</v>
      </c>
      <c r="Q373" s="13">
        <f>IF(ISNUMBER(O373),P373-O373,"")</f>
        <v>3.5</v>
      </c>
      <c r="R373" s="13">
        <f>IF(ISNUMBER(O373),IF(C373="Ручная",IF($S$381&gt;0,$R$381*Q373/$S$381,IF($W$381=5,$R$381,0)),0),"")</f>
        <v>1.526875</v>
      </c>
      <c r="S373" s="13">
        <f>IF(ISNUMBER(O373),O373+R373,"")</f>
        <v>36.526875</v>
      </c>
      <c r="T373" s="13">
        <f>IF(ISNUMBER(S373),P373-S373,"")</f>
        <v>1.973125</v>
      </c>
      <c r="U373" s="13">
        <f>IF(COUNT(AG373:AP373)&gt;0,AVERAGE(AG373:AP373),"")</f>
        <v>36.61</v>
      </c>
      <c r="AG373" s="13">
        <f>IF(ISNUMBER(E$381),E373,"")</f>
        <v>36.75</v>
      </c>
      <c r="AH373" s="13">
        <f>IF(ISNUMBER(F$381),F373,"")</f>
        <v>35</v>
      </c>
      <c r="AI373" s="13">
        <f>IF(ISNUMBER(G$381),G373,"")</f>
        <v>36.4</v>
      </c>
      <c r="AJ373" s="13">
        <f>IF(ISNUMBER(H$381),H373,"")</f>
        <v>37.8</v>
      </c>
      <c r="AK373" s="13">
        <f>IF(ISNUMBER(I$381),I373,"")</f>
        <v>35.7</v>
      </c>
      <c r="AL373" s="13">
        <f>IF(ISNUMBER(J$381),J373,"")</f>
        <v>37.1</v>
      </c>
      <c r="AM373" s="13">
        <f>IF(ISNUMBER(K$381),K373,"")</f>
        <v>38.5</v>
      </c>
      <c r="AN373" s="13">
        <f>IF(ISNUMBER(L$381),L373,"")</f>
        <v>36.05</v>
      </c>
      <c r="AO373" s="13">
        <f>IF(ISNUMBER(M$381),M373,"")</f>
        <v>37.45</v>
      </c>
      <c r="AP373" s="13">
        <f>IF(ISNUMBER(N$381),N373,"")</f>
        <v>35.35</v>
      </c>
      <c r="AQ373" s="13">
        <f>IF(C373="Ручная",O373,0)</f>
        <v>35</v>
      </c>
    </row>
    <row r="374" spans="1:43" ht="40" customHeight="1">
      <c r="A374" s="5" t="s">
        <v>189</v>
      </c>
      <c r="B374" s="5" t="s">
        <v>195</v>
      </c>
      <c r="C374" s="11" t="s">
        <v>196</v>
      </c>
      <c r="D374" s="7" t="s">
        <v>197</v>
      </c>
      <c r="E374" s="18">
        <f>'Ассортимент'!R25</f>
        <v>300</v>
      </c>
      <c r="F374" s="18">
        <f>'Ассортимент'!R25</f>
        <v>300</v>
      </c>
      <c r="G374" s="18">
        <f>'Ассортимент'!R25</f>
        <v>300</v>
      </c>
      <c r="H374" s="18">
        <f>'Ассортимент'!R25</f>
        <v>300</v>
      </c>
      <c r="I374" s="18">
        <f>'Ассортимент'!R25</f>
        <v>300</v>
      </c>
      <c r="J374" s="18">
        <f>'Ассортимент'!R25</f>
        <v>300</v>
      </c>
      <c r="K374" s="18">
        <f>'Ассортимент'!R25</f>
        <v>300</v>
      </c>
      <c r="L374" s="18">
        <f>'Ассортимент'!R25</f>
        <v>300</v>
      </c>
      <c r="M374" s="18">
        <f>'Ассортимент'!R25</f>
        <v>300</v>
      </c>
      <c r="N374" s="18">
        <f>'Ассортимент'!R25</f>
        <v>300</v>
      </c>
      <c r="O374" s="13">
        <f>IF(COUNT(AG374:AP374)&gt;0,MIN(AG374:AP374),"")</f>
        <v>300</v>
      </c>
      <c r="P374" s="13">
        <f>IF(COUNT(AG374:AP374)&gt;0,MAX(AG374:AP374),"")</f>
        <v>300</v>
      </c>
      <c r="Q374" s="13">
        <f>IF(ISNUMBER(O374),P374-O374,"")</f>
        <v>0</v>
      </c>
      <c r="R374" s="13">
        <f>IF(ISNUMBER(O374),IF(C374="Ручная",IF($S$381&gt;0,$R$381*Q374/$S$381,IF($W$381=6,$R$381,0)),0),"")</f>
        <v>0</v>
      </c>
      <c r="S374" s="13">
        <f>IF(ISNUMBER(O374),O374+R374,"")</f>
        <v>300</v>
      </c>
      <c r="T374" s="13">
        <f>IF(ISNUMBER(S374),P374-S374,"")</f>
        <v>0</v>
      </c>
      <c r="U374" s="13">
        <f>IF(COUNT(AG374:AP374)&gt;0,AVERAGE(AG374:AP374),"")</f>
        <v>300</v>
      </c>
      <c r="AG374" s="13">
        <f>IF(ISNUMBER(E$381),E374,"")</f>
        <v>300</v>
      </c>
      <c r="AH374" s="13">
        <f>IF(ISNUMBER(F$381),F374,"")</f>
        <v>300</v>
      </c>
      <c r="AI374" s="13">
        <f>IF(ISNUMBER(G$381),G374,"")</f>
        <v>300</v>
      </c>
      <c r="AJ374" s="13">
        <f>IF(ISNUMBER(H$381),H374,"")</f>
        <v>300</v>
      </c>
      <c r="AK374" s="13">
        <f>IF(ISNUMBER(I$381),I374,"")</f>
        <v>300</v>
      </c>
      <c r="AL374" s="13">
        <f>IF(ISNUMBER(J$381),J374,"")</f>
        <v>300</v>
      </c>
      <c r="AM374" s="13">
        <f>IF(ISNUMBER(K$381),K374,"")</f>
        <v>300</v>
      </c>
      <c r="AN374" s="13">
        <f>IF(ISNUMBER(L$381),L374,"")</f>
        <v>300</v>
      </c>
      <c r="AO374" s="13">
        <f>IF(ISNUMBER(M$381),M374,"")</f>
        <v>300</v>
      </c>
      <c r="AP374" s="13">
        <f>IF(ISNUMBER(N$381),N374,"")</f>
        <v>300</v>
      </c>
      <c r="AQ374" s="13">
        <f>IF(C374="Ручная",O374,0)</f>
        <v>0</v>
      </c>
    </row>
    <row r="375" spans="1:43" ht="40" customHeight="1">
      <c r="A375" s="5">
        <v>7</v>
      </c>
      <c r="B375" s="5" t="s">
        <v>198</v>
      </c>
      <c r="C375" s="11" t="s">
        <v>183</v>
      </c>
      <c r="D375" s="7" t="s">
        <v>199</v>
      </c>
      <c r="E375" s="12">
        <v>33</v>
      </c>
      <c r="F375" s="12">
        <v>30.9</v>
      </c>
      <c r="G375" s="12">
        <v>32.1</v>
      </c>
      <c r="H375" s="12">
        <v>30.3</v>
      </c>
      <c r="I375" s="12">
        <v>31.5</v>
      </c>
      <c r="J375" s="12">
        <v>30</v>
      </c>
      <c r="K375" s="12">
        <v>31.2</v>
      </c>
      <c r="L375" s="12">
        <v>32.4</v>
      </c>
      <c r="M375" s="12">
        <v>30.6</v>
      </c>
      <c r="N375" s="12">
        <v>31.8</v>
      </c>
      <c r="O375" s="13">
        <f>IF(COUNT(AG375:AP375)&gt;0,MIN(AG375:AP375),"")</f>
        <v>30</v>
      </c>
      <c r="P375" s="13">
        <f>IF(COUNT(AG375:AP375)&gt;0,MAX(AG375:AP375),"")</f>
        <v>33</v>
      </c>
      <c r="Q375" s="13">
        <f>IF(ISNUMBER(O375),P375-O375,"")</f>
        <v>3</v>
      </c>
      <c r="R375" s="13">
        <f>IF(ISNUMBER(O375),IF(C375="Ручная",IF($S$381&gt;0,$R$381*Q375/$S$381,IF($W$381=7,$R$381,0)),0),"")</f>
        <v>1.30875</v>
      </c>
      <c r="S375" s="13">
        <f>IF(ISNUMBER(O375),O375+R375,"")</f>
        <v>31.30875</v>
      </c>
      <c r="T375" s="13">
        <f>IF(ISNUMBER(S375),P375-S375,"")</f>
        <v>1.69125</v>
      </c>
      <c r="U375" s="13">
        <f>IF(COUNT(AG375:AP375)&gt;0,AVERAGE(AG375:AP375),"")</f>
        <v>31.38</v>
      </c>
      <c r="AG375" s="13">
        <f>IF(ISNUMBER(E$381),E375,"")</f>
        <v>33</v>
      </c>
      <c r="AH375" s="13">
        <f>IF(ISNUMBER(F$381),F375,"")</f>
        <v>30.9</v>
      </c>
      <c r="AI375" s="13">
        <f>IF(ISNUMBER(G$381),G375,"")</f>
        <v>32.1</v>
      </c>
      <c r="AJ375" s="13">
        <f>IF(ISNUMBER(H$381),H375,"")</f>
        <v>30.3</v>
      </c>
      <c r="AK375" s="13">
        <f>IF(ISNUMBER(I$381),I375,"")</f>
        <v>31.5</v>
      </c>
      <c r="AL375" s="13">
        <f>IF(ISNUMBER(J$381),J375,"")</f>
        <v>30</v>
      </c>
      <c r="AM375" s="13">
        <f>IF(ISNUMBER(K$381),K375,"")</f>
        <v>31.2</v>
      </c>
      <c r="AN375" s="13">
        <f>IF(ISNUMBER(L$381),L375,"")</f>
        <v>32.4</v>
      </c>
      <c r="AO375" s="13">
        <f>IF(ISNUMBER(M$381),M375,"")</f>
        <v>30.6</v>
      </c>
      <c r="AP375" s="13">
        <f>IF(ISNUMBER(N$381),N375,"")</f>
        <v>31.8</v>
      </c>
      <c r="AQ375" s="13">
        <f>IF(C375="Ручная",O375,0)</f>
        <v>30</v>
      </c>
    </row>
    <row r="376" spans="1:43" ht="40" customHeight="1">
      <c r="A376" s="5">
        <v>8</v>
      </c>
      <c r="B376" s="5" t="s">
        <v>200</v>
      </c>
      <c r="C376" s="11" t="s">
        <v>183</v>
      </c>
      <c r="D376" s="7" t="s">
        <v>201</v>
      </c>
      <c r="E376" s="12">
        <v>18.18</v>
      </c>
      <c r="F376" s="12">
        <v>18.9</v>
      </c>
      <c r="G376" s="12">
        <v>18</v>
      </c>
      <c r="H376" s="12">
        <v>18.72</v>
      </c>
      <c r="I376" s="12">
        <v>19.44</v>
      </c>
      <c r="J376" s="12">
        <v>18.36</v>
      </c>
      <c r="K376" s="12">
        <v>19.08</v>
      </c>
      <c r="L376" s="12">
        <v>19.8</v>
      </c>
      <c r="M376" s="12">
        <v>18.54</v>
      </c>
      <c r="N376" s="12">
        <v>19.26</v>
      </c>
      <c r="O376" s="13">
        <f>IF(COUNT(AG376:AP376)&gt;0,MIN(AG376:AP376),"")</f>
        <v>18</v>
      </c>
      <c r="P376" s="13">
        <f>IF(COUNT(AG376:AP376)&gt;0,MAX(AG376:AP376),"")</f>
        <v>19.8</v>
      </c>
      <c r="Q376" s="13">
        <f>IF(ISNUMBER(O376),P376-O376,"")</f>
        <v>1.8</v>
      </c>
      <c r="R376" s="13">
        <f>IF(ISNUMBER(O376),IF(C376="Ручная",IF($S$381&gt;0,$R$381*Q376/$S$381,IF($W$381=8,$R$381,0)),0),"")</f>
        <v>0.785250000000002</v>
      </c>
      <c r="S376" s="13">
        <f>IF(ISNUMBER(O376),O376+R376,"")</f>
        <v>18.78525</v>
      </c>
      <c r="T376" s="13">
        <f>IF(ISNUMBER(S376),P376-S376,"")</f>
        <v>1.01475</v>
      </c>
      <c r="U376" s="13">
        <f>IF(COUNT(AG376:AP376)&gt;0,AVERAGE(AG376:AP376),"")</f>
        <v>18.828</v>
      </c>
      <c r="AG376" s="13">
        <f>IF(ISNUMBER(E$381),E376,"")</f>
        <v>18.18</v>
      </c>
      <c r="AH376" s="13">
        <f>IF(ISNUMBER(F$381),F376,"")</f>
        <v>18.9</v>
      </c>
      <c r="AI376" s="13">
        <f>IF(ISNUMBER(G$381),G376,"")</f>
        <v>18</v>
      </c>
      <c r="AJ376" s="13">
        <f>IF(ISNUMBER(H$381),H376,"")</f>
        <v>18.72</v>
      </c>
      <c r="AK376" s="13">
        <f>IF(ISNUMBER(I$381),I376,"")</f>
        <v>19.44</v>
      </c>
      <c r="AL376" s="13">
        <f>IF(ISNUMBER(J$381),J376,"")</f>
        <v>18.36</v>
      </c>
      <c r="AM376" s="13">
        <f>IF(ISNUMBER(K$381),K376,"")</f>
        <v>19.08</v>
      </c>
      <c r="AN376" s="13">
        <f>IF(ISNUMBER(L$381),L376,"")</f>
        <v>19.8</v>
      </c>
      <c r="AO376" s="13">
        <f>IF(ISNUMBER(M$381),M376,"")</f>
        <v>18.54</v>
      </c>
      <c r="AP376" s="13">
        <f>IF(ISNUMBER(N$381),N376,"")</f>
        <v>19.26</v>
      </c>
      <c r="AQ376" s="13">
        <f>IF(C376="Ручная",O376,0)</f>
        <v>18</v>
      </c>
    </row>
    <row r="377" spans="1:43" ht="40" customHeight="1">
      <c r="A377" s="5" t="s">
        <v>189</v>
      </c>
      <c r="B377" s="5" t="s">
        <v>202</v>
      </c>
      <c r="C377" s="11" t="s">
        <v>191</v>
      </c>
      <c r="D377" s="7" t="s">
        <v>203</v>
      </c>
      <c r="E377" s="12">
        <v>10.4</v>
      </c>
      <c r="F377" s="12">
        <v>10.8</v>
      </c>
      <c r="G377" s="12">
        <v>10.2</v>
      </c>
      <c r="H377" s="12">
        <v>10.6</v>
      </c>
      <c r="I377" s="12">
        <v>11</v>
      </c>
      <c r="J377" s="12">
        <v>10.3</v>
      </c>
      <c r="K377" s="12">
        <v>10.7</v>
      </c>
      <c r="L377" s="12">
        <v>10.1</v>
      </c>
      <c r="M377" s="12">
        <v>10.5</v>
      </c>
      <c r="N377" s="12">
        <v>10</v>
      </c>
      <c r="O377" s="13">
        <f>IF(COUNT(AG377:AP377)&gt;0,MIN(AG377:AP377),"")</f>
        <v>10</v>
      </c>
      <c r="P377" s="13">
        <f>IF(COUNT(AG377:AP377)&gt;0,MAX(AG377:AP377),"")</f>
        <v>11</v>
      </c>
      <c r="Q377" s="13">
        <f>IF(ISNUMBER(O377),P377-O377,"")</f>
        <v>1</v>
      </c>
      <c r="R377" s="13">
        <f>IF(ISNUMBER(O377),IF(C377="Ручная",IF($S$381&gt;0,$R$381*Q377/$S$381,IF($W$381=9,$R$381,0)),0),"")</f>
        <v>0</v>
      </c>
      <c r="S377" s="13">
        <f>IF(ISNUMBER(O377),O377+R377,"")</f>
        <v>10</v>
      </c>
      <c r="T377" s="13">
        <f>IF(ISNUMBER(S377),P377-S377,"")</f>
        <v>1</v>
      </c>
      <c r="U377" s="13">
        <f>IF(COUNT(AG377:AP377)&gt;0,AVERAGE(AG377:AP377),"")</f>
        <v>10.46</v>
      </c>
      <c r="AG377" s="13">
        <f>IF(ISNUMBER(E$381),E377,"")</f>
        <v>10.4</v>
      </c>
      <c r="AH377" s="13">
        <f>IF(ISNUMBER(F$381),F377,"")</f>
        <v>10.8</v>
      </c>
      <c r="AI377" s="13">
        <f>IF(ISNUMBER(G$381),G377,"")</f>
        <v>10.2</v>
      </c>
      <c r="AJ377" s="13">
        <f>IF(ISNUMBER(H$381),H377,"")</f>
        <v>10.6</v>
      </c>
      <c r="AK377" s="13">
        <f>IF(ISNUMBER(I$381),I377,"")</f>
        <v>11</v>
      </c>
      <c r="AL377" s="13">
        <f>IF(ISNUMBER(J$381),J377,"")</f>
        <v>10.3</v>
      </c>
      <c r="AM377" s="13">
        <f>IF(ISNUMBER(K$381),K377,"")</f>
        <v>10.7</v>
      </c>
      <c r="AN377" s="13">
        <f>IF(ISNUMBER(L$381),L377,"")</f>
        <v>10.1</v>
      </c>
      <c r="AO377" s="13">
        <f>IF(ISNUMBER(M$381),M377,"")</f>
        <v>10.5</v>
      </c>
      <c r="AP377" s="13">
        <f>IF(ISNUMBER(N$381),N377,"")</f>
        <v>10</v>
      </c>
      <c r="AQ377" s="13">
        <f>IF(C377="Ручная",O377,0)</f>
        <v>0</v>
      </c>
    </row>
    <row r="378" spans="1:43" ht="40" customHeight="1">
      <c r="A378" s="5" t="s">
        <v>189</v>
      </c>
      <c r="B378" s="5" t="s">
        <v>204</v>
      </c>
      <c r="C378" s="11" t="s">
        <v>191</v>
      </c>
      <c r="D378" s="7" t="s">
        <v>205</v>
      </c>
      <c r="E378" s="12">
        <v>10.6</v>
      </c>
      <c r="F378" s="12">
        <v>11</v>
      </c>
      <c r="G378" s="12">
        <v>10.3</v>
      </c>
      <c r="H378" s="12">
        <v>10.7</v>
      </c>
      <c r="I378" s="12">
        <v>10.1</v>
      </c>
      <c r="J378" s="12">
        <v>10.5</v>
      </c>
      <c r="K378" s="12">
        <v>10</v>
      </c>
      <c r="L378" s="12">
        <v>10.4</v>
      </c>
      <c r="M378" s="12">
        <v>10.8</v>
      </c>
      <c r="N378" s="12">
        <v>10.2</v>
      </c>
      <c r="O378" s="13">
        <f>IF(COUNT(AG378:AP378)&gt;0,MIN(AG378:AP378),"")</f>
        <v>10</v>
      </c>
      <c r="P378" s="13">
        <f>IF(COUNT(AG378:AP378)&gt;0,MAX(AG378:AP378),"")</f>
        <v>11</v>
      </c>
      <c r="Q378" s="13">
        <f>IF(ISNUMBER(O378),P378-O378,"")</f>
        <v>1</v>
      </c>
      <c r="R378" s="13">
        <f>IF(ISNUMBER(O378),IF(C378="Ручная",IF($S$381&gt;0,$R$381*Q378/$S$381,IF($W$381=10,$R$381,0)),0),"")</f>
        <v>0</v>
      </c>
      <c r="S378" s="13">
        <f>IF(ISNUMBER(O378),O378+R378,"")</f>
        <v>10</v>
      </c>
      <c r="T378" s="13">
        <f>IF(ISNUMBER(S378),P378-S378,"")</f>
        <v>1</v>
      </c>
      <c r="U378" s="13">
        <f>IF(COUNT(AG378:AP378)&gt;0,AVERAGE(AG378:AP378),"")</f>
        <v>10.46</v>
      </c>
      <c r="AG378" s="13">
        <f>IF(ISNUMBER(E$381),E378,"")</f>
        <v>10.6</v>
      </c>
      <c r="AH378" s="13">
        <f>IF(ISNUMBER(F$381),F378,"")</f>
        <v>11</v>
      </c>
      <c r="AI378" s="13">
        <f>IF(ISNUMBER(G$381),G378,"")</f>
        <v>10.3</v>
      </c>
      <c r="AJ378" s="13">
        <f>IF(ISNUMBER(H$381),H378,"")</f>
        <v>10.7</v>
      </c>
      <c r="AK378" s="13">
        <f>IF(ISNUMBER(I$381),I378,"")</f>
        <v>10.1</v>
      </c>
      <c r="AL378" s="13">
        <f>IF(ISNUMBER(J$381),J378,"")</f>
        <v>10.5</v>
      </c>
      <c r="AM378" s="13">
        <f>IF(ISNUMBER(K$381),K378,"")</f>
        <v>10</v>
      </c>
      <c r="AN378" s="13">
        <f>IF(ISNUMBER(L$381),L378,"")</f>
        <v>10.4</v>
      </c>
      <c r="AO378" s="13">
        <f>IF(ISNUMBER(M$381),M378,"")</f>
        <v>10.8</v>
      </c>
      <c r="AP378" s="13">
        <f>IF(ISNUMBER(N$381),N378,"")</f>
        <v>10.2</v>
      </c>
      <c r="AQ378" s="13">
        <f>IF(C378="Ручная",O378,0)</f>
        <v>0</v>
      </c>
    </row>
    <row r="379" spans="1:43" ht="40" customHeight="1">
      <c r="A379" s="5" t="s">
        <v>189</v>
      </c>
      <c r="B379" s="5" t="s">
        <v>206</v>
      </c>
      <c r="C379" s="11" t="s">
        <v>207</v>
      </c>
      <c r="D379" s="7" t="s">
        <v>208</v>
      </c>
      <c r="E379" s="12">
        <v>12.84</v>
      </c>
      <c r="F379" s="12">
        <v>12.12</v>
      </c>
      <c r="G379" s="12">
        <v>12.6</v>
      </c>
      <c r="H379" s="12">
        <v>12</v>
      </c>
      <c r="I379" s="12">
        <v>12.48</v>
      </c>
      <c r="J379" s="12">
        <v>12.96</v>
      </c>
      <c r="K379" s="12">
        <v>12.24</v>
      </c>
      <c r="L379" s="12">
        <v>12.72</v>
      </c>
      <c r="M379" s="12">
        <v>13.2</v>
      </c>
      <c r="N379" s="12">
        <v>12.36</v>
      </c>
      <c r="O379" s="13">
        <f>IF(COUNT(AG379:AP379)&gt;0,MIN(AG379:AP379),"")</f>
        <v>12</v>
      </c>
      <c r="P379" s="13">
        <f>IF(COUNT(AG379:AP379)&gt;0,MAX(AG379:AP379),"")</f>
        <v>13.2</v>
      </c>
      <c r="Q379" s="13">
        <f>IF(ISNUMBER(O379),P379-O379,"")</f>
        <v>1.2</v>
      </c>
      <c r="R379" s="13">
        <f>IF(ISNUMBER(O379),IF(C379="Ручная",IF($S$381&gt;0,$R$381*Q379/$S$381,IF($W$381=11,$R$381,0)),0),"")</f>
        <v>0</v>
      </c>
      <c r="S379" s="13">
        <f>IF(ISNUMBER(O379),O379+R379,"")</f>
        <v>12</v>
      </c>
      <c r="T379" s="13">
        <f>IF(ISNUMBER(S379),P379-S379,"")</f>
        <v>1.2</v>
      </c>
      <c r="U379" s="13">
        <f>IF(COUNT(AG379:AP379)&gt;0,AVERAGE(AG379:AP379),"")</f>
        <v>12.552</v>
      </c>
      <c r="AG379" s="13">
        <f>IF(ISNUMBER(E$381),E379,"")</f>
        <v>12.84</v>
      </c>
      <c r="AH379" s="13">
        <f>IF(ISNUMBER(F$381),F379,"")</f>
        <v>12.12</v>
      </c>
      <c r="AI379" s="13">
        <f>IF(ISNUMBER(G$381),G379,"")</f>
        <v>12.6</v>
      </c>
      <c r="AJ379" s="13">
        <f>IF(ISNUMBER(H$381),H379,"")</f>
        <v>12</v>
      </c>
      <c r="AK379" s="13">
        <f>IF(ISNUMBER(I$381),I379,"")</f>
        <v>12.48</v>
      </c>
      <c r="AL379" s="13">
        <f>IF(ISNUMBER(J$381),J379,"")</f>
        <v>12.96</v>
      </c>
      <c r="AM379" s="13">
        <f>IF(ISNUMBER(K$381),K379,"")</f>
        <v>12.24</v>
      </c>
      <c r="AN379" s="13">
        <f>IF(ISNUMBER(L$381),L379,"")</f>
        <v>12.72</v>
      </c>
      <c r="AO379" s="13">
        <f>IF(ISNUMBER(M$381),M379,"")</f>
        <v>13.2</v>
      </c>
      <c r="AP379" s="13">
        <f>IF(ISNUMBER(N$381),N379,"")</f>
        <v>12.36</v>
      </c>
      <c r="AQ379" s="13">
        <f>IF(C379="Ручная",O379,0)</f>
        <v>0</v>
      </c>
    </row>
    <row r="380" spans="1:43" ht="23" customHeight="1">
      <c r="B380" s="4" t="s">
        <v>209</v>
      </c>
      <c r="E380" s="6">
        <f>IF(COUNT(E369:E379)=11,SUM(E369:E379),"")</f>
        <v>513.32</v>
      </c>
      <c r="F380" s="6">
        <f>IF(COUNT(F369:F379)=11,SUM(F369:F379),"")</f>
        <v>511.33</v>
      </c>
      <c r="G380" s="6">
        <f>IF(COUNT(G369:G379)=11,SUM(G369:G379),"")</f>
        <v>514.57</v>
      </c>
      <c r="H380" s="6">
        <f>IF(COUNT(H369:H379)=11,SUM(H369:H379),"")</f>
        <v>510.98</v>
      </c>
      <c r="I380" s="6">
        <f>IF(COUNT(I369:I379)=11,SUM(I369:I379),"")</f>
        <v>513.56</v>
      </c>
      <c r="J380" s="6">
        <f>IF(COUNT(J369:J379)=11,SUM(J369:J379),"")</f>
        <v>513.92</v>
      </c>
      <c r="K380" s="6">
        <f>IF(COUNT(K369:K379)=11,SUM(K369:K379),"")</f>
        <v>514.18</v>
      </c>
      <c r="L380" s="6">
        <f>IF(COUNT(L369:L379)=11,SUM(L369:L379),"")</f>
        <v>514.31</v>
      </c>
      <c r="M380" s="6">
        <f>IF(COUNT(M369:M379)=11,SUM(M369:M379),"")</f>
        <v>514.49</v>
      </c>
      <c r="N380" s="6">
        <f>IF(COUNT(N369:N379)=11,SUM(N369:N379),"")</f>
        <v>513.18</v>
      </c>
      <c r="O380" s="6">
        <f>IF(COUNT(O369:O379)=11,SUM(O369:O379),"")</f>
        <v>504</v>
      </c>
      <c r="P380" s="6">
        <f>IF(COUNT(P369:P379)=11,SUM(P369:P379),"")</f>
        <v>524.4</v>
      </c>
      <c r="Q380" s="6">
        <f>IF(COUNT(Q369:Q379)=11,SUM(Q369:Q379),"")</f>
        <v>20.4</v>
      </c>
      <c r="R380" s="6">
        <f>IF(COUNT(R369:R379)=11,SUM(R369:R379),"")</f>
        <v>6.98000000000002</v>
      </c>
      <c r="S380" s="6">
        <f>IF(COUNT(S369:S379)=11,SUM(S369:S379),"")</f>
        <v>510.98</v>
      </c>
      <c r="T380" s="6">
        <f>IF(COUNT(T369:T379)=11,SUM(T369:T379),"")</f>
        <v>13.42</v>
      </c>
      <c r="U380" s="6">
        <f>IF(COUNT(U369:U379)=11,SUM(U369:U379),"")</f>
        <v>513.384</v>
      </c>
    </row>
    <row r="381" spans="1:43" ht="23" customHeight="1">
      <c r="B381" s="4" t="s">
        <v>210</v>
      </c>
      <c r="E381" s="6">
        <f>IF(AND(E367=1,COUNT(E369:E379)=11,MIN(E369:E379)&gt;=0),E380,"")</f>
        <v>513.32</v>
      </c>
      <c r="F381" s="6">
        <f>IF(AND(F367=1,COUNT(F369:F379)=11,MIN(F369:F379)&gt;=0),F380,"")</f>
        <v>511.33</v>
      </c>
      <c r="G381" s="6">
        <f>IF(AND(G367=1,COUNT(G369:G379)=11,MIN(G369:G379)&gt;=0),G380,"")</f>
        <v>514.57</v>
      </c>
      <c r="H381" s="6">
        <f>IF(AND(H367=1,COUNT(H369:H379)=11,MIN(H369:H379)&gt;=0),H380,"")</f>
        <v>510.98</v>
      </c>
      <c r="I381" s="6">
        <f>IF(AND(I367=1,COUNT(I369:I379)=11,MIN(I369:I379)&gt;=0),I380,"")</f>
        <v>513.56</v>
      </c>
      <c r="J381" s="6">
        <f>IF(AND(J367=1,COUNT(J369:J379)=11,MIN(J369:J379)&gt;=0),J380,"")</f>
        <v>513.92</v>
      </c>
      <c r="K381" s="6">
        <f>IF(AND(K367=1,COUNT(K369:K379)=11,MIN(K369:K379)&gt;=0),K380,"")</f>
        <v>514.18</v>
      </c>
      <c r="L381" s="6">
        <f>IF(AND(L367=1,COUNT(L369:L379)=11,MIN(L369:L379)&gt;=0),L380,"")</f>
        <v>514.31</v>
      </c>
      <c r="M381" s="6">
        <f>IF(AND(M367=1,COUNT(M369:M379)=11,MIN(M369:M379)&gt;=0),M380,"")</f>
        <v>514.49</v>
      </c>
      <c r="N381" s="6">
        <f>IF(AND(N367=1,COUNT(N369:N379)=11,MIN(N369:N379)&gt;=0),N380,"")</f>
        <v>513.18</v>
      </c>
      <c r="O381" s="6">
        <f>IF(COUNT(E381:N381)&gt;0,MIN(E381:N381),"")</f>
        <v>510.98</v>
      </c>
      <c r="P381" s="6">
        <f>IF(COUNT(E381:N381)&gt;0,MAX(E381:N381),"")</f>
        <v>514.57</v>
      </c>
      <c r="Q381" s="6">
        <f>IF(ISNUMBER(O381),P381-O381,"")</f>
        <v>3.59000000000003</v>
      </c>
      <c r="R381" s="6">
        <f>IF(ISNUMBER(O381),MAX(0,O381-O380),"")</f>
        <v>6.98000000000002</v>
      </c>
      <c r="S381" s="6">
        <f>SUMIF(C369:C379,"Ручная",Q369:Q379)</f>
        <v>16</v>
      </c>
      <c r="T381" s="6">
        <f>COUNT(E381:N381)</f>
        <v>10</v>
      </c>
      <c r="U381" s="6">
        <f>IF(COUNT(E381:N381)&gt;0,AVERAGE(E381:N381),"")</f>
        <v>513.384</v>
      </c>
      <c r="V381" s="6">
        <f>IF(ISNUMBER(O381),S380-O381,"")</f>
        <v>0</v>
      </c>
      <c r="W381" s="6">
        <f>MATCH(MAX(AQ369:AQ379),AQ369:AQ379,0)</f>
        <v>5</v>
      </c>
      <c r="X381" s="17" t="str">
        <f>IF(T381=0,"НЕТ ЗАМЕРОВ",IF(T381&lt;10,"МЕНЕЕ 10 ЦИКЛОВ",IF(ABS(V381)&lt;0.000001,"ОК","ОШИБКА РЕГУЛИРОВКИ")))</f>
        <v>ОК</v>
      </c>
    </row>
    <row r="382" spans="1:43" ht="23" customHeight="1">
      <c r="A382" s="7" t="s">
        <v>211</v>
      </c>
      <c r="B382" s="7"/>
      <c r="C382" s="7"/>
      <c r="D382" s="7"/>
      <c r="E382" s="7"/>
      <c r="F382" s="7"/>
      <c r="G382" s="7"/>
      <c r="H382" s="7"/>
      <c r="I382" s="7"/>
      <c r="J382" s="7"/>
      <c r="K382" s="7"/>
      <c r="L382" s="7"/>
      <c r="M382" s="7"/>
      <c r="N382" s="7"/>
      <c r="O382" s="7"/>
      <c r="P382" s="7"/>
      <c r="Q382" s="7"/>
      <c r="R382" s="7"/>
      <c r="S382" s="7"/>
      <c r="T382" s="7"/>
      <c r="U382" s="7"/>
      <c r="V382" s="7"/>
      <c r="W382" s="7"/>
      <c r="X382" s="7"/>
    </row>
  </sheetData>
  <sheetProtection sheet="1" objects="1" scenarios="1" sort="0" autoFilter="0"/>
  <mergeCells count="58">
    <mergeCell ref="A1:X1"/>
    <mergeCell ref="A2:X2"/>
    <mergeCell ref="B3:X3"/>
    <mergeCell ref="A5:X5"/>
    <mergeCell ref="A7:X7"/>
    <mergeCell ref="A8:X8"/>
    <mergeCell ref="A25:X25"/>
    <mergeCell ref="A28:X28"/>
    <mergeCell ref="A29:X29"/>
    <mergeCell ref="A46:X46"/>
    <mergeCell ref="A49:X49"/>
    <mergeCell ref="A50:X50"/>
    <mergeCell ref="A67:X67"/>
    <mergeCell ref="A70:X70"/>
    <mergeCell ref="A71:X71"/>
    <mergeCell ref="A88:X88"/>
    <mergeCell ref="A91:X91"/>
    <mergeCell ref="A92:X92"/>
    <mergeCell ref="A109:X109"/>
    <mergeCell ref="A112:X112"/>
    <mergeCell ref="A113:X113"/>
    <mergeCell ref="A130:X130"/>
    <mergeCell ref="A133:X133"/>
    <mergeCell ref="A134:X134"/>
    <mergeCell ref="A151:X151"/>
    <mergeCell ref="A154:X154"/>
    <mergeCell ref="A155:X155"/>
    <mergeCell ref="A172:X172"/>
    <mergeCell ref="A175:X175"/>
    <mergeCell ref="A176:X176"/>
    <mergeCell ref="A193:X193"/>
    <mergeCell ref="A196:X196"/>
    <mergeCell ref="A197:X197"/>
    <mergeCell ref="A214:X214"/>
    <mergeCell ref="A217:X217"/>
    <mergeCell ref="A218:X218"/>
    <mergeCell ref="A235:X235"/>
    <mergeCell ref="A238:X238"/>
    <mergeCell ref="A239:X239"/>
    <mergeCell ref="A256:X256"/>
    <mergeCell ref="A259:X259"/>
    <mergeCell ref="A260:X260"/>
    <mergeCell ref="A277:X277"/>
    <mergeCell ref="A280:X280"/>
    <mergeCell ref="A281:X281"/>
    <mergeCell ref="A298:X298"/>
    <mergeCell ref="A301:X301"/>
    <mergeCell ref="A302:X302"/>
    <mergeCell ref="A319:X319"/>
    <mergeCell ref="A322:X322"/>
    <mergeCell ref="A323:X323"/>
    <mergeCell ref="A340:X340"/>
    <mergeCell ref="A343:X343"/>
    <mergeCell ref="A344:X344"/>
    <mergeCell ref="A361:X361"/>
    <mergeCell ref="A364:X364"/>
    <mergeCell ref="A365:X365"/>
    <mergeCell ref="A382:X382"/>
  </mergeCells>
  <conditionalFormatting sqref="E117:E127">
    <cfRule type="expression" dxfId="1" priority="61">
      <formula>E$115=0</formula>
    </cfRule>
  </conditionalFormatting>
  <conditionalFormatting sqref="E117:N127">
    <cfRule type="expression" dxfId="2" priority="71">
      <formula>AND(E117=$O117,ISNUMBER(E$129))</formula>
    </cfRule>
    <cfRule type="expression" dxfId="3" priority="72">
      <formula>AND(E117=$P117,ISNUMBER(E$129),$P117&gt;$O117)</formula>
    </cfRule>
  </conditionalFormatting>
  <conditionalFormatting sqref="E12:E22">
    <cfRule type="expression" dxfId="1" priority="1">
      <formula>E$10=0</formula>
    </cfRule>
  </conditionalFormatting>
  <conditionalFormatting sqref="E12:N22">
    <cfRule type="expression" dxfId="2" priority="11">
      <formula>AND(E12=$O12,ISNUMBER(E$24))</formula>
    </cfRule>
    <cfRule type="expression" dxfId="3" priority="12">
      <formula>AND(E12=$P12,ISNUMBER(E$24),$P12&gt;$O12)</formula>
    </cfRule>
  </conditionalFormatting>
  <conditionalFormatting sqref="E138:E148">
    <cfRule type="expression" dxfId="1" priority="73">
      <formula>E$136=0</formula>
    </cfRule>
  </conditionalFormatting>
  <conditionalFormatting sqref="E138:N148">
    <cfRule type="expression" dxfId="2" priority="83">
      <formula>AND(E138=$O138,ISNUMBER(E$150))</formula>
    </cfRule>
    <cfRule type="expression" dxfId="3" priority="84">
      <formula>AND(E138=$P138,ISNUMBER(E$150),$P138&gt;$O138)</formula>
    </cfRule>
  </conditionalFormatting>
  <conditionalFormatting sqref="E159:E169">
    <cfRule type="expression" dxfId="1" priority="85">
      <formula>E$157=0</formula>
    </cfRule>
  </conditionalFormatting>
  <conditionalFormatting sqref="E159:N169">
    <cfRule type="expression" dxfId="2" priority="95">
      <formula>AND(E159=$O159,ISNUMBER(E$171))</formula>
    </cfRule>
    <cfRule type="expression" dxfId="3" priority="96">
      <formula>AND(E159=$P159,ISNUMBER(E$171),$P159&gt;$O159)</formula>
    </cfRule>
  </conditionalFormatting>
  <conditionalFormatting sqref="E180:E190">
    <cfRule type="expression" dxfId="1" priority="97">
      <formula>E$178=0</formula>
    </cfRule>
  </conditionalFormatting>
  <conditionalFormatting sqref="E180:N190">
    <cfRule type="expression" dxfId="2" priority="107">
      <formula>AND(E180=$O180,ISNUMBER(E$192))</formula>
    </cfRule>
    <cfRule type="expression" dxfId="3" priority="108">
      <formula>AND(E180=$P180,ISNUMBER(E$192),$P180&gt;$O180)</formula>
    </cfRule>
  </conditionalFormatting>
  <conditionalFormatting sqref="E201:E211">
    <cfRule type="expression" dxfId="1" priority="109">
      <formula>E$199=0</formula>
    </cfRule>
  </conditionalFormatting>
  <conditionalFormatting sqref="E201:N211">
    <cfRule type="expression" dxfId="2" priority="119">
      <formula>AND(E201=$O201,ISNUMBER(E$213))</formula>
    </cfRule>
    <cfRule type="expression" dxfId="3" priority="120">
      <formula>AND(E201=$P201,ISNUMBER(E$213),$P201&gt;$O201)</formula>
    </cfRule>
  </conditionalFormatting>
  <conditionalFormatting sqref="E222:E232">
    <cfRule type="expression" dxfId="1" priority="121">
      <formula>E$220=0</formula>
    </cfRule>
  </conditionalFormatting>
  <conditionalFormatting sqref="E222:N232">
    <cfRule type="expression" dxfId="2" priority="131">
      <formula>AND(E222=$O222,ISNUMBER(E$234))</formula>
    </cfRule>
    <cfRule type="expression" dxfId="3" priority="132">
      <formula>AND(E222=$P222,ISNUMBER(E$234),$P222&gt;$O222)</formula>
    </cfRule>
  </conditionalFormatting>
  <conditionalFormatting sqref="E243:E253">
    <cfRule type="expression" dxfId="1" priority="133">
      <formula>E$241=0</formula>
    </cfRule>
  </conditionalFormatting>
  <conditionalFormatting sqref="E243:N253">
    <cfRule type="expression" dxfId="2" priority="143">
      <formula>AND(E243=$O243,ISNUMBER(E$255))</formula>
    </cfRule>
    <cfRule type="expression" dxfId="3" priority="144">
      <formula>AND(E243=$P243,ISNUMBER(E$255),$P243&gt;$O243)</formula>
    </cfRule>
  </conditionalFormatting>
  <conditionalFormatting sqref="E264:E274">
    <cfRule type="expression" dxfId="1" priority="145">
      <formula>E$262=0</formula>
    </cfRule>
  </conditionalFormatting>
  <conditionalFormatting sqref="E264:N274">
    <cfRule type="expression" dxfId="2" priority="155">
      <formula>AND(E264=$O264,ISNUMBER(E$276))</formula>
    </cfRule>
    <cfRule type="expression" dxfId="3" priority="156">
      <formula>AND(E264=$P264,ISNUMBER(E$276),$P264&gt;$O264)</formula>
    </cfRule>
  </conditionalFormatting>
  <conditionalFormatting sqref="E285:E295">
    <cfRule type="expression" dxfId="1" priority="157">
      <formula>E$283=0</formula>
    </cfRule>
  </conditionalFormatting>
  <conditionalFormatting sqref="E285:N295">
    <cfRule type="expression" dxfId="2" priority="167">
      <formula>AND(E285=$O285,ISNUMBER(E$297))</formula>
    </cfRule>
    <cfRule type="expression" dxfId="3" priority="168">
      <formula>AND(E285=$P285,ISNUMBER(E$297),$P285&gt;$O285)</formula>
    </cfRule>
  </conditionalFormatting>
  <conditionalFormatting sqref="E306:E316">
    <cfRule type="expression" dxfId="1" priority="169">
      <formula>E$304=0</formula>
    </cfRule>
  </conditionalFormatting>
  <conditionalFormatting sqref="E306:N316">
    <cfRule type="expression" dxfId="2" priority="179">
      <formula>AND(E306=$O306,ISNUMBER(E$318))</formula>
    </cfRule>
    <cfRule type="expression" dxfId="3" priority="180">
      <formula>AND(E306=$P306,ISNUMBER(E$318),$P306&gt;$O306)</formula>
    </cfRule>
  </conditionalFormatting>
  <conditionalFormatting sqref="E327:E337">
    <cfRule type="expression" dxfId="1" priority="181">
      <formula>E$325=0</formula>
    </cfRule>
  </conditionalFormatting>
  <conditionalFormatting sqref="E327:N337">
    <cfRule type="expression" dxfId="2" priority="191">
      <formula>AND(E327=$O327,ISNUMBER(E$339))</formula>
    </cfRule>
    <cfRule type="expression" dxfId="3" priority="192">
      <formula>AND(E327=$P327,ISNUMBER(E$339),$P327&gt;$O327)</formula>
    </cfRule>
  </conditionalFormatting>
  <conditionalFormatting sqref="E33:E43">
    <cfRule type="expression" dxfId="1" priority="13">
      <formula>E$31=0</formula>
    </cfRule>
  </conditionalFormatting>
  <conditionalFormatting sqref="E33:N43">
    <cfRule type="expression" dxfId="2" priority="23">
      <formula>AND(E33=$O33,ISNUMBER(E$45))</formula>
    </cfRule>
    <cfRule type="expression" dxfId="3" priority="24">
      <formula>AND(E33=$P33,ISNUMBER(E$45),$P33&gt;$O33)</formula>
    </cfRule>
  </conditionalFormatting>
  <conditionalFormatting sqref="E348:E358">
    <cfRule type="expression" dxfId="1" priority="193">
      <formula>E$346=0</formula>
    </cfRule>
  </conditionalFormatting>
  <conditionalFormatting sqref="E348:N358">
    <cfRule type="expression" dxfId="2" priority="203">
      <formula>AND(E348=$O348,ISNUMBER(E$360))</formula>
    </cfRule>
    <cfRule type="expression" dxfId="3" priority="204">
      <formula>AND(E348=$P348,ISNUMBER(E$360),$P348&gt;$O348)</formula>
    </cfRule>
  </conditionalFormatting>
  <conditionalFormatting sqref="E369:E379">
    <cfRule type="expression" dxfId="1" priority="205">
      <formula>E$367=0</formula>
    </cfRule>
  </conditionalFormatting>
  <conditionalFormatting sqref="E369:N379">
    <cfRule type="expression" dxfId="2" priority="215">
      <formula>AND(E369=$O369,ISNUMBER(E$381))</formula>
    </cfRule>
    <cfRule type="expression" dxfId="3" priority="216">
      <formula>AND(E369=$P369,ISNUMBER(E$381),$P369&gt;$O369)</formula>
    </cfRule>
  </conditionalFormatting>
  <conditionalFormatting sqref="E54:E64">
    <cfRule type="expression" dxfId="1" priority="25">
      <formula>E$52=0</formula>
    </cfRule>
  </conditionalFormatting>
  <conditionalFormatting sqref="E54:N64">
    <cfRule type="expression" dxfId="2" priority="35">
      <formula>AND(E54=$O54,ISNUMBER(E$66))</formula>
    </cfRule>
    <cfRule type="expression" dxfId="3" priority="36">
      <formula>AND(E54=$P54,ISNUMBER(E$66),$P54&gt;$O54)</formula>
    </cfRule>
  </conditionalFormatting>
  <conditionalFormatting sqref="E75:E85">
    <cfRule type="expression" dxfId="1" priority="37">
      <formula>E$73=0</formula>
    </cfRule>
  </conditionalFormatting>
  <conditionalFormatting sqref="E75:N85">
    <cfRule type="expression" dxfId="2" priority="47">
      <formula>AND(E75=$O75,ISNUMBER(E$87))</formula>
    </cfRule>
    <cfRule type="expression" dxfId="3" priority="48">
      <formula>AND(E75=$P75,ISNUMBER(E$87),$P75&gt;$O75)</formula>
    </cfRule>
  </conditionalFormatting>
  <conditionalFormatting sqref="E96:E106">
    <cfRule type="expression" dxfId="1" priority="49">
      <formula>E$94=0</formula>
    </cfRule>
  </conditionalFormatting>
  <conditionalFormatting sqref="E96:N106">
    <cfRule type="expression" dxfId="2" priority="59">
      <formula>AND(E96=$O96,ISNUMBER(E$108))</formula>
    </cfRule>
    <cfRule type="expression" dxfId="3" priority="60">
      <formula>AND(E96=$P96,ISNUMBER(E$108),$P96&gt;$O96)</formula>
    </cfRule>
  </conditionalFormatting>
  <conditionalFormatting sqref="F117:F127">
    <cfRule type="expression" dxfId="1" priority="62">
      <formula>F$115=0</formula>
    </cfRule>
  </conditionalFormatting>
  <conditionalFormatting sqref="F12:F22">
    <cfRule type="expression" dxfId="1" priority="2">
      <formula>F$10=0</formula>
    </cfRule>
  </conditionalFormatting>
  <conditionalFormatting sqref="F138:F148">
    <cfRule type="expression" dxfId="1" priority="74">
      <formula>F$136=0</formula>
    </cfRule>
  </conditionalFormatting>
  <conditionalFormatting sqref="F159:F169">
    <cfRule type="expression" dxfId="1" priority="86">
      <formula>F$157=0</formula>
    </cfRule>
  </conditionalFormatting>
  <conditionalFormatting sqref="F180:F190">
    <cfRule type="expression" dxfId="1" priority="98">
      <formula>F$178=0</formula>
    </cfRule>
  </conditionalFormatting>
  <conditionalFormatting sqref="F201:F211">
    <cfRule type="expression" dxfId="1" priority="110">
      <formula>F$199=0</formula>
    </cfRule>
  </conditionalFormatting>
  <conditionalFormatting sqref="F222:F232">
    <cfRule type="expression" dxfId="1" priority="122">
      <formula>F$220=0</formula>
    </cfRule>
  </conditionalFormatting>
  <conditionalFormatting sqref="F243:F253">
    <cfRule type="expression" dxfId="1" priority="134">
      <formula>F$241=0</formula>
    </cfRule>
  </conditionalFormatting>
  <conditionalFormatting sqref="F264:F274">
    <cfRule type="expression" dxfId="1" priority="146">
      <formula>F$262=0</formula>
    </cfRule>
  </conditionalFormatting>
  <conditionalFormatting sqref="F285:F295">
    <cfRule type="expression" dxfId="1" priority="158">
      <formula>F$283=0</formula>
    </cfRule>
  </conditionalFormatting>
  <conditionalFormatting sqref="F306:F316">
    <cfRule type="expression" dxfId="1" priority="170">
      <formula>F$304=0</formula>
    </cfRule>
  </conditionalFormatting>
  <conditionalFormatting sqref="F327:F337">
    <cfRule type="expression" dxfId="1" priority="182">
      <formula>F$325=0</formula>
    </cfRule>
  </conditionalFormatting>
  <conditionalFormatting sqref="F33:F43">
    <cfRule type="expression" dxfId="1" priority="14">
      <formula>F$31=0</formula>
    </cfRule>
  </conditionalFormatting>
  <conditionalFormatting sqref="F348:F358">
    <cfRule type="expression" dxfId="1" priority="194">
      <formula>F$346=0</formula>
    </cfRule>
  </conditionalFormatting>
  <conditionalFormatting sqref="F369:F379">
    <cfRule type="expression" dxfId="1" priority="206">
      <formula>F$367=0</formula>
    </cfRule>
  </conditionalFormatting>
  <conditionalFormatting sqref="F54:F64">
    <cfRule type="expression" dxfId="1" priority="26">
      <formula>F$52=0</formula>
    </cfRule>
  </conditionalFormatting>
  <conditionalFormatting sqref="F75:F85">
    <cfRule type="expression" dxfId="1" priority="38">
      <formula>F$73=0</formula>
    </cfRule>
  </conditionalFormatting>
  <conditionalFormatting sqref="F96:F106">
    <cfRule type="expression" dxfId="1" priority="50">
      <formula>F$94=0</formula>
    </cfRule>
  </conditionalFormatting>
  <conditionalFormatting sqref="G117:G127">
    <cfRule type="expression" dxfId="1" priority="63">
      <formula>G$115=0</formula>
    </cfRule>
  </conditionalFormatting>
  <conditionalFormatting sqref="G12:G22">
    <cfRule type="expression" dxfId="1" priority="3">
      <formula>G$10=0</formula>
    </cfRule>
  </conditionalFormatting>
  <conditionalFormatting sqref="G138:G148">
    <cfRule type="expression" dxfId="1" priority="75">
      <formula>G$136=0</formula>
    </cfRule>
  </conditionalFormatting>
  <conditionalFormatting sqref="G159:G169">
    <cfRule type="expression" dxfId="1" priority="87">
      <formula>G$157=0</formula>
    </cfRule>
  </conditionalFormatting>
  <conditionalFormatting sqref="G180:G190">
    <cfRule type="expression" dxfId="1" priority="99">
      <formula>G$178=0</formula>
    </cfRule>
  </conditionalFormatting>
  <conditionalFormatting sqref="G201:G211">
    <cfRule type="expression" dxfId="1" priority="111">
      <formula>G$199=0</formula>
    </cfRule>
  </conditionalFormatting>
  <conditionalFormatting sqref="G222:G232">
    <cfRule type="expression" dxfId="1" priority="123">
      <formula>G$220=0</formula>
    </cfRule>
  </conditionalFormatting>
  <conditionalFormatting sqref="G243:G253">
    <cfRule type="expression" dxfId="1" priority="135">
      <formula>G$241=0</formula>
    </cfRule>
  </conditionalFormatting>
  <conditionalFormatting sqref="G264:G274">
    <cfRule type="expression" dxfId="1" priority="147">
      <formula>G$262=0</formula>
    </cfRule>
  </conditionalFormatting>
  <conditionalFormatting sqref="G285:G295">
    <cfRule type="expression" dxfId="1" priority="159">
      <formula>G$283=0</formula>
    </cfRule>
  </conditionalFormatting>
  <conditionalFormatting sqref="G306:G316">
    <cfRule type="expression" dxfId="1" priority="171">
      <formula>G$304=0</formula>
    </cfRule>
  </conditionalFormatting>
  <conditionalFormatting sqref="G327:G337">
    <cfRule type="expression" dxfId="1" priority="183">
      <formula>G$325=0</formula>
    </cfRule>
  </conditionalFormatting>
  <conditionalFormatting sqref="G33:G43">
    <cfRule type="expression" dxfId="1" priority="15">
      <formula>G$31=0</formula>
    </cfRule>
  </conditionalFormatting>
  <conditionalFormatting sqref="G348:G358">
    <cfRule type="expression" dxfId="1" priority="195">
      <formula>G$346=0</formula>
    </cfRule>
  </conditionalFormatting>
  <conditionalFormatting sqref="G369:G379">
    <cfRule type="expression" dxfId="1" priority="207">
      <formula>G$367=0</formula>
    </cfRule>
  </conditionalFormatting>
  <conditionalFormatting sqref="G54:G64">
    <cfRule type="expression" dxfId="1" priority="27">
      <formula>G$52=0</formula>
    </cfRule>
  </conditionalFormatting>
  <conditionalFormatting sqref="G75:G85">
    <cfRule type="expression" dxfId="1" priority="39">
      <formula>G$73=0</formula>
    </cfRule>
  </conditionalFormatting>
  <conditionalFormatting sqref="G96:G106">
    <cfRule type="expression" dxfId="1" priority="51">
      <formula>G$94=0</formula>
    </cfRule>
  </conditionalFormatting>
  <conditionalFormatting sqref="H117:H127">
    <cfRule type="expression" dxfId="1" priority="64">
      <formula>H$115=0</formula>
    </cfRule>
  </conditionalFormatting>
  <conditionalFormatting sqref="H12:H22">
    <cfRule type="expression" dxfId="1" priority="4">
      <formula>H$10=0</formula>
    </cfRule>
  </conditionalFormatting>
  <conditionalFormatting sqref="H138:H148">
    <cfRule type="expression" dxfId="1" priority="76">
      <formula>H$136=0</formula>
    </cfRule>
  </conditionalFormatting>
  <conditionalFormatting sqref="H159:H169">
    <cfRule type="expression" dxfId="1" priority="88">
      <formula>H$157=0</formula>
    </cfRule>
  </conditionalFormatting>
  <conditionalFormatting sqref="H180:H190">
    <cfRule type="expression" dxfId="1" priority="100">
      <formula>H$178=0</formula>
    </cfRule>
  </conditionalFormatting>
  <conditionalFormatting sqref="H201:H211">
    <cfRule type="expression" dxfId="1" priority="112">
      <formula>H$199=0</formula>
    </cfRule>
  </conditionalFormatting>
  <conditionalFormatting sqref="H222:H232">
    <cfRule type="expression" dxfId="1" priority="124">
      <formula>H$220=0</formula>
    </cfRule>
  </conditionalFormatting>
  <conditionalFormatting sqref="H243:H253">
    <cfRule type="expression" dxfId="1" priority="136">
      <formula>H$241=0</formula>
    </cfRule>
  </conditionalFormatting>
  <conditionalFormatting sqref="H264:H274">
    <cfRule type="expression" dxfId="1" priority="148">
      <formula>H$262=0</formula>
    </cfRule>
  </conditionalFormatting>
  <conditionalFormatting sqref="H285:H295">
    <cfRule type="expression" dxfId="1" priority="160">
      <formula>H$283=0</formula>
    </cfRule>
  </conditionalFormatting>
  <conditionalFormatting sqref="H306:H316">
    <cfRule type="expression" dxfId="1" priority="172">
      <formula>H$304=0</formula>
    </cfRule>
  </conditionalFormatting>
  <conditionalFormatting sqref="H327:H337">
    <cfRule type="expression" dxfId="1" priority="184">
      <formula>H$325=0</formula>
    </cfRule>
  </conditionalFormatting>
  <conditionalFormatting sqref="H33:H43">
    <cfRule type="expression" dxfId="1" priority="16">
      <formula>H$31=0</formula>
    </cfRule>
  </conditionalFormatting>
  <conditionalFormatting sqref="H348:H358">
    <cfRule type="expression" dxfId="1" priority="196">
      <formula>H$346=0</formula>
    </cfRule>
  </conditionalFormatting>
  <conditionalFormatting sqref="H369:H379">
    <cfRule type="expression" dxfId="1" priority="208">
      <formula>H$367=0</formula>
    </cfRule>
  </conditionalFormatting>
  <conditionalFormatting sqref="H54:H64">
    <cfRule type="expression" dxfId="1" priority="28">
      <formula>H$52=0</formula>
    </cfRule>
  </conditionalFormatting>
  <conditionalFormatting sqref="H75:H85">
    <cfRule type="expression" dxfId="1" priority="40">
      <formula>H$73=0</formula>
    </cfRule>
  </conditionalFormatting>
  <conditionalFormatting sqref="H96:H106">
    <cfRule type="expression" dxfId="1" priority="52">
      <formula>H$94=0</formula>
    </cfRule>
  </conditionalFormatting>
  <conditionalFormatting sqref="I117:I127">
    <cfRule type="expression" dxfId="1" priority="65">
      <formula>I$115=0</formula>
    </cfRule>
  </conditionalFormatting>
  <conditionalFormatting sqref="I12:I22">
    <cfRule type="expression" dxfId="1" priority="5">
      <formula>I$10=0</formula>
    </cfRule>
  </conditionalFormatting>
  <conditionalFormatting sqref="I138:I148">
    <cfRule type="expression" dxfId="1" priority="77">
      <formula>I$136=0</formula>
    </cfRule>
  </conditionalFormatting>
  <conditionalFormatting sqref="I159:I169">
    <cfRule type="expression" dxfId="1" priority="89">
      <formula>I$157=0</formula>
    </cfRule>
  </conditionalFormatting>
  <conditionalFormatting sqref="I180:I190">
    <cfRule type="expression" dxfId="1" priority="101">
      <formula>I$178=0</formula>
    </cfRule>
  </conditionalFormatting>
  <conditionalFormatting sqref="I201:I211">
    <cfRule type="expression" dxfId="1" priority="113">
      <formula>I$199=0</formula>
    </cfRule>
  </conditionalFormatting>
  <conditionalFormatting sqref="I222:I232">
    <cfRule type="expression" dxfId="1" priority="125">
      <formula>I$220=0</formula>
    </cfRule>
  </conditionalFormatting>
  <conditionalFormatting sqref="I243:I253">
    <cfRule type="expression" dxfId="1" priority="137">
      <formula>I$241=0</formula>
    </cfRule>
  </conditionalFormatting>
  <conditionalFormatting sqref="I264:I274">
    <cfRule type="expression" dxfId="1" priority="149">
      <formula>I$262=0</formula>
    </cfRule>
  </conditionalFormatting>
  <conditionalFormatting sqref="I285:I295">
    <cfRule type="expression" dxfId="1" priority="161">
      <formula>I$283=0</formula>
    </cfRule>
  </conditionalFormatting>
  <conditionalFormatting sqref="I306:I316">
    <cfRule type="expression" dxfId="1" priority="173">
      <formula>I$304=0</formula>
    </cfRule>
  </conditionalFormatting>
  <conditionalFormatting sqref="I327:I337">
    <cfRule type="expression" dxfId="1" priority="185">
      <formula>I$325=0</formula>
    </cfRule>
  </conditionalFormatting>
  <conditionalFormatting sqref="I33:I43">
    <cfRule type="expression" dxfId="1" priority="17">
      <formula>I$31=0</formula>
    </cfRule>
  </conditionalFormatting>
  <conditionalFormatting sqref="I348:I358">
    <cfRule type="expression" dxfId="1" priority="197">
      <formula>I$346=0</formula>
    </cfRule>
  </conditionalFormatting>
  <conditionalFormatting sqref="I369:I379">
    <cfRule type="expression" dxfId="1" priority="209">
      <formula>I$367=0</formula>
    </cfRule>
  </conditionalFormatting>
  <conditionalFormatting sqref="I54:I64">
    <cfRule type="expression" dxfId="1" priority="29">
      <formula>I$52=0</formula>
    </cfRule>
  </conditionalFormatting>
  <conditionalFormatting sqref="I75:I85">
    <cfRule type="expression" dxfId="1" priority="41">
      <formula>I$73=0</formula>
    </cfRule>
  </conditionalFormatting>
  <conditionalFormatting sqref="I96:I106">
    <cfRule type="expression" dxfId="1" priority="53">
      <formula>I$94=0</formula>
    </cfRule>
  </conditionalFormatting>
  <conditionalFormatting sqref="J117:J127">
    <cfRule type="expression" dxfId="1" priority="66">
      <formula>J$115=0</formula>
    </cfRule>
  </conditionalFormatting>
  <conditionalFormatting sqref="J12:J22">
    <cfRule type="expression" dxfId="1" priority="6">
      <formula>J$10=0</formula>
    </cfRule>
  </conditionalFormatting>
  <conditionalFormatting sqref="J138:J148">
    <cfRule type="expression" dxfId="1" priority="78">
      <formula>J$136=0</formula>
    </cfRule>
  </conditionalFormatting>
  <conditionalFormatting sqref="J159:J169">
    <cfRule type="expression" dxfId="1" priority="90">
      <formula>J$157=0</formula>
    </cfRule>
  </conditionalFormatting>
  <conditionalFormatting sqref="J180:J190">
    <cfRule type="expression" dxfId="1" priority="102">
      <formula>J$178=0</formula>
    </cfRule>
  </conditionalFormatting>
  <conditionalFormatting sqref="J201:J211">
    <cfRule type="expression" dxfId="1" priority="114">
      <formula>J$199=0</formula>
    </cfRule>
  </conditionalFormatting>
  <conditionalFormatting sqref="J222:J232">
    <cfRule type="expression" dxfId="1" priority="126">
      <formula>J$220=0</formula>
    </cfRule>
  </conditionalFormatting>
  <conditionalFormatting sqref="J243:J253">
    <cfRule type="expression" dxfId="1" priority="138">
      <formula>J$241=0</formula>
    </cfRule>
  </conditionalFormatting>
  <conditionalFormatting sqref="J264:J274">
    <cfRule type="expression" dxfId="1" priority="150">
      <formula>J$262=0</formula>
    </cfRule>
  </conditionalFormatting>
  <conditionalFormatting sqref="J285:J295">
    <cfRule type="expression" dxfId="1" priority="162">
      <formula>J$283=0</formula>
    </cfRule>
  </conditionalFormatting>
  <conditionalFormatting sqref="J306:J316">
    <cfRule type="expression" dxfId="1" priority="174">
      <formula>J$304=0</formula>
    </cfRule>
  </conditionalFormatting>
  <conditionalFormatting sqref="J327:J337">
    <cfRule type="expression" dxfId="1" priority="186">
      <formula>J$325=0</formula>
    </cfRule>
  </conditionalFormatting>
  <conditionalFormatting sqref="J33:J43">
    <cfRule type="expression" dxfId="1" priority="18">
      <formula>J$31=0</formula>
    </cfRule>
  </conditionalFormatting>
  <conditionalFormatting sqref="J348:J358">
    <cfRule type="expression" dxfId="1" priority="198">
      <formula>J$346=0</formula>
    </cfRule>
  </conditionalFormatting>
  <conditionalFormatting sqref="J369:J379">
    <cfRule type="expression" dxfId="1" priority="210">
      <formula>J$367=0</formula>
    </cfRule>
  </conditionalFormatting>
  <conditionalFormatting sqref="J54:J64">
    <cfRule type="expression" dxfId="1" priority="30">
      <formula>J$52=0</formula>
    </cfRule>
  </conditionalFormatting>
  <conditionalFormatting sqref="J75:J85">
    <cfRule type="expression" dxfId="1" priority="42">
      <formula>J$73=0</formula>
    </cfRule>
  </conditionalFormatting>
  <conditionalFormatting sqref="J96:J106">
    <cfRule type="expression" dxfId="1" priority="54">
      <formula>J$94=0</formula>
    </cfRule>
  </conditionalFormatting>
  <conditionalFormatting sqref="K117:K127">
    <cfRule type="expression" dxfId="1" priority="67">
      <formula>K$115=0</formula>
    </cfRule>
  </conditionalFormatting>
  <conditionalFormatting sqref="K12:K22">
    <cfRule type="expression" dxfId="1" priority="7">
      <formula>K$10=0</formula>
    </cfRule>
  </conditionalFormatting>
  <conditionalFormatting sqref="K138:K148">
    <cfRule type="expression" dxfId="1" priority="79">
      <formula>K$136=0</formula>
    </cfRule>
  </conditionalFormatting>
  <conditionalFormatting sqref="K159:K169">
    <cfRule type="expression" dxfId="1" priority="91">
      <formula>K$157=0</formula>
    </cfRule>
  </conditionalFormatting>
  <conditionalFormatting sqref="K180:K190">
    <cfRule type="expression" dxfId="1" priority="103">
      <formula>K$178=0</formula>
    </cfRule>
  </conditionalFormatting>
  <conditionalFormatting sqref="K201:K211">
    <cfRule type="expression" dxfId="1" priority="115">
      <formula>K$199=0</formula>
    </cfRule>
  </conditionalFormatting>
  <conditionalFormatting sqref="K222:K232">
    <cfRule type="expression" dxfId="1" priority="127">
      <formula>K$220=0</formula>
    </cfRule>
  </conditionalFormatting>
  <conditionalFormatting sqref="K243:K253">
    <cfRule type="expression" dxfId="1" priority="139">
      <formula>K$241=0</formula>
    </cfRule>
  </conditionalFormatting>
  <conditionalFormatting sqref="K264:K274">
    <cfRule type="expression" dxfId="1" priority="151">
      <formula>K$262=0</formula>
    </cfRule>
  </conditionalFormatting>
  <conditionalFormatting sqref="K285:K295">
    <cfRule type="expression" dxfId="1" priority="163">
      <formula>K$283=0</formula>
    </cfRule>
  </conditionalFormatting>
  <conditionalFormatting sqref="K306:K316">
    <cfRule type="expression" dxfId="1" priority="175">
      <formula>K$304=0</formula>
    </cfRule>
  </conditionalFormatting>
  <conditionalFormatting sqref="K327:K337">
    <cfRule type="expression" dxfId="1" priority="187">
      <formula>K$325=0</formula>
    </cfRule>
  </conditionalFormatting>
  <conditionalFormatting sqref="K33:K43">
    <cfRule type="expression" dxfId="1" priority="19">
      <formula>K$31=0</formula>
    </cfRule>
  </conditionalFormatting>
  <conditionalFormatting sqref="K348:K358">
    <cfRule type="expression" dxfId="1" priority="199">
      <formula>K$346=0</formula>
    </cfRule>
  </conditionalFormatting>
  <conditionalFormatting sqref="K369:K379">
    <cfRule type="expression" dxfId="1" priority="211">
      <formula>K$367=0</formula>
    </cfRule>
  </conditionalFormatting>
  <conditionalFormatting sqref="K54:K64">
    <cfRule type="expression" dxfId="1" priority="31">
      <formula>K$52=0</formula>
    </cfRule>
  </conditionalFormatting>
  <conditionalFormatting sqref="K75:K85">
    <cfRule type="expression" dxfId="1" priority="43">
      <formula>K$73=0</formula>
    </cfRule>
  </conditionalFormatting>
  <conditionalFormatting sqref="K96:K106">
    <cfRule type="expression" dxfId="1" priority="55">
      <formula>K$94=0</formula>
    </cfRule>
  </conditionalFormatting>
  <conditionalFormatting sqref="L117:L127">
    <cfRule type="expression" dxfId="1" priority="68">
      <formula>L$115=0</formula>
    </cfRule>
  </conditionalFormatting>
  <conditionalFormatting sqref="L12:L22">
    <cfRule type="expression" dxfId="1" priority="8">
      <formula>L$10=0</formula>
    </cfRule>
  </conditionalFormatting>
  <conditionalFormatting sqref="L138:L148">
    <cfRule type="expression" dxfId="1" priority="80">
      <formula>L$136=0</formula>
    </cfRule>
  </conditionalFormatting>
  <conditionalFormatting sqref="L159:L169">
    <cfRule type="expression" dxfId="1" priority="92">
      <formula>L$157=0</formula>
    </cfRule>
  </conditionalFormatting>
  <conditionalFormatting sqref="L180:L190">
    <cfRule type="expression" dxfId="1" priority="104">
      <formula>L$178=0</formula>
    </cfRule>
  </conditionalFormatting>
  <conditionalFormatting sqref="L201:L211">
    <cfRule type="expression" dxfId="1" priority="116">
      <formula>L$199=0</formula>
    </cfRule>
  </conditionalFormatting>
  <conditionalFormatting sqref="L222:L232">
    <cfRule type="expression" dxfId="1" priority="128">
      <formula>L$220=0</formula>
    </cfRule>
  </conditionalFormatting>
  <conditionalFormatting sqref="L243:L253">
    <cfRule type="expression" dxfId="1" priority="140">
      <formula>L$241=0</formula>
    </cfRule>
  </conditionalFormatting>
  <conditionalFormatting sqref="L264:L274">
    <cfRule type="expression" dxfId="1" priority="152">
      <formula>L$262=0</formula>
    </cfRule>
  </conditionalFormatting>
  <conditionalFormatting sqref="L285:L295">
    <cfRule type="expression" dxfId="1" priority="164">
      <formula>L$283=0</formula>
    </cfRule>
  </conditionalFormatting>
  <conditionalFormatting sqref="L306:L316">
    <cfRule type="expression" dxfId="1" priority="176">
      <formula>L$304=0</formula>
    </cfRule>
  </conditionalFormatting>
  <conditionalFormatting sqref="L327:L337">
    <cfRule type="expression" dxfId="1" priority="188">
      <formula>L$325=0</formula>
    </cfRule>
  </conditionalFormatting>
  <conditionalFormatting sqref="L33:L43">
    <cfRule type="expression" dxfId="1" priority="20">
      <formula>L$31=0</formula>
    </cfRule>
  </conditionalFormatting>
  <conditionalFormatting sqref="L348:L358">
    <cfRule type="expression" dxfId="1" priority="200">
      <formula>L$346=0</formula>
    </cfRule>
  </conditionalFormatting>
  <conditionalFormatting sqref="L369:L379">
    <cfRule type="expression" dxfId="1" priority="212">
      <formula>L$367=0</formula>
    </cfRule>
  </conditionalFormatting>
  <conditionalFormatting sqref="L54:L64">
    <cfRule type="expression" dxfId="1" priority="32">
      <formula>L$52=0</formula>
    </cfRule>
  </conditionalFormatting>
  <conditionalFormatting sqref="L75:L85">
    <cfRule type="expression" dxfId="1" priority="44">
      <formula>L$73=0</formula>
    </cfRule>
  </conditionalFormatting>
  <conditionalFormatting sqref="L96:L106">
    <cfRule type="expression" dxfId="1" priority="56">
      <formula>L$94=0</formula>
    </cfRule>
  </conditionalFormatting>
  <conditionalFormatting sqref="M117:M127">
    <cfRule type="expression" dxfId="1" priority="69">
      <formula>M$115=0</formula>
    </cfRule>
  </conditionalFormatting>
  <conditionalFormatting sqref="M12:M22">
    <cfRule type="expression" dxfId="1" priority="9">
      <formula>M$10=0</formula>
    </cfRule>
  </conditionalFormatting>
  <conditionalFormatting sqref="M138:M148">
    <cfRule type="expression" dxfId="1" priority="81">
      <formula>M$136=0</formula>
    </cfRule>
  </conditionalFormatting>
  <conditionalFormatting sqref="M159:M169">
    <cfRule type="expression" dxfId="1" priority="93">
      <formula>M$157=0</formula>
    </cfRule>
  </conditionalFormatting>
  <conditionalFormatting sqref="M180:M190">
    <cfRule type="expression" dxfId="1" priority="105">
      <formula>M$178=0</formula>
    </cfRule>
  </conditionalFormatting>
  <conditionalFormatting sqref="M201:M211">
    <cfRule type="expression" dxfId="1" priority="117">
      <formula>M$199=0</formula>
    </cfRule>
  </conditionalFormatting>
  <conditionalFormatting sqref="M222:M232">
    <cfRule type="expression" dxfId="1" priority="129">
      <formula>M$220=0</formula>
    </cfRule>
  </conditionalFormatting>
  <conditionalFormatting sqref="M243:M253">
    <cfRule type="expression" dxfId="1" priority="141">
      <formula>M$241=0</formula>
    </cfRule>
  </conditionalFormatting>
  <conditionalFormatting sqref="M264:M274">
    <cfRule type="expression" dxfId="1" priority="153">
      <formula>M$262=0</formula>
    </cfRule>
  </conditionalFormatting>
  <conditionalFormatting sqref="M285:M295">
    <cfRule type="expression" dxfId="1" priority="165">
      <formula>M$283=0</formula>
    </cfRule>
  </conditionalFormatting>
  <conditionalFormatting sqref="M306:M316">
    <cfRule type="expression" dxfId="1" priority="177">
      <formula>M$304=0</formula>
    </cfRule>
  </conditionalFormatting>
  <conditionalFormatting sqref="M327:M337">
    <cfRule type="expression" dxfId="1" priority="189">
      <formula>M$325=0</formula>
    </cfRule>
  </conditionalFormatting>
  <conditionalFormatting sqref="M33:M43">
    <cfRule type="expression" dxfId="1" priority="21">
      <formula>M$31=0</formula>
    </cfRule>
  </conditionalFormatting>
  <conditionalFormatting sqref="M348:M358">
    <cfRule type="expression" dxfId="1" priority="201">
      <formula>M$346=0</formula>
    </cfRule>
  </conditionalFormatting>
  <conditionalFormatting sqref="M369:M379">
    <cfRule type="expression" dxfId="1" priority="213">
      <formula>M$367=0</formula>
    </cfRule>
  </conditionalFormatting>
  <conditionalFormatting sqref="M54:M64">
    <cfRule type="expression" dxfId="1" priority="33">
      <formula>M$52=0</formula>
    </cfRule>
  </conditionalFormatting>
  <conditionalFormatting sqref="M75:M85">
    <cfRule type="expression" dxfId="1" priority="45">
      <formula>M$73=0</formula>
    </cfRule>
  </conditionalFormatting>
  <conditionalFormatting sqref="M96:M106">
    <cfRule type="expression" dxfId="1" priority="57">
      <formula>M$94=0</formula>
    </cfRule>
  </conditionalFormatting>
  <conditionalFormatting sqref="N117:N127">
    <cfRule type="expression" dxfId="1" priority="70">
      <formula>N$115=0</formula>
    </cfRule>
  </conditionalFormatting>
  <conditionalFormatting sqref="N12:N22">
    <cfRule type="expression" dxfId="1" priority="10">
      <formula>N$10=0</formula>
    </cfRule>
  </conditionalFormatting>
  <conditionalFormatting sqref="N138:N148">
    <cfRule type="expression" dxfId="1" priority="82">
      <formula>N$136=0</formula>
    </cfRule>
  </conditionalFormatting>
  <conditionalFormatting sqref="N159:N169">
    <cfRule type="expression" dxfId="1" priority="94">
      <formula>N$157=0</formula>
    </cfRule>
  </conditionalFormatting>
  <conditionalFormatting sqref="N180:N190">
    <cfRule type="expression" dxfId="1" priority="106">
      <formula>N$178=0</formula>
    </cfRule>
  </conditionalFormatting>
  <conditionalFormatting sqref="N201:N211">
    <cfRule type="expression" dxfId="1" priority="118">
      <formula>N$199=0</formula>
    </cfRule>
  </conditionalFormatting>
  <conditionalFormatting sqref="N222:N232">
    <cfRule type="expression" dxfId="1" priority="130">
      <formula>N$220=0</formula>
    </cfRule>
  </conditionalFormatting>
  <conditionalFormatting sqref="N243:N253">
    <cfRule type="expression" dxfId="1" priority="142">
      <formula>N$241=0</formula>
    </cfRule>
  </conditionalFormatting>
  <conditionalFormatting sqref="N264:N274">
    <cfRule type="expression" dxfId="1" priority="154">
      <formula>N$262=0</formula>
    </cfRule>
  </conditionalFormatting>
  <conditionalFormatting sqref="N285:N295">
    <cfRule type="expression" dxfId="1" priority="166">
      <formula>N$283=0</formula>
    </cfRule>
  </conditionalFormatting>
  <conditionalFormatting sqref="N306:N316">
    <cfRule type="expression" dxfId="1" priority="178">
      <formula>N$304=0</formula>
    </cfRule>
  </conditionalFormatting>
  <conditionalFormatting sqref="N327:N337">
    <cfRule type="expression" dxfId="1" priority="190">
      <formula>N$325=0</formula>
    </cfRule>
  </conditionalFormatting>
  <conditionalFormatting sqref="N33:N43">
    <cfRule type="expression" dxfId="1" priority="22">
      <formula>N$31=0</formula>
    </cfRule>
  </conditionalFormatting>
  <conditionalFormatting sqref="N348:N358">
    <cfRule type="expression" dxfId="1" priority="202">
      <formula>N$346=0</formula>
    </cfRule>
  </conditionalFormatting>
  <conditionalFormatting sqref="N369:N379">
    <cfRule type="expression" dxfId="1" priority="214">
      <formula>N$367=0</formula>
    </cfRule>
  </conditionalFormatting>
  <conditionalFormatting sqref="N54:N64">
    <cfRule type="expression" dxfId="1" priority="34">
      <formula>N$52=0</formula>
    </cfRule>
  </conditionalFormatting>
  <conditionalFormatting sqref="N75:N85">
    <cfRule type="expression" dxfId="1" priority="46">
      <formula>N$73=0</formula>
    </cfRule>
  </conditionalFormatting>
  <conditionalFormatting sqref="N96:N106">
    <cfRule type="expression" dxfId="1" priority="58">
      <formula>N$94=0</formula>
    </cfRule>
  </conditionalFormatting>
  <dataValidations count="1980">
    <dataValidation type="whole" allowBlank="1" showInputMessage="1" showErrorMessage="1" errorTitle="Проверьте ввод" error="Введите значение в допустимых пределах. См. примечание к ячейке." sqref="E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0">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1">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3">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52">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4">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73">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5">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94">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6">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15">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7">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36">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8">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57">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9">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78">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90">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99">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1">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20">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2">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41">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3">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62">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4">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83">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5">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04">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6">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25">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7">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46">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8">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67">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9">
      <formula1>0</formula1>
      <formula2>86400</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&amp;LЗамеры ДО&amp;RСтр. &amp;P / &amp;N</oddFooter>
  </headerFooter>
  <rowBreaks count="17" manualBreakCount="17">
    <brk id="27" max="16383" man="1"/>
    <brk id="48" max="16383" man="1"/>
    <brk id="69" max="16383" man="1"/>
    <brk id="90" max="16383" man="1"/>
    <brk id="111" max="16383" man="1"/>
    <brk id="132" max="16383" man="1"/>
    <brk id="153" max="16383" man="1"/>
    <brk id="174" max="16383" man="1"/>
    <brk id="195" max="16383" man="1"/>
    <brk id="216" max="16383" man="1"/>
    <brk id="237" max="16383" man="1"/>
    <brk id="258" max="16383" man="1"/>
    <brk id="279" max="16383" man="1"/>
    <brk id="300" max="16383" man="1"/>
    <brk id="321" max="16383" man="1"/>
    <brk id="342" max="16383" man="1"/>
    <brk id="363" max="16383" man="1"/>
  </rowBreaks>
  <legacyDrawing r:id="rId1"/>
</worksheet>
</file>

<file path=xl/worksheets/sheet6.xml><?xml version="1.0" encoding="utf-8"?>
<worksheet xmlns="http://schemas.openxmlformats.org/spreadsheetml/2006/main" xmlns:r="http://schemas.openxmlformats.org/officeDocument/2006/relationships">
  <sheetPr>
    <tabColor rgb="FFE9B949"/>
    <pageSetUpPr fitToPage="1"/>
  </sheetPr>
  <dimension ref="A1:AQ382"/>
  <sheetViews>
    <sheetView showGridLines="0" zoomScale="85" zoomScaleNormal="85" workbookViewId="0">
      <pane xSplit="4" ySplit="5" topLeftCell="E6" activePane="bottomRight" state="frozen"/>
      <selection pane="topRight" activeCell="E1" sqref="E1"/>
      <selection pane="bottomLeft" activeCell="A6" sqref="A6"/>
      <selection pane="bottomRight"/>
    </sheetView>
  </sheetViews>
  <sheetFormatPr defaultRowHeight="23" customHeight="1"/>
  <cols>
    <col min="1" max="1" width="4.7109375" customWidth="1"/>
    <col min="2" max="2" width="36.7109375" customWidth="1"/>
    <col min="3" max="3" width="16.7109375" customWidth="1"/>
    <col min="4" max="4" width="27.7109375" customWidth="1"/>
    <col min="5" max="14" width="8.7109375" customWidth="1"/>
    <col min="15" max="21" width="10.7109375" customWidth="1"/>
    <col min="22" max="24" width="18.7109375" customWidth="1"/>
    <col min="25" max="43" width="0" hidden="1" customWidth="1"/>
  </cols>
  <sheetData>
    <row r="1" spans="1:43" ht="35" customHeight="1">
      <c r="A1" s="1" t="s">
        <v>229</v>
      </c>
      <c r="B1" s="1"/>
      <c r="C1" s="1"/>
      <c r="D1" s="1"/>
      <c r="E1" s="1"/>
      <c r="F1" s="1"/>
      <c r="G1" s="1"/>
      <c r="H1" s="1"/>
      <c r="I1" s="1"/>
      <c r="J1" s="1"/>
      <c r="K1" s="1"/>
      <c r="L1" s="1"/>
      <c r="M1" s="1"/>
      <c r="N1" s="1"/>
      <c r="O1" s="1"/>
      <c r="P1" s="1"/>
      <c r="Q1" s="1"/>
      <c r="R1" s="1"/>
      <c r="S1" s="1"/>
      <c r="T1" s="1"/>
      <c r="U1" s="1"/>
      <c r="V1" s="1"/>
      <c r="W1" s="1"/>
      <c r="X1" s="1"/>
    </row>
    <row r="2" spans="1:43" ht="31" customHeight="1">
      <c r="A2" s="2" t="s">
        <v>1</v>
      </c>
      <c r="B2" s="2"/>
      <c r="C2" s="2"/>
      <c r="D2" s="2"/>
      <c r="E2" s="2"/>
      <c r="F2" s="2"/>
      <c r="G2" s="2"/>
      <c r="H2" s="2"/>
      <c r="I2" s="2"/>
      <c r="J2" s="2"/>
      <c r="K2" s="2"/>
      <c r="L2" s="2"/>
      <c r="M2" s="2"/>
      <c r="N2" s="2"/>
      <c r="O2" s="2"/>
      <c r="P2" s="2"/>
      <c r="Q2" s="2"/>
      <c r="R2" s="2"/>
      <c r="S2" s="2"/>
      <c r="T2" s="2"/>
      <c r="U2" s="2"/>
      <c r="V2" s="2"/>
      <c r="W2" s="2"/>
      <c r="X2" s="2"/>
    </row>
    <row r="3" spans="1:43" ht="23" customHeight="1">
      <c r="A3" s="3" t="s">
        <v>2</v>
      </c>
      <c r="B3" s="7" t="s">
        <v>3</v>
      </c>
      <c r="C3" s="7"/>
      <c r="D3" s="7"/>
      <c r="E3" s="7"/>
      <c r="F3" s="7"/>
      <c r="G3" s="7"/>
      <c r="H3" s="7"/>
      <c r="I3" s="7"/>
      <c r="J3" s="7"/>
      <c r="K3" s="7"/>
      <c r="L3" s="7"/>
      <c r="M3" s="7"/>
      <c r="N3" s="7"/>
      <c r="O3" s="7"/>
      <c r="P3" s="7"/>
      <c r="Q3" s="7"/>
      <c r="R3" s="7"/>
      <c r="S3" s="7"/>
      <c r="T3" s="7"/>
      <c r="U3" s="7"/>
      <c r="V3" s="7"/>
      <c r="W3" s="7"/>
      <c r="X3" s="7"/>
    </row>
    <row r="5" spans="1:43" ht="23" customHeight="1">
      <c r="A5" s="4" t="s">
        <v>154</v>
      </c>
      <c r="B5" s="4"/>
      <c r="C5" s="4"/>
      <c r="D5" s="4"/>
      <c r="E5" s="4"/>
      <c r="F5" s="4"/>
      <c r="G5" s="4"/>
      <c r="H5" s="4"/>
      <c r="I5" s="4"/>
      <c r="J5" s="4"/>
      <c r="K5" s="4"/>
      <c r="L5" s="4"/>
      <c r="M5" s="4"/>
      <c r="N5" s="4"/>
      <c r="O5" s="4"/>
      <c r="P5" s="4"/>
      <c r="Q5" s="4"/>
      <c r="R5" s="4"/>
      <c r="S5" s="4"/>
      <c r="T5" s="4"/>
      <c r="U5" s="4"/>
      <c r="V5" s="4"/>
      <c r="W5" s="4"/>
      <c r="X5" s="4"/>
    </row>
    <row r="7" spans="1:43" ht="23" customHeight="1">
      <c r="A7" s="4" t="s">
        <v>230</v>
      </c>
      <c r="B7" s="4"/>
      <c r="C7" s="4"/>
      <c r="D7" s="4"/>
      <c r="E7" s="4"/>
      <c r="F7" s="4"/>
      <c r="G7" s="4"/>
      <c r="H7" s="4"/>
      <c r="I7" s="4"/>
      <c r="J7" s="4"/>
      <c r="K7" s="4"/>
      <c r="L7" s="4"/>
      <c r="M7" s="4"/>
      <c r="N7" s="4"/>
      <c r="O7" s="4"/>
      <c r="P7" s="4"/>
      <c r="Q7" s="4"/>
      <c r="R7" s="4"/>
      <c r="S7" s="4"/>
      <c r="T7" s="4"/>
      <c r="U7" s="4"/>
      <c r="V7" s="4"/>
      <c r="W7" s="4"/>
      <c r="X7" s="4"/>
    </row>
    <row r="8" spans="1:43" ht="23" customHeight="1">
      <c r="A8" s="7" t="str">
        <f>"Масса замера, кг: "&amp;'Ассортимент'!J8&amp;".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8" s="7"/>
      <c r="C8" s="7"/>
      <c r="D8" s="7"/>
      <c r="E8" s="7"/>
      <c r="F8" s="7"/>
      <c r="G8" s="7"/>
      <c r="H8" s="7"/>
      <c r="I8" s="7"/>
      <c r="J8" s="7"/>
      <c r="K8" s="7"/>
      <c r="L8" s="7"/>
      <c r="M8" s="7"/>
      <c r="N8" s="7"/>
      <c r="O8" s="7"/>
      <c r="P8" s="7"/>
      <c r="Q8" s="7"/>
      <c r="R8" s="7"/>
      <c r="S8" s="7"/>
      <c r="T8" s="7"/>
      <c r="U8" s="7"/>
      <c r="V8" s="7"/>
      <c r="W8" s="7"/>
      <c r="X8" s="7"/>
    </row>
    <row r="9" spans="1:43" ht="44" customHeight="1">
      <c r="A9" s="8" t="s">
        <v>113</v>
      </c>
      <c r="B9" s="8" t="s">
        <v>156</v>
      </c>
      <c r="C9" s="8" t="s">
        <v>157</v>
      </c>
      <c r="D9" s="8" t="s">
        <v>158</v>
      </c>
      <c r="E9" s="8" t="s">
        <v>159</v>
      </c>
      <c r="F9" s="8" t="s">
        <v>160</v>
      </c>
      <c r="G9" s="8" t="s">
        <v>161</v>
      </c>
      <c r="H9" s="8" t="s">
        <v>162</v>
      </c>
      <c r="I9" s="8" t="s">
        <v>163</v>
      </c>
      <c r="J9" s="8" t="s">
        <v>164</v>
      </c>
      <c r="K9" s="8" t="s">
        <v>165</v>
      </c>
      <c r="L9" s="8" t="s">
        <v>166</v>
      </c>
      <c r="M9" s="8" t="s">
        <v>167</v>
      </c>
      <c r="N9" s="8" t="s">
        <v>168</v>
      </c>
      <c r="O9" s="8" t="s">
        <v>169</v>
      </c>
      <c r="P9" s="8" t="s">
        <v>170</v>
      </c>
      <c r="Q9" s="8" t="s">
        <v>171</v>
      </c>
      <c r="R9" s="8" t="s">
        <v>172</v>
      </c>
      <c r="S9" s="8" t="s">
        <v>173</v>
      </c>
      <c r="T9" s="8" t="s">
        <v>174</v>
      </c>
      <c r="U9" s="8" t="s">
        <v>175</v>
      </c>
      <c r="V9" s="8" t="s">
        <v>176</v>
      </c>
      <c r="W9" s="8" t="s">
        <v>177</v>
      </c>
      <c r="X9" s="8" t="s">
        <v>178</v>
      </c>
    </row>
    <row r="10" spans="1:43" ht="23" customHeight="1">
      <c r="B10" s="5" t="s">
        <v>179</v>
      </c>
      <c r="E10" s="12">
        <v>1</v>
      </c>
      <c r="F10" s="12">
        <v>1</v>
      </c>
      <c r="G10" s="12">
        <v>1</v>
      </c>
      <c r="H10" s="12">
        <v>1</v>
      </c>
      <c r="I10" s="12">
        <v>1</v>
      </c>
      <c r="J10" s="12">
        <v>1</v>
      </c>
      <c r="K10" s="12">
        <v>1</v>
      </c>
      <c r="L10" s="12">
        <v>1</v>
      </c>
      <c r="M10" s="12">
        <v>1</v>
      </c>
      <c r="N10" s="12">
        <v>1</v>
      </c>
    </row>
    <row r="11" spans="1:43" ht="33" customHeight="1">
      <c r="B11" s="5" t="s">
        <v>180</v>
      </c>
      <c r="E11" s="9" t="s">
        <v>181</v>
      </c>
      <c r="F11" s="9" t="s">
        <v>181</v>
      </c>
      <c r="G11" s="9" t="s">
        <v>181</v>
      </c>
      <c r="H11" s="9" t="s">
        <v>181</v>
      </c>
      <c r="I11" s="9" t="s">
        <v>181</v>
      </c>
      <c r="J11" s="9" t="s">
        <v>181</v>
      </c>
      <c r="K11" s="9" t="s">
        <v>181</v>
      </c>
      <c r="L11" s="9" t="s">
        <v>181</v>
      </c>
      <c r="M11" s="9" t="s">
        <v>181</v>
      </c>
      <c r="N11" s="9" t="s">
        <v>181</v>
      </c>
    </row>
    <row r="12" spans="1:43" ht="40" customHeight="1">
      <c r="A12" s="5">
        <v>1</v>
      </c>
      <c r="B12" s="5" t="s">
        <v>182</v>
      </c>
      <c r="C12" s="11" t="s">
        <v>183</v>
      </c>
      <c r="D12" s="7" t="s">
        <v>184</v>
      </c>
      <c r="E12" s="12">
        <v>25</v>
      </c>
      <c r="F12" s="12">
        <v>26</v>
      </c>
      <c r="G12" s="12">
        <v>27</v>
      </c>
      <c r="H12" s="12">
        <v>25.5</v>
      </c>
      <c r="I12" s="12">
        <v>26.5</v>
      </c>
      <c r="J12" s="12">
        <v>27.5</v>
      </c>
      <c r="K12" s="12">
        <v>25.75</v>
      </c>
      <c r="L12" s="12">
        <v>26.75</v>
      </c>
      <c r="M12" s="12">
        <v>25.25</v>
      </c>
      <c r="N12" s="12">
        <v>26.25</v>
      </c>
      <c r="O12" s="13">
        <f>IF(COUNT(AG12:AP12)&gt;0,MIN(AG12:AP12),"")</f>
        <v>25</v>
      </c>
      <c r="P12" s="13">
        <f>IF(COUNT(AG12:AP12)&gt;0,MAX(AG12:AP12),"")</f>
        <v>27.5</v>
      </c>
      <c r="Q12" s="13">
        <f>IF(ISNUMBER(O12),P12-O12,"")</f>
        <v>2.5</v>
      </c>
      <c r="R12" s="13">
        <f>IF(ISNUMBER(O12),IF(C12="Ручная",IF($S$24&gt;0,$R$24*Q12/$S$24,IF($W$24=1,$R$24,0)),0),"")</f>
        <v>0.786657559198539</v>
      </c>
      <c r="S12" s="13">
        <f>IF(ISNUMBER(O12),O12+R12,"")</f>
        <v>25.7866575591985</v>
      </c>
      <c r="T12" s="13">
        <f>IF(ISNUMBER(S12),P12-S12,"")</f>
        <v>1.71334244080146</v>
      </c>
      <c r="U12" s="13">
        <f>IF(COUNT(AG12:AP12)&gt;0,AVERAGE(AG12:AP12),"")</f>
        <v>26.15</v>
      </c>
      <c r="AG12" s="13">
        <f>IF(ISNUMBER(E$24),E12,"")</f>
        <v>25</v>
      </c>
      <c r="AH12" s="13">
        <f>IF(ISNUMBER(F$24),F12,"")</f>
        <v>26</v>
      </c>
      <c r="AI12" s="13">
        <f>IF(ISNUMBER(G$24),G12,"")</f>
        <v>27</v>
      </c>
      <c r="AJ12" s="13">
        <f>IF(ISNUMBER(H$24),H12,"")</f>
        <v>25.5</v>
      </c>
      <c r="AK12" s="13">
        <f>IF(ISNUMBER(I$24),I12,"")</f>
        <v>26.5</v>
      </c>
      <c r="AL12" s="13">
        <f>IF(ISNUMBER(J$24),J12,"")</f>
        <v>27.5</v>
      </c>
      <c r="AM12" s="13">
        <f>IF(ISNUMBER(K$24),K12,"")</f>
        <v>25.75</v>
      </c>
      <c r="AN12" s="13">
        <f>IF(ISNUMBER(L$24),L12,"")</f>
        <v>26.75</v>
      </c>
      <c r="AO12" s="13">
        <f>IF(ISNUMBER(M$24),M12,"")</f>
        <v>25.25</v>
      </c>
      <c r="AP12" s="13">
        <f>IF(ISNUMBER(N$24),N12,"")</f>
        <v>26.25</v>
      </c>
      <c r="AQ12" s="13">
        <f>IF(C12="Ручная",O12,0)</f>
        <v>25</v>
      </c>
    </row>
    <row r="13" spans="1:43" ht="40" customHeight="1">
      <c r="A13" s="5">
        <v>2</v>
      </c>
      <c r="B13" s="5" t="s">
        <v>185</v>
      </c>
      <c r="C13" s="11" t="s">
        <v>183</v>
      </c>
      <c r="D13" s="7" t="s">
        <v>186</v>
      </c>
      <c r="E13" s="12">
        <v>102</v>
      </c>
      <c r="F13" s="12">
        <v>106</v>
      </c>
      <c r="G13" s="12">
        <v>110</v>
      </c>
      <c r="H13" s="12">
        <v>103</v>
      </c>
      <c r="I13" s="12">
        <v>107</v>
      </c>
      <c r="J13" s="12">
        <v>101</v>
      </c>
      <c r="K13" s="12">
        <v>105</v>
      </c>
      <c r="L13" s="12">
        <v>100</v>
      </c>
      <c r="M13" s="12">
        <v>104</v>
      </c>
      <c r="N13" s="12">
        <v>108</v>
      </c>
      <c r="O13" s="13">
        <f>IF(COUNT(AG13:AP13)&gt;0,MIN(AG13:AP13),"")</f>
        <v>100</v>
      </c>
      <c r="P13" s="13">
        <f>IF(COUNT(AG13:AP13)&gt;0,MAX(AG13:AP13),"")</f>
        <v>110</v>
      </c>
      <c r="Q13" s="13">
        <f>IF(ISNUMBER(O13),P13-O13,"")</f>
        <v>10</v>
      </c>
      <c r="R13" s="13">
        <f>IF(ISNUMBER(O13),IF(C13="Ручная",IF($S$24&gt;0,$R$24*Q13/$S$24,IF($W$24=2,$R$24,0)),0),"")</f>
        <v>3.14663023679416</v>
      </c>
      <c r="S13" s="13">
        <f>IF(ISNUMBER(O13),O13+R13,"")</f>
        <v>103.146630236794</v>
      </c>
      <c r="T13" s="13">
        <f>IF(ISNUMBER(S13),P13-S13,"")</f>
        <v>6.85336976320585</v>
      </c>
      <c r="U13" s="13">
        <f>IF(COUNT(AG13:AP13)&gt;0,AVERAGE(AG13:AP13),"")</f>
        <v>104.6</v>
      </c>
      <c r="AG13" s="13">
        <f>IF(ISNUMBER(E$24),E13,"")</f>
        <v>102</v>
      </c>
      <c r="AH13" s="13">
        <f>IF(ISNUMBER(F$24),F13,"")</f>
        <v>106</v>
      </c>
      <c r="AI13" s="13">
        <f>IF(ISNUMBER(G$24),G13,"")</f>
        <v>110</v>
      </c>
      <c r="AJ13" s="13">
        <f>IF(ISNUMBER(H$24),H13,"")</f>
        <v>103</v>
      </c>
      <c r="AK13" s="13">
        <f>IF(ISNUMBER(I$24),I13,"")</f>
        <v>107</v>
      </c>
      <c r="AL13" s="13">
        <f>IF(ISNUMBER(J$24),J13,"")</f>
        <v>101</v>
      </c>
      <c r="AM13" s="13">
        <f>IF(ISNUMBER(K$24),K13,"")</f>
        <v>105</v>
      </c>
      <c r="AN13" s="13">
        <f>IF(ISNUMBER(L$24),L13,"")</f>
        <v>100</v>
      </c>
      <c r="AO13" s="13">
        <f>IF(ISNUMBER(M$24),M13,"")</f>
        <v>104</v>
      </c>
      <c r="AP13" s="13">
        <f>IF(ISNUMBER(N$24),N13,"")</f>
        <v>108</v>
      </c>
      <c r="AQ13" s="13">
        <f>IF(C13="Ручная",O13,0)</f>
        <v>100</v>
      </c>
    </row>
    <row r="14" spans="1:43" ht="40" customHeight="1">
      <c r="A14" s="5">
        <v>3</v>
      </c>
      <c r="B14" s="5" t="s">
        <v>187</v>
      </c>
      <c r="C14" s="11" t="s">
        <v>183</v>
      </c>
      <c r="D14" s="7" t="s">
        <v>188</v>
      </c>
      <c r="E14" s="12">
        <v>20.39</v>
      </c>
      <c r="F14" s="12">
        <v>21.19</v>
      </c>
      <c r="G14" s="12">
        <v>20</v>
      </c>
      <c r="H14" s="12">
        <v>20.79</v>
      </c>
      <c r="I14" s="12">
        <v>19.8</v>
      </c>
      <c r="J14" s="12">
        <v>20.59</v>
      </c>
      <c r="K14" s="12">
        <v>21.38</v>
      </c>
      <c r="L14" s="12">
        <v>20.2</v>
      </c>
      <c r="M14" s="12">
        <v>20.99</v>
      </c>
      <c r="N14" s="12">
        <v>21.78</v>
      </c>
      <c r="O14" s="13">
        <f>IF(COUNT(AG14:AP14)&gt;0,MIN(AG14:AP14),"")</f>
        <v>19.8</v>
      </c>
      <c r="P14" s="13">
        <f>IF(COUNT(AG14:AP14)&gt;0,MAX(AG14:AP14),"")</f>
        <v>21.78</v>
      </c>
      <c r="Q14" s="13">
        <f>IF(ISNUMBER(O14),P14-O14,"")</f>
        <v>1.98</v>
      </c>
      <c r="R14" s="13">
        <f>IF(ISNUMBER(O14),IF(C14="Ручная",IF($S$24&gt;0,$R$24*Q14/$S$24,IF($W$24=3,$R$24,0)),0),"")</f>
        <v>0.623032786885243</v>
      </c>
      <c r="S14" s="13">
        <f>IF(ISNUMBER(O14),O14+R14,"")</f>
        <v>20.4230327868852</v>
      </c>
      <c r="T14" s="13">
        <f>IF(ISNUMBER(S14),P14-S14,"")</f>
        <v>1.35696721311476</v>
      </c>
      <c r="U14" s="13">
        <f>IF(COUNT(AG14:AP14)&gt;0,AVERAGE(AG14:AP14),"")</f>
        <v>20.711</v>
      </c>
      <c r="AG14" s="13">
        <f>IF(ISNUMBER(E$24),E14,"")</f>
        <v>20.39</v>
      </c>
      <c r="AH14" s="13">
        <f>IF(ISNUMBER(F$24),F14,"")</f>
        <v>21.19</v>
      </c>
      <c r="AI14" s="13">
        <f>IF(ISNUMBER(G$24),G14,"")</f>
        <v>20</v>
      </c>
      <c r="AJ14" s="13">
        <f>IF(ISNUMBER(H$24),H14,"")</f>
        <v>20.79</v>
      </c>
      <c r="AK14" s="13">
        <f>IF(ISNUMBER(I$24),I14,"")</f>
        <v>19.8</v>
      </c>
      <c r="AL14" s="13">
        <f>IF(ISNUMBER(J$24),J14,"")</f>
        <v>20.59</v>
      </c>
      <c r="AM14" s="13">
        <f>IF(ISNUMBER(K$24),K14,"")</f>
        <v>21.38</v>
      </c>
      <c r="AN14" s="13">
        <f>IF(ISNUMBER(L$24),L14,"")</f>
        <v>20.2</v>
      </c>
      <c r="AO14" s="13">
        <f>IF(ISNUMBER(M$24),M14,"")</f>
        <v>20.99</v>
      </c>
      <c r="AP14" s="13">
        <f>IF(ISNUMBER(N$24),N14,"")</f>
        <v>21.78</v>
      </c>
      <c r="AQ14" s="13">
        <f>IF(C14="Ручная",O14,0)</f>
        <v>19.8</v>
      </c>
    </row>
    <row r="15" spans="1:43" ht="40" customHeight="1">
      <c r="A15" s="5" t="s">
        <v>189</v>
      </c>
      <c r="B15" s="5" t="s">
        <v>190</v>
      </c>
      <c r="C15" s="11" t="s">
        <v>191</v>
      </c>
      <c r="D15" s="7" t="s">
        <v>192</v>
      </c>
      <c r="E15" s="12">
        <v>6.3</v>
      </c>
      <c r="F15" s="12">
        <v>6</v>
      </c>
      <c r="G15" s="12">
        <v>6.24</v>
      </c>
      <c r="H15" s="12">
        <v>6.48</v>
      </c>
      <c r="I15" s="12">
        <v>6.12</v>
      </c>
      <c r="J15" s="12">
        <v>6.36</v>
      </c>
      <c r="K15" s="12">
        <v>6.6</v>
      </c>
      <c r="L15" s="12">
        <v>6.18</v>
      </c>
      <c r="M15" s="12">
        <v>6.42</v>
      </c>
      <c r="N15" s="12">
        <v>6.06</v>
      </c>
      <c r="O15" s="13">
        <f>IF(COUNT(AG15:AP15)&gt;0,MIN(AG15:AP15),"")</f>
        <v>6</v>
      </c>
      <c r="P15" s="13">
        <f>IF(COUNT(AG15:AP15)&gt;0,MAX(AG15:AP15),"")</f>
        <v>6.6</v>
      </c>
      <c r="Q15" s="13">
        <f>IF(ISNUMBER(O15),P15-O15,"")</f>
        <v>0.6</v>
      </c>
      <c r="R15" s="13">
        <f>IF(ISNUMBER(O15),IF(C15="Ручная",IF($S$24&gt;0,$R$24*Q15/$S$24,IF($W$24=4,$R$24,0)),0),"")</f>
        <v>0</v>
      </c>
      <c r="S15" s="13">
        <f>IF(ISNUMBER(O15),O15+R15,"")</f>
        <v>6</v>
      </c>
      <c r="T15" s="13">
        <f>IF(ISNUMBER(S15),P15-S15,"")</f>
        <v>0.6</v>
      </c>
      <c r="U15" s="13">
        <f>IF(COUNT(AG15:AP15)&gt;0,AVERAGE(AG15:AP15),"")</f>
        <v>6.276</v>
      </c>
      <c r="AG15" s="13">
        <f>IF(ISNUMBER(E$24),E15,"")</f>
        <v>6.3</v>
      </c>
      <c r="AH15" s="13">
        <f>IF(ISNUMBER(F$24),F15,"")</f>
        <v>6</v>
      </c>
      <c r="AI15" s="13">
        <f>IF(ISNUMBER(G$24),G15,"")</f>
        <v>6.24</v>
      </c>
      <c r="AJ15" s="13">
        <f>IF(ISNUMBER(H$24),H15,"")</f>
        <v>6.48</v>
      </c>
      <c r="AK15" s="13">
        <f>IF(ISNUMBER(I$24),I15,"")</f>
        <v>6.12</v>
      </c>
      <c r="AL15" s="13">
        <f>IF(ISNUMBER(J$24),J15,"")</f>
        <v>6.36</v>
      </c>
      <c r="AM15" s="13">
        <f>IF(ISNUMBER(K$24),K15,"")</f>
        <v>6.6</v>
      </c>
      <c r="AN15" s="13">
        <f>IF(ISNUMBER(L$24),L15,"")</f>
        <v>6.18</v>
      </c>
      <c r="AO15" s="13">
        <f>IF(ISNUMBER(M$24),M15,"")</f>
        <v>6.42</v>
      </c>
      <c r="AP15" s="13">
        <f>IF(ISNUMBER(N$24),N15,"")</f>
        <v>6.06</v>
      </c>
      <c r="AQ15" s="13">
        <f>IF(C15="Ручная",O15,0)</f>
        <v>0</v>
      </c>
    </row>
    <row r="16" spans="1:43" ht="40" customHeight="1">
      <c r="A16" s="5">
        <v>5</v>
      </c>
      <c r="B16" s="5" t="s">
        <v>193</v>
      </c>
      <c r="C16" s="11" t="s">
        <v>183</v>
      </c>
      <c r="D16" s="7" t="s">
        <v>194</v>
      </c>
      <c r="E16" s="12">
        <v>32.13</v>
      </c>
      <c r="F16" s="12">
        <v>30.34</v>
      </c>
      <c r="G16" s="12">
        <v>31.54</v>
      </c>
      <c r="H16" s="12">
        <v>32.73</v>
      </c>
      <c r="I16" s="12">
        <v>30.64</v>
      </c>
      <c r="J16" s="12">
        <v>31.83</v>
      </c>
      <c r="K16" s="12">
        <v>30.05</v>
      </c>
      <c r="L16" s="12">
        <v>31.24</v>
      </c>
      <c r="M16" s="12">
        <v>29.75</v>
      </c>
      <c r="N16" s="12">
        <v>30.94</v>
      </c>
      <c r="O16" s="13">
        <f>IF(COUNT(AG16:AP16)&gt;0,MIN(AG16:AP16),"")</f>
        <v>29.75</v>
      </c>
      <c r="P16" s="13">
        <f>IF(COUNT(AG16:AP16)&gt;0,MAX(AG16:AP16),"")</f>
        <v>32.73</v>
      </c>
      <c r="Q16" s="13">
        <f>IF(ISNUMBER(O16),P16-O16,"")</f>
        <v>2.98</v>
      </c>
      <c r="R16" s="13">
        <f>IF(ISNUMBER(O16),IF(C16="Ручная",IF($S$24&gt;0,$R$24*Q16/$S$24,IF($W$24=5,$R$24,0)),0),"")</f>
        <v>0.937695810564658</v>
      </c>
      <c r="S16" s="13">
        <f>IF(ISNUMBER(O16),O16+R16,"")</f>
        <v>30.6876958105647</v>
      </c>
      <c r="T16" s="13">
        <f>IF(ISNUMBER(S16),P16-S16,"")</f>
        <v>2.04230418943534</v>
      </c>
      <c r="U16" s="13">
        <f>IF(COUNT(AG16:AP16)&gt;0,AVERAGE(AG16:AP16),"")</f>
        <v>31.119</v>
      </c>
      <c r="AG16" s="13">
        <f>IF(ISNUMBER(E$24),E16,"")</f>
        <v>32.13</v>
      </c>
      <c r="AH16" s="13">
        <f>IF(ISNUMBER(F$24),F16,"")</f>
        <v>30.34</v>
      </c>
      <c r="AI16" s="13">
        <f>IF(ISNUMBER(G$24),G16,"")</f>
        <v>31.54</v>
      </c>
      <c r="AJ16" s="13">
        <f>IF(ISNUMBER(H$24),H16,"")</f>
        <v>32.73</v>
      </c>
      <c r="AK16" s="13">
        <f>IF(ISNUMBER(I$24),I16,"")</f>
        <v>30.64</v>
      </c>
      <c r="AL16" s="13">
        <f>IF(ISNUMBER(J$24),J16,"")</f>
        <v>31.83</v>
      </c>
      <c r="AM16" s="13">
        <f>IF(ISNUMBER(K$24),K16,"")</f>
        <v>30.05</v>
      </c>
      <c r="AN16" s="13">
        <f>IF(ISNUMBER(L$24),L16,"")</f>
        <v>31.24</v>
      </c>
      <c r="AO16" s="13">
        <f>IF(ISNUMBER(M$24),M16,"")</f>
        <v>29.75</v>
      </c>
      <c r="AP16" s="13">
        <f>IF(ISNUMBER(N$24),N16,"")</f>
        <v>30.94</v>
      </c>
      <c r="AQ16" s="13">
        <f>IF(C16="Ручная",O16,0)</f>
        <v>29.75</v>
      </c>
    </row>
    <row r="17" spans="1:43" ht="40" customHeight="1">
      <c r="A17" s="5" t="s">
        <v>189</v>
      </c>
      <c r="B17" s="5" t="s">
        <v>195</v>
      </c>
      <c r="C17" s="11" t="s">
        <v>196</v>
      </c>
      <c r="D17" s="7" t="s">
        <v>197</v>
      </c>
      <c r="E17" s="18">
        <f>'Ассортимент'!R8</f>
        <v>450</v>
      </c>
      <c r="F17" s="18">
        <f>'Ассортимент'!R8</f>
        <v>450</v>
      </c>
      <c r="G17" s="18">
        <f>'Ассортимент'!R8</f>
        <v>450</v>
      </c>
      <c r="H17" s="18">
        <f>'Ассортимент'!R8</f>
        <v>450</v>
      </c>
      <c r="I17" s="18">
        <f>'Ассортимент'!R8</f>
        <v>450</v>
      </c>
      <c r="J17" s="18">
        <f>'Ассортимент'!R8</f>
        <v>450</v>
      </c>
      <c r="K17" s="18">
        <f>'Ассортимент'!R8</f>
        <v>450</v>
      </c>
      <c r="L17" s="18">
        <f>'Ассортимент'!R8</f>
        <v>450</v>
      </c>
      <c r="M17" s="18">
        <f>'Ассортимент'!R8</f>
        <v>450</v>
      </c>
      <c r="N17" s="18">
        <f>'Ассортимент'!R8</f>
        <v>450</v>
      </c>
      <c r="O17" s="13">
        <f>IF(COUNT(AG17:AP17)&gt;0,MIN(AG17:AP17),"")</f>
        <v>450</v>
      </c>
      <c r="P17" s="13">
        <f>IF(COUNT(AG17:AP17)&gt;0,MAX(AG17:AP17),"")</f>
        <v>450</v>
      </c>
      <c r="Q17" s="13">
        <f>IF(ISNUMBER(O17),P17-O17,"")</f>
        <v>0</v>
      </c>
      <c r="R17" s="13">
        <f>IF(ISNUMBER(O17),IF(C17="Ручная",IF($S$24&gt;0,$R$24*Q17/$S$24,IF($W$24=6,$R$24,0)),0),"")</f>
        <v>0</v>
      </c>
      <c r="S17" s="13">
        <f>IF(ISNUMBER(O17),O17+R17,"")</f>
        <v>450</v>
      </c>
      <c r="T17" s="13">
        <f>IF(ISNUMBER(S17),P17-S17,"")</f>
        <v>0</v>
      </c>
      <c r="U17" s="13">
        <f>IF(COUNT(AG17:AP17)&gt;0,AVERAGE(AG17:AP17),"")</f>
        <v>450</v>
      </c>
      <c r="AG17" s="13">
        <f>IF(ISNUMBER(E$24),E17,"")</f>
        <v>450</v>
      </c>
      <c r="AH17" s="13">
        <f>IF(ISNUMBER(F$24),F17,"")</f>
        <v>450</v>
      </c>
      <c r="AI17" s="13">
        <f>IF(ISNUMBER(G$24),G17,"")</f>
        <v>450</v>
      </c>
      <c r="AJ17" s="13">
        <f>IF(ISNUMBER(H$24),H17,"")</f>
        <v>450</v>
      </c>
      <c r="AK17" s="13">
        <f>IF(ISNUMBER(I$24),I17,"")</f>
        <v>450</v>
      </c>
      <c r="AL17" s="13">
        <f>IF(ISNUMBER(J$24),J17,"")</f>
        <v>450</v>
      </c>
      <c r="AM17" s="13">
        <f>IF(ISNUMBER(K$24),K17,"")</f>
        <v>450</v>
      </c>
      <c r="AN17" s="13">
        <f>IF(ISNUMBER(L$24),L17,"")</f>
        <v>450</v>
      </c>
      <c r="AO17" s="13">
        <f>IF(ISNUMBER(M$24),M17,"")</f>
        <v>450</v>
      </c>
      <c r="AP17" s="13">
        <f>IF(ISNUMBER(N$24),N17,"")</f>
        <v>450</v>
      </c>
      <c r="AQ17" s="13">
        <f>IF(C17="Ручная",O17,0)</f>
        <v>0</v>
      </c>
    </row>
    <row r="18" spans="1:43" ht="40" customHeight="1">
      <c r="A18" s="5">
        <v>7</v>
      </c>
      <c r="B18" s="5" t="s">
        <v>198</v>
      </c>
      <c r="C18" s="11" t="s">
        <v>183</v>
      </c>
      <c r="D18" s="7" t="s">
        <v>199</v>
      </c>
      <c r="E18" s="12">
        <v>27.27</v>
      </c>
      <c r="F18" s="12">
        <v>28.35</v>
      </c>
      <c r="G18" s="12">
        <v>27</v>
      </c>
      <c r="H18" s="12">
        <v>28.08</v>
      </c>
      <c r="I18" s="12">
        <v>29.16</v>
      </c>
      <c r="J18" s="12">
        <v>27.54</v>
      </c>
      <c r="K18" s="12">
        <v>28.62</v>
      </c>
      <c r="L18" s="12">
        <v>29.7</v>
      </c>
      <c r="M18" s="12">
        <v>27.81</v>
      </c>
      <c r="N18" s="12">
        <v>28.89</v>
      </c>
      <c r="O18" s="13">
        <f>IF(COUNT(AG18:AP18)&gt;0,MIN(AG18:AP18),"")</f>
        <v>27</v>
      </c>
      <c r="P18" s="13">
        <f>IF(COUNT(AG18:AP18)&gt;0,MAX(AG18:AP18),"")</f>
        <v>29.7</v>
      </c>
      <c r="Q18" s="13">
        <f>IF(ISNUMBER(O18),P18-O18,"")</f>
        <v>2.7</v>
      </c>
      <c r="R18" s="13">
        <f>IF(ISNUMBER(O18),IF(C18="Ручная",IF($S$24&gt;0,$R$24*Q18/$S$24,IF($W$24=7,$R$24,0)),0),"")</f>
        <v>0.849590163934422</v>
      </c>
      <c r="S18" s="13">
        <f>IF(ISNUMBER(O18),O18+R18,"")</f>
        <v>27.8495901639344</v>
      </c>
      <c r="T18" s="13">
        <f>IF(ISNUMBER(S18),P18-S18,"")</f>
        <v>1.85040983606558</v>
      </c>
      <c r="U18" s="13">
        <f>IF(COUNT(AG18:AP18)&gt;0,AVERAGE(AG18:AP18),"")</f>
        <v>28.242</v>
      </c>
      <c r="AG18" s="13">
        <f>IF(ISNUMBER(E$24),E18,"")</f>
        <v>27.27</v>
      </c>
      <c r="AH18" s="13">
        <f>IF(ISNUMBER(F$24),F18,"")</f>
        <v>28.35</v>
      </c>
      <c r="AI18" s="13">
        <f>IF(ISNUMBER(G$24),G18,"")</f>
        <v>27</v>
      </c>
      <c r="AJ18" s="13">
        <f>IF(ISNUMBER(H$24),H18,"")</f>
        <v>28.08</v>
      </c>
      <c r="AK18" s="13">
        <f>IF(ISNUMBER(I$24),I18,"")</f>
        <v>29.16</v>
      </c>
      <c r="AL18" s="13">
        <f>IF(ISNUMBER(J$24),J18,"")</f>
        <v>27.54</v>
      </c>
      <c r="AM18" s="13">
        <f>IF(ISNUMBER(K$24),K18,"")</f>
        <v>28.62</v>
      </c>
      <c r="AN18" s="13">
        <f>IF(ISNUMBER(L$24),L18,"")</f>
        <v>29.7</v>
      </c>
      <c r="AO18" s="13">
        <f>IF(ISNUMBER(M$24),M18,"")</f>
        <v>27.81</v>
      </c>
      <c r="AP18" s="13">
        <f>IF(ISNUMBER(N$24),N18,"")</f>
        <v>28.89</v>
      </c>
      <c r="AQ18" s="13">
        <f>IF(C18="Ручная",O18,0)</f>
        <v>27</v>
      </c>
    </row>
    <row r="19" spans="1:43" ht="40" customHeight="1">
      <c r="A19" s="5">
        <v>8</v>
      </c>
      <c r="B19" s="5" t="s">
        <v>200</v>
      </c>
      <c r="C19" s="11" t="s">
        <v>183</v>
      </c>
      <c r="D19" s="7" t="s">
        <v>201</v>
      </c>
      <c r="E19" s="12">
        <v>18.72</v>
      </c>
      <c r="F19" s="12">
        <v>19.44</v>
      </c>
      <c r="G19" s="12">
        <v>18.36</v>
      </c>
      <c r="H19" s="12">
        <v>19.08</v>
      </c>
      <c r="I19" s="12">
        <v>19.8</v>
      </c>
      <c r="J19" s="12">
        <v>18.54</v>
      </c>
      <c r="K19" s="12">
        <v>19.26</v>
      </c>
      <c r="L19" s="12">
        <v>18.18</v>
      </c>
      <c r="M19" s="12">
        <v>18.9</v>
      </c>
      <c r="N19" s="12">
        <v>18</v>
      </c>
      <c r="O19" s="13">
        <f>IF(COUNT(AG19:AP19)&gt;0,MIN(AG19:AP19),"")</f>
        <v>18</v>
      </c>
      <c r="P19" s="13">
        <f>IF(COUNT(AG19:AP19)&gt;0,MAX(AG19:AP19),"")</f>
        <v>19.8</v>
      </c>
      <c r="Q19" s="13">
        <f>IF(ISNUMBER(O19),P19-O19,"")</f>
        <v>1.8</v>
      </c>
      <c r="R19" s="13">
        <f>IF(ISNUMBER(O19),IF(C19="Ручная",IF($S$24&gt;0,$R$24*Q19/$S$24,IF($W$24=8,$R$24,0)),0),"")</f>
        <v>0.566393442622948</v>
      </c>
      <c r="S19" s="13">
        <f>IF(ISNUMBER(O19),O19+R19,"")</f>
        <v>18.5663934426229</v>
      </c>
      <c r="T19" s="13">
        <f>IF(ISNUMBER(S19),P19-S19,"")</f>
        <v>1.23360655737705</v>
      </c>
      <c r="U19" s="13">
        <f>IF(COUNT(AG19:AP19)&gt;0,AVERAGE(AG19:AP19),"")</f>
        <v>18.828</v>
      </c>
      <c r="AG19" s="13">
        <f>IF(ISNUMBER(E$24),E19,"")</f>
        <v>18.72</v>
      </c>
      <c r="AH19" s="13">
        <f>IF(ISNUMBER(F$24),F19,"")</f>
        <v>19.44</v>
      </c>
      <c r="AI19" s="13">
        <f>IF(ISNUMBER(G$24),G19,"")</f>
        <v>18.36</v>
      </c>
      <c r="AJ19" s="13">
        <f>IF(ISNUMBER(H$24),H19,"")</f>
        <v>19.08</v>
      </c>
      <c r="AK19" s="13">
        <f>IF(ISNUMBER(I$24),I19,"")</f>
        <v>19.8</v>
      </c>
      <c r="AL19" s="13">
        <f>IF(ISNUMBER(J$24),J19,"")</f>
        <v>18.54</v>
      </c>
      <c r="AM19" s="13">
        <f>IF(ISNUMBER(K$24),K19,"")</f>
        <v>19.26</v>
      </c>
      <c r="AN19" s="13">
        <f>IF(ISNUMBER(L$24),L19,"")</f>
        <v>18.18</v>
      </c>
      <c r="AO19" s="13">
        <f>IF(ISNUMBER(M$24),M19,"")</f>
        <v>18.9</v>
      </c>
      <c r="AP19" s="13">
        <f>IF(ISNUMBER(N$24),N19,"")</f>
        <v>18</v>
      </c>
      <c r="AQ19" s="13">
        <f>IF(C19="Ручная",O19,0)</f>
        <v>18</v>
      </c>
    </row>
    <row r="20" spans="1:43" ht="40" customHeight="1">
      <c r="A20" s="5" t="s">
        <v>189</v>
      </c>
      <c r="B20" s="5" t="s">
        <v>202</v>
      </c>
      <c r="C20" s="11" t="s">
        <v>191</v>
      </c>
      <c r="D20" s="7" t="s">
        <v>203</v>
      </c>
      <c r="E20" s="12">
        <v>5.3</v>
      </c>
      <c r="F20" s="12">
        <v>5.5</v>
      </c>
      <c r="G20" s="12">
        <v>5.15</v>
      </c>
      <c r="H20" s="12">
        <v>5.35</v>
      </c>
      <c r="I20" s="12">
        <v>5.05</v>
      </c>
      <c r="J20" s="12">
        <v>5.25</v>
      </c>
      <c r="K20" s="12">
        <v>5</v>
      </c>
      <c r="L20" s="12">
        <v>5.2</v>
      </c>
      <c r="M20" s="12">
        <v>5.4</v>
      </c>
      <c r="N20" s="12">
        <v>5.1</v>
      </c>
      <c r="O20" s="13">
        <f>IF(COUNT(AG20:AP20)&gt;0,MIN(AG20:AP20),"")</f>
        <v>5</v>
      </c>
      <c r="P20" s="13">
        <f>IF(COUNT(AG20:AP20)&gt;0,MAX(AG20:AP20),"")</f>
        <v>5.5</v>
      </c>
      <c r="Q20" s="13">
        <f>IF(ISNUMBER(O20),P20-O20,"")</f>
        <v>0.5</v>
      </c>
      <c r="R20" s="13">
        <f>IF(ISNUMBER(O20),IF(C20="Ручная",IF($S$24&gt;0,$R$24*Q20/$S$24,IF($W$24=9,$R$24,0)),0),"")</f>
        <v>0</v>
      </c>
      <c r="S20" s="13">
        <f>IF(ISNUMBER(O20),O20+R20,"")</f>
        <v>5</v>
      </c>
      <c r="T20" s="13">
        <f>IF(ISNUMBER(S20),P20-S20,"")</f>
        <v>0.5</v>
      </c>
      <c r="U20" s="13">
        <f>IF(COUNT(AG20:AP20)&gt;0,AVERAGE(AG20:AP20),"")</f>
        <v>5.23</v>
      </c>
      <c r="AG20" s="13">
        <f>IF(ISNUMBER(E$24),E20,"")</f>
        <v>5.3</v>
      </c>
      <c r="AH20" s="13">
        <f>IF(ISNUMBER(F$24),F20,"")</f>
        <v>5.5</v>
      </c>
      <c r="AI20" s="13">
        <f>IF(ISNUMBER(G$24),G20,"")</f>
        <v>5.15</v>
      </c>
      <c r="AJ20" s="13">
        <f>IF(ISNUMBER(H$24),H20,"")</f>
        <v>5.35</v>
      </c>
      <c r="AK20" s="13">
        <f>IF(ISNUMBER(I$24),I20,"")</f>
        <v>5.05</v>
      </c>
      <c r="AL20" s="13">
        <f>IF(ISNUMBER(J$24),J20,"")</f>
        <v>5.25</v>
      </c>
      <c r="AM20" s="13">
        <f>IF(ISNUMBER(K$24),K20,"")</f>
        <v>5</v>
      </c>
      <c r="AN20" s="13">
        <f>IF(ISNUMBER(L$24),L20,"")</f>
        <v>5.2</v>
      </c>
      <c r="AO20" s="13">
        <f>IF(ISNUMBER(M$24),M20,"")</f>
        <v>5.4</v>
      </c>
      <c r="AP20" s="13">
        <f>IF(ISNUMBER(N$24),N20,"")</f>
        <v>5.1</v>
      </c>
      <c r="AQ20" s="13">
        <f>IF(C20="Ручная",O20,0)</f>
        <v>0</v>
      </c>
    </row>
    <row r="21" spans="1:43" ht="40" customHeight="1">
      <c r="A21" s="5" t="s">
        <v>189</v>
      </c>
      <c r="B21" s="5" t="s">
        <v>204</v>
      </c>
      <c r="C21" s="11" t="s">
        <v>191</v>
      </c>
      <c r="D21" s="7" t="s">
        <v>205</v>
      </c>
      <c r="E21" s="12">
        <v>5.35</v>
      </c>
      <c r="F21" s="12">
        <v>5.05</v>
      </c>
      <c r="G21" s="12">
        <v>5.25</v>
      </c>
      <c r="H21" s="12">
        <v>5</v>
      </c>
      <c r="I21" s="12">
        <v>5.2</v>
      </c>
      <c r="J21" s="12">
        <v>5.4</v>
      </c>
      <c r="K21" s="12">
        <v>5.1</v>
      </c>
      <c r="L21" s="12">
        <v>5.3</v>
      </c>
      <c r="M21" s="12">
        <v>5.5</v>
      </c>
      <c r="N21" s="12">
        <v>5.15</v>
      </c>
      <c r="O21" s="13">
        <f>IF(COUNT(AG21:AP21)&gt;0,MIN(AG21:AP21),"")</f>
        <v>5</v>
      </c>
      <c r="P21" s="13">
        <f>IF(COUNT(AG21:AP21)&gt;0,MAX(AG21:AP21),"")</f>
        <v>5.5</v>
      </c>
      <c r="Q21" s="13">
        <f>IF(ISNUMBER(O21),P21-O21,"")</f>
        <v>0.5</v>
      </c>
      <c r="R21" s="13">
        <f>IF(ISNUMBER(O21),IF(C21="Ручная",IF($S$24&gt;0,$R$24*Q21/$S$24,IF($W$24=10,$R$24,0)),0),"")</f>
        <v>0</v>
      </c>
      <c r="S21" s="13">
        <f>IF(ISNUMBER(O21),O21+R21,"")</f>
        <v>5</v>
      </c>
      <c r="T21" s="13">
        <f>IF(ISNUMBER(S21),P21-S21,"")</f>
        <v>0.5</v>
      </c>
      <c r="U21" s="13">
        <f>IF(COUNT(AG21:AP21)&gt;0,AVERAGE(AG21:AP21),"")</f>
        <v>5.23</v>
      </c>
      <c r="AG21" s="13">
        <f>IF(ISNUMBER(E$24),E21,"")</f>
        <v>5.35</v>
      </c>
      <c r="AH21" s="13">
        <f>IF(ISNUMBER(F$24),F21,"")</f>
        <v>5.05</v>
      </c>
      <c r="AI21" s="13">
        <f>IF(ISNUMBER(G$24),G21,"")</f>
        <v>5.25</v>
      </c>
      <c r="AJ21" s="13">
        <f>IF(ISNUMBER(H$24),H21,"")</f>
        <v>5</v>
      </c>
      <c r="AK21" s="13">
        <f>IF(ISNUMBER(I$24),I21,"")</f>
        <v>5.2</v>
      </c>
      <c r="AL21" s="13">
        <f>IF(ISNUMBER(J$24),J21,"")</f>
        <v>5.4</v>
      </c>
      <c r="AM21" s="13">
        <f>IF(ISNUMBER(K$24),K21,"")</f>
        <v>5.1</v>
      </c>
      <c r="AN21" s="13">
        <f>IF(ISNUMBER(L$24),L21,"")</f>
        <v>5.3</v>
      </c>
      <c r="AO21" s="13">
        <f>IF(ISNUMBER(M$24),M21,"")</f>
        <v>5.5</v>
      </c>
      <c r="AP21" s="13">
        <f>IF(ISNUMBER(N$24),N21,"")</f>
        <v>5.15</v>
      </c>
      <c r="AQ21" s="13">
        <f>IF(C21="Ручная",O21,0)</f>
        <v>0</v>
      </c>
    </row>
    <row r="22" spans="1:43" ht="40" customHeight="1">
      <c r="A22" s="5" t="s">
        <v>189</v>
      </c>
      <c r="B22" s="5" t="s">
        <v>206</v>
      </c>
      <c r="C22" s="11" t="s">
        <v>207</v>
      </c>
      <c r="D22" s="7" t="s">
        <v>208</v>
      </c>
      <c r="E22" s="12">
        <v>0</v>
      </c>
      <c r="F22" s="12">
        <v>0</v>
      </c>
      <c r="G22" s="12">
        <v>0</v>
      </c>
      <c r="H22" s="12">
        <v>0</v>
      </c>
      <c r="I22" s="12">
        <v>0</v>
      </c>
      <c r="J22" s="12">
        <v>0</v>
      </c>
      <c r="K22" s="12">
        <v>0</v>
      </c>
      <c r="L22" s="12">
        <v>0</v>
      </c>
      <c r="M22" s="12">
        <v>0</v>
      </c>
      <c r="N22" s="12">
        <v>0</v>
      </c>
      <c r="O22" s="13">
        <f>IF(COUNT(AG22:AP22)&gt;0,MIN(AG22:AP22),"")</f>
        <v>0</v>
      </c>
      <c r="P22" s="13">
        <f>IF(COUNT(AG22:AP22)&gt;0,MAX(AG22:AP22),"")</f>
        <v>0</v>
      </c>
      <c r="Q22" s="13">
        <f>IF(ISNUMBER(O22),P22-O22,"")</f>
        <v>0</v>
      </c>
      <c r="R22" s="13">
        <f>IF(ISNUMBER(O22),IF(C22="Ручная",IF($S$24&gt;0,$R$24*Q22/$S$24,IF($W$24=11,$R$24,0)),0),"")</f>
        <v>0</v>
      </c>
      <c r="S22" s="13">
        <f>IF(ISNUMBER(O22),O22+R22,"")</f>
        <v>0</v>
      </c>
      <c r="T22" s="13">
        <f>IF(ISNUMBER(S22),P22-S22,"")</f>
        <v>0</v>
      </c>
      <c r="U22" s="13">
        <f>IF(COUNT(AG22:AP22)&gt;0,AVERAGE(AG22:AP22),"")</f>
        <v>0</v>
      </c>
      <c r="AG22" s="13">
        <f>IF(ISNUMBER(E$24),E22,"")</f>
        <v>0</v>
      </c>
      <c r="AH22" s="13">
        <f>IF(ISNUMBER(F$24),F22,"")</f>
        <v>0</v>
      </c>
      <c r="AI22" s="13">
        <f>IF(ISNUMBER(G$24),G22,"")</f>
        <v>0</v>
      </c>
      <c r="AJ22" s="13">
        <f>IF(ISNUMBER(H$24),H22,"")</f>
        <v>0</v>
      </c>
      <c r="AK22" s="13">
        <f>IF(ISNUMBER(I$24),I22,"")</f>
        <v>0</v>
      </c>
      <c r="AL22" s="13">
        <f>IF(ISNUMBER(J$24),J22,"")</f>
        <v>0</v>
      </c>
      <c r="AM22" s="13">
        <f>IF(ISNUMBER(K$24),K22,"")</f>
        <v>0</v>
      </c>
      <c r="AN22" s="13">
        <f>IF(ISNUMBER(L$24),L22,"")</f>
        <v>0</v>
      </c>
      <c r="AO22" s="13">
        <f>IF(ISNUMBER(M$24),M22,"")</f>
        <v>0</v>
      </c>
      <c r="AP22" s="13">
        <f>IF(ISNUMBER(N$24),N22,"")</f>
        <v>0</v>
      </c>
      <c r="AQ22" s="13">
        <f>IF(C22="Ручная",O22,0)</f>
        <v>0</v>
      </c>
    </row>
    <row r="23" spans="1:43" ht="23" customHeight="1">
      <c r="B23" s="4" t="s">
        <v>209</v>
      </c>
      <c r="E23" s="6">
        <f>IF(COUNT(E12:E22)=11,SUM(E12:E22),"")</f>
        <v>692.46</v>
      </c>
      <c r="F23" s="6">
        <f>IF(COUNT(F12:F22)=11,SUM(F12:F22),"")</f>
        <v>697.87</v>
      </c>
      <c r="G23" s="6">
        <f>IF(COUNT(G12:G22)=11,SUM(G12:G22),"")</f>
        <v>700.54</v>
      </c>
      <c r="H23" s="6">
        <f>IF(COUNT(H12:H22)=11,SUM(H12:H22),"")</f>
        <v>696.01</v>
      </c>
      <c r="I23" s="6">
        <f>IF(COUNT(I12:I22)=11,SUM(I12:I22),"")</f>
        <v>699.27</v>
      </c>
      <c r="J23" s="6">
        <f>IF(COUNT(J12:J22)=11,SUM(J12:J22),"")</f>
        <v>694.01</v>
      </c>
      <c r="K23" s="6">
        <f>IF(COUNT(K12:K22)=11,SUM(K12:K22),"")</f>
        <v>696.76</v>
      </c>
      <c r="L23" s="6">
        <f>IF(COUNT(L12:L22)=11,SUM(L12:L22),"")</f>
        <v>692.75</v>
      </c>
      <c r="M23" s="6">
        <f>IF(COUNT(M12:M22)=11,SUM(M12:M22),"")</f>
        <v>694.02</v>
      </c>
      <c r="N23" s="6">
        <f>IF(COUNT(N12:N22)=11,SUM(N12:N22),"")</f>
        <v>700.17</v>
      </c>
      <c r="O23" s="6">
        <f>IF(COUNT(O12:O22)=11,SUM(O12:O22),"")</f>
        <v>685.55</v>
      </c>
      <c r="P23" s="6">
        <f>IF(COUNT(P12:P22)=11,SUM(P12:P22),"")</f>
        <v>709.11</v>
      </c>
      <c r="Q23" s="6">
        <f>IF(COUNT(Q12:Q22)=11,SUM(Q12:Q22),"")</f>
        <v>23.56</v>
      </c>
      <c r="R23" s="6">
        <f>IF(COUNT(R12:R22)=11,SUM(R12:R22),"")</f>
        <v>6.90999999999997</v>
      </c>
      <c r="S23" s="6">
        <f>IF(COUNT(S12:S22)=11,SUM(S12:S22),"")</f>
        <v>692.46</v>
      </c>
      <c r="T23" s="6">
        <f>IF(COUNT(T12:T22)=11,SUM(T12:T22),"")</f>
        <v>16.65</v>
      </c>
      <c r="U23" s="6">
        <f>IF(COUNT(U12:U22)=11,SUM(U12:U22),"")</f>
        <v>696.386</v>
      </c>
    </row>
    <row r="24" spans="1:43" ht="23" customHeight="1">
      <c r="B24" s="4" t="s">
        <v>210</v>
      </c>
      <c r="E24" s="6">
        <f>IF(AND(E10=1,COUNT(E12:E22)=11,MIN(E12:E22)&gt;=0),E23,"")</f>
        <v>692.46</v>
      </c>
      <c r="F24" s="6">
        <f>IF(AND(F10=1,COUNT(F12:F22)=11,MIN(F12:F22)&gt;=0),F23,"")</f>
        <v>697.87</v>
      </c>
      <c r="G24" s="6">
        <f>IF(AND(G10=1,COUNT(G12:G22)=11,MIN(G12:G22)&gt;=0),G23,"")</f>
        <v>700.54</v>
      </c>
      <c r="H24" s="6">
        <f>IF(AND(H10=1,COUNT(H12:H22)=11,MIN(H12:H22)&gt;=0),H23,"")</f>
        <v>696.01</v>
      </c>
      <c r="I24" s="6">
        <f>IF(AND(I10=1,COUNT(I12:I22)=11,MIN(I12:I22)&gt;=0),I23,"")</f>
        <v>699.27</v>
      </c>
      <c r="J24" s="6">
        <f>IF(AND(J10=1,COUNT(J12:J22)=11,MIN(J12:J22)&gt;=0),J23,"")</f>
        <v>694.01</v>
      </c>
      <c r="K24" s="6">
        <f>IF(AND(K10=1,COUNT(K12:K22)=11,MIN(K12:K22)&gt;=0),K23,"")</f>
        <v>696.76</v>
      </c>
      <c r="L24" s="6">
        <f>IF(AND(L10=1,COUNT(L12:L22)=11,MIN(L12:L22)&gt;=0),L23,"")</f>
        <v>692.75</v>
      </c>
      <c r="M24" s="6">
        <f>IF(AND(M10=1,COUNT(M12:M22)=11,MIN(M12:M22)&gt;=0),M23,"")</f>
        <v>694.02</v>
      </c>
      <c r="N24" s="6">
        <f>IF(AND(N10=1,COUNT(N12:N22)=11,MIN(N12:N22)&gt;=0),N23,"")</f>
        <v>700.17</v>
      </c>
      <c r="O24" s="6">
        <f>IF(COUNT(E24:N24)&gt;0,MIN(E24:N24),"")</f>
        <v>692.46</v>
      </c>
      <c r="P24" s="6">
        <f>IF(COUNT(E24:N24)&gt;0,MAX(E24:N24),"")</f>
        <v>700.54</v>
      </c>
      <c r="Q24" s="6">
        <f>IF(ISNUMBER(O24),P24-O24,"")</f>
        <v>8.08000000000004</v>
      </c>
      <c r="R24" s="6">
        <f>IF(ISNUMBER(O24),MAX(0,O24-O23),"")</f>
        <v>6.90999999999997</v>
      </c>
      <c r="S24" s="6">
        <f>SUMIF(C12:C22,"Ручная",Q12:Q22)</f>
        <v>21.96</v>
      </c>
      <c r="T24" s="6">
        <f>COUNT(E24:N24)</f>
        <v>10</v>
      </c>
      <c r="U24" s="6">
        <f>IF(COUNT(E24:N24)&gt;0,AVERAGE(E24:N24),"")</f>
        <v>696.386</v>
      </c>
      <c r="V24" s="6">
        <f>IF(ISNUMBER(O24),S23-O24,"")</f>
        <v>1.13686837721616e-13</v>
      </c>
      <c r="W24" s="6">
        <f>MATCH(MAX(AQ12:AQ22),AQ12:AQ22,0)</f>
        <v>2</v>
      </c>
      <c r="X24" s="17" t="str">
        <f>IF(T24=0,"НЕТ ЗАМЕРОВ",IF(T24&lt;10,"МЕНЕЕ 10 ЦИКЛОВ",IF(ABS(V24)&lt;0.000001,"ОК","ОШИБКА РЕГУЛИРОВКИ")))</f>
        <v>ОК</v>
      </c>
    </row>
    <row r="25" spans="1:43" ht="23" customHeight="1">
      <c r="A25" s="7" t="s">
        <v>211</v>
      </c>
      <c r="B25" s="7"/>
      <c r="C25" s="7"/>
      <c r="D25" s="7"/>
      <c r="E25" s="7"/>
      <c r="F25" s="7"/>
      <c r="G25" s="7"/>
      <c r="H25" s="7"/>
      <c r="I25" s="7"/>
      <c r="J25" s="7"/>
      <c r="K25" s="7"/>
      <c r="L25" s="7"/>
      <c r="M25" s="7"/>
      <c r="N25" s="7"/>
      <c r="O25" s="7"/>
      <c r="P25" s="7"/>
      <c r="Q25" s="7"/>
      <c r="R25" s="7"/>
      <c r="S25" s="7"/>
      <c r="T25" s="7"/>
      <c r="U25" s="7"/>
      <c r="V25" s="7"/>
      <c r="W25" s="7"/>
      <c r="X25" s="7"/>
    </row>
    <row r="28" spans="1:43" ht="23" customHeight="1">
      <c r="A28" s="4" t="s">
        <v>231</v>
      </c>
      <c r="B28" s="4"/>
      <c r="C28" s="4"/>
      <c r="D28" s="4"/>
      <c r="E28" s="4"/>
      <c r="F28" s="4"/>
      <c r="G28" s="4"/>
      <c r="H28" s="4"/>
      <c r="I28" s="4"/>
      <c r="J28" s="4"/>
      <c r="K28" s="4"/>
      <c r="L28" s="4"/>
      <c r="M28" s="4"/>
      <c r="N28" s="4"/>
      <c r="O28" s="4"/>
      <c r="P28" s="4"/>
      <c r="Q28" s="4"/>
      <c r="R28" s="4"/>
      <c r="S28" s="4"/>
      <c r="T28" s="4"/>
      <c r="U28" s="4"/>
      <c r="V28" s="4"/>
      <c r="W28" s="4"/>
      <c r="X28" s="4"/>
    </row>
    <row r="29" spans="1:43" ht="23" customHeight="1">
      <c r="A29" s="7" t="str">
        <f>"Масса замера, кг: "&amp;'Ассортимент'!J9&amp;".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29" s="7"/>
      <c r="C29" s="7"/>
      <c r="D29" s="7"/>
      <c r="E29" s="7"/>
      <c r="F29" s="7"/>
      <c r="G29" s="7"/>
      <c r="H29" s="7"/>
      <c r="I29" s="7"/>
      <c r="J29" s="7"/>
      <c r="K29" s="7"/>
      <c r="L29" s="7"/>
      <c r="M29" s="7"/>
      <c r="N29" s="7"/>
      <c r="O29" s="7"/>
      <c r="P29" s="7"/>
      <c r="Q29" s="7"/>
      <c r="R29" s="7"/>
      <c r="S29" s="7"/>
      <c r="T29" s="7"/>
      <c r="U29" s="7"/>
      <c r="V29" s="7"/>
      <c r="W29" s="7"/>
      <c r="X29" s="7"/>
    </row>
    <row r="30" spans="1:43" ht="44" customHeight="1">
      <c r="A30" s="8" t="s">
        <v>113</v>
      </c>
      <c r="B30" s="8" t="s">
        <v>156</v>
      </c>
      <c r="C30" s="8" t="s">
        <v>157</v>
      </c>
      <c r="D30" s="8" t="s">
        <v>158</v>
      </c>
      <c r="E30" s="8" t="s">
        <v>159</v>
      </c>
      <c r="F30" s="8" t="s">
        <v>160</v>
      </c>
      <c r="G30" s="8" t="s">
        <v>161</v>
      </c>
      <c r="H30" s="8" t="s">
        <v>162</v>
      </c>
      <c r="I30" s="8" t="s">
        <v>163</v>
      </c>
      <c r="J30" s="8" t="s">
        <v>164</v>
      </c>
      <c r="K30" s="8" t="s">
        <v>165</v>
      </c>
      <c r="L30" s="8" t="s">
        <v>166</v>
      </c>
      <c r="M30" s="8" t="s">
        <v>167</v>
      </c>
      <c r="N30" s="8" t="s">
        <v>168</v>
      </c>
      <c r="O30" s="8" t="s">
        <v>169</v>
      </c>
      <c r="P30" s="8" t="s">
        <v>170</v>
      </c>
      <c r="Q30" s="8" t="s">
        <v>171</v>
      </c>
      <c r="R30" s="8" t="s">
        <v>172</v>
      </c>
      <c r="S30" s="8" t="s">
        <v>173</v>
      </c>
      <c r="T30" s="8" t="s">
        <v>174</v>
      </c>
      <c r="U30" s="8" t="s">
        <v>175</v>
      </c>
      <c r="V30" s="8" t="s">
        <v>176</v>
      </c>
      <c r="W30" s="8" t="s">
        <v>177</v>
      </c>
      <c r="X30" s="8" t="s">
        <v>178</v>
      </c>
    </row>
    <row r="31" spans="1:43" ht="23" customHeight="1">
      <c r="B31" s="5" t="s">
        <v>179</v>
      </c>
      <c r="E31" s="12">
        <v>1</v>
      </c>
      <c r="F31" s="12">
        <v>1</v>
      </c>
      <c r="G31" s="12">
        <v>1</v>
      </c>
      <c r="H31" s="12">
        <v>1</v>
      </c>
      <c r="I31" s="12">
        <v>1</v>
      </c>
      <c r="J31" s="12">
        <v>1</v>
      </c>
      <c r="K31" s="12">
        <v>1</v>
      </c>
      <c r="L31" s="12">
        <v>1</v>
      </c>
      <c r="M31" s="12">
        <v>1</v>
      </c>
      <c r="N31" s="12">
        <v>1</v>
      </c>
    </row>
    <row r="32" spans="1:43" ht="33" customHeight="1">
      <c r="B32" s="5" t="s">
        <v>180</v>
      </c>
      <c r="E32" s="9" t="s">
        <v>181</v>
      </c>
      <c r="F32" s="9" t="s">
        <v>181</v>
      </c>
      <c r="G32" s="9" t="s">
        <v>181</v>
      </c>
      <c r="H32" s="9" t="s">
        <v>181</v>
      </c>
      <c r="I32" s="9" t="s">
        <v>181</v>
      </c>
      <c r="J32" s="9" t="s">
        <v>181</v>
      </c>
      <c r="K32" s="9" t="s">
        <v>181</v>
      </c>
      <c r="L32" s="9" t="s">
        <v>181</v>
      </c>
      <c r="M32" s="9" t="s">
        <v>181</v>
      </c>
      <c r="N32" s="9" t="s">
        <v>181</v>
      </c>
    </row>
    <row r="33" spans="1:43" ht="40" customHeight="1">
      <c r="A33" s="5">
        <v>1</v>
      </c>
      <c r="B33" s="5" t="s">
        <v>182</v>
      </c>
      <c r="C33" s="11" t="s">
        <v>183</v>
      </c>
      <c r="D33" s="7" t="s">
        <v>184</v>
      </c>
      <c r="E33" s="12">
        <v>26</v>
      </c>
      <c r="F33" s="12">
        <v>27</v>
      </c>
      <c r="G33" s="12">
        <v>25.5</v>
      </c>
      <c r="H33" s="12">
        <v>26.5</v>
      </c>
      <c r="I33" s="12">
        <v>27.5</v>
      </c>
      <c r="J33" s="12">
        <v>25.75</v>
      </c>
      <c r="K33" s="12">
        <v>26.75</v>
      </c>
      <c r="L33" s="12">
        <v>25.25</v>
      </c>
      <c r="M33" s="12">
        <v>26.25</v>
      </c>
      <c r="N33" s="12">
        <v>25</v>
      </c>
      <c r="O33" s="13">
        <f>IF(COUNT(AG33:AP33)&gt;0,MIN(AG33:AP33),"")</f>
        <v>25</v>
      </c>
      <c r="P33" s="13">
        <f>IF(COUNT(AG33:AP33)&gt;0,MAX(AG33:AP33),"")</f>
        <v>27.5</v>
      </c>
      <c r="Q33" s="13">
        <f>IF(ISNUMBER(O33),P33-O33,"")</f>
        <v>2.5</v>
      </c>
      <c r="R33" s="13">
        <f>IF(ISNUMBER(O33),IF(C33="Ручная",IF($S$45&gt;0,$R$45*Q33/$S$45,IF($W$45=1,$R$45,0)),0),"")</f>
        <v>0.774172473867597</v>
      </c>
      <c r="S33" s="13">
        <f>IF(ISNUMBER(O33),O33+R33,"")</f>
        <v>25.7741724738676</v>
      </c>
      <c r="T33" s="13">
        <f>IF(ISNUMBER(S33),P33-S33,"")</f>
        <v>1.7258275261324</v>
      </c>
      <c r="U33" s="13">
        <f>IF(COUNT(AG33:AP33)&gt;0,AVERAGE(AG33:AP33),"")</f>
        <v>26.15</v>
      </c>
      <c r="AG33" s="13">
        <f>IF(ISNUMBER(E$45),E33,"")</f>
        <v>26</v>
      </c>
      <c r="AH33" s="13">
        <f>IF(ISNUMBER(F$45),F33,"")</f>
        <v>27</v>
      </c>
      <c r="AI33" s="13">
        <f>IF(ISNUMBER(G$45),G33,"")</f>
        <v>25.5</v>
      </c>
      <c r="AJ33" s="13">
        <f>IF(ISNUMBER(H$45),H33,"")</f>
        <v>26.5</v>
      </c>
      <c r="AK33" s="13">
        <f>IF(ISNUMBER(I$45),I33,"")</f>
        <v>27.5</v>
      </c>
      <c r="AL33" s="13">
        <f>IF(ISNUMBER(J$45),J33,"")</f>
        <v>25.75</v>
      </c>
      <c r="AM33" s="13">
        <f>IF(ISNUMBER(K$45),K33,"")</f>
        <v>26.75</v>
      </c>
      <c r="AN33" s="13">
        <f>IF(ISNUMBER(L$45),L33,"")</f>
        <v>25.25</v>
      </c>
      <c r="AO33" s="13">
        <f>IF(ISNUMBER(M$45),M33,"")</f>
        <v>26.25</v>
      </c>
      <c r="AP33" s="13">
        <f>IF(ISNUMBER(N$45),N33,"")</f>
        <v>25</v>
      </c>
      <c r="AQ33" s="13">
        <f>IF(C33="Ручная",O33,0)</f>
        <v>25</v>
      </c>
    </row>
    <row r="34" spans="1:43" ht="40" customHeight="1">
      <c r="A34" s="5">
        <v>2</v>
      </c>
      <c r="B34" s="5" t="s">
        <v>185</v>
      </c>
      <c r="C34" s="11" t="s">
        <v>183</v>
      </c>
      <c r="D34" s="7" t="s">
        <v>186</v>
      </c>
      <c r="E34" s="12">
        <v>116.6</v>
      </c>
      <c r="F34" s="12">
        <v>121</v>
      </c>
      <c r="G34" s="12">
        <v>113.3</v>
      </c>
      <c r="H34" s="12">
        <v>117.7</v>
      </c>
      <c r="I34" s="12">
        <v>111.1</v>
      </c>
      <c r="J34" s="12">
        <v>115.5</v>
      </c>
      <c r="K34" s="12">
        <v>110</v>
      </c>
      <c r="L34" s="12">
        <v>114.4</v>
      </c>
      <c r="M34" s="12">
        <v>118.8</v>
      </c>
      <c r="N34" s="12">
        <v>112.2</v>
      </c>
      <c r="O34" s="13">
        <f>IF(COUNT(AG34:AP34)&gt;0,MIN(AG34:AP34),"")</f>
        <v>110</v>
      </c>
      <c r="P34" s="13">
        <f>IF(COUNT(AG34:AP34)&gt;0,MAX(AG34:AP34),"")</f>
        <v>121</v>
      </c>
      <c r="Q34" s="13">
        <f>IF(ISNUMBER(O34),P34-O34,"")</f>
        <v>11</v>
      </c>
      <c r="R34" s="13">
        <f>IF(ISNUMBER(O34),IF(C34="Ручная",IF($S$45&gt;0,$R$45*Q34/$S$45,IF($W$45=2,$R$45,0)),0),"")</f>
        <v>3.40635888501743</v>
      </c>
      <c r="S34" s="13">
        <f>IF(ISNUMBER(O34),O34+R34,"")</f>
        <v>113.406358885017</v>
      </c>
      <c r="T34" s="13">
        <f>IF(ISNUMBER(S34),P34-S34,"")</f>
        <v>7.59364111498257</v>
      </c>
      <c r="U34" s="13">
        <f>IF(COUNT(AG34:AP34)&gt;0,AVERAGE(AG34:AP34),"")</f>
        <v>115.06</v>
      </c>
      <c r="AG34" s="13">
        <f>IF(ISNUMBER(E$45),E34,"")</f>
        <v>116.6</v>
      </c>
      <c r="AH34" s="13">
        <f>IF(ISNUMBER(F$45),F34,"")</f>
        <v>121</v>
      </c>
      <c r="AI34" s="13">
        <f>IF(ISNUMBER(G$45),G34,"")</f>
        <v>113.3</v>
      </c>
      <c r="AJ34" s="13">
        <f>IF(ISNUMBER(H$45),H34,"")</f>
        <v>117.7</v>
      </c>
      <c r="AK34" s="13">
        <f>IF(ISNUMBER(I$45),I34,"")</f>
        <v>111.1</v>
      </c>
      <c r="AL34" s="13">
        <f>IF(ISNUMBER(J$45),J34,"")</f>
        <v>115.5</v>
      </c>
      <c r="AM34" s="13">
        <f>IF(ISNUMBER(K$45),K34,"")</f>
        <v>110</v>
      </c>
      <c r="AN34" s="13">
        <f>IF(ISNUMBER(L$45),L34,"")</f>
        <v>114.4</v>
      </c>
      <c r="AO34" s="13">
        <f>IF(ISNUMBER(M$45),M34,"")</f>
        <v>118.8</v>
      </c>
      <c r="AP34" s="13">
        <f>IF(ISNUMBER(N$45),N34,"")</f>
        <v>112.2</v>
      </c>
      <c r="AQ34" s="13">
        <f>IF(C34="Ручная",O34,0)</f>
        <v>110</v>
      </c>
    </row>
    <row r="35" spans="1:43" ht="40" customHeight="1">
      <c r="A35" s="5">
        <v>3</v>
      </c>
      <c r="B35" s="5" t="s">
        <v>187</v>
      </c>
      <c r="C35" s="11" t="s">
        <v>183</v>
      </c>
      <c r="D35" s="7" t="s">
        <v>188</v>
      </c>
      <c r="E35" s="12">
        <v>21.19</v>
      </c>
      <c r="F35" s="12">
        <v>20</v>
      </c>
      <c r="G35" s="12">
        <v>20.79</v>
      </c>
      <c r="H35" s="12">
        <v>19.8</v>
      </c>
      <c r="I35" s="12">
        <v>20.59</v>
      </c>
      <c r="J35" s="12">
        <v>21.38</v>
      </c>
      <c r="K35" s="12">
        <v>20.2</v>
      </c>
      <c r="L35" s="12">
        <v>20.99</v>
      </c>
      <c r="M35" s="12">
        <v>21.78</v>
      </c>
      <c r="N35" s="12">
        <v>20.39</v>
      </c>
      <c r="O35" s="13">
        <f>IF(COUNT(AG35:AP35)&gt;0,MIN(AG35:AP35),"")</f>
        <v>19.8</v>
      </c>
      <c r="P35" s="13">
        <f>IF(COUNT(AG35:AP35)&gt;0,MAX(AG35:AP35),"")</f>
        <v>21.78</v>
      </c>
      <c r="Q35" s="13">
        <f>IF(ISNUMBER(O35),P35-O35,"")</f>
        <v>1.98</v>
      </c>
      <c r="R35" s="13">
        <f>IF(ISNUMBER(O35),IF(C35="Ручная",IF($S$45&gt;0,$R$45*Q35/$S$45,IF($W$45=3,$R$45,0)),0),"")</f>
        <v>0.613144599303137</v>
      </c>
      <c r="S35" s="13">
        <f>IF(ISNUMBER(O35),O35+R35,"")</f>
        <v>20.4131445993031</v>
      </c>
      <c r="T35" s="13">
        <f>IF(ISNUMBER(S35),P35-S35,"")</f>
        <v>1.36685540069686</v>
      </c>
      <c r="U35" s="13">
        <f>IF(COUNT(AG35:AP35)&gt;0,AVERAGE(AG35:AP35),"")</f>
        <v>20.711</v>
      </c>
      <c r="AG35" s="13">
        <f>IF(ISNUMBER(E$45),E35,"")</f>
        <v>21.19</v>
      </c>
      <c r="AH35" s="13">
        <f>IF(ISNUMBER(F$45),F35,"")</f>
        <v>20</v>
      </c>
      <c r="AI35" s="13">
        <f>IF(ISNUMBER(G$45),G35,"")</f>
        <v>20.79</v>
      </c>
      <c r="AJ35" s="13">
        <f>IF(ISNUMBER(H$45),H35,"")</f>
        <v>19.8</v>
      </c>
      <c r="AK35" s="13">
        <f>IF(ISNUMBER(I$45),I35,"")</f>
        <v>20.59</v>
      </c>
      <c r="AL35" s="13">
        <f>IF(ISNUMBER(J$45),J35,"")</f>
        <v>21.38</v>
      </c>
      <c r="AM35" s="13">
        <f>IF(ISNUMBER(K$45),K35,"")</f>
        <v>20.2</v>
      </c>
      <c r="AN35" s="13">
        <f>IF(ISNUMBER(L$45),L35,"")</f>
        <v>20.99</v>
      </c>
      <c r="AO35" s="13">
        <f>IF(ISNUMBER(M$45),M35,"")</f>
        <v>21.78</v>
      </c>
      <c r="AP35" s="13">
        <f>IF(ISNUMBER(N$45),N35,"")</f>
        <v>20.39</v>
      </c>
      <c r="AQ35" s="13">
        <f>IF(C35="Ручная",O35,0)</f>
        <v>19.8</v>
      </c>
    </row>
    <row r="36" spans="1:43" ht="40" customHeight="1">
      <c r="A36" s="5" t="s">
        <v>189</v>
      </c>
      <c r="B36" s="5" t="s">
        <v>190</v>
      </c>
      <c r="C36" s="11" t="s">
        <v>191</v>
      </c>
      <c r="D36" s="7" t="s">
        <v>192</v>
      </c>
      <c r="E36" s="12">
        <v>6</v>
      </c>
      <c r="F36" s="12">
        <v>6.24</v>
      </c>
      <c r="G36" s="12">
        <v>6.48</v>
      </c>
      <c r="H36" s="12">
        <v>6.12</v>
      </c>
      <c r="I36" s="12">
        <v>6.36</v>
      </c>
      <c r="J36" s="12">
        <v>6.6</v>
      </c>
      <c r="K36" s="12">
        <v>6.18</v>
      </c>
      <c r="L36" s="12">
        <v>6.42</v>
      </c>
      <c r="M36" s="12">
        <v>6.06</v>
      </c>
      <c r="N36" s="12">
        <v>6.3</v>
      </c>
      <c r="O36" s="13">
        <f>IF(COUNT(AG36:AP36)&gt;0,MIN(AG36:AP36),"")</f>
        <v>6</v>
      </c>
      <c r="P36" s="13">
        <f>IF(COUNT(AG36:AP36)&gt;0,MAX(AG36:AP36),"")</f>
        <v>6.6</v>
      </c>
      <c r="Q36" s="13">
        <f>IF(ISNUMBER(O36),P36-O36,"")</f>
        <v>0.6</v>
      </c>
      <c r="R36" s="13">
        <f>IF(ISNUMBER(O36),IF(C36="Ручная",IF($S$45&gt;0,$R$45*Q36/$S$45,IF($W$45=4,$R$45,0)),0),"")</f>
        <v>0</v>
      </c>
      <c r="S36" s="13">
        <f>IF(ISNUMBER(O36),O36+R36,"")</f>
        <v>6</v>
      </c>
      <c r="T36" s="13">
        <f>IF(ISNUMBER(S36),P36-S36,"")</f>
        <v>0.6</v>
      </c>
      <c r="U36" s="13">
        <f>IF(COUNT(AG36:AP36)&gt;0,AVERAGE(AG36:AP36),"")</f>
        <v>6.276</v>
      </c>
      <c r="AG36" s="13">
        <f>IF(ISNUMBER(E$45),E36,"")</f>
        <v>6</v>
      </c>
      <c r="AH36" s="13">
        <f>IF(ISNUMBER(F$45),F36,"")</f>
        <v>6.24</v>
      </c>
      <c r="AI36" s="13">
        <f>IF(ISNUMBER(G$45),G36,"")</f>
        <v>6.48</v>
      </c>
      <c r="AJ36" s="13">
        <f>IF(ISNUMBER(H$45),H36,"")</f>
        <v>6.12</v>
      </c>
      <c r="AK36" s="13">
        <f>IF(ISNUMBER(I$45),I36,"")</f>
        <v>6.36</v>
      </c>
      <c r="AL36" s="13">
        <f>IF(ISNUMBER(J$45),J36,"")</f>
        <v>6.6</v>
      </c>
      <c r="AM36" s="13">
        <f>IF(ISNUMBER(K$45),K36,"")</f>
        <v>6.18</v>
      </c>
      <c r="AN36" s="13">
        <f>IF(ISNUMBER(L$45),L36,"")</f>
        <v>6.42</v>
      </c>
      <c r="AO36" s="13">
        <f>IF(ISNUMBER(M$45),M36,"")</f>
        <v>6.06</v>
      </c>
      <c r="AP36" s="13">
        <f>IF(ISNUMBER(N$45),N36,"")</f>
        <v>6.3</v>
      </c>
      <c r="AQ36" s="13">
        <f>IF(C36="Ручная",O36,0)</f>
        <v>0</v>
      </c>
    </row>
    <row r="37" spans="1:43" ht="40" customHeight="1">
      <c r="A37" s="5">
        <v>5</v>
      </c>
      <c r="B37" s="5" t="s">
        <v>193</v>
      </c>
      <c r="C37" s="11" t="s">
        <v>183</v>
      </c>
      <c r="D37" s="7" t="s">
        <v>194</v>
      </c>
      <c r="E37" s="12">
        <v>30.34</v>
      </c>
      <c r="F37" s="12">
        <v>31.54</v>
      </c>
      <c r="G37" s="12">
        <v>32.73</v>
      </c>
      <c r="H37" s="12">
        <v>30.64</v>
      </c>
      <c r="I37" s="12">
        <v>31.83</v>
      </c>
      <c r="J37" s="12">
        <v>30.05</v>
      </c>
      <c r="K37" s="12">
        <v>31.24</v>
      </c>
      <c r="L37" s="12">
        <v>29.75</v>
      </c>
      <c r="M37" s="12">
        <v>30.94</v>
      </c>
      <c r="N37" s="12">
        <v>32.13</v>
      </c>
      <c r="O37" s="13">
        <f>IF(COUNT(AG37:AP37)&gt;0,MIN(AG37:AP37),"")</f>
        <v>29.75</v>
      </c>
      <c r="P37" s="13">
        <f>IF(COUNT(AG37:AP37)&gt;0,MAX(AG37:AP37),"")</f>
        <v>32.73</v>
      </c>
      <c r="Q37" s="13">
        <f>IF(ISNUMBER(O37),P37-O37,"")</f>
        <v>2.98</v>
      </c>
      <c r="R37" s="13">
        <f>IF(ISNUMBER(O37),IF(C37="Ручная",IF($S$45&gt;0,$R$45*Q37/$S$45,IF($W$45=5,$R$45,0)),0),"")</f>
        <v>0.922813588850175</v>
      </c>
      <c r="S37" s="13">
        <f>IF(ISNUMBER(O37),O37+R37,"")</f>
        <v>30.6728135888502</v>
      </c>
      <c r="T37" s="13">
        <f>IF(ISNUMBER(S37),P37-S37,"")</f>
        <v>2.05718641114982</v>
      </c>
      <c r="U37" s="13">
        <f>IF(COUNT(AG37:AP37)&gt;0,AVERAGE(AG37:AP37),"")</f>
        <v>31.119</v>
      </c>
      <c r="AG37" s="13">
        <f>IF(ISNUMBER(E$45),E37,"")</f>
        <v>30.34</v>
      </c>
      <c r="AH37" s="13">
        <f>IF(ISNUMBER(F$45),F37,"")</f>
        <v>31.54</v>
      </c>
      <c r="AI37" s="13">
        <f>IF(ISNUMBER(G$45),G37,"")</f>
        <v>32.73</v>
      </c>
      <c r="AJ37" s="13">
        <f>IF(ISNUMBER(H$45),H37,"")</f>
        <v>30.64</v>
      </c>
      <c r="AK37" s="13">
        <f>IF(ISNUMBER(I$45),I37,"")</f>
        <v>31.83</v>
      </c>
      <c r="AL37" s="13">
        <f>IF(ISNUMBER(J$45),J37,"")</f>
        <v>30.05</v>
      </c>
      <c r="AM37" s="13">
        <f>IF(ISNUMBER(K$45),K37,"")</f>
        <v>31.24</v>
      </c>
      <c r="AN37" s="13">
        <f>IF(ISNUMBER(L$45),L37,"")</f>
        <v>29.75</v>
      </c>
      <c r="AO37" s="13">
        <f>IF(ISNUMBER(M$45),M37,"")</f>
        <v>30.94</v>
      </c>
      <c r="AP37" s="13">
        <f>IF(ISNUMBER(N$45),N37,"")</f>
        <v>32.13</v>
      </c>
      <c r="AQ37" s="13">
        <f>IF(C37="Ручная",O37,0)</f>
        <v>29.75</v>
      </c>
    </row>
    <row r="38" spans="1:43" ht="40" customHeight="1">
      <c r="A38" s="5" t="s">
        <v>189</v>
      </c>
      <c r="B38" s="5" t="s">
        <v>195</v>
      </c>
      <c r="C38" s="11" t="s">
        <v>196</v>
      </c>
      <c r="D38" s="7" t="s">
        <v>197</v>
      </c>
      <c r="E38" s="18">
        <f>'Ассортимент'!R9</f>
        <v>450</v>
      </c>
      <c r="F38" s="18">
        <f>'Ассортимент'!R9</f>
        <v>450</v>
      </c>
      <c r="G38" s="18">
        <f>'Ассортимент'!R9</f>
        <v>450</v>
      </c>
      <c r="H38" s="18">
        <f>'Ассортимент'!R9</f>
        <v>450</v>
      </c>
      <c r="I38" s="18">
        <f>'Ассортимент'!R9</f>
        <v>450</v>
      </c>
      <c r="J38" s="18">
        <f>'Ассортимент'!R9</f>
        <v>450</v>
      </c>
      <c r="K38" s="18">
        <f>'Ассортимент'!R9</f>
        <v>450</v>
      </c>
      <c r="L38" s="18">
        <f>'Ассортимент'!R9</f>
        <v>450</v>
      </c>
      <c r="M38" s="18">
        <f>'Ассортимент'!R9</f>
        <v>450</v>
      </c>
      <c r="N38" s="18">
        <f>'Ассортимент'!R9</f>
        <v>450</v>
      </c>
      <c r="O38" s="13">
        <f>IF(COUNT(AG38:AP38)&gt;0,MIN(AG38:AP38),"")</f>
        <v>450</v>
      </c>
      <c r="P38" s="13">
        <f>IF(COUNT(AG38:AP38)&gt;0,MAX(AG38:AP38),"")</f>
        <v>450</v>
      </c>
      <c r="Q38" s="13">
        <f>IF(ISNUMBER(O38),P38-O38,"")</f>
        <v>0</v>
      </c>
      <c r="R38" s="13">
        <f>IF(ISNUMBER(O38),IF(C38="Ручная",IF($S$45&gt;0,$R$45*Q38/$S$45,IF($W$45=6,$R$45,0)),0),"")</f>
        <v>0</v>
      </c>
      <c r="S38" s="13">
        <f>IF(ISNUMBER(O38),O38+R38,"")</f>
        <v>450</v>
      </c>
      <c r="T38" s="13">
        <f>IF(ISNUMBER(S38),P38-S38,"")</f>
        <v>0</v>
      </c>
      <c r="U38" s="13">
        <f>IF(COUNT(AG38:AP38)&gt;0,AVERAGE(AG38:AP38),"")</f>
        <v>450</v>
      </c>
      <c r="AG38" s="13">
        <f>IF(ISNUMBER(E$45),E38,"")</f>
        <v>450</v>
      </c>
      <c r="AH38" s="13">
        <f>IF(ISNUMBER(F$45),F38,"")</f>
        <v>450</v>
      </c>
      <c r="AI38" s="13">
        <f>IF(ISNUMBER(G$45),G38,"")</f>
        <v>450</v>
      </c>
      <c r="AJ38" s="13">
        <f>IF(ISNUMBER(H$45),H38,"")</f>
        <v>450</v>
      </c>
      <c r="AK38" s="13">
        <f>IF(ISNUMBER(I$45),I38,"")</f>
        <v>450</v>
      </c>
      <c r="AL38" s="13">
        <f>IF(ISNUMBER(J$45),J38,"")</f>
        <v>450</v>
      </c>
      <c r="AM38" s="13">
        <f>IF(ISNUMBER(K$45),K38,"")</f>
        <v>450</v>
      </c>
      <c r="AN38" s="13">
        <f>IF(ISNUMBER(L$45),L38,"")</f>
        <v>450</v>
      </c>
      <c r="AO38" s="13">
        <f>IF(ISNUMBER(M$45),M38,"")</f>
        <v>450</v>
      </c>
      <c r="AP38" s="13">
        <f>IF(ISNUMBER(N$45),N38,"")</f>
        <v>450</v>
      </c>
      <c r="AQ38" s="13">
        <f>IF(C38="Ручная",O38,0)</f>
        <v>0</v>
      </c>
    </row>
    <row r="39" spans="1:43" ht="40" customHeight="1">
      <c r="A39" s="5">
        <v>7</v>
      </c>
      <c r="B39" s="5" t="s">
        <v>198</v>
      </c>
      <c r="C39" s="11" t="s">
        <v>183</v>
      </c>
      <c r="D39" s="7" t="s">
        <v>199</v>
      </c>
      <c r="E39" s="12">
        <v>28.35</v>
      </c>
      <c r="F39" s="12">
        <v>27</v>
      </c>
      <c r="G39" s="12">
        <v>28.08</v>
      </c>
      <c r="H39" s="12">
        <v>29.16</v>
      </c>
      <c r="I39" s="12">
        <v>27.54</v>
      </c>
      <c r="J39" s="12">
        <v>28.62</v>
      </c>
      <c r="K39" s="12">
        <v>29.7</v>
      </c>
      <c r="L39" s="12">
        <v>27.81</v>
      </c>
      <c r="M39" s="12">
        <v>28.89</v>
      </c>
      <c r="N39" s="12">
        <v>27.27</v>
      </c>
      <c r="O39" s="13">
        <f>IF(COUNT(AG39:AP39)&gt;0,MIN(AG39:AP39),"")</f>
        <v>27</v>
      </c>
      <c r="P39" s="13">
        <f>IF(COUNT(AG39:AP39)&gt;0,MAX(AG39:AP39),"")</f>
        <v>29.7</v>
      </c>
      <c r="Q39" s="13">
        <f>IF(ISNUMBER(O39),P39-O39,"")</f>
        <v>2.7</v>
      </c>
      <c r="R39" s="13">
        <f>IF(ISNUMBER(O39),IF(C39="Ручная",IF($S$45&gt;0,$R$45*Q39/$S$45,IF($W$45=7,$R$45,0)),0),"")</f>
        <v>0.836106271777005</v>
      </c>
      <c r="S39" s="13">
        <f>IF(ISNUMBER(O39),O39+R39,"")</f>
        <v>27.836106271777</v>
      </c>
      <c r="T39" s="13">
        <f>IF(ISNUMBER(S39),P39-S39,"")</f>
        <v>1.86389372822299</v>
      </c>
      <c r="U39" s="13">
        <f>IF(COUNT(AG39:AP39)&gt;0,AVERAGE(AG39:AP39),"")</f>
        <v>28.242</v>
      </c>
      <c r="AG39" s="13">
        <f>IF(ISNUMBER(E$45),E39,"")</f>
        <v>28.35</v>
      </c>
      <c r="AH39" s="13">
        <f>IF(ISNUMBER(F$45),F39,"")</f>
        <v>27</v>
      </c>
      <c r="AI39" s="13">
        <f>IF(ISNUMBER(G$45),G39,"")</f>
        <v>28.08</v>
      </c>
      <c r="AJ39" s="13">
        <f>IF(ISNUMBER(H$45),H39,"")</f>
        <v>29.16</v>
      </c>
      <c r="AK39" s="13">
        <f>IF(ISNUMBER(I$45),I39,"")</f>
        <v>27.54</v>
      </c>
      <c r="AL39" s="13">
        <f>IF(ISNUMBER(J$45),J39,"")</f>
        <v>28.62</v>
      </c>
      <c r="AM39" s="13">
        <f>IF(ISNUMBER(K$45),K39,"")</f>
        <v>29.7</v>
      </c>
      <c r="AN39" s="13">
        <f>IF(ISNUMBER(L$45),L39,"")</f>
        <v>27.81</v>
      </c>
      <c r="AO39" s="13">
        <f>IF(ISNUMBER(M$45),M39,"")</f>
        <v>28.89</v>
      </c>
      <c r="AP39" s="13">
        <f>IF(ISNUMBER(N$45),N39,"")</f>
        <v>27.27</v>
      </c>
      <c r="AQ39" s="13">
        <f>IF(C39="Ручная",O39,0)</f>
        <v>27</v>
      </c>
    </row>
    <row r="40" spans="1:43" ht="40" customHeight="1">
      <c r="A40" s="5">
        <v>8</v>
      </c>
      <c r="B40" s="5" t="s">
        <v>200</v>
      </c>
      <c r="C40" s="11" t="s">
        <v>183</v>
      </c>
      <c r="D40" s="7" t="s">
        <v>201</v>
      </c>
      <c r="E40" s="12">
        <v>19.44</v>
      </c>
      <c r="F40" s="12">
        <v>18.36</v>
      </c>
      <c r="G40" s="12">
        <v>19.08</v>
      </c>
      <c r="H40" s="12">
        <v>19.8</v>
      </c>
      <c r="I40" s="12">
        <v>18.54</v>
      </c>
      <c r="J40" s="12">
        <v>19.26</v>
      </c>
      <c r="K40" s="12">
        <v>18.18</v>
      </c>
      <c r="L40" s="12">
        <v>18.9</v>
      </c>
      <c r="M40" s="12">
        <v>18</v>
      </c>
      <c r="N40" s="12">
        <v>18.72</v>
      </c>
      <c r="O40" s="13">
        <f>IF(COUNT(AG40:AP40)&gt;0,MIN(AG40:AP40),"")</f>
        <v>18</v>
      </c>
      <c r="P40" s="13">
        <f>IF(COUNT(AG40:AP40)&gt;0,MAX(AG40:AP40),"")</f>
        <v>19.8</v>
      </c>
      <c r="Q40" s="13">
        <f>IF(ISNUMBER(O40),P40-O40,"")</f>
        <v>1.8</v>
      </c>
      <c r="R40" s="13">
        <f>IF(ISNUMBER(O40),IF(C40="Ручная",IF($S$45&gt;0,$R$45*Q40/$S$45,IF($W$45=8,$R$45,0)),0),"")</f>
        <v>0.55740418118467</v>
      </c>
      <c r="S40" s="13">
        <f>IF(ISNUMBER(O40),O40+R40,"")</f>
        <v>18.5574041811847</v>
      </c>
      <c r="T40" s="13">
        <f>IF(ISNUMBER(S40),P40-S40,"")</f>
        <v>1.24259581881533</v>
      </c>
      <c r="U40" s="13">
        <f>IF(COUNT(AG40:AP40)&gt;0,AVERAGE(AG40:AP40),"")</f>
        <v>18.828</v>
      </c>
      <c r="AG40" s="13">
        <f>IF(ISNUMBER(E$45),E40,"")</f>
        <v>19.44</v>
      </c>
      <c r="AH40" s="13">
        <f>IF(ISNUMBER(F$45),F40,"")</f>
        <v>18.36</v>
      </c>
      <c r="AI40" s="13">
        <f>IF(ISNUMBER(G$45),G40,"")</f>
        <v>19.08</v>
      </c>
      <c r="AJ40" s="13">
        <f>IF(ISNUMBER(H$45),H40,"")</f>
        <v>19.8</v>
      </c>
      <c r="AK40" s="13">
        <f>IF(ISNUMBER(I$45),I40,"")</f>
        <v>18.54</v>
      </c>
      <c r="AL40" s="13">
        <f>IF(ISNUMBER(J$45),J40,"")</f>
        <v>19.26</v>
      </c>
      <c r="AM40" s="13">
        <f>IF(ISNUMBER(K$45),K40,"")</f>
        <v>18.18</v>
      </c>
      <c r="AN40" s="13">
        <f>IF(ISNUMBER(L$45),L40,"")</f>
        <v>18.9</v>
      </c>
      <c r="AO40" s="13">
        <f>IF(ISNUMBER(M$45),M40,"")</f>
        <v>18</v>
      </c>
      <c r="AP40" s="13">
        <f>IF(ISNUMBER(N$45),N40,"")</f>
        <v>18.72</v>
      </c>
      <c r="AQ40" s="13">
        <f>IF(C40="Ручная",O40,0)</f>
        <v>18</v>
      </c>
    </row>
    <row r="41" spans="1:43" ht="40" customHeight="1">
      <c r="A41" s="5" t="s">
        <v>189</v>
      </c>
      <c r="B41" s="5" t="s">
        <v>202</v>
      </c>
      <c r="C41" s="11" t="s">
        <v>191</v>
      </c>
      <c r="D41" s="7" t="s">
        <v>203</v>
      </c>
      <c r="E41" s="12">
        <v>5.5</v>
      </c>
      <c r="F41" s="12">
        <v>5.15</v>
      </c>
      <c r="G41" s="12">
        <v>5.35</v>
      </c>
      <c r="H41" s="12">
        <v>5.05</v>
      </c>
      <c r="I41" s="12">
        <v>5.25</v>
      </c>
      <c r="J41" s="12">
        <v>5</v>
      </c>
      <c r="K41" s="12">
        <v>5.2</v>
      </c>
      <c r="L41" s="12">
        <v>5.4</v>
      </c>
      <c r="M41" s="12">
        <v>5.1</v>
      </c>
      <c r="N41" s="12">
        <v>5.3</v>
      </c>
      <c r="O41" s="13">
        <f>IF(COUNT(AG41:AP41)&gt;0,MIN(AG41:AP41),"")</f>
        <v>5</v>
      </c>
      <c r="P41" s="13">
        <f>IF(COUNT(AG41:AP41)&gt;0,MAX(AG41:AP41),"")</f>
        <v>5.5</v>
      </c>
      <c r="Q41" s="13">
        <f>IF(ISNUMBER(O41),P41-O41,"")</f>
        <v>0.5</v>
      </c>
      <c r="R41" s="13">
        <f>IF(ISNUMBER(O41),IF(C41="Ручная",IF($S$45&gt;0,$R$45*Q41/$S$45,IF($W$45=9,$R$45,0)),0),"")</f>
        <v>0</v>
      </c>
      <c r="S41" s="13">
        <f>IF(ISNUMBER(O41),O41+R41,"")</f>
        <v>5</v>
      </c>
      <c r="T41" s="13">
        <f>IF(ISNUMBER(S41),P41-S41,"")</f>
        <v>0.5</v>
      </c>
      <c r="U41" s="13">
        <f>IF(COUNT(AG41:AP41)&gt;0,AVERAGE(AG41:AP41),"")</f>
        <v>5.23</v>
      </c>
      <c r="AG41" s="13">
        <f>IF(ISNUMBER(E$45),E41,"")</f>
        <v>5.5</v>
      </c>
      <c r="AH41" s="13">
        <f>IF(ISNUMBER(F$45),F41,"")</f>
        <v>5.15</v>
      </c>
      <c r="AI41" s="13">
        <f>IF(ISNUMBER(G$45),G41,"")</f>
        <v>5.35</v>
      </c>
      <c r="AJ41" s="13">
        <f>IF(ISNUMBER(H$45),H41,"")</f>
        <v>5.05</v>
      </c>
      <c r="AK41" s="13">
        <f>IF(ISNUMBER(I$45),I41,"")</f>
        <v>5.25</v>
      </c>
      <c r="AL41" s="13">
        <f>IF(ISNUMBER(J$45),J41,"")</f>
        <v>5</v>
      </c>
      <c r="AM41" s="13">
        <f>IF(ISNUMBER(K$45),K41,"")</f>
        <v>5.2</v>
      </c>
      <c r="AN41" s="13">
        <f>IF(ISNUMBER(L$45),L41,"")</f>
        <v>5.4</v>
      </c>
      <c r="AO41" s="13">
        <f>IF(ISNUMBER(M$45),M41,"")</f>
        <v>5.1</v>
      </c>
      <c r="AP41" s="13">
        <f>IF(ISNUMBER(N$45),N41,"")</f>
        <v>5.3</v>
      </c>
      <c r="AQ41" s="13">
        <f>IF(C41="Ручная",O41,0)</f>
        <v>0</v>
      </c>
    </row>
    <row r="42" spans="1:43" ht="40" customHeight="1">
      <c r="A42" s="5" t="s">
        <v>189</v>
      </c>
      <c r="B42" s="5" t="s">
        <v>204</v>
      </c>
      <c r="C42" s="11" t="s">
        <v>191</v>
      </c>
      <c r="D42" s="7" t="s">
        <v>205</v>
      </c>
      <c r="E42" s="12">
        <v>5.05</v>
      </c>
      <c r="F42" s="12">
        <v>5.25</v>
      </c>
      <c r="G42" s="12">
        <v>5</v>
      </c>
      <c r="H42" s="12">
        <v>5.2</v>
      </c>
      <c r="I42" s="12">
        <v>5.4</v>
      </c>
      <c r="J42" s="12">
        <v>5.1</v>
      </c>
      <c r="K42" s="12">
        <v>5.3</v>
      </c>
      <c r="L42" s="12">
        <v>5.5</v>
      </c>
      <c r="M42" s="12">
        <v>5.15</v>
      </c>
      <c r="N42" s="12">
        <v>5.35</v>
      </c>
      <c r="O42" s="13">
        <f>IF(COUNT(AG42:AP42)&gt;0,MIN(AG42:AP42),"")</f>
        <v>5</v>
      </c>
      <c r="P42" s="13">
        <f>IF(COUNT(AG42:AP42)&gt;0,MAX(AG42:AP42),"")</f>
        <v>5.5</v>
      </c>
      <c r="Q42" s="13">
        <f>IF(ISNUMBER(O42),P42-O42,"")</f>
        <v>0.5</v>
      </c>
      <c r="R42" s="13">
        <f>IF(ISNUMBER(O42),IF(C42="Ручная",IF($S$45&gt;0,$R$45*Q42/$S$45,IF($W$45=10,$R$45,0)),0),"")</f>
        <v>0</v>
      </c>
      <c r="S42" s="13">
        <f>IF(ISNUMBER(O42),O42+R42,"")</f>
        <v>5</v>
      </c>
      <c r="T42" s="13">
        <f>IF(ISNUMBER(S42),P42-S42,"")</f>
        <v>0.5</v>
      </c>
      <c r="U42" s="13">
        <f>IF(COUNT(AG42:AP42)&gt;0,AVERAGE(AG42:AP42),"")</f>
        <v>5.23</v>
      </c>
      <c r="AG42" s="13">
        <f>IF(ISNUMBER(E$45),E42,"")</f>
        <v>5.05</v>
      </c>
      <c r="AH42" s="13">
        <f>IF(ISNUMBER(F$45),F42,"")</f>
        <v>5.25</v>
      </c>
      <c r="AI42" s="13">
        <f>IF(ISNUMBER(G$45),G42,"")</f>
        <v>5</v>
      </c>
      <c r="AJ42" s="13">
        <f>IF(ISNUMBER(H$45),H42,"")</f>
        <v>5.2</v>
      </c>
      <c r="AK42" s="13">
        <f>IF(ISNUMBER(I$45),I42,"")</f>
        <v>5.4</v>
      </c>
      <c r="AL42" s="13">
        <f>IF(ISNUMBER(J$45),J42,"")</f>
        <v>5.1</v>
      </c>
      <c r="AM42" s="13">
        <f>IF(ISNUMBER(K$45),K42,"")</f>
        <v>5.3</v>
      </c>
      <c r="AN42" s="13">
        <f>IF(ISNUMBER(L$45),L42,"")</f>
        <v>5.5</v>
      </c>
      <c r="AO42" s="13">
        <f>IF(ISNUMBER(M$45),M42,"")</f>
        <v>5.15</v>
      </c>
      <c r="AP42" s="13">
        <f>IF(ISNUMBER(N$45),N42,"")</f>
        <v>5.35</v>
      </c>
      <c r="AQ42" s="13">
        <f>IF(C42="Ручная",O42,0)</f>
        <v>0</v>
      </c>
    </row>
    <row r="43" spans="1:43" ht="40" customHeight="1">
      <c r="A43" s="5" t="s">
        <v>189</v>
      </c>
      <c r="B43" s="5" t="s">
        <v>206</v>
      </c>
      <c r="C43" s="11" t="s">
        <v>207</v>
      </c>
      <c r="D43" s="7" t="s">
        <v>208</v>
      </c>
      <c r="E43" s="12">
        <v>0</v>
      </c>
      <c r="F43" s="12">
        <v>0</v>
      </c>
      <c r="G43" s="12">
        <v>0</v>
      </c>
      <c r="H43" s="12">
        <v>0</v>
      </c>
      <c r="I43" s="12">
        <v>0</v>
      </c>
      <c r="J43" s="12">
        <v>0</v>
      </c>
      <c r="K43" s="12">
        <v>0</v>
      </c>
      <c r="L43" s="12">
        <v>0</v>
      </c>
      <c r="M43" s="12">
        <v>0</v>
      </c>
      <c r="N43" s="12">
        <v>0</v>
      </c>
      <c r="O43" s="13">
        <f>IF(COUNT(AG43:AP43)&gt;0,MIN(AG43:AP43),"")</f>
        <v>0</v>
      </c>
      <c r="P43" s="13">
        <f>IF(COUNT(AG43:AP43)&gt;0,MAX(AG43:AP43),"")</f>
        <v>0</v>
      </c>
      <c r="Q43" s="13">
        <f>IF(ISNUMBER(O43),P43-O43,"")</f>
        <v>0</v>
      </c>
      <c r="R43" s="13">
        <f>IF(ISNUMBER(O43),IF(C43="Ручная",IF($S$45&gt;0,$R$45*Q43/$S$45,IF($W$45=11,$R$45,0)),0),"")</f>
        <v>0</v>
      </c>
      <c r="S43" s="13">
        <f>IF(ISNUMBER(O43),O43+R43,"")</f>
        <v>0</v>
      </c>
      <c r="T43" s="13">
        <f>IF(ISNUMBER(S43),P43-S43,"")</f>
        <v>0</v>
      </c>
      <c r="U43" s="13">
        <f>IF(COUNT(AG43:AP43)&gt;0,AVERAGE(AG43:AP43),"")</f>
        <v>0</v>
      </c>
      <c r="AG43" s="13">
        <f>IF(ISNUMBER(E$45),E43,"")</f>
        <v>0</v>
      </c>
      <c r="AH43" s="13">
        <f>IF(ISNUMBER(F$45),F43,"")</f>
        <v>0</v>
      </c>
      <c r="AI43" s="13">
        <f>IF(ISNUMBER(G$45),G43,"")</f>
        <v>0</v>
      </c>
      <c r="AJ43" s="13">
        <f>IF(ISNUMBER(H$45),H43,"")</f>
        <v>0</v>
      </c>
      <c r="AK43" s="13">
        <f>IF(ISNUMBER(I$45),I43,"")</f>
        <v>0</v>
      </c>
      <c r="AL43" s="13">
        <f>IF(ISNUMBER(J$45),J43,"")</f>
        <v>0</v>
      </c>
      <c r="AM43" s="13">
        <f>IF(ISNUMBER(K$45),K43,"")</f>
        <v>0</v>
      </c>
      <c r="AN43" s="13">
        <f>IF(ISNUMBER(L$45),L43,"")</f>
        <v>0</v>
      </c>
      <c r="AO43" s="13">
        <f>IF(ISNUMBER(M$45),M43,"")</f>
        <v>0</v>
      </c>
      <c r="AP43" s="13">
        <f>IF(ISNUMBER(N$45),N43,"")</f>
        <v>0</v>
      </c>
      <c r="AQ43" s="13">
        <f>IF(C43="Ручная",O43,0)</f>
        <v>0</v>
      </c>
    </row>
    <row r="44" spans="1:43" ht="23" customHeight="1">
      <c r="B44" s="4" t="s">
        <v>209</v>
      </c>
      <c r="E44" s="6">
        <f>IF(COUNT(E33:E43)=11,SUM(E33:E43),"")</f>
        <v>708.47</v>
      </c>
      <c r="F44" s="6">
        <f>IF(COUNT(F33:F43)=11,SUM(F33:F43),"")</f>
        <v>711.54</v>
      </c>
      <c r="G44" s="6">
        <f>IF(COUNT(G33:G43)=11,SUM(G33:G43),"")</f>
        <v>706.31</v>
      </c>
      <c r="H44" s="6">
        <f>IF(COUNT(H33:H43)=11,SUM(H33:H43),"")</f>
        <v>709.97</v>
      </c>
      <c r="I44" s="6">
        <f>IF(COUNT(I33:I43)=11,SUM(I33:I43),"")</f>
        <v>704.11</v>
      </c>
      <c r="J44" s="6">
        <f>IF(COUNT(J33:J43)=11,SUM(J33:J43),"")</f>
        <v>707.26</v>
      </c>
      <c r="K44" s="6">
        <f>IF(COUNT(K33:K43)=11,SUM(K33:K43),"")</f>
        <v>702.75</v>
      </c>
      <c r="L44" s="6">
        <f>IF(COUNT(L33:L43)=11,SUM(L33:L43),"")</f>
        <v>704.42</v>
      </c>
      <c r="M44" s="6">
        <f>IF(COUNT(M33:M43)=11,SUM(M33:M43),"")</f>
        <v>710.97</v>
      </c>
      <c r="N44" s="6">
        <f>IF(COUNT(N33:N43)=11,SUM(N33:N43),"")</f>
        <v>702.66</v>
      </c>
      <c r="O44" s="6">
        <f>IF(COUNT(O33:O43)=11,SUM(O33:O43),"")</f>
        <v>695.55</v>
      </c>
      <c r="P44" s="6">
        <f>IF(COUNT(P33:P43)=11,SUM(P33:P43),"")</f>
        <v>720.11</v>
      </c>
      <c r="Q44" s="6">
        <f>IF(COUNT(Q33:Q43)=11,SUM(Q33:Q43),"")</f>
        <v>24.56</v>
      </c>
      <c r="R44" s="6">
        <f>IF(COUNT(R33:R43)=11,SUM(R33:R43),"")</f>
        <v>7.11000000000001</v>
      </c>
      <c r="S44" s="6">
        <f>IF(COUNT(S33:S43)=11,SUM(S33:S43),"")</f>
        <v>702.66</v>
      </c>
      <c r="T44" s="6">
        <f>IF(COUNT(T33:T43)=11,SUM(T33:T43),"")</f>
        <v>17.45</v>
      </c>
      <c r="U44" s="6">
        <f>IF(COUNT(U33:U43)=11,SUM(U33:U43),"")</f>
        <v>706.846</v>
      </c>
    </row>
    <row r="45" spans="1:43" ht="23" customHeight="1">
      <c r="B45" s="4" t="s">
        <v>210</v>
      </c>
      <c r="E45" s="6">
        <f>IF(AND(E31=1,COUNT(E33:E43)=11,MIN(E33:E43)&gt;=0),E44,"")</f>
        <v>708.47</v>
      </c>
      <c r="F45" s="6">
        <f>IF(AND(F31=1,COUNT(F33:F43)=11,MIN(F33:F43)&gt;=0),F44,"")</f>
        <v>711.54</v>
      </c>
      <c r="G45" s="6">
        <f>IF(AND(G31=1,COUNT(G33:G43)=11,MIN(G33:G43)&gt;=0),G44,"")</f>
        <v>706.31</v>
      </c>
      <c r="H45" s="6">
        <f>IF(AND(H31=1,COUNT(H33:H43)=11,MIN(H33:H43)&gt;=0),H44,"")</f>
        <v>709.97</v>
      </c>
      <c r="I45" s="6">
        <f>IF(AND(I31=1,COUNT(I33:I43)=11,MIN(I33:I43)&gt;=0),I44,"")</f>
        <v>704.11</v>
      </c>
      <c r="J45" s="6">
        <f>IF(AND(J31=1,COUNT(J33:J43)=11,MIN(J33:J43)&gt;=0),J44,"")</f>
        <v>707.26</v>
      </c>
      <c r="K45" s="6">
        <f>IF(AND(K31=1,COUNT(K33:K43)=11,MIN(K33:K43)&gt;=0),K44,"")</f>
        <v>702.75</v>
      </c>
      <c r="L45" s="6">
        <f>IF(AND(L31=1,COUNT(L33:L43)=11,MIN(L33:L43)&gt;=0),L44,"")</f>
        <v>704.42</v>
      </c>
      <c r="M45" s="6">
        <f>IF(AND(M31=1,COUNT(M33:M43)=11,MIN(M33:M43)&gt;=0),M44,"")</f>
        <v>710.97</v>
      </c>
      <c r="N45" s="6">
        <f>IF(AND(N31=1,COUNT(N33:N43)=11,MIN(N33:N43)&gt;=0),N44,"")</f>
        <v>702.66</v>
      </c>
      <c r="O45" s="6">
        <f>IF(COUNT(E45:N45)&gt;0,MIN(E45:N45),"")</f>
        <v>702.66</v>
      </c>
      <c r="P45" s="6">
        <f>IF(COUNT(E45:N45)&gt;0,MAX(E45:N45),"")</f>
        <v>711.54</v>
      </c>
      <c r="Q45" s="6">
        <f>IF(ISNUMBER(O45),P45-O45,"")</f>
        <v>8.88</v>
      </c>
      <c r="R45" s="6">
        <f>IF(ISNUMBER(O45),MAX(0,O45-O44),"")</f>
        <v>7.11000000000001</v>
      </c>
      <c r="S45" s="6">
        <f>SUMIF(C33:C43,"Ручная",Q33:Q43)</f>
        <v>22.96</v>
      </c>
      <c r="T45" s="6">
        <f>COUNT(E45:N45)</f>
        <v>10</v>
      </c>
      <c r="U45" s="6">
        <f>IF(COUNT(E45:N45)&gt;0,AVERAGE(E45:N45),"")</f>
        <v>706.846</v>
      </c>
      <c r="V45" s="6">
        <f>IF(ISNUMBER(O45),S44-O45,"")</f>
        <v>1.13686837721616e-13</v>
      </c>
      <c r="W45" s="6">
        <f>MATCH(MAX(AQ33:AQ43),AQ33:AQ43,0)</f>
        <v>2</v>
      </c>
      <c r="X45" s="17" t="str">
        <f>IF(T45=0,"НЕТ ЗАМЕРОВ",IF(T45&lt;10,"МЕНЕЕ 10 ЦИКЛОВ",IF(ABS(V45)&lt;0.000001,"ОК","ОШИБКА РЕГУЛИРОВКИ")))</f>
        <v>ОК</v>
      </c>
    </row>
    <row r="46" spans="1:43" ht="23" customHeight="1">
      <c r="A46" s="7" t="s">
        <v>211</v>
      </c>
      <c r="B46" s="7"/>
      <c r="C46" s="7"/>
      <c r="D46" s="7"/>
      <c r="E46" s="7"/>
      <c r="F46" s="7"/>
      <c r="G46" s="7"/>
      <c r="H46" s="7"/>
      <c r="I46" s="7"/>
      <c r="J46" s="7"/>
      <c r="K46" s="7"/>
      <c r="L46" s="7"/>
      <c r="M46" s="7"/>
      <c r="N46" s="7"/>
      <c r="O46" s="7"/>
      <c r="P46" s="7"/>
      <c r="Q46" s="7"/>
      <c r="R46" s="7"/>
      <c r="S46" s="7"/>
      <c r="T46" s="7"/>
      <c r="U46" s="7"/>
      <c r="V46" s="7"/>
      <c r="W46" s="7"/>
      <c r="X46" s="7"/>
    </row>
    <row r="49" spans="1:43" ht="23" customHeight="1">
      <c r="A49" s="4" t="s">
        <v>232</v>
      </c>
      <c r="B49" s="4"/>
      <c r="C49" s="4"/>
      <c r="D49" s="4"/>
      <c r="E49" s="4"/>
      <c r="F49" s="4"/>
      <c r="G49" s="4"/>
      <c r="H49" s="4"/>
      <c r="I49" s="4"/>
      <c r="J49" s="4"/>
      <c r="K49" s="4"/>
      <c r="L49" s="4"/>
      <c r="M49" s="4"/>
      <c r="N49" s="4"/>
      <c r="O49" s="4"/>
      <c r="P49" s="4"/>
      <c r="Q49" s="4"/>
      <c r="R49" s="4"/>
      <c r="S49" s="4"/>
      <c r="T49" s="4"/>
      <c r="U49" s="4"/>
      <c r="V49" s="4"/>
      <c r="W49" s="4"/>
      <c r="X49" s="4"/>
    </row>
    <row r="50" spans="1:43" ht="23" customHeight="1">
      <c r="A50" s="7" t="str">
        <f>"Масса замера, кг: "&amp;'Ассортимент'!J10&amp;".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50" s="7"/>
      <c r="C50" s="7"/>
      <c r="D50" s="7"/>
      <c r="E50" s="7"/>
      <c r="F50" s="7"/>
      <c r="G50" s="7"/>
      <c r="H50" s="7"/>
      <c r="I50" s="7"/>
      <c r="J50" s="7"/>
      <c r="K50" s="7"/>
      <c r="L50" s="7"/>
      <c r="M50" s="7"/>
      <c r="N50" s="7"/>
      <c r="O50" s="7"/>
      <c r="P50" s="7"/>
      <c r="Q50" s="7"/>
      <c r="R50" s="7"/>
      <c r="S50" s="7"/>
      <c r="T50" s="7"/>
      <c r="U50" s="7"/>
      <c r="V50" s="7"/>
      <c r="W50" s="7"/>
      <c r="X50" s="7"/>
    </row>
    <row r="51" spans="1:43" ht="44" customHeight="1">
      <c r="A51" s="8" t="s">
        <v>113</v>
      </c>
      <c r="B51" s="8" t="s">
        <v>156</v>
      </c>
      <c r="C51" s="8" t="s">
        <v>157</v>
      </c>
      <c r="D51" s="8" t="s">
        <v>158</v>
      </c>
      <c r="E51" s="8" t="s">
        <v>159</v>
      </c>
      <c r="F51" s="8" t="s">
        <v>160</v>
      </c>
      <c r="G51" s="8" t="s">
        <v>161</v>
      </c>
      <c r="H51" s="8" t="s">
        <v>162</v>
      </c>
      <c r="I51" s="8" t="s">
        <v>163</v>
      </c>
      <c r="J51" s="8" t="s">
        <v>164</v>
      </c>
      <c r="K51" s="8" t="s">
        <v>165</v>
      </c>
      <c r="L51" s="8" t="s">
        <v>166</v>
      </c>
      <c r="M51" s="8" t="s">
        <v>167</v>
      </c>
      <c r="N51" s="8" t="s">
        <v>168</v>
      </c>
      <c r="O51" s="8" t="s">
        <v>169</v>
      </c>
      <c r="P51" s="8" t="s">
        <v>170</v>
      </c>
      <c r="Q51" s="8" t="s">
        <v>171</v>
      </c>
      <c r="R51" s="8" t="s">
        <v>172</v>
      </c>
      <c r="S51" s="8" t="s">
        <v>173</v>
      </c>
      <c r="T51" s="8" t="s">
        <v>174</v>
      </c>
      <c r="U51" s="8" t="s">
        <v>175</v>
      </c>
      <c r="V51" s="8" t="s">
        <v>176</v>
      </c>
      <c r="W51" s="8" t="s">
        <v>177</v>
      </c>
      <c r="X51" s="8" t="s">
        <v>178</v>
      </c>
    </row>
    <row r="52" spans="1:43" ht="23" customHeight="1">
      <c r="B52" s="5" t="s">
        <v>179</v>
      </c>
      <c r="E52" s="12">
        <v>1</v>
      </c>
      <c r="F52" s="12">
        <v>1</v>
      </c>
      <c r="G52" s="12">
        <v>1</v>
      </c>
      <c r="H52" s="12">
        <v>1</v>
      </c>
      <c r="I52" s="12">
        <v>1</v>
      </c>
      <c r="J52" s="12">
        <v>1</v>
      </c>
      <c r="K52" s="12">
        <v>1</v>
      </c>
      <c r="L52" s="12">
        <v>1</v>
      </c>
      <c r="M52" s="12">
        <v>1</v>
      </c>
      <c r="N52" s="12">
        <v>1</v>
      </c>
    </row>
    <row r="53" spans="1:43" ht="33" customHeight="1">
      <c r="B53" s="5" t="s">
        <v>180</v>
      </c>
      <c r="E53" s="9" t="s">
        <v>181</v>
      </c>
      <c r="F53" s="9" t="s">
        <v>181</v>
      </c>
      <c r="G53" s="9" t="s">
        <v>181</v>
      </c>
      <c r="H53" s="9" t="s">
        <v>181</v>
      </c>
      <c r="I53" s="9" t="s">
        <v>181</v>
      </c>
      <c r="J53" s="9" t="s">
        <v>181</v>
      </c>
      <c r="K53" s="9" t="s">
        <v>181</v>
      </c>
      <c r="L53" s="9" t="s">
        <v>181</v>
      </c>
      <c r="M53" s="9" t="s">
        <v>181</v>
      </c>
      <c r="N53" s="9" t="s">
        <v>181</v>
      </c>
    </row>
    <row r="54" spans="1:43" ht="40" customHeight="1">
      <c r="A54" s="5">
        <v>1</v>
      </c>
      <c r="B54" s="5" t="s">
        <v>182</v>
      </c>
      <c r="C54" s="11" t="s">
        <v>183</v>
      </c>
      <c r="D54" s="7" t="s">
        <v>184</v>
      </c>
      <c r="E54" s="12">
        <v>27</v>
      </c>
      <c r="F54" s="12">
        <v>25.5</v>
      </c>
      <c r="G54" s="12">
        <v>26.5</v>
      </c>
      <c r="H54" s="12">
        <v>27.5</v>
      </c>
      <c r="I54" s="12">
        <v>25.75</v>
      </c>
      <c r="J54" s="12">
        <v>26.75</v>
      </c>
      <c r="K54" s="12">
        <v>25.25</v>
      </c>
      <c r="L54" s="12">
        <v>26.25</v>
      </c>
      <c r="M54" s="12">
        <v>25</v>
      </c>
      <c r="N54" s="12">
        <v>26</v>
      </c>
      <c r="O54" s="13">
        <f>IF(COUNT(AG54:AP54)&gt;0,MIN(AG54:AP54),"")</f>
        <v>25</v>
      </c>
      <c r="P54" s="13">
        <f>IF(COUNT(AG54:AP54)&gt;0,MAX(AG54:AP54),"")</f>
        <v>27.5</v>
      </c>
      <c r="Q54" s="13">
        <f>IF(ISNUMBER(O54),P54-O54,"")</f>
        <v>2.5</v>
      </c>
      <c r="R54" s="13">
        <f>IF(ISNUMBER(O54),IF(C54="Ручная",IF($S$66&gt;0,$R$66*Q54/$S$66,IF($W$66=1,$R$66,0)),0),"")</f>
        <v>0.751252086811357</v>
      </c>
      <c r="S54" s="13">
        <f>IF(ISNUMBER(O54),O54+R54,"")</f>
        <v>25.7512520868114</v>
      </c>
      <c r="T54" s="13">
        <f>IF(ISNUMBER(S54),P54-S54,"")</f>
        <v>1.74874791318864</v>
      </c>
      <c r="U54" s="13">
        <f>IF(COUNT(AG54:AP54)&gt;0,AVERAGE(AG54:AP54),"")</f>
        <v>26.15</v>
      </c>
      <c r="AG54" s="13">
        <f>IF(ISNUMBER(E$66),E54,"")</f>
        <v>27</v>
      </c>
      <c r="AH54" s="13">
        <f>IF(ISNUMBER(F$66),F54,"")</f>
        <v>25.5</v>
      </c>
      <c r="AI54" s="13">
        <f>IF(ISNUMBER(G$66),G54,"")</f>
        <v>26.5</v>
      </c>
      <c r="AJ54" s="13">
        <f>IF(ISNUMBER(H$66),H54,"")</f>
        <v>27.5</v>
      </c>
      <c r="AK54" s="13">
        <f>IF(ISNUMBER(I$66),I54,"")</f>
        <v>25.75</v>
      </c>
      <c r="AL54" s="13">
        <f>IF(ISNUMBER(J$66),J54,"")</f>
        <v>26.75</v>
      </c>
      <c r="AM54" s="13">
        <f>IF(ISNUMBER(K$66),K54,"")</f>
        <v>25.25</v>
      </c>
      <c r="AN54" s="13">
        <f>IF(ISNUMBER(L$66),L54,"")</f>
        <v>26.25</v>
      </c>
      <c r="AO54" s="13">
        <f>IF(ISNUMBER(M$66),M54,"")</f>
        <v>25</v>
      </c>
      <c r="AP54" s="13">
        <f>IF(ISNUMBER(N$66),N54,"")</f>
        <v>26</v>
      </c>
      <c r="AQ54" s="13">
        <f>IF(C54="Ручная",O54,0)</f>
        <v>25</v>
      </c>
    </row>
    <row r="55" spans="1:43" ht="40" customHeight="1">
      <c r="A55" s="5">
        <v>2</v>
      </c>
      <c r="B55" s="5" t="s">
        <v>185</v>
      </c>
      <c r="C55" s="11" t="s">
        <v>183</v>
      </c>
      <c r="D55" s="7" t="s">
        <v>186</v>
      </c>
      <c r="E55" s="12">
        <v>132</v>
      </c>
      <c r="F55" s="12">
        <v>123.6</v>
      </c>
      <c r="G55" s="12">
        <v>128.4</v>
      </c>
      <c r="H55" s="12">
        <v>121.2</v>
      </c>
      <c r="I55" s="12">
        <v>126</v>
      </c>
      <c r="J55" s="12">
        <v>120</v>
      </c>
      <c r="K55" s="12">
        <v>124.8</v>
      </c>
      <c r="L55" s="12">
        <v>129.6</v>
      </c>
      <c r="M55" s="12">
        <v>122.4</v>
      </c>
      <c r="N55" s="12">
        <v>127.2</v>
      </c>
      <c r="O55" s="13">
        <f>IF(COUNT(AG55:AP55)&gt;0,MIN(AG55:AP55),"")</f>
        <v>120</v>
      </c>
      <c r="P55" s="13">
        <f>IF(COUNT(AG55:AP55)&gt;0,MAX(AG55:AP55),"")</f>
        <v>132</v>
      </c>
      <c r="Q55" s="13">
        <f>IF(ISNUMBER(O55),P55-O55,"")</f>
        <v>12</v>
      </c>
      <c r="R55" s="13">
        <f>IF(ISNUMBER(O55),IF(C55="Ручная",IF($S$66&gt;0,$R$66*Q55/$S$66,IF($W$66=2,$R$66,0)),0),"")</f>
        <v>3.60601001669451</v>
      </c>
      <c r="S55" s="13">
        <f>IF(ISNUMBER(O55),O55+R55,"")</f>
        <v>123.606010016695</v>
      </c>
      <c r="T55" s="13">
        <f>IF(ISNUMBER(S55),P55-S55,"")</f>
        <v>8.39398998330549</v>
      </c>
      <c r="U55" s="13">
        <f>IF(COUNT(AG55:AP55)&gt;0,AVERAGE(AG55:AP55),"")</f>
        <v>125.52</v>
      </c>
      <c r="AG55" s="13">
        <f>IF(ISNUMBER(E$66),E55,"")</f>
        <v>132</v>
      </c>
      <c r="AH55" s="13">
        <f>IF(ISNUMBER(F$66),F55,"")</f>
        <v>123.6</v>
      </c>
      <c r="AI55" s="13">
        <f>IF(ISNUMBER(G$66),G55,"")</f>
        <v>128.4</v>
      </c>
      <c r="AJ55" s="13">
        <f>IF(ISNUMBER(H$66),H55,"")</f>
        <v>121.2</v>
      </c>
      <c r="AK55" s="13">
        <f>IF(ISNUMBER(I$66),I55,"")</f>
        <v>126</v>
      </c>
      <c r="AL55" s="13">
        <f>IF(ISNUMBER(J$66),J55,"")</f>
        <v>120</v>
      </c>
      <c r="AM55" s="13">
        <f>IF(ISNUMBER(K$66),K55,"")</f>
        <v>124.8</v>
      </c>
      <c r="AN55" s="13">
        <f>IF(ISNUMBER(L$66),L55,"")</f>
        <v>129.6</v>
      </c>
      <c r="AO55" s="13">
        <f>IF(ISNUMBER(M$66),M55,"")</f>
        <v>122.4</v>
      </c>
      <c r="AP55" s="13">
        <f>IF(ISNUMBER(N$66),N55,"")</f>
        <v>127.2</v>
      </c>
      <c r="AQ55" s="13">
        <f>IF(C55="Ручная",O55,0)</f>
        <v>120</v>
      </c>
    </row>
    <row r="56" spans="1:43" ht="40" customHeight="1">
      <c r="A56" s="5">
        <v>3</v>
      </c>
      <c r="B56" s="5" t="s">
        <v>187</v>
      </c>
      <c r="C56" s="11" t="s">
        <v>183</v>
      </c>
      <c r="D56" s="7" t="s">
        <v>188</v>
      </c>
      <c r="E56" s="12">
        <v>20</v>
      </c>
      <c r="F56" s="12">
        <v>20.79</v>
      </c>
      <c r="G56" s="12">
        <v>19.8</v>
      </c>
      <c r="H56" s="12">
        <v>20.59</v>
      </c>
      <c r="I56" s="12">
        <v>21.38</v>
      </c>
      <c r="J56" s="12">
        <v>20.2</v>
      </c>
      <c r="K56" s="12">
        <v>20.99</v>
      </c>
      <c r="L56" s="12">
        <v>21.78</v>
      </c>
      <c r="M56" s="12">
        <v>20.39</v>
      </c>
      <c r="N56" s="12">
        <v>21.19</v>
      </c>
      <c r="O56" s="13">
        <f>IF(COUNT(AG56:AP56)&gt;0,MIN(AG56:AP56),"")</f>
        <v>19.8</v>
      </c>
      <c r="P56" s="13">
        <f>IF(COUNT(AG56:AP56)&gt;0,MAX(AG56:AP56),"")</f>
        <v>21.78</v>
      </c>
      <c r="Q56" s="13">
        <f>IF(ISNUMBER(O56),P56-O56,"")</f>
        <v>1.98</v>
      </c>
      <c r="R56" s="13">
        <f>IF(ISNUMBER(O56),IF(C56="Ручная",IF($S$66&gt;0,$R$66*Q56/$S$66,IF($W$66=3,$R$66,0)),0),"")</f>
        <v>0.594991652754595</v>
      </c>
      <c r="S56" s="13">
        <f>IF(ISNUMBER(O56),O56+R56,"")</f>
        <v>20.3949916527546</v>
      </c>
      <c r="T56" s="13">
        <f>IF(ISNUMBER(S56),P56-S56,"")</f>
        <v>1.38500834724541</v>
      </c>
      <c r="U56" s="13">
        <f>IF(COUNT(AG56:AP56)&gt;0,AVERAGE(AG56:AP56),"")</f>
        <v>20.711</v>
      </c>
      <c r="AG56" s="13">
        <f>IF(ISNUMBER(E$66),E56,"")</f>
        <v>20</v>
      </c>
      <c r="AH56" s="13">
        <f>IF(ISNUMBER(F$66),F56,"")</f>
        <v>20.79</v>
      </c>
      <c r="AI56" s="13">
        <f>IF(ISNUMBER(G$66),G56,"")</f>
        <v>19.8</v>
      </c>
      <c r="AJ56" s="13">
        <f>IF(ISNUMBER(H$66),H56,"")</f>
        <v>20.59</v>
      </c>
      <c r="AK56" s="13">
        <f>IF(ISNUMBER(I$66),I56,"")</f>
        <v>21.38</v>
      </c>
      <c r="AL56" s="13">
        <f>IF(ISNUMBER(J$66),J56,"")</f>
        <v>20.2</v>
      </c>
      <c r="AM56" s="13">
        <f>IF(ISNUMBER(K$66),K56,"")</f>
        <v>20.99</v>
      </c>
      <c r="AN56" s="13">
        <f>IF(ISNUMBER(L$66),L56,"")</f>
        <v>21.78</v>
      </c>
      <c r="AO56" s="13">
        <f>IF(ISNUMBER(M$66),M56,"")</f>
        <v>20.39</v>
      </c>
      <c r="AP56" s="13">
        <f>IF(ISNUMBER(N$66),N56,"")</f>
        <v>21.19</v>
      </c>
      <c r="AQ56" s="13">
        <f>IF(C56="Ручная",O56,0)</f>
        <v>19.8</v>
      </c>
    </row>
    <row r="57" spans="1:43" ht="40" customHeight="1">
      <c r="A57" s="5" t="s">
        <v>189</v>
      </c>
      <c r="B57" s="5" t="s">
        <v>190</v>
      </c>
      <c r="C57" s="11" t="s">
        <v>191</v>
      </c>
      <c r="D57" s="7" t="s">
        <v>192</v>
      </c>
      <c r="E57" s="12">
        <v>6.24</v>
      </c>
      <c r="F57" s="12">
        <v>6.48</v>
      </c>
      <c r="G57" s="12">
        <v>6.12</v>
      </c>
      <c r="H57" s="12">
        <v>6.36</v>
      </c>
      <c r="I57" s="12">
        <v>6.6</v>
      </c>
      <c r="J57" s="12">
        <v>6.18</v>
      </c>
      <c r="K57" s="12">
        <v>6.42</v>
      </c>
      <c r="L57" s="12">
        <v>6.06</v>
      </c>
      <c r="M57" s="12">
        <v>6.3</v>
      </c>
      <c r="N57" s="12">
        <v>6</v>
      </c>
      <c r="O57" s="13">
        <f>IF(COUNT(AG57:AP57)&gt;0,MIN(AG57:AP57),"")</f>
        <v>6</v>
      </c>
      <c r="P57" s="13">
        <f>IF(COUNT(AG57:AP57)&gt;0,MAX(AG57:AP57),"")</f>
        <v>6.6</v>
      </c>
      <c r="Q57" s="13">
        <f>IF(ISNUMBER(O57),P57-O57,"")</f>
        <v>0.6</v>
      </c>
      <c r="R57" s="13">
        <f>IF(ISNUMBER(O57),IF(C57="Ручная",IF($S$66&gt;0,$R$66*Q57/$S$66,IF($W$66=4,$R$66,0)),0),"")</f>
        <v>0</v>
      </c>
      <c r="S57" s="13">
        <f>IF(ISNUMBER(O57),O57+R57,"")</f>
        <v>6</v>
      </c>
      <c r="T57" s="13">
        <f>IF(ISNUMBER(S57),P57-S57,"")</f>
        <v>0.6</v>
      </c>
      <c r="U57" s="13">
        <f>IF(COUNT(AG57:AP57)&gt;0,AVERAGE(AG57:AP57),"")</f>
        <v>6.276</v>
      </c>
      <c r="AG57" s="13">
        <f>IF(ISNUMBER(E$66),E57,"")</f>
        <v>6.24</v>
      </c>
      <c r="AH57" s="13">
        <f>IF(ISNUMBER(F$66),F57,"")</f>
        <v>6.48</v>
      </c>
      <c r="AI57" s="13">
        <f>IF(ISNUMBER(G$66),G57,"")</f>
        <v>6.12</v>
      </c>
      <c r="AJ57" s="13">
        <f>IF(ISNUMBER(H$66),H57,"")</f>
        <v>6.36</v>
      </c>
      <c r="AK57" s="13">
        <f>IF(ISNUMBER(I$66),I57,"")</f>
        <v>6.6</v>
      </c>
      <c r="AL57" s="13">
        <f>IF(ISNUMBER(J$66),J57,"")</f>
        <v>6.18</v>
      </c>
      <c r="AM57" s="13">
        <f>IF(ISNUMBER(K$66),K57,"")</f>
        <v>6.42</v>
      </c>
      <c r="AN57" s="13">
        <f>IF(ISNUMBER(L$66),L57,"")</f>
        <v>6.06</v>
      </c>
      <c r="AO57" s="13">
        <f>IF(ISNUMBER(M$66),M57,"")</f>
        <v>6.3</v>
      </c>
      <c r="AP57" s="13">
        <f>IF(ISNUMBER(N$66),N57,"")</f>
        <v>6</v>
      </c>
      <c r="AQ57" s="13">
        <f>IF(C57="Ручная",O57,0)</f>
        <v>0</v>
      </c>
    </row>
    <row r="58" spans="1:43" ht="40" customHeight="1">
      <c r="A58" s="5">
        <v>5</v>
      </c>
      <c r="B58" s="5" t="s">
        <v>193</v>
      </c>
      <c r="C58" s="11" t="s">
        <v>183</v>
      </c>
      <c r="D58" s="7" t="s">
        <v>194</v>
      </c>
      <c r="E58" s="12">
        <v>31.54</v>
      </c>
      <c r="F58" s="12">
        <v>32.73</v>
      </c>
      <c r="G58" s="12">
        <v>30.64</v>
      </c>
      <c r="H58" s="12">
        <v>31.83</v>
      </c>
      <c r="I58" s="12">
        <v>30.05</v>
      </c>
      <c r="J58" s="12">
        <v>31.24</v>
      </c>
      <c r="K58" s="12">
        <v>29.75</v>
      </c>
      <c r="L58" s="12">
        <v>30.94</v>
      </c>
      <c r="M58" s="12">
        <v>32.13</v>
      </c>
      <c r="N58" s="12">
        <v>30.34</v>
      </c>
      <c r="O58" s="13">
        <f>IF(COUNT(AG58:AP58)&gt;0,MIN(AG58:AP58),"")</f>
        <v>29.75</v>
      </c>
      <c r="P58" s="13">
        <f>IF(COUNT(AG58:AP58)&gt;0,MAX(AG58:AP58),"")</f>
        <v>32.73</v>
      </c>
      <c r="Q58" s="13">
        <f>IF(ISNUMBER(O58),P58-O58,"")</f>
        <v>2.98</v>
      </c>
      <c r="R58" s="13">
        <f>IF(ISNUMBER(O58),IF(C58="Ручная",IF($S$66&gt;0,$R$66*Q58/$S$66,IF($W$66=5,$R$66,0)),0),"")</f>
        <v>0.895492487479137</v>
      </c>
      <c r="S58" s="13">
        <f>IF(ISNUMBER(O58),O58+R58,"")</f>
        <v>30.6454924874791</v>
      </c>
      <c r="T58" s="13">
        <f>IF(ISNUMBER(S58),P58-S58,"")</f>
        <v>2.08450751252086</v>
      </c>
      <c r="U58" s="13">
        <f>IF(COUNT(AG58:AP58)&gt;0,AVERAGE(AG58:AP58),"")</f>
        <v>31.119</v>
      </c>
      <c r="AG58" s="13">
        <f>IF(ISNUMBER(E$66),E58,"")</f>
        <v>31.54</v>
      </c>
      <c r="AH58" s="13">
        <f>IF(ISNUMBER(F$66),F58,"")</f>
        <v>32.73</v>
      </c>
      <c r="AI58" s="13">
        <f>IF(ISNUMBER(G$66),G58,"")</f>
        <v>30.64</v>
      </c>
      <c r="AJ58" s="13">
        <f>IF(ISNUMBER(H$66),H58,"")</f>
        <v>31.83</v>
      </c>
      <c r="AK58" s="13">
        <f>IF(ISNUMBER(I$66),I58,"")</f>
        <v>30.05</v>
      </c>
      <c r="AL58" s="13">
        <f>IF(ISNUMBER(J$66),J58,"")</f>
        <v>31.24</v>
      </c>
      <c r="AM58" s="13">
        <f>IF(ISNUMBER(K$66),K58,"")</f>
        <v>29.75</v>
      </c>
      <c r="AN58" s="13">
        <f>IF(ISNUMBER(L$66),L58,"")</f>
        <v>30.94</v>
      </c>
      <c r="AO58" s="13">
        <f>IF(ISNUMBER(M$66),M58,"")</f>
        <v>32.13</v>
      </c>
      <c r="AP58" s="13">
        <f>IF(ISNUMBER(N$66),N58,"")</f>
        <v>30.34</v>
      </c>
      <c r="AQ58" s="13">
        <f>IF(C58="Ручная",O58,0)</f>
        <v>29.75</v>
      </c>
    </row>
    <row r="59" spans="1:43" ht="40" customHeight="1">
      <c r="A59" s="5" t="s">
        <v>189</v>
      </c>
      <c r="B59" s="5" t="s">
        <v>195</v>
      </c>
      <c r="C59" s="11" t="s">
        <v>196</v>
      </c>
      <c r="D59" s="7" t="s">
        <v>197</v>
      </c>
      <c r="E59" s="18">
        <f>'Ассортимент'!R10</f>
        <v>450</v>
      </c>
      <c r="F59" s="18">
        <f>'Ассортимент'!R10</f>
        <v>450</v>
      </c>
      <c r="G59" s="18">
        <f>'Ассортимент'!R10</f>
        <v>450</v>
      </c>
      <c r="H59" s="18">
        <f>'Ассортимент'!R10</f>
        <v>450</v>
      </c>
      <c r="I59" s="18">
        <f>'Ассортимент'!R10</f>
        <v>450</v>
      </c>
      <c r="J59" s="18">
        <f>'Ассортимент'!R10</f>
        <v>450</v>
      </c>
      <c r="K59" s="18">
        <f>'Ассортимент'!R10</f>
        <v>450</v>
      </c>
      <c r="L59" s="18">
        <f>'Ассортимент'!R10</f>
        <v>450</v>
      </c>
      <c r="M59" s="18">
        <f>'Ассортимент'!R10</f>
        <v>450</v>
      </c>
      <c r="N59" s="18">
        <f>'Ассортимент'!R10</f>
        <v>450</v>
      </c>
      <c r="O59" s="13">
        <f>IF(COUNT(AG59:AP59)&gt;0,MIN(AG59:AP59),"")</f>
        <v>450</v>
      </c>
      <c r="P59" s="13">
        <f>IF(COUNT(AG59:AP59)&gt;0,MAX(AG59:AP59),"")</f>
        <v>450</v>
      </c>
      <c r="Q59" s="13">
        <f>IF(ISNUMBER(O59),P59-O59,"")</f>
        <v>0</v>
      </c>
      <c r="R59" s="13">
        <f>IF(ISNUMBER(O59),IF(C59="Ручная",IF($S$66&gt;0,$R$66*Q59/$S$66,IF($W$66=6,$R$66,0)),0),"")</f>
        <v>0</v>
      </c>
      <c r="S59" s="13">
        <f>IF(ISNUMBER(O59),O59+R59,"")</f>
        <v>450</v>
      </c>
      <c r="T59" s="13">
        <f>IF(ISNUMBER(S59),P59-S59,"")</f>
        <v>0</v>
      </c>
      <c r="U59" s="13">
        <f>IF(COUNT(AG59:AP59)&gt;0,AVERAGE(AG59:AP59),"")</f>
        <v>450</v>
      </c>
      <c r="AG59" s="13">
        <f>IF(ISNUMBER(E$66),E59,"")</f>
        <v>450</v>
      </c>
      <c r="AH59" s="13">
        <f>IF(ISNUMBER(F$66),F59,"")</f>
        <v>450</v>
      </c>
      <c r="AI59" s="13">
        <f>IF(ISNUMBER(G$66),G59,"")</f>
        <v>450</v>
      </c>
      <c r="AJ59" s="13">
        <f>IF(ISNUMBER(H$66),H59,"")</f>
        <v>450</v>
      </c>
      <c r="AK59" s="13">
        <f>IF(ISNUMBER(I$66),I59,"")</f>
        <v>450</v>
      </c>
      <c r="AL59" s="13">
        <f>IF(ISNUMBER(J$66),J59,"")</f>
        <v>450</v>
      </c>
      <c r="AM59" s="13">
        <f>IF(ISNUMBER(K$66),K59,"")</f>
        <v>450</v>
      </c>
      <c r="AN59" s="13">
        <f>IF(ISNUMBER(L$66),L59,"")</f>
        <v>450</v>
      </c>
      <c r="AO59" s="13">
        <f>IF(ISNUMBER(M$66),M59,"")</f>
        <v>450</v>
      </c>
      <c r="AP59" s="13">
        <f>IF(ISNUMBER(N$66),N59,"")</f>
        <v>450</v>
      </c>
      <c r="AQ59" s="13">
        <f>IF(C59="Ручная",O59,0)</f>
        <v>0</v>
      </c>
    </row>
    <row r="60" spans="1:43" ht="40" customHeight="1">
      <c r="A60" s="5">
        <v>7</v>
      </c>
      <c r="B60" s="5" t="s">
        <v>198</v>
      </c>
      <c r="C60" s="11" t="s">
        <v>183</v>
      </c>
      <c r="D60" s="7" t="s">
        <v>199</v>
      </c>
      <c r="E60" s="12">
        <v>27</v>
      </c>
      <c r="F60" s="12">
        <v>28.08</v>
      </c>
      <c r="G60" s="12">
        <v>29.16</v>
      </c>
      <c r="H60" s="12">
        <v>27.54</v>
      </c>
      <c r="I60" s="12">
        <v>28.62</v>
      </c>
      <c r="J60" s="12">
        <v>29.7</v>
      </c>
      <c r="K60" s="12">
        <v>27.81</v>
      </c>
      <c r="L60" s="12">
        <v>28.89</v>
      </c>
      <c r="M60" s="12">
        <v>27.27</v>
      </c>
      <c r="N60" s="12">
        <v>28.35</v>
      </c>
      <c r="O60" s="13">
        <f>IF(COUNT(AG60:AP60)&gt;0,MIN(AG60:AP60),"")</f>
        <v>27</v>
      </c>
      <c r="P60" s="13">
        <f>IF(COUNT(AG60:AP60)&gt;0,MAX(AG60:AP60),"")</f>
        <v>29.7</v>
      </c>
      <c r="Q60" s="13">
        <f>IF(ISNUMBER(O60),P60-O60,"")</f>
        <v>2.7</v>
      </c>
      <c r="R60" s="13">
        <f>IF(ISNUMBER(O60),IF(C60="Ручная",IF($S$66&gt;0,$R$66*Q60/$S$66,IF($W$66=7,$R$66,0)),0),"")</f>
        <v>0.811352253756266</v>
      </c>
      <c r="S60" s="13">
        <f>IF(ISNUMBER(O60),O60+R60,"")</f>
        <v>27.8113522537563</v>
      </c>
      <c r="T60" s="13">
        <f>IF(ISNUMBER(S60),P60-S60,"")</f>
        <v>1.88864774624373</v>
      </c>
      <c r="U60" s="13">
        <f>IF(COUNT(AG60:AP60)&gt;0,AVERAGE(AG60:AP60),"")</f>
        <v>28.242</v>
      </c>
      <c r="AG60" s="13">
        <f>IF(ISNUMBER(E$66),E60,"")</f>
        <v>27</v>
      </c>
      <c r="AH60" s="13">
        <f>IF(ISNUMBER(F$66),F60,"")</f>
        <v>28.08</v>
      </c>
      <c r="AI60" s="13">
        <f>IF(ISNUMBER(G$66),G60,"")</f>
        <v>29.16</v>
      </c>
      <c r="AJ60" s="13">
        <f>IF(ISNUMBER(H$66),H60,"")</f>
        <v>27.54</v>
      </c>
      <c r="AK60" s="13">
        <f>IF(ISNUMBER(I$66),I60,"")</f>
        <v>28.62</v>
      </c>
      <c r="AL60" s="13">
        <f>IF(ISNUMBER(J$66),J60,"")</f>
        <v>29.7</v>
      </c>
      <c r="AM60" s="13">
        <f>IF(ISNUMBER(K$66),K60,"")</f>
        <v>27.81</v>
      </c>
      <c r="AN60" s="13">
        <f>IF(ISNUMBER(L$66),L60,"")</f>
        <v>28.89</v>
      </c>
      <c r="AO60" s="13">
        <f>IF(ISNUMBER(M$66),M60,"")</f>
        <v>27.27</v>
      </c>
      <c r="AP60" s="13">
        <f>IF(ISNUMBER(N$66),N60,"")</f>
        <v>28.35</v>
      </c>
      <c r="AQ60" s="13">
        <f>IF(C60="Ручная",O60,0)</f>
        <v>27</v>
      </c>
    </row>
    <row r="61" spans="1:43" ht="40" customHeight="1">
      <c r="A61" s="5">
        <v>8</v>
      </c>
      <c r="B61" s="5" t="s">
        <v>200</v>
      </c>
      <c r="C61" s="11" t="s">
        <v>183</v>
      </c>
      <c r="D61" s="7" t="s">
        <v>201</v>
      </c>
      <c r="E61" s="12">
        <v>18.36</v>
      </c>
      <c r="F61" s="12">
        <v>19.08</v>
      </c>
      <c r="G61" s="12">
        <v>19.8</v>
      </c>
      <c r="H61" s="12">
        <v>18.54</v>
      </c>
      <c r="I61" s="12">
        <v>19.26</v>
      </c>
      <c r="J61" s="12">
        <v>18.18</v>
      </c>
      <c r="K61" s="12">
        <v>18.9</v>
      </c>
      <c r="L61" s="12">
        <v>18</v>
      </c>
      <c r="M61" s="12">
        <v>18.72</v>
      </c>
      <c r="N61" s="12">
        <v>19.44</v>
      </c>
      <c r="O61" s="13">
        <f>IF(COUNT(AG61:AP61)&gt;0,MIN(AG61:AP61),"")</f>
        <v>18</v>
      </c>
      <c r="P61" s="13">
        <f>IF(COUNT(AG61:AP61)&gt;0,MAX(AG61:AP61),"")</f>
        <v>19.8</v>
      </c>
      <c r="Q61" s="13">
        <f>IF(ISNUMBER(O61),P61-O61,"")</f>
        <v>1.8</v>
      </c>
      <c r="R61" s="13">
        <f>IF(ISNUMBER(O61),IF(C61="Ручная",IF($S$66&gt;0,$R$66*Q61/$S$66,IF($W$66=8,$R$66,0)),0),"")</f>
        <v>0.540901502504177</v>
      </c>
      <c r="S61" s="13">
        <f>IF(ISNUMBER(O61),O61+R61,"")</f>
        <v>18.5409015025042</v>
      </c>
      <c r="T61" s="13">
        <f>IF(ISNUMBER(S61),P61-S61,"")</f>
        <v>1.25909849749582</v>
      </c>
      <c r="U61" s="13">
        <f>IF(COUNT(AG61:AP61)&gt;0,AVERAGE(AG61:AP61),"")</f>
        <v>18.828</v>
      </c>
      <c r="AG61" s="13">
        <f>IF(ISNUMBER(E$66),E61,"")</f>
        <v>18.36</v>
      </c>
      <c r="AH61" s="13">
        <f>IF(ISNUMBER(F$66),F61,"")</f>
        <v>19.08</v>
      </c>
      <c r="AI61" s="13">
        <f>IF(ISNUMBER(G$66),G61,"")</f>
        <v>19.8</v>
      </c>
      <c r="AJ61" s="13">
        <f>IF(ISNUMBER(H$66),H61,"")</f>
        <v>18.54</v>
      </c>
      <c r="AK61" s="13">
        <f>IF(ISNUMBER(I$66),I61,"")</f>
        <v>19.26</v>
      </c>
      <c r="AL61" s="13">
        <f>IF(ISNUMBER(J$66),J61,"")</f>
        <v>18.18</v>
      </c>
      <c r="AM61" s="13">
        <f>IF(ISNUMBER(K$66),K61,"")</f>
        <v>18.9</v>
      </c>
      <c r="AN61" s="13">
        <f>IF(ISNUMBER(L$66),L61,"")</f>
        <v>18</v>
      </c>
      <c r="AO61" s="13">
        <f>IF(ISNUMBER(M$66),M61,"")</f>
        <v>18.72</v>
      </c>
      <c r="AP61" s="13">
        <f>IF(ISNUMBER(N$66),N61,"")</f>
        <v>19.44</v>
      </c>
      <c r="AQ61" s="13">
        <f>IF(C61="Ручная",O61,0)</f>
        <v>18</v>
      </c>
    </row>
    <row r="62" spans="1:43" ht="40" customHeight="1">
      <c r="A62" s="5" t="s">
        <v>189</v>
      </c>
      <c r="B62" s="5" t="s">
        <v>202</v>
      </c>
      <c r="C62" s="11" t="s">
        <v>191</v>
      </c>
      <c r="D62" s="7" t="s">
        <v>203</v>
      </c>
      <c r="E62" s="12">
        <v>5.15</v>
      </c>
      <c r="F62" s="12">
        <v>5.35</v>
      </c>
      <c r="G62" s="12">
        <v>5.05</v>
      </c>
      <c r="H62" s="12">
        <v>5.25</v>
      </c>
      <c r="I62" s="12">
        <v>5</v>
      </c>
      <c r="J62" s="12">
        <v>5.2</v>
      </c>
      <c r="K62" s="12">
        <v>5.4</v>
      </c>
      <c r="L62" s="12">
        <v>5.1</v>
      </c>
      <c r="M62" s="12">
        <v>5.3</v>
      </c>
      <c r="N62" s="12">
        <v>5.5</v>
      </c>
      <c r="O62" s="13">
        <f>IF(COUNT(AG62:AP62)&gt;0,MIN(AG62:AP62),"")</f>
        <v>5</v>
      </c>
      <c r="P62" s="13">
        <f>IF(COUNT(AG62:AP62)&gt;0,MAX(AG62:AP62),"")</f>
        <v>5.5</v>
      </c>
      <c r="Q62" s="13">
        <f>IF(ISNUMBER(O62),P62-O62,"")</f>
        <v>0.5</v>
      </c>
      <c r="R62" s="13">
        <f>IF(ISNUMBER(O62),IF(C62="Ручная",IF($S$66&gt;0,$R$66*Q62/$S$66,IF($W$66=9,$R$66,0)),0),"")</f>
        <v>0</v>
      </c>
      <c r="S62" s="13">
        <f>IF(ISNUMBER(O62),O62+R62,"")</f>
        <v>5</v>
      </c>
      <c r="T62" s="13">
        <f>IF(ISNUMBER(S62),P62-S62,"")</f>
        <v>0.5</v>
      </c>
      <c r="U62" s="13">
        <f>IF(COUNT(AG62:AP62)&gt;0,AVERAGE(AG62:AP62),"")</f>
        <v>5.23</v>
      </c>
      <c r="AG62" s="13">
        <f>IF(ISNUMBER(E$66),E62,"")</f>
        <v>5.15</v>
      </c>
      <c r="AH62" s="13">
        <f>IF(ISNUMBER(F$66),F62,"")</f>
        <v>5.35</v>
      </c>
      <c r="AI62" s="13">
        <f>IF(ISNUMBER(G$66),G62,"")</f>
        <v>5.05</v>
      </c>
      <c r="AJ62" s="13">
        <f>IF(ISNUMBER(H$66),H62,"")</f>
        <v>5.25</v>
      </c>
      <c r="AK62" s="13">
        <f>IF(ISNUMBER(I$66),I62,"")</f>
        <v>5</v>
      </c>
      <c r="AL62" s="13">
        <f>IF(ISNUMBER(J$66),J62,"")</f>
        <v>5.2</v>
      </c>
      <c r="AM62" s="13">
        <f>IF(ISNUMBER(K$66),K62,"")</f>
        <v>5.4</v>
      </c>
      <c r="AN62" s="13">
        <f>IF(ISNUMBER(L$66),L62,"")</f>
        <v>5.1</v>
      </c>
      <c r="AO62" s="13">
        <f>IF(ISNUMBER(M$66),M62,"")</f>
        <v>5.3</v>
      </c>
      <c r="AP62" s="13">
        <f>IF(ISNUMBER(N$66),N62,"")</f>
        <v>5.5</v>
      </c>
      <c r="AQ62" s="13">
        <f>IF(C62="Ручная",O62,0)</f>
        <v>0</v>
      </c>
    </row>
    <row r="63" spans="1:43" ht="40" customHeight="1">
      <c r="A63" s="5" t="s">
        <v>189</v>
      </c>
      <c r="B63" s="5" t="s">
        <v>204</v>
      </c>
      <c r="C63" s="11" t="s">
        <v>191</v>
      </c>
      <c r="D63" s="7" t="s">
        <v>205</v>
      </c>
      <c r="E63" s="12">
        <v>5.25</v>
      </c>
      <c r="F63" s="12">
        <v>5</v>
      </c>
      <c r="G63" s="12">
        <v>5.2</v>
      </c>
      <c r="H63" s="12">
        <v>5.4</v>
      </c>
      <c r="I63" s="12">
        <v>5.1</v>
      </c>
      <c r="J63" s="12">
        <v>5.3</v>
      </c>
      <c r="K63" s="12">
        <v>5.5</v>
      </c>
      <c r="L63" s="12">
        <v>5.15</v>
      </c>
      <c r="M63" s="12">
        <v>5.35</v>
      </c>
      <c r="N63" s="12">
        <v>5.05</v>
      </c>
      <c r="O63" s="13">
        <f>IF(COUNT(AG63:AP63)&gt;0,MIN(AG63:AP63),"")</f>
        <v>5</v>
      </c>
      <c r="P63" s="13">
        <f>IF(COUNT(AG63:AP63)&gt;0,MAX(AG63:AP63),"")</f>
        <v>5.5</v>
      </c>
      <c r="Q63" s="13">
        <f>IF(ISNUMBER(O63),P63-O63,"")</f>
        <v>0.5</v>
      </c>
      <c r="R63" s="13">
        <f>IF(ISNUMBER(O63),IF(C63="Ручная",IF($S$66&gt;0,$R$66*Q63/$S$66,IF($W$66=10,$R$66,0)),0),"")</f>
        <v>0</v>
      </c>
      <c r="S63" s="13">
        <f>IF(ISNUMBER(O63),O63+R63,"")</f>
        <v>5</v>
      </c>
      <c r="T63" s="13">
        <f>IF(ISNUMBER(S63),P63-S63,"")</f>
        <v>0.5</v>
      </c>
      <c r="U63" s="13">
        <f>IF(COUNT(AG63:AP63)&gt;0,AVERAGE(AG63:AP63),"")</f>
        <v>5.23</v>
      </c>
      <c r="AG63" s="13">
        <f>IF(ISNUMBER(E$66),E63,"")</f>
        <v>5.25</v>
      </c>
      <c r="AH63" s="13">
        <f>IF(ISNUMBER(F$66),F63,"")</f>
        <v>5</v>
      </c>
      <c r="AI63" s="13">
        <f>IF(ISNUMBER(G$66),G63,"")</f>
        <v>5.2</v>
      </c>
      <c r="AJ63" s="13">
        <f>IF(ISNUMBER(H$66),H63,"")</f>
        <v>5.4</v>
      </c>
      <c r="AK63" s="13">
        <f>IF(ISNUMBER(I$66),I63,"")</f>
        <v>5.1</v>
      </c>
      <c r="AL63" s="13">
        <f>IF(ISNUMBER(J$66),J63,"")</f>
        <v>5.3</v>
      </c>
      <c r="AM63" s="13">
        <f>IF(ISNUMBER(K$66),K63,"")</f>
        <v>5.5</v>
      </c>
      <c r="AN63" s="13">
        <f>IF(ISNUMBER(L$66),L63,"")</f>
        <v>5.15</v>
      </c>
      <c r="AO63" s="13">
        <f>IF(ISNUMBER(M$66),M63,"")</f>
        <v>5.35</v>
      </c>
      <c r="AP63" s="13">
        <f>IF(ISNUMBER(N$66),N63,"")</f>
        <v>5.05</v>
      </c>
      <c r="AQ63" s="13">
        <f>IF(C63="Ручная",O63,0)</f>
        <v>0</v>
      </c>
    </row>
    <row r="64" spans="1:43" ht="40" customHeight="1">
      <c r="A64" s="5" t="s">
        <v>189</v>
      </c>
      <c r="B64" s="5" t="s">
        <v>206</v>
      </c>
      <c r="C64" s="11" t="s">
        <v>207</v>
      </c>
      <c r="D64" s="7" t="s">
        <v>208</v>
      </c>
      <c r="E64" s="12">
        <v>0</v>
      </c>
      <c r="F64" s="12">
        <v>0</v>
      </c>
      <c r="G64" s="12">
        <v>0</v>
      </c>
      <c r="H64" s="12">
        <v>0</v>
      </c>
      <c r="I64" s="12">
        <v>0</v>
      </c>
      <c r="J64" s="12">
        <v>0</v>
      </c>
      <c r="K64" s="12">
        <v>0</v>
      </c>
      <c r="L64" s="12">
        <v>0</v>
      </c>
      <c r="M64" s="12">
        <v>0</v>
      </c>
      <c r="N64" s="12">
        <v>0</v>
      </c>
      <c r="O64" s="13">
        <f>IF(COUNT(AG64:AP64)&gt;0,MIN(AG64:AP64),"")</f>
        <v>0</v>
      </c>
      <c r="P64" s="13">
        <f>IF(COUNT(AG64:AP64)&gt;0,MAX(AG64:AP64),"")</f>
        <v>0</v>
      </c>
      <c r="Q64" s="13">
        <f>IF(ISNUMBER(O64),P64-O64,"")</f>
        <v>0</v>
      </c>
      <c r="R64" s="13">
        <f>IF(ISNUMBER(O64),IF(C64="Ручная",IF($S$66&gt;0,$R$66*Q64/$S$66,IF($W$66=11,$R$66,0)),0),"")</f>
        <v>0</v>
      </c>
      <c r="S64" s="13">
        <f>IF(ISNUMBER(O64),O64+R64,"")</f>
        <v>0</v>
      </c>
      <c r="T64" s="13">
        <f>IF(ISNUMBER(S64),P64-S64,"")</f>
        <v>0</v>
      </c>
      <c r="U64" s="13">
        <f>IF(COUNT(AG64:AP64)&gt;0,AVERAGE(AG64:AP64),"")</f>
        <v>0</v>
      </c>
      <c r="AG64" s="13">
        <f>IF(ISNUMBER(E$66),E64,"")</f>
        <v>0</v>
      </c>
      <c r="AH64" s="13">
        <f>IF(ISNUMBER(F$66),F64,"")</f>
        <v>0</v>
      </c>
      <c r="AI64" s="13">
        <f>IF(ISNUMBER(G$66),G64,"")</f>
        <v>0</v>
      </c>
      <c r="AJ64" s="13">
        <f>IF(ISNUMBER(H$66),H64,"")</f>
        <v>0</v>
      </c>
      <c r="AK64" s="13">
        <f>IF(ISNUMBER(I$66),I64,"")</f>
        <v>0</v>
      </c>
      <c r="AL64" s="13">
        <f>IF(ISNUMBER(J$66),J64,"")</f>
        <v>0</v>
      </c>
      <c r="AM64" s="13">
        <f>IF(ISNUMBER(K$66),K64,"")</f>
        <v>0</v>
      </c>
      <c r="AN64" s="13">
        <f>IF(ISNUMBER(L$66),L64,"")</f>
        <v>0</v>
      </c>
      <c r="AO64" s="13">
        <f>IF(ISNUMBER(M$66),M64,"")</f>
        <v>0</v>
      </c>
      <c r="AP64" s="13">
        <f>IF(ISNUMBER(N$66),N64,"")</f>
        <v>0</v>
      </c>
      <c r="AQ64" s="13">
        <f>IF(C64="Ручная",O64,0)</f>
        <v>0</v>
      </c>
    </row>
    <row r="65" spans="1:43" ht="23" customHeight="1">
      <c r="B65" s="4" t="s">
        <v>209</v>
      </c>
      <c r="E65" s="6">
        <f>IF(COUNT(E54:E64)=11,SUM(E54:E64),"")</f>
        <v>722.54</v>
      </c>
      <c r="F65" s="6">
        <f>IF(COUNT(F54:F64)=11,SUM(F54:F64),"")</f>
        <v>716.61</v>
      </c>
      <c r="G65" s="6">
        <f>IF(COUNT(G54:G64)=11,SUM(G54:G64),"")</f>
        <v>720.67</v>
      </c>
      <c r="H65" s="6">
        <f>IF(COUNT(H54:H64)=11,SUM(H54:H64),"")</f>
        <v>714.21</v>
      </c>
      <c r="I65" s="6">
        <f>IF(COUNT(I54:I64)=11,SUM(I54:I64),"")</f>
        <v>717.76</v>
      </c>
      <c r="J65" s="6">
        <f>IF(COUNT(J54:J64)=11,SUM(J54:J64),"")</f>
        <v>712.75</v>
      </c>
      <c r="K65" s="6">
        <f>IF(COUNT(K54:K64)=11,SUM(K54:K64),"")</f>
        <v>714.82</v>
      </c>
      <c r="L65" s="6">
        <f>IF(COUNT(L54:L64)=11,SUM(L54:L64),"")</f>
        <v>721.77</v>
      </c>
      <c r="M65" s="6">
        <f>IF(COUNT(M54:M64)=11,SUM(M54:M64),"")</f>
        <v>712.86</v>
      </c>
      <c r="N65" s="6">
        <f>IF(COUNT(N54:N64)=11,SUM(N54:N64),"")</f>
        <v>719.07</v>
      </c>
      <c r="O65" s="6">
        <f>IF(COUNT(O54:O64)=11,SUM(O54:O64),"")</f>
        <v>705.55</v>
      </c>
      <c r="P65" s="6">
        <f>IF(COUNT(P54:P64)=11,SUM(P54:P64),"")</f>
        <v>731.11</v>
      </c>
      <c r="Q65" s="6">
        <f>IF(COUNT(Q54:Q64)=11,SUM(Q54:Q64),"")</f>
        <v>25.56</v>
      </c>
      <c r="R65" s="6">
        <f>IF(COUNT(R54:R64)=11,SUM(R54:R64),"")</f>
        <v>7.20000000000005</v>
      </c>
      <c r="S65" s="6">
        <f>IF(COUNT(S54:S64)=11,SUM(S54:S64),"")</f>
        <v>712.75</v>
      </c>
      <c r="T65" s="6">
        <f>IF(COUNT(T54:T64)=11,SUM(T54:T64),"")</f>
        <v>18.36</v>
      </c>
      <c r="U65" s="6">
        <f>IF(COUNT(U54:U64)=11,SUM(U54:U64),"")</f>
        <v>717.306</v>
      </c>
    </row>
    <row r="66" spans="1:43" ht="23" customHeight="1">
      <c r="B66" s="4" t="s">
        <v>210</v>
      </c>
      <c r="E66" s="6">
        <f>IF(AND(E52=1,COUNT(E54:E64)=11,MIN(E54:E64)&gt;=0),E65,"")</f>
        <v>722.54</v>
      </c>
      <c r="F66" s="6">
        <f>IF(AND(F52=1,COUNT(F54:F64)=11,MIN(F54:F64)&gt;=0),F65,"")</f>
        <v>716.61</v>
      </c>
      <c r="G66" s="6">
        <f>IF(AND(G52=1,COUNT(G54:G64)=11,MIN(G54:G64)&gt;=0),G65,"")</f>
        <v>720.67</v>
      </c>
      <c r="H66" s="6">
        <f>IF(AND(H52=1,COUNT(H54:H64)=11,MIN(H54:H64)&gt;=0),H65,"")</f>
        <v>714.21</v>
      </c>
      <c r="I66" s="6">
        <f>IF(AND(I52=1,COUNT(I54:I64)=11,MIN(I54:I64)&gt;=0),I65,"")</f>
        <v>717.76</v>
      </c>
      <c r="J66" s="6">
        <f>IF(AND(J52=1,COUNT(J54:J64)=11,MIN(J54:J64)&gt;=0),J65,"")</f>
        <v>712.75</v>
      </c>
      <c r="K66" s="6">
        <f>IF(AND(K52=1,COUNT(K54:K64)=11,MIN(K54:K64)&gt;=0),K65,"")</f>
        <v>714.82</v>
      </c>
      <c r="L66" s="6">
        <f>IF(AND(L52=1,COUNT(L54:L64)=11,MIN(L54:L64)&gt;=0),L65,"")</f>
        <v>721.77</v>
      </c>
      <c r="M66" s="6">
        <f>IF(AND(M52=1,COUNT(M54:M64)=11,MIN(M54:M64)&gt;=0),M65,"")</f>
        <v>712.86</v>
      </c>
      <c r="N66" s="6">
        <f>IF(AND(N52=1,COUNT(N54:N64)=11,MIN(N54:N64)&gt;=0),N65,"")</f>
        <v>719.07</v>
      </c>
      <c r="O66" s="6">
        <f>IF(COUNT(E66:N66)&gt;0,MIN(E66:N66),"")</f>
        <v>712.75</v>
      </c>
      <c r="P66" s="6">
        <f>IF(COUNT(E66:N66)&gt;0,MAX(E66:N66),"")</f>
        <v>722.54</v>
      </c>
      <c r="Q66" s="6">
        <f>IF(ISNUMBER(O66),P66-O66,"")</f>
        <v>9.78999999999996</v>
      </c>
      <c r="R66" s="6">
        <f>IF(ISNUMBER(O66),MAX(0,O66-O65),"")</f>
        <v>7.20000000000005</v>
      </c>
      <c r="S66" s="6">
        <f>SUMIF(C54:C64,"Ручная",Q54:Q64)</f>
        <v>23.96</v>
      </c>
      <c r="T66" s="6">
        <f>COUNT(E66:N66)</f>
        <v>10</v>
      </c>
      <c r="U66" s="6">
        <f>IF(COUNT(E66:N66)&gt;0,AVERAGE(E66:N66),"")</f>
        <v>717.306</v>
      </c>
      <c r="V66" s="6">
        <f>IF(ISNUMBER(O66),S65-O66,"")</f>
        <v>0</v>
      </c>
      <c r="W66" s="6">
        <f>MATCH(MAX(AQ54:AQ64),AQ54:AQ64,0)</f>
        <v>2</v>
      </c>
      <c r="X66" s="17" t="str">
        <f>IF(T66=0,"НЕТ ЗАМЕРОВ",IF(T66&lt;10,"МЕНЕЕ 10 ЦИКЛОВ",IF(ABS(V66)&lt;0.000001,"ОК","ОШИБКА РЕГУЛИРОВКИ")))</f>
        <v>ОК</v>
      </c>
    </row>
    <row r="67" spans="1:43" ht="23" customHeight="1">
      <c r="A67" s="7" t="s">
        <v>211</v>
      </c>
      <c r="B67" s="7"/>
      <c r="C67" s="7"/>
      <c r="D67" s="7"/>
      <c r="E67" s="7"/>
      <c r="F67" s="7"/>
      <c r="G67" s="7"/>
      <c r="H67" s="7"/>
      <c r="I67" s="7"/>
      <c r="J67" s="7"/>
      <c r="K67" s="7"/>
      <c r="L67" s="7"/>
      <c r="M67" s="7"/>
      <c r="N67" s="7"/>
      <c r="O67" s="7"/>
      <c r="P67" s="7"/>
      <c r="Q67" s="7"/>
      <c r="R67" s="7"/>
      <c r="S67" s="7"/>
      <c r="T67" s="7"/>
      <c r="U67" s="7"/>
      <c r="V67" s="7"/>
      <c r="W67" s="7"/>
      <c r="X67" s="7"/>
    </row>
    <row r="70" spans="1:43" ht="23" customHeight="1">
      <c r="A70" s="4" t="s">
        <v>233</v>
      </c>
      <c r="B70" s="4"/>
      <c r="C70" s="4"/>
      <c r="D70" s="4"/>
      <c r="E70" s="4"/>
      <c r="F70" s="4"/>
      <c r="G70" s="4"/>
      <c r="H70" s="4"/>
      <c r="I70" s="4"/>
      <c r="J70" s="4"/>
      <c r="K70" s="4"/>
      <c r="L70" s="4"/>
      <c r="M70" s="4"/>
      <c r="N70" s="4"/>
      <c r="O70" s="4"/>
      <c r="P70" s="4"/>
      <c r="Q70" s="4"/>
      <c r="R70" s="4"/>
      <c r="S70" s="4"/>
      <c r="T70" s="4"/>
      <c r="U70" s="4"/>
      <c r="V70" s="4"/>
      <c r="W70" s="4"/>
      <c r="X70" s="4"/>
    </row>
    <row r="71" spans="1:43" ht="23" customHeight="1">
      <c r="A71" s="7" t="str">
        <f>"Масса замера, кг: "&amp;'Ассортимент'!J11&amp;". Все замеры одной партии/исполнителя/условий. Основание: "&amp;'Ввод'!B15</f>
        <v>Масса замера, кг: 5. Все замеры одной партии/исполнителя/условий. Основание: ДЕМО: прогноз; улучшения не внедрены</v>
      </c>
      <c r="B71" s="7"/>
      <c r="C71" s="7"/>
      <c r="D71" s="7"/>
      <c r="E71" s="7"/>
      <c r="F71" s="7"/>
      <c r="G71" s="7"/>
      <c r="H71" s="7"/>
      <c r="I71" s="7"/>
      <c r="J71" s="7"/>
      <c r="K71" s="7"/>
      <c r="L71" s="7"/>
      <c r="M71" s="7"/>
      <c r="N71" s="7"/>
      <c r="O71" s="7"/>
      <c r="P71" s="7"/>
      <c r="Q71" s="7"/>
      <c r="R71" s="7"/>
      <c r="S71" s="7"/>
      <c r="T71" s="7"/>
      <c r="U71" s="7"/>
      <c r="V71" s="7"/>
      <c r="W71" s="7"/>
      <c r="X71" s="7"/>
    </row>
    <row r="72" spans="1:43" ht="44" customHeight="1">
      <c r="A72" s="8" t="s">
        <v>113</v>
      </c>
      <c r="B72" s="8" t="s">
        <v>156</v>
      </c>
      <c r="C72" s="8" t="s">
        <v>157</v>
      </c>
      <c r="D72" s="8" t="s">
        <v>158</v>
      </c>
      <c r="E72" s="8" t="s">
        <v>159</v>
      </c>
      <c r="F72" s="8" t="s">
        <v>160</v>
      </c>
      <c r="G72" s="8" t="s">
        <v>161</v>
      </c>
      <c r="H72" s="8" t="s">
        <v>162</v>
      </c>
      <c r="I72" s="8" t="s">
        <v>163</v>
      </c>
      <c r="J72" s="8" t="s">
        <v>164</v>
      </c>
      <c r="K72" s="8" t="s">
        <v>165</v>
      </c>
      <c r="L72" s="8" t="s">
        <v>166</v>
      </c>
      <c r="M72" s="8" t="s">
        <v>167</v>
      </c>
      <c r="N72" s="8" t="s">
        <v>168</v>
      </c>
      <c r="O72" s="8" t="s">
        <v>169</v>
      </c>
      <c r="P72" s="8" t="s">
        <v>170</v>
      </c>
      <c r="Q72" s="8" t="s">
        <v>171</v>
      </c>
      <c r="R72" s="8" t="s">
        <v>172</v>
      </c>
      <c r="S72" s="8" t="s">
        <v>173</v>
      </c>
      <c r="T72" s="8" t="s">
        <v>174</v>
      </c>
      <c r="U72" s="8" t="s">
        <v>175</v>
      </c>
      <c r="V72" s="8" t="s">
        <v>176</v>
      </c>
      <c r="W72" s="8" t="s">
        <v>177</v>
      </c>
      <c r="X72" s="8" t="s">
        <v>178</v>
      </c>
    </row>
    <row r="73" spans="1:43" ht="23" customHeight="1">
      <c r="B73" s="5" t="s">
        <v>179</v>
      </c>
      <c r="E73" s="12">
        <v>1</v>
      </c>
      <c r="F73" s="12">
        <v>1</v>
      </c>
      <c r="G73" s="12">
        <v>1</v>
      </c>
      <c r="H73" s="12">
        <v>1</v>
      </c>
      <c r="I73" s="12">
        <v>1</v>
      </c>
      <c r="J73" s="12">
        <v>1</v>
      </c>
      <c r="K73" s="12">
        <v>1</v>
      </c>
      <c r="L73" s="12">
        <v>1</v>
      </c>
      <c r="M73" s="12">
        <v>1</v>
      </c>
      <c r="N73" s="12">
        <v>1</v>
      </c>
    </row>
    <row r="74" spans="1:43" ht="33" customHeight="1">
      <c r="B74" s="5" t="s">
        <v>180</v>
      </c>
      <c r="E74" s="9" t="s">
        <v>181</v>
      </c>
      <c r="F74" s="9" t="s">
        <v>181</v>
      </c>
      <c r="G74" s="9" t="s">
        <v>181</v>
      </c>
      <c r="H74" s="9" t="s">
        <v>181</v>
      </c>
      <c r="I74" s="9" t="s">
        <v>181</v>
      </c>
      <c r="J74" s="9" t="s">
        <v>181</v>
      </c>
      <c r="K74" s="9" t="s">
        <v>181</v>
      </c>
      <c r="L74" s="9" t="s">
        <v>181</v>
      </c>
      <c r="M74" s="9" t="s">
        <v>181</v>
      </c>
      <c r="N74" s="9" t="s">
        <v>181</v>
      </c>
    </row>
    <row r="75" spans="1:43" ht="40" customHeight="1">
      <c r="A75" s="5">
        <v>1</v>
      </c>
      <c r="B75" s="5" t="s">
        <v>182</v>
      </c>
      <c r="C75" s="11" t="s">
        <v>183</v>
      </c>
      <c r="D75" s="7" t="s">
        <v>184</v>
      </c>
      <c r="E75" s="12">
        <v>25.5</v>
      </c>
      <c r="F75" s="12">
        <v>26.5</v>
      </c>
      <c r="G75" s="12">
        <v>27.5</v>
      </c>
      <c r="H75" s="12">
        <v>25.75</v>
      </c>
      <c r="I75" s="12">
        <v>26.75</v>
      </c>
      <c r="J75" s="12">
        <v>25.25</v>
      </c>
      <c r="K75" s="12">
        <v>26.25</v>
      </c>
      <c r="L75" s="12">
        <v>25</v>
      </c>
      <c r="M75" s="12">
        <v>26</v>
      </c>
      <c r="N75" s="12">
        <v>27</v>
      </c>
      <c r="O75" s="13">
        <f>IF(COUNT(AG75:AP75)&gt;0,MIN(AG75:AP75),"")</f>
        <v>25</v>
      </c>
      <c r="P75" s="13">
        <f>IF(COUNT(AG75:AP75)&gt;0,MAX(AG75:AP75),"")</f>
        <v>27.5</v>
      </c>
      <c r="Q75" s="13">
        <f>IF(ISNUMBER(O75),P75-O75,"")</f>
        <v>2.5</v>
      </c>
      <c r="R75" s="13">
        <f>IF(ISNUMBER(O75),IF(C75="Ручная",IF($S$87&gt;0,$R$87*Q75/$S$87,IF($W$87=1,$R$87,0)),0),"")</f>
        <v>0.907179818887454</v>
      </c>
      <c r="S75" s="13">
        <f>IF(ISNUMBER(O75),O75+R75,"")</f>
        <v>25.9071798188875</v>
      </c>
      <c r="T75" s="13">
        <f>IF(ISNUMBER(S75),P75-S75,"")</f>
        <v>1.59282018111255</v>
      </c>
      <c r="U75" s="13">
        <f>IF(COUNT(AG75:AP75)&gt;0,AVERAGE(AG75:AP75),"")</f>
        <v>26.15</v>
      </c>
      <c r="AG75" s="13">
        <f>IF(ISNUMBER(E$87),E75,"")</f>
        <v>25.5</v>
      </c>
      <c r="AH75" s="13">
        <f>IF(ISNUMBER(F$87),F75,"")</f>
        <v>26.5</v>
      </c>
      <c r="AI75" s="13">
        <f>IF(ISNUMBER(G$87),G75,"")</f>
        <v>27.5</v>
      </c>
      <c r="AJ75" s="13">
        <f>IF(ISNUMBER(H$87),H75,"")</f>
        <v>25.75</v>
      </c>
      <c r="AK75" s="13">
        <f>IF(ISNUMBER(I$87),I75,"")</f>
        <v>26.75</v>
      </c>
      <c r="AL75" s="13">
        <f>IF(ISNUMBER(J$87),J75,"")</f>
        <v>25.25</v>
      </c>
      <c r="AM75" s="13">
        <f>IF(ISNUMBER(K$87),K75,"")</f>
        <v>26.25</v>
      </c>
      <c r="AN75" s="13">
        <f>IF(ISNUMBER(L$87),L75,"")</f>
        <v>25</v>
      </c>
      <c r="AO75" s="13">
        <f>IF(ISNUMBER(M$87),M75,"")</f>
        <v>26</v>
      </c>
      <c r="AP75" s="13">
        <f>IF(ISNUMBER(N$87),N75,"")</f>
        <v>27</v>
      </c>
      <c r="AQ75" s="13">
        <f>IF(C75="Ручная",O75,0)</f>
        <v>25</v>
      </c>
    </row>
    <row r="76" spans="1:43" ht="40" customHeight="1">
      <c r="A76" s="5">
        <v>2</v>
      </c>
      <c r="B76" s="5" t="s">
        <v>185</v>
      </c>
      <c r="C76" s="11" t="s">
        <v>183</v>
      </c>
      <c r="D76" s="7" t="s">
        <v>186</v>
      </c>
      <c r="E76" s="12">
        <v>36.05</v>
      </c>
      <c r="F76" s="12">
        <v>37.45</v>
      </c>
      <c r="G76" s="12">
        <v>35.35</v>
      </c>
      <c r="H76" s="12">
        <v>36.75</v>
      </c>
      <c r="I76" s="12">
        <v>35</v>
      </c>
      <c r="J76" s="12">
        <v>36.4</v>
      </c>
      <c r="K76" s="12">
        <v>37.8</v>
      </c>
      <c r="L76" s="12">
        <v>35.7</v>
      </c>
      <c r="M76" s="12">
        <v>37.1</v>
      </c>
      <c r="N76" s="12">
        <v>38.5</v>
      </c>
      <c r="O76" s="13">
        <f>IF(COUNT(AG76:AP76)&gt;0,MIN(AG76:AP76),"")</f>
        <v>35</v>
      </c>
      <c r="P76" s="13">
        <f>IF(COUNT(AG76:AP76)&gt;0,MAX(AG76:AP76),"")</f>
        <v>38.5</v>
      </c>
      <c r="Q76" s="13">
        <f>IF(ISNUMBER(O76),P76-O76,"")</f>
        <v>3.5</v>
      </c>
      <c r="R76" s="13">
        <f>IF(ISNUMBER(O76),IF(C76="Ручная",IF($S$87&gt;0,$R$87*Q76/$S$87,IF($W$87=2,$R$87,0)),0),"")</f>
        <v>1.27005174644244</v>
      </c>
      <c r="S76" s="13">
        <f>IF(ISNUMBER(O76),O76+R76,"")</f>
        <v>36.2700517464424</v>
      </c>
      <c r="T76" s="13">
        <f>IF(ISNUMBER(S76),P76-S76,"")</f>
        <v>2.22994825355757</v>
      </c>
      <c r="U76" s="13">
        <f>IF(COUNT(AG76:AP76)&gt;0,AVERAGE(AG76:AP76),"")</f>
        <v>36.61</v>
      </c>
      <c r="AG76" s="13">
        <f>IF(ISNUMBER(E$87),E76,"")</f>
        <v>36.05</v>
      </c>
      <c r="AH76" s="13">
        <f>IF(ISNUMBER(F$87),F76,"")</f>
        <v>37.45</v>
      </c>
      <c r="AI76" s="13">
        <f>IF(ISNUMBER(G$87),G76,"")</f>
        <v>35.35</v>
      </c>
      <c r="AJ76" s="13">
        <f>IF(ISNUMBER(H$87),H76,"")</f>
        <v>36.75</v>
      </c>
      <c r="AK76" s="13">
        <f>IF(ISNUMBER(I$87),I76,"")</f>
        <v>35</v>
      </c>
      <c r="AL76" s="13">
        <f>IF(ISNUMBER(J$87),J76,"")</f>
        <v>36.4</v>
      </c>
      <c r="AM76" s="13">
        <f>IF(ISNUMBER(K$87),K76,"")</f>
        <v>37.8</v>
      </c>
      <c r="AN76" s="13">
        <f>IF(ISNUMBER(L$87),L76,"")</f>
        <v>35.7</v>
      </c>
      <c r="AO76" s="13">
        <f>IF(ISNUMBER(M$87),M76,"")</f>
        <v>37.1</v>
      </c>
      <c r="AP76" s="13">
        <f>IF(ISNUMBER(N$87),N76,"")</f>
        <v>38.5</v>
      </c>
      <c r="AQ76" s="13">
        <f>IF(C76="Ручная",O76,0)</f>
        <v>35</v>
      </c>
    </row>
    <row r="77" spans="1:43" ht="40" customHeight="1">
      <c r="A77" s="5">
        <v>3</v>
      </c>
      <c r="B77" s="5" t="s">
        <v>187</v>
      </c>
      <c r="C77" s="11" t="s">
        <v>183</v>
      </c>
      <c r="D77" s="7" t="s">
        <v>188</v>
      </c>
      <c r="E77" s="12">
        <v>20.79</v>
      </c>
      <c r="F77" s="12">
        <v>19.8</v>
      </c>
      <c r="G77" s="12">
        <v>20.59</v>
      </c>
      <c r="H77" s="12">
        <v>21.38</v>
      </c>
      <c r="I77" s="12">
        <v>20.2</v>
      </c>
      <c r="J77" s="12">
        <v>20.99</v>
      </c>
      <c r="K77" s="12">
        <v>21.78</v>
      </c>
      <c r="L77" s="12">
        <v>20.39</v>
      </c>
      <c r="M77" s="12">
        <v>21.19</v>
      </c>
      <c r="N77" s="12">
        <v>20</v>
      </c>
      <c r="O77" s="13">
        <f>IF(COUNT(AG77:AP77)&gt;0,MIN(AG77:AP77),"")</f>
        <v>19.8</v>
      </c>
      <c r="P77" s="13">
        <f>IF(COUNT(AG77:AP77)&gt;0,MAX(AG77:AP77),"")</f>
        <v>21.78</v>
      </c>
      <c r="Q77" s="13">
        <f>IF(ISNUMBER(O77),P77-O77,"")</f>
        <v>1.98</v>
      </c>
      <c r="R77" s="13">
        <f>IF(ISNUMBER(O77),IF(C77="Ручная",IF($S$87&gt;0,$R$87*Q77/$S$87,IF($W$87=3,$R$87,0)),0),"")</f>
        <v>0.718486416558864</v>
      </c>
      <c r="S77" s="13">
        <f>IF(ISNUMBER(O77),O77+R77,"")</f>
        <v>20.5184864165589</v>
      </c>
      <c r="T77" s="13">
        <f>IF(ISNUMBER(S77),P77-S77,"")</f>
        <v>1.26151358344114</v>
      </c>
      <c r="U77" s="13">
        <f>IF(COUNT(AG77:AP77)&gt;0,AVERAGE(AG77:AP77),"")</f>
        <v>20.711</v>
      </c>
      <c r="AG77" s="13">
        <f>IF(ISNUMBER(E$87),E77,"")</f>
        <v>20.79</v>
      </c>
      <c r="AH77" s="13">
        <f>IF(ISNUMBER(F$87),F77,"")</f>
        <v>19.8</v>
      </c>
      <c r="AI77" s="13">
        <f>IF(ISNUMBER(G$87),G77,"")</f>
        <v>20.59</v>
      </c>
      <c r="AJ77" s="13">
        <f>IF(ISNUMBER(H$87),H77,"")</f>
        <v>21.38</v>
      </c>
      <c r="AK77" s="13">
        <f>IF(ISNUMBER(I$87),I77,"")</f>
        <v>20.2</v>
      </c>
      <c r="AL77" s="13">
        <f>IF(ISNUMBER(J$87),J77,"")</f>
        <v>20.99</v>
      </c>
      <c r="AM77" s="13">
        <f>IF(ISNUMBER(K$87),K77,"")</f>
        <v>21.78</v>
      </c>
      <c r="AN77" s="13">
        <f>IF(ISNUMBER(L$87),L77,"")</f>
        <v>20.39</v>
      </c>
      <c r="AO77" s="13">
        <f>IF(ISNUMBER(M$87),M77,"")</f>
        <v>21.19</v>
      </c>
      <c r="AP77" s="13">
        <f>IF(ISNUMBER(N$87),N77,"")</f>
        <v>20</v>
      </c>
      <c r="AQ77" s="13">
        <f>IF(C77="Ручная",O77,0)</f>
        <v>19.8</v>
      </c>
    </row>
    <row r="78" spans="1:43" ht="40" customHeight="1">
      <c r="A78" s="5" t="s">
        <v>189</v>
      </c>
      <c r="B78" s="5" t="s">
        <v>190</v>
      </c>
      <c r="C78" s="11" t="s">
        <v>191</v>
      </c>
      <c r="D78" s="7" t="s">
        <v>192</v>
      </c>
      <c r="E78" s="12">
        <v>6.48</v>
      </c>
      <c r="F78" s="12">
        <v>6.12</v>
      </c>
      <c r="G78" s="12">
        <v>6.36</v>
      </c>
      <c r="H78" s="12">
        <v>6.6</v>
      </c>
      <c r="I78" s="12">
        <v>6.18</v>
      </c>
      <c r="J78" s="12">
        <v>6.42</v>
      </c>
      <c r="K78" s="12">
        <v>6.06</v>
      </c>
      <c r="L78" s="12">
        <v>6.3</v>
      </c>
      <c r="M78" s="12">
        <v>6</v>
      </c>
      <c r="N78" s="12">
        <v>6.24</v>
      </c>
      <c r="O78" s="13">
        <f>IF(COUNT(AG78:AP78)&gt;0,MIN(AG78:AP78),"")</f>
        <v>6</v>
      </c>
      <c r="P78" s="13">
        <f>IF(COUNT(AG78:AP78)&gt;0,MAX(AG78:AP78),"")</f>
        <v>6.6</v>
      </c>
      <c r="Q78" s="13">
        <f>IF(ISNUMBER(O78),P78-O78,"")</f>
        <v>0.6</v>
      </c>
      <c r="R78" s="13">
        <f>IF(ISNUMBER(O78),IF(C78="Ручная",IF($S$87&gt;0,$R$87*Q78/$S$87,IF($W$87=4,$R$87,0)),0),"")</f>
        <v>0</v>
      </c>
      <c r="S78" s="13">
        <f>IF(ISNUMBER(O78),O78+R78,"")</f>
        <v>6</v>
      </c>
      <c r="T78" s="13">
        <f>IF(ISNUMBER(S78),P78-S78,"")</f>
        <v>0.6</v>
      </c>
      <c r="U78" s="13">
        <f>IF(COUNT(AG78:AP78)&gt;0,AVERAGE(AG78:AP78),"")</f>
        <v>6.276</v>
      </c>
      <c r="AG78" s="13">
        <f>IF(ISNUMBER(E$87),E78,"")</f>
        <v>6.48</v>
      </c>
      <c r="AH78" s="13">
        <f>IF(ISNUMBER(F$87),F78,"")</f>
        <v>6.12</v>
      </c>
      <c r="AI78" s="13">
        <f>IF(ISNUMBER(G$87),G78,"")</f>
        <v>6.36</v>
      </c>
      <c r="AJ78" s="13">
        <f>IF(ISNUMBER(H$87),H78,"")</f>
        <v>6.6</v>
      </c>
      <c r="AK78" s="13">
        <f>IF(ISNUMBER(I$87),I78,"")</f>
        <v>6.18</v>
      </c>
      <c r="AL78" s="13">
        <f>IF(ISNUMBER(J$87),J78,"")</f>
        <v>6.42</v>
      </c>
      <c r="AM78" s="13">
        <f>IF(ISNUMBER(K$87),K78,"")</f>
        <v>6.06</v>
      </c>
      <c r="AN78" s="13">
        <f>IF(ISNUMBER(L$87),L78,"")</f>
        <v>6.3</v>
      </c>
      <c r="AO78" s="13">
        <f>IF(ISNUMBER(M$87),M78,"")</f>
        <v>6</v>
      </c>
      <c r="AP78" s="13">
        <f>IF(ISNUMBER(N$87),N78,"")</f>
        <v>6.24</v>
      </c>
      <c r="AQ78" s="13">
        <f>IF(C78="Ручная",O78,0)</f>
        <v>0</v>
      </c>
    </row>
    <row r="79" spans="1:43" ht="40" customHeight="1">
      <c r="A79" s="5">
        <v>5</v>
      </c>
      <c r="B79" s="5" t="s">
        <v>193</v>
      </c>
      <c r="C79" s="11" t="s">
        <v>183</v>
      </c>
      <c r="D79" s="7" t="s">
        <v>194</v>
      </c>
      <c r="E79" s="12">
        <v>32.73</v>
      </c>
      <c r="F79" s="12">
        <v>30.64</v>
      </c>
      <c r="G79" s="12">
        <v>31.83</v>
      </c>
      <c r="H79" s="12">
        <v>30.05</v>
      </c>
      <c r="I79" s="12">
        <v>31.24</v>
      </c>
      <c r="J79" s="12">
        <v>29.75</v>
      </c>
      <c r="K79" s="12">
        <v>30.94</v>
      </c>
      <c r="L79" s="12">
        <v>32.13</v>
      </c>
      <c r="M79" s="12">
        <v>30.34</v>
      </c>
      <c r="N79" s="12">
        <v>31.54</v>
      </c>
      <c r="O79" s="13">
        <f>IF(COUNT(AG79:AP79)&gt;0,MIN(AG79:AP79),"")</f>
        <v>29.75</v>
      </c>
      <c r="P79" s="13">
        <f>IF(COUNT(AG79:AP79)&gt;0,MAX(AG79:AP79),"")</f>
        <v>32.73</v>
      </c>
      <c r="Q79" s="13">
        <f>IF(ISNUMBER(O79),P79-O79,"")</f>
        <v>2.98</v>
      </c>
      <c r="R79" s="13">
        <f>IF(ISNUMBER(O79),IF(C79="Ручная",IF($S$87&gt;0,$R$87*Q79/$S$87,IF($W$87=5,$R$87,0)),0),"")</f>
        <v>1.08135834411384</v>
      </c>
      <c r="S79" s="13">
        <f>IF(ISNUMBER(O79),O79+R79,"")</f>
        <v>30.8313583441138</v>
      </c>
      <c r="T79" s="13">
        <f>IF(ISNUMBER(S79),P79-S79,"")</f>
        <v>1.89864165588615</v>
      </c>
      <c r="U79" s="13">
        <f>IF(COUNT(AG79:AP79)&gt;0,AVERAGE(AG79:AP79),"")</f>
        <v>31.119</v>
      </c>
      <c r="AG79" s="13">
        <f>IF(ISNUMBER(E$87),E79,"")</f>
        <v>32.73</v>
      </c>
      <c r="AH79" s="13">
        <f>IF(ISNUMBER(F$87),F79,"")</f>
        <v>30.64</v>
      </c>
      <c r="AI79" s="13">
        <f>IF(ISNUMBER(G$87),G79,"")</f>
        <v>31.83</v>
      </c>
      <c r="AJ79" s="13">
        <f>IF(ISNUMBER(H$87),H79,"")</f>
        <v>30.05</v>
      </c>
      <c r="AK79" s="13">
        <f>IF(ISNUMBER(I$87),I79,"")</f>
        <v>31.24</v>
      </c>
      <c r="AL79" s="13">
        <f>IF(ISNUMBER(J$87),J79,"")</f>
        <v>29.75</v>
      </c>
      <c r="AM79" s="13">
        <f>IF(ISNUMBER(K$87),K79,"")</f>
        <v>30.94</v>
      </c>
      <c r="AN79" s="13">
        <f>IF(ISNUMBER(L$87),L79,"")</f>
        <v>32.13</v>
      </c>
      <c r="AO79" s="13">
        <f>IF(ISNUMBER(M$87),M79,"")</f>
        <v>30.34</v>
      </c>
      <c r="AP79" s="13">
        <f>IF(ISNUMBER(N$87),N79,"")</f>
        <v>31.54</v>
      </c>
      <c r="AQ79" s="13">
        <f>IF(C79="Ручная",O79,0)</f>
        <v>29.75</v>
      </c>
    </row>
    <row r="80" spans="1:43" ht="40" customHeight="1">
      <c r="A80" s="5" t="s">
        <v>189</v>
      </c>
      <c r="B80" s="5" t="s">
        <v>195</v>
      </c>
      <c r="C80" s="11" t="s">
        <v>196</v>
      </c>
      <c r="D80" s="7" t="s">
        <v>197</v>
      </c>
      <c r="E80" s="18">
        <f>'Ассортимент'!R11</f>
        <v>180</v>
      </c>
      <c r="F80" s="18">
        <f>'Ассортимент'!R11</f>
        <v>180</v>
      </c>
      <c r="G80" s="18">
        <f>'Ассортимент'!R11</f>
        <v>180</v>
      </c>
      <c r="H80" s="18">
        <f>'Ассортимент'!R11</f>
        <v>180</v>
      </c>
      <c r="I80" s="18">
        <f>'Ассортимент'!R11</f>
        <v>180</v>
      </c>
      <c r="J80" s="18">
        <f>'Ассортимент'!R11</f>
        <v>180</v>
      </c>
      <c r="K80" s="18">
        <f>'Ассортимент'!R11</f>
        <v>180</v>
      </c>
      <c r="L80" s="18">
        <f>'Ассортимент'!R11</f>
        <v>180</v>
      </c>
      <c r="M80" s="18">
        <f>'Ассортимент'!R11</f>
        <v>180</v>
      </c>
      <c r="N80" s="18">
        <f>'Ассортимент'!R11</f>
        <v>180</v>
      </c>
      <c r="O80" s="13">
        <f>IF(COUNT(AG80:AP80)&gt;0,MIN(AG80:AP80),"")</f>
        <v>180</v>
      </c>
      <c r="P80" s="13">
        <f>IF(COUNT(AG80:AP80)&gt;0,MAX(AG80:AP80),"")</f>
        <v>180</v>
      </c>
      <c r="Q80" s="13">
        <f>IF(ISNUMBER(O80),P80-O80,"")</f>
        <v>0</v>
      </c>
      <c r="R80" s="13">
        <f>IF(ISNUMBER(O80),IF(C80="Ручная",IF($S$87&gt;0,$R$87*Q80/$S$87,IF($W$87=6,$R$87,0)),0),"")</f>
        <v>0</v>
      </c>
      <c r="S80" s="13">
        <f>IF(ISNUMBER(O80),O80+R80,"")</f>
        <v>180</v>
      </c>
      <c r="T80" s="13">
        <f>IF(ISNUMBER(S80),P80-S80,"")</f>
        <v>0</v>
      </c>
      <c r="U80" s="13">
        <f>IF(COUNT(AG80:AP80)&gt;0,AVERAGE(AG80:AP80),"")</f>
        <v>180</v>
      </c>
      <c r="AG80" s="13">
        <f>IF(ISNUMBER(E$87),E80,"")</f>
        <v>180</v>
      </c>
      <c r="AH80" s="13">
        <f>IF(ISNUMBER(F$87),F80,"")</f>
        <v>180</v>
      </c>
      <c r="AI80" s="13">
        <f>IF(ISNUMBER(G$87),G80,"")</f>
        <v>180</v>
      </c>
      <c r="AJ80" s="13">
        <f>IF(ISNUMBER(H$87),H80,"")</f>
        <v>180</v>
      </c>
      <c r="AK80" s="13">
        <f>IF(ISNUMBER(I$87),I80,"")</f>
        <v>180</v>
      </c>
      <c r="AL80" s="13">
        <f>IF(ISNUMBER(J$87),J80,"")</f>
        <v>180</v>
      </c>
      <c r="AM80" s="13">
        <f>IF(ISNUMBER(K$87),K80,"")</f>
        <v>180</v>
      </c>
      <c r="AN80" s="13">
        <f>IF(ISNUMBER(L$87),L80,"")</f>
        <v>180</v>
      </c>
      <c r="AO80" s="13">
        <f>IF(ISNUMBER(M$87),M80,"")</f>
        <v>180</v>
      </c>
      <c r="AP80" s="13">
        <f>IF(ISNUMBER(N$87),N80,"")</f>
        <v>180</v>
      </c>
      <c r="AQ80" s="13">
        <f>IF(C80="Ручная",O80,0)</f>
        <v>0</v>
      </c>
    </row>
    <row r="81" spans="1:43" ht="40" customHeight="1">
      <c r="A81" s="5">
        <v>7</v>
      </c>
      <c r="B81" s="5" t="s">
        <v>198</v>
      </c>
      <c r="C81" s="11" t="s">
        <v>183</v>
      </c>
      <c r="D81" s="7" t="s">
        <v>199</v>
      </c>
      <c r="E81" s="12">
        <v>28.08</v>
      </c>
      <c r="F81" s="12">
        <v>29.16</v>
      </c>
      <c r="G81" s="12">
        <v>27.54</v>
      </c>
      <c r="H81" s="12">
        <v>28.62</v>
      </c>
      <c r="I81" s="12">
        <v>29.7</v>
      </c>
      <c r="J81" s="12">
        <v>27.81</v>
      </c>
      <c r="K81" s="12">
        <v>28.89</v>
      </c>
      <c r="L81" s="12">
        <v>27.27</v>
      </c>
      <c r="M81" s="12">
        <v>28.35</v>
      </c>
      <c r="N81" s="12">
        <v>27</v>
      </c>
      <c r="O81" s="13">
        <f>IF(COUNT(AG81:AP81)&gt;0,MIN(AG81:AP81),"")</f>
        <v>27</v>
      </c>
      <c r="P81" s="13">
        <f>IF(COUNT(AG81:AP81)&gt;0,MAX(AG81:AP81),"")</f>
        <v>29.7</v>
      </c>
      <c r="Q81" s="13">
        <f>IF(ISNUMBER(O81),P81-O81,"")</f>
        <v>2.7</v>
      </c>
      <c r="R81" s="13">
        <f>IF(ISNUMBER(O81),IF(C81="Ручная",IF($S$87&gt;0,$R$87*Q81/$S$87,IF($W$87=7,$R$87,0)),0),"")</f>
        <v>0.97975420439845</v>
      </c>
      <c r="S81" s="13">
        <f>IF(ISNUMBER(O81),O81+R81,"")</f>
        <v>27.9797542043984</v>
      </c>
      <c r="T81" s="13">
        <f>IF(ISNUMBER(S81),P81-S81,"")</f>
        <v>1.72024579560155</v>
      </c>
      <c r="U81" s="13">
        <f>IF(COUNT(AG81:AP81)&gt;0,AVERAGE(AG81:AP81),"")</f>
        <v>28.242</v>
      </c>
      <c r="AG81" s="13">
        <f>IF(ISNUMBER(E$87),E81,"")</f>
        <v>28.08</v>
      </c>
      <c r="AH81" s="13">
        <f>IF(ISNUMBER(F$87),F81,"")</f>
        <v>29.16</v>
      </c>
      <c r="AI81" s="13">
        <f>IF(ISNUMBER(G$87),G81,"")</f>
        <v>27.54</v>
      </c>
      <c r="AJ81" s="13">
        <f>IF(ISNUMBER(H$87),H81,"")</f>
        <v>28.62</v>
      </c>
      <c r="AK81" s="13">
        <f>IF(ISNUMBER(I$87),I81,"")</f>
        <v>29.7</v>
      </c>
      <c r="AL81" s="13">
        <f>IF(ISNUMBER(J$87),J81,"")</f>
        <v>27.81</v>
      </c>
      <c r="AM81" s="13">
        <f>IF(ISNUMBER(K$87),K81,"")</f>
        <v>28.89</v>
      </c>
      <c r="AN81" s="13">
        <f>IF(ISNUMBER(L$87),L81,"")</f>
        <v>27.27</v>
      </c>
      <c r="AO81" s="13">
        <f>IF(ISNUMBER(M$87),M81,"")</f>
        <v>28.35</v>
      </c>
      <c r="AP81" s="13">
        <f>IF(ISNUMBER(N$87),N81,"")</f>
        <v>27</v>
      </c>
      <c r="AQ81" s="13">
        <f>IF(C81="Ручная",O81,0)</f>
        <v>27</v>
      </c>
    </row>
    <row r="82" spans="1:43" ht="40" customHeight="1">
      <c r="A82" s="5">
        <v>8</v>
      </c>
      <c r="B82" s="5" t="s">
        <v>200</v>
      </c>
      <c r="C82" s="11" t="s">
        <v>183</v>
      </c>
      <c r="D82" s="7" t="s">
        <v>201</v>
      </c>
      <c r="E82" s="12">
        <v>19.08</v>
      </c>
      <c r="F82" s="12">
        <v>19.8</v>
      </c>
      <c r="G82" s="12">
        <v>18.54</v>
      </c>
      <c r="H82" s="12">
        <v>19.26</v>
      </c>
      <c r="I82" s="12">
        <v>18.18</v>
      </c>
      <c r="J82" s="12">
        <v>18.9</v>
      </c>
      <c r="K82" s="12">
        <v>18</v>
      </c>
      <c r="L82" s="12">
        <v>18.72</v>
      </c>
      <c r="M82" s="12">
        <v>19.44</v>
      </c>
      <c r="N82" s="12">
        <v>18.36</v>
      </c>
      <c r="O82" s="13">
        <f>IF(COUNT(AG82:AP82)&gt;0,MIN(AG82:AP82),"")</f>
        <v>18</v>
      </c>
      <c r="P82" s="13">
        <f>IF(COUNT(AG82:AP82)&gt;0,MAX(AG82:AP82),"")</f>
        <v>19.8</v>
      </c>
      <c r="Q82" s="13">
        <f>IF(ISNUMBER(O82),P82-O82,"")</f>
        <v>1.8</v>
      </c>
      <c r="R82" s="13">
        <f>IF(ISNUMBER(O82),IF(C82="Ручная",IF($S$87&gt;0,$R$87*Q82/$S$87,IF($W$87=8,$R$87,0)),0),"")</f>
        <v>0.653169469598967</v>
      </c>
      <c r="S82" s="13">
        <f>IF(ISNUMBER(O82),O82+R82,"")</f>
        <v>18.653169469599</v>
      </c>
      <c r="T82" s="13">
        <f>IF(ISNUMBER(S82),P82-S82,"")</f>
        <v>1.14683053040103</v>
      </c>
      <c r="U82" s="13">
        <f>IF(COUNT(AG82:AP82)&gt;0,AVERAGE(AG82:AP82),"")</f>
        <v>18.828</v>
      </c>
      <c r="AG82" s="13">
        <f>IF(ISNUMBER(E$87),E82,"")</f>
        <v>19.08</v>
      </c>
      <c r="AH82" s="13">
        <f>IF(ISNUMBER(F$87),F82,"")</f>
        <v>19.8</v>
      </c>
      <c r="AI82" s="13">
        <f>IF(ISNUMBER(G$87),G82,"")</f>
        <v>18.54</v>
      </c>
      <c r="AJ82" s="13">
        <f>IF(ISNUMBER(H$87),H82,"")</f>
        <v>19.26</v>
      </c>
      <c r="AK82" s="13">
        <f>IF(ISNUMBER(I$87),I82,"")</f>
        <v>18.18</v>
      </c>
      <c r="AL82" s="13">
        <f>IF(ISNUMBER(J$87),J82,"")</f>
        <v>18.9</v>
      </c>
      <c r="AM82" s="13">
        <f>IF(ISNUMBER(K$87),K82,"")</f>
        <v>18</v>
      </c>
      <c r="AN82" s="13">
        <f>IF(ISNUMBER(L$87),L82,"")</f>
        <v>18.72</v>
      </c>
      <c r="AO82" s="13">
        <f>IF(ISNUMBER(M$87),M82,"")</f>
        <v>19.44</v>
      </c>
      <c r="AP82" s="13">
        <f>IF(ISNUMBER(N$87),N82,"")</f>
        <v>18.36</v>
      </c>
      <c r="AQ82" s="13">
        <f>IF(C82="Ручная",O82,0)</f>
        <v>18</v>
      </c>
    </row>
    <row r="83" spans="1:43" ht="40" customHeight="1">
      <c r="A83" s="5" t="s">
        <v>189</v>
      </c>
      <c r="B83" s="5" t="s">
        <v>202</v>
      </c>
      <c r="C83" s="11" t="s">
        <v>191</v>
      </c>
      <c r="D83" s="7" t="s">
        <v>203</v>
      </c>
      <c r="E83" s="12">
        <v>5.35</v>
      </c>
      <c r="F83" s="12">
        <v>5.05</v>
      </c>
      <c r="G83" s="12">
        <v>5.25</v>
      </c>
      <c r="H83" s="12">
        <v>5</v>
      </c>
      <c r="I83" s="12">
        <v>5.2</v>
      </c>
      <c r="J83" s="12">
        <v>5.4</v>
      </c>
      <c r="K83" s="12">
        <v>5.1</v>
      </c>
      <c r="L83" s="12">
        <v>5.3</v>
      </c>
      <c r="M83" s="12">
        <v>5.5</v>
      </c>
      <c r="N83" s="12">
        <v>5.15</v>
      </c>
      <c r="O83" s="13">
        <f>IF(COUNT(AG83:AP83)&gt;0,MIN(AG83:AP83),"")</f>
        <v>5</v>
      </c>
      <c r="P83" s="13">
        <f>IF(COUNT(AG83:AP83)&gt;0,MAX(AG83:AP83),"")</f>
        <v>5.5</v>
      </c>
      <c r="Q83" s="13">
        <f>IF(ISNUMBER(O83),P83-O83,"")</f>
        <v>0.5</v>
      </c>
      <c r="R83" s="13">
        <f>IF(ISNUMBER(O83),IF(C83="Ручная",IF($S$87&gt;0,$R$87*Q83/$S$87,IF($W$87=9,$R$87,0)),0),"")</f>
        <v>0</v>
      </c>
      <c r="S83" s="13">
        <f>IF(ISNUMBER(O83),O83+R83,"")</f>
        <v>5</v>
      </c>
      <c r="T83" s="13">
        <f>IF(ISNUMBER(S83),P83-S83,"")</f>
        <v>0.5</v>
      </c>
      <c r="U83" s="13">
        <f>IF(COUNT(AG83:AP83)&gt;0,AVERAGE(AG83:AP83),"")</f>
        <v>5.23</v>
      </c>
      <c r="AG83" s="13">
        <f>IF(ISNUMBER(E$87),E83,"")</f>
        <v>5.35</v>
      </c>
      <c r="AH83" s="13">
        <f>IF(ISNUMBER(F$87),F83,"")</f>
        <v>5.05</v>
      </c>
      <c r="AI83" s="13">
        <f>IF(ISNUMBER(G$87),G83,"")</f>
        <v>5.25</v>
      </c>
      <c r="AJ83" s="13">
        <f>IF(ISNUMBER(H$87),H83,"")</f>
        <v>5</v>
      </c>
      <c r="AK83" s="13">
        <f>IF(ISNUMBER(I$87),I83,"")</f>
        <v>5.2</v>
      </c>
      <c r="AL83" s="13">
        <f>IF(ISNUMBER(J$87),J83,"")</f>
        <v>5.4</v>
      </c>
      <c r="AM83" s="13">
        <f>IF(ISNUMBER(K$87),K83,"")</f>
        <v>5.1</v>
      </c>
      <c r="AN83" s="13">
        <f>IF(ISNUMBER(L$87),L83,"")</f>
        <v>5.3</v>
      </c>
      <c r="AO83" s="13">
        <f>IF(ISNUMBER(M$87),M83,"")</f>
        <v>5.5</v>
      </c>
      <c r="AP83" s="13">
        <f>IF(ISNUMBER(N$87),N83,"")</f>
        <v>5.15</v>
      </c>
      <c r="AQ83" s="13">
        <f>IF(C83="Ручная",O83,0)</f>
        <v>0</v>
      </c>
    </row>
    <row r="84" spans="1:43" ht="40" customHeight="1">
      <c r="A84" s="5" t="s">
        <v>189</v>
      </c>
      <c r="B84" s="5" t="s">
        <v>204</v>
      </c>
      <c r="C84" s="11" t="s">
        <v>191</v>
      </c>
      <c r="D84" s="7" t="s">
        <v>205</v>
      </c>
      <c r="E84" s="12">
        <v>5</v>
      </c>
      <c r="F84" s="12">
        <v>5.2</v>
      </c>
      <c r="G84" s="12">
        <v>5.4</v>
      </c>
      <c r="H84" s="12">
        <v>5.1</v>
      </c>
      <c r="I84" s="12">
        <v>5.3</v>
      </c>
      <c r="J84" s="12">
        <v>5.5</v>
      </c>
      <c r="K84" s="12">
        <v>5.15</v>
      </c>
      <c r="L84" s="12">
        <v>5.35</v>
      </c>
      <c r="M84" s="12">
        <v>5.05</v>
      </c>
      <c r="N84" s="12">
        <v>5.25</v>
      </c>
      <c r="O84" s="13">
        <f>IF(COUNT(AG84:AP84)&gt;0,MIN(AG84:AP84),"")</f>
        <v>5</v>
      </c>
      <c r="P84" s="13">
        <f>IF(COUNT(AG84:AP84)&gt;0,MAX(AG84:AP84),"")</f>
        <v>5.5</v>
      </c>
      <c r="Q84" s="13">
        <f>IF(ISNUMBER(O84),P84-O84,"")</f>
        <v>0.5</v>
      </c>
      <c r="R84" s="13">
        <f>IF(ISNUMBER(O84),IF(C84="Ручная",IF($S$87&gt;0,$R$87*Q84/$S$87,IF($W$87=10,$R$87,0)),0),"")</f>
        <v>0</v>
      </c>
      <c r="S84" s="13">
        <f>IF(ISNUMBER(O84),O84+R84,"")</f>
        <v>5</v>
      </c>
      <c r="T84" s="13">
        <f>IF(ISNUMBER(S84),P84-S84,"")</f>
        <v>0.5</v>
      </c>
      <c r="U84" s="13">
        <f>IF(COUNT(AG84:AP84)&gt;0,AVERAGE(AG84:AP84),"")</f>
        <v>5.23</v>
      </c>
      <c r="AG84" s="13">
        <f>IF(ISNUMBER(E$87),E84,"")</f>
        <v>5</v>
      </c>
      <c r="AH84" s="13">
        <f>IF(ISNUMBER(F$87),F84,"")</f>
        <v>5.2</v>
      </c>
      <c r="AI84" s="13">
        <f>IF(ISNUMBER(G$87),G84,"")</f>
        <v>5.4</v>
      </c>
      <c r="AJ84" s="13">
        <f>IF(ISNUMBER(H$87),H84,"")</f>
        <v>5.1</v>
      </c>
      <c r="AK84" s="13">
        <f>IF(ISNUMBER(I$87),I84,"")</f>
        <v>5.3</v>
      </c>
      <c r="AL84" s="13">
        <f>IF(ISNUMBER(J$87),J84,"")</f>
        <v>5.5</v>
      </c>
      <c r="AM84" s="13">
        <f>IF(ISNUMBER(K$87),K84,"")</f>
        <v>5.15</v>
      </c>
      <c r="AN84" s="13">
        <f>IF(ISNUMBER(L$87),L84,"")</f>
        <v>5.35</v>
      </c>
      <c r="AO84" s="13">
        <f>IF(ISNUMBER(M$87),M84,"")</f>
        <v>5.05</v>
      </c>
      <c r="AP84" s="13">
        <f>IF(ISNUMBER(N$87),N84,"")</f>
        <v>5.25</v>
      </c>
      <c r="AQ84" s="13">
        <f>IF(C84="Ручная",O84,0)</f>
        <v>0</v>
      </c>
    </row>
    <row r="85" spans="1:43" ht="40" customHeight="1">
      <c r="A85" s="5" t="s">
        <v>189</v>
      </c>
      <c r="B85" s="5" t="s">
        <v>206</v>
      </c>
      <c r="C85" s="11" t="s">
        <v>207</v>
      </c>
      <c r="D85" s="7" t="s">
        <v>208</v>
      </c>
      <c r="E85" s="12">
        <v>0</v>
      </c>
      <c r="F85" s="12">
        <v>0</v>
      </c>
      <c r="G85" s="12">
        <v>0</v>
      </c>
      <c r="H85" s="12">
        <v>0</v>
      </c>
      <c r="I85" s="12">
        <v>0</v>
      </c>
      <c r="J85" s="12">
        <v>0</v>
      </c>
      <c r="K85" s="12">
        <v>0</v>
      </c>
      <c r="L85" s="12">
        <v>0</v>
      </c>
      <c r="M85" s="12">
        <v>0</v>
      </c>
      <c r="N85" s="12">
        <v>0</v>
      </c>
      <c r="O85" s="13">
        <f>IF(COUNT(AG85:AP85)&gt;0,MIN(AG85:AP85),"")</f>
        <v>0</v>
      </c>
      <c r="P85" s="13">
        <f>IF(COUNT(AG85:AP85)&gt;0,MAX(AG85:AP85),"")</f>
        <v>0</v>
      </c>
      <c r="Q85" s="13">
        <f>IF(ISNUMBER(O85),P85-O85,"")</f>
        <v>0</v>
      </c>
      <c r="R85" s="13">
        <f>IF(ISNUMBER(O85),IF(C85="Ручная",IF($S$87&gt;0,$R$87*Q85/$S$87,IF($W$87=11,$R$87,0)),0),"")</f>
        <v>0</v>
      </c>
      <c r="S85" s="13">
        <f>IF(ISNUMBER(O85),O85+R85,"")</f>
        <v>0</v>
      </c>
      <c r="T85" s="13">
        <f>IF(ISNUMBER(S85),P85-S85,"")</f>
        <v>0</v>
      </c>
      <c r="U85" s="13">
        <f>IF(COUNT(AG85:AP85)&gt;0,AVERAGE(AG85:AP85),"")</f>
        <v>0</v>
      </c>
      <c r="AG85" s="13">
        <f>IF(ISNUMBER(E$87),E85,"")</f>
        <v>0</v>
      </c>
      <c r="AH85" s="13">
        <f>IF(ISNUMBER(F$87),F85,"")</f>
        <v>0</v>
      </c>
      <c r="AI85" s="13">
        <f>IF(ISNUMBER(G$87),G85,"")</f>
        <v>0</v>
      </c>
      <c r="AJ85" s="13">
        <f>IF(ISNUMBER(H$87),H85,"")</f>
        <v>0</v>
      </c>
      <c r="AK85" s="13">
        <f>IF(ISNUMBER(I$87),I85,"")</f>
        <v>0</v>
      </c>
      <c r="AL85" s="13">
        <f>IF(ISNUMBER(J$87),J85,"")</f>
        <v>0</v>
      </c>
      <c r="AM85" s="13">
        <f>IF(ISNUMBER(K$87),K85,"")</f>
        <v>0</v>
      </c>
      <c r="AN85" s="13">
        <f>IF(ISNUMBER(L$87),L85,"")</f>
        <v>0</v>
      </c>
      <c r="AO85" s="13">
        <f>IF(ISNUMBER(M$87),M85,"")</f>
        <v>0</v>
      </c>
      <c r="AP85" s="13">
        <f>IF(ISNUMBER(N$87),N85,"")</f>
        <v>0</v>
      </c>
      <c r="AQ85" s="13">
        <f>IF(C85="Ручная",O85,0)</f>
        <v>0</v>
      </c>
    </row>
    <row r="86" spans="1:43" ht="23" customHeight="1">
      <c r="B86" s="4" t="s">
        <v>209</v>
      </c>
      <c r="E86" s="6">
        <f>IF(COUNT(E75:E85)=11,SUM(E75:E85),"")</f>
        <v>359.06</v>
      </c>
      <c r="F86" s="6">
        <f>IF(COUNT(F75:F85)=11,SUM(F75:F85),"")</f>
        <v>359.72</v>
      </c>
      <c r="G86" s="6">
        <f>IF(COUNT(G75:G85)=11,SUM(G75:G85),"")</f>
        <v>358.36</v>
      </c>
      <c r="H86" s="6">
        <f>IF(COUNT(H75:H85)=11,SUM(H75:H85),"")</f>
        <v>358.51</v>
      </c>
      <c r="I86" s="6">
        <f>IF(COUNT(I75:I85)=11,SUM(I75:I85),"")</f>
        <v>357.75</v>
      </c>
      <c r="J86" s="6">
        <f>IF(COUNT(J75:J85)=11,SUM(J75:J85),"")</f>
        <v>356.42</v>
      </c>
      <c r="K86" s="6">
        <f>IF(COUNT(K75:K85)=11,SUM(K75:K85),"")</f>
        <v>359.97</v>
      </c>
      <c r="L86" s="6">
        <f>IF(COUNT(L75:L85)=11,SUM(L75:L85),"")</f>
        <v>356.16</v>
      </c>
      <c r="M86" s="6">
        <f>IF(COUNT(M75:M85)=11,SUM(M75:M85),"")</f>
        <v>358.97</v>
      </c>
      <c r="N86" s="6">
        <f>IF(COUNT(N75:N85)=11,SUM(N75:N85),"")</f>
        <v>359.04</v>
      </c>
      <c r="O86" s="6">
        <f>IF(COUNT(O75:O85)=11,SUM(O75:O85),"")</f>
        <v>350.55</v>
      </c>
      <c r="P86" s="6">
        <f>IF(COUNT(P75:P85)=11,SUM(P75:P85),"")</f>
        <v>367.61</v>
      </c>
      <c r="Q86" s="6">
        <f>IF(COUNT(Q75:Q85)=11,SUM(Q75:Q85),"")</f>
        <v>17.06</v>
      </c>
      <c r="R86" s="6">
        <f>IF(COUNT(R75:R85)=11,SUM(R75:R85),"")</f>
        <v>5.61000000000001</v>
      </c>
      <c r="S86" s="6">
        <f>IF(COUNT(S75:S85)=11,SUM(S75:S85),"")</f>
        <v>356.16</v>
      </c>
      <c r="T86" s="6">
        <f>IF(COUNT(T75:T85)=11,SUM(T75:T85),"")</f>
        <v>11.45</v>
      </c>
      <c r="U86" s="6">
        <f>IF(COUNT(U75:U85)=11,SUM(U75:U85),"")</f>
        <v>358.396</v>
      </c>
    </row>
    <row r="87" spans="1:43" ht="23" customHeight="1">
      <c r="B87" s="4" t="s">
        <v>210</v>
      </c>
      <c r="E87" s="6">
        <f>IF(AND(E73=1,COUNT(E75:E85)=11,MIN(E75:E85)&gt;=0),E86,"")</f>
        <v>359.06</v>
      </c>
      <c r="F87" s="6">
        <f>IF(AND(F73=1,COUNT(F75:F85)=11,MIN(F75:F85)&gt;=0),F86,"")</f>
        <v>359.72</v>
      </c>
      <c r="G87" s="6">
        <f>IF(AND(G73=1,COUNT(G75:G85)=11,MIN(G75:G85)&gt;=0),G86,"")</f>
        <v>358.36</v>
      </c>
      <c r="H87" s="6">
        <f>IF(AND(H73=1,COUNT(H75:H85)=11,MIN(H75:H85)&gt;=0),H86,"")</f>
        <v>358.51</v>
      </c>
      <c r="I87" s="6">
        <f>IF(AND(I73=1,COUNT(I75:I85)=11,MIN(I75:I85)&gt;=0),I86,"")</f>
        <v>357.75</v>
      </c>
      <c r="J87" s="6">
        <f>IF(AND(J73=1,COUNT(J75:J85)=11,MIN(J75:J85)&gt;=0),J86,"")</f>
        <v>356.42</v>
      </c>
      <c r="K87" s="6">
        <f>IF(AND(K73=1,COUNT(K75:K85)=11,MIN(K75:K85)&gt;=0),K86,"")</f>
        <v>359.97</v>
      </c>
      <c r="L87" s="6">
        <f>IF(AND(L73=1,COUNT(L75:L85)=11,MIN(L75:L85)&gt;=0),L86,"")</f>
        <v>356.16</v>
      </c>
      <c r="M87" s="6">
        <f>IF(AND(M73=1,COUNT(M75:M85)=11,MIN(M75:M85)&gt;=0),M86,"")</f>
        <v>358.97</v>
      </c>
      <c r="N87" s="6">
        <f>IF(AND(N73=1,COUNT(N75:N85)=11,MIN(N75:N85)&gt;=0),N86,"")</f>
        <v>359.04</v>
      </c>
      <c r="O87" s="6">
        <f>IF(COUNT(E87:N87)&gt;0,MIN(E87:N87),"")</f>
        <v>356.16</v>
      </c>
      <c r="P87" s="6">
        <f>IF(COUNT(E87:N87)&gt;0,MAX(E87:N87),"")</f>
        <v>359.97</v>
      </c>
      <c r="Q87" s="6">
        <f>IF(ISNUMBER(O87),P87-O87,"")</f>
        <v>3.80999999999995</v>
      </c>
      <c r="R87" s="6">
        <f>IF(ISNUMBER(O87),MAX(0,O87-O86),"")</f>
        <v>5.61000000000001</v>
      </c>
      <c r="S87" s="6">
        <f>SUMIF(C75:C85,"Ручная",Q75:Q85)</f>
        <v>15.46</v>
      </c>
      <c r="T87" s="6">
        <f>COUNT(E87:N87)</f>
        <v>10</v>
      </c>
      <c r="U87" s="6">
        <f>IF(COUNT(E87:N87)&gt;0,AVERAGE(E87:N87),"")</f>
        <v>358.396</v>
      </c>
      <c r="V87" s="6">
        <f>IF(ISNUMBER(O87),S86-O87,"")</f>
        <v>-5.6843418860808e-14</v>
      </c>
      <c r="W87" s="6">
        <f>MATCH(MAX(AQ75:AQ85),AQ75:AQ85,0)</f>
        <v>2</v>
      </c>
      <c r="X87" s="17" t="str">
        <f>IF(T87=0,"НЕТ ЗАМЕРОВ",IF(T87&lt;10,"МЕНЕЕ 10 ЦИКЛОВ",IF(ABS(V87)&lt;0.000001,"ОК","ОШИБКА РЕГУЛИРОВКИ")))</f>
        <v>ОК</v>
      </c>
    </row>
    <row r="88" spans="1:43" ht="23" customHeight="1">
      <c r="A88" s="7" t="s">
        <v>211</v>
      </c>
      <c r="B88" s="7"/>
      <c r="C88" s="7"/>
      <c r="D88" s="7"/>
      <c r="E88" s="7"/>
      <c r="F88" s="7"/>
      <c r="G88" s="7"/>
      <c r="H88" s="7"/>
      <c r="I88" s="7"/>
      <c r="J88" s="7"/>
      <c r="K88" s="7"/>
      <c r="L88" s="7"/>
      <c r="M88" s="7"/>
      <c r="N88" s="7"/>
      <c r="O88" s="7"/>
      <c r="P88" s="7"/>
      <c r="Q88" s="7"/>
      <c r="R88" s="7"/>
      <c r="S88" s="7"/>
      <c r="T88" s="7"/>
      <c r="U88" s="7"/>
      <c r="V88" s="7"/>
      <c r="W88" s="7"/>
      <c r="X88" s="7"/>
    </row>
    <row r="91" spans="1:43" ht="23" customHeight="1">
      <c r="A91" s="4" t="s">
        <v>234</v>
      </c>
      <c r="B91" s="4"/>
      <c r="C91" s="4"/>
      <c r="D91" s="4"/>
      <c r="E91" s="4"/>
      <c r="F91" s="4"/>
      <c r="G91" s="4"/>
      <c r="H91" s="4"/>
      <c r="I91" s="4"/>
      <c r="J91" s="4"/>
      <c r="K91" s="4"/>
      <c r="L91" s="4"/>
      <c r="M91" s="4"/>
      <c r="N91" s="4"/>
      <c r="O91" s="4"/>
      <c r="P91" s="4"/>
      <c r="Q91" s="4"/>
      <c r="R91" s="4"/>
      <c r="S91" s="4"/>
      <c r="T91" s="4"/>
      <c r="U91" s="4"/>
      <c r="V91" s="4"/>
      <c r="W91" s="4"/>
      <c r="X91" s="4"/>
    </row>
    <row r="92" spans="1:43" ht="23" customHeight="1">
      <c r="A92" s="7" t="str">
        <f>"Масса замера, кг: "&amp;'Ассортимент'!J12&amp;". Все замеры одной партии/исполнителя/условий. Основание: "&amp;'Ввод'!B15</f>
        <v>Масса замера, кг: 3. Все замеры одной партии/исполнителя/условий. Основание: ДЕМО: прогноз; улучшения не внедрены</v>
      </c>
      <c r="B92" s="7"/>
      <c r="C92" s="7"/>
      <c r="D92" s="7"/>
      <c r="E92" s="7"/>
      <c r="F92" s="7"/>
      <c r="G92" s="7"/>
      <c r="H92" s="7"/>
      <c r="I92" s="7"/>
      <c r="J92" s="7"/>
      <c r="K92" s="7"/>
      <c r="L92" s="7"/>
      <c r="M92" s="7"/>
      <c r="N92" s="7"/>
      <c r="O92" s="7"/>
      <c r="P92" s="7"/>
      <c r="Q92" s="7"/>
      <c r="R92" s="7"/>
      <c r="S92" s="7"/>
      <c r="T92" s="7"/>
      <c r="U92" s="7"/>
      <c r="V92" s="7"/>
      <c r="W92" s="7"/>
      <c r="X92" s="7"/>
    </row>
    <row r="93" spans="1:43" ht="44" customHeight="1">
      <c r="A93" s="8" t="s">
        <v>113</v>
      </c>
      <c r="B93" s="8" t="s">
        <v>156</v>
      </c>
      <c r="C93" s="8" t="s">
        <v>157</v>
      </c>
      <c r="D93" s="8" t="s">
        <v>158</v>
      </c>
      <c r="E93" s="8" t="s">
        <v>159</v>
      </c>
      <c r="F93" s="8" t="s">
        <v>160</v>
      </c>
      <c r="G93" s="8" t="s">
        <v>161</v>
      </c>
      <c r="H93" s="8" t="s">
        <v>162</v>
      </c>
      <c r="I93" s="8" t="s">
        <v>163</v>
      </c>
      <c r="J93" s="8" t="s">
        <v>164</v>
      </c>
      <c r="K93" s="8" t="s">
        <v>165</v>
      </c>
      <c r="L93" s="8" t="s">
        <v>166</v>
      </c>
      <c r="M93" s="8" t="s">
        <v>167</v>
      </c>
      <c r="N93" s="8" t="s">
        <v>168</v>
      </c>
      <c r="O93" s="8" t="s">
        <v>169</v>
      </c>
      <c r="P93" s="8" t="s">
        <v>170</v>
      </c>
      <c r="Q93" s="8" t="s">
        <v>171</v>
      </c>
      <c r="R93" s="8" t="s">
        <v>172</v>
      </c>
      <c r="S93" s="8" t="s">
        <v>173</v>
      </c>
      <c r="T93" s="8" t="s">
        <v>174</v>
      </c>
      <c r="U93" s="8" t="s">
        <v>175</v>
      </c>
      <c r="V93" s="8" t="s">
        <v>176</v>
      </c>
      <c r="W93" s="8" t="s">
        <v>177</v>
      </c>
      <c r="X93" s="8" t="s">
        <v>178</v>
      </c>
    </row>
    <row r="94" spans="1:43" ht="23" customHeight="1">
      <c r="B94" s="5" t="s">
        <v>179</v>
      </c>
      <c r="E94" s="12">
        <v>1</v>
      </c>
      <c r="F94" s="12">
        <v>1</v>
      </c>
      <c r="G94" s="12">
        <v>1</v>
      </c>
      <c r="H94" s="12">
        <v>1</v>
      </c>
      <c r="I94" s="12">
        <v>1</v>
      </c>
      <c r="J94" s="12">
        <v>1</v>
      </c>
      <c r="K94" s="12">
        <v>1</v>
      </c>
      <c r="L94" s="12">
        <v>1</v>
      </c>
      <c r="M94" s="12">
        <v>1</v>
      </c>
      <c r="N94" s="12">
        <v>1</v>
      </c>
    </row>
    <row r="95" spans="1:43" ht="33" customHeight="1">
      <c r="B95" s="5" t="s">
        <v>180</v>
      </c>
      <c r="E95" s="9" t="s">
        <v>181</v>
      </c>
      <c r="F95" s="9" t="s">
        <v>181</v>
      </c>
      <c r="G95" s="9" t="s">
        <v>181</v>
      </c>
      <c r="H95" s="9" t="s">
        <v>181</v>
      </c>
      <c r="I95" s="9" t="s">
        <v>181</v>
      </c>
      <c r="J95" s="9" t="s">
        <v>181</v>
      </c>
      <c r="K95" s="9" t="s">
        <v>181</v>
      </c>
      <c r="L95" s="9" t="s">
        <v>181</v>
      </c>
      <c r="M95" s="9" t="s">
        <v>181</v>
      </c>
      <c r="N95" s="9" t="s">
        <v>181</v>
      </c>
    </row>
    <row r="96" spans="1:43" ht="40" customHeight="1">
      <c r="A96" s="5">
        <v>1</v>
      </c>
      <c r="B96" s="5" t="s">
        <v>182</v>
      </c>
      <c r="C96" s="11" t="s">
        <v>183</v>
      </c>
      <c r="D96" s="7" t="s">
        <v>184</v>
      </c>
      <c r="E96" s="12">
        <v>26.5</v>
      </c>
      <c r="F96" s="12">
        <v>27.5</v>
      </c>
      <c r="G96" s="12">
        <v>25.75</v>
      </c>
      <c r="H96" s="12">
        <v>26.75</v>
      </c>
      <c r="I96" s="12">
        <v>25.25</v>
      </c>
      <c r="J96" s="12">
        <v>26.25</v>
      </c>
      <c r="K96" s="12">
        <v>25</v>
      </c>
      <c r="L96" s="12">
        <v>26</v>
      </c>
      <c r="M96" s="12">
        <v>27</v>
      </c>
      <c r="N96" s="12">
        <v>25.5</v>
      </c>
      <c r="O96" s="13">
        <f>IF(COUNT(AG96:AP96)&gt;0,MIN(AG96:AP96),"")</f>
        <v>25</v>
      </c>
      <c r="P96" s="13">
        <f>IF(COUNT(AG96:AP96)&gt;0,MAX(AG96:AP96),"")</f>
        <v>27.5</v>
      </c>
      <c r="Q96" s="13">
        <f>IF(ISNUMBER(O96),P96-O96,"")</f>
        <v>2.5</v>
      </c>
      <c r="R96" s="13">
        <f>IF(ISNUMBER(O96),IF(C96="Ручная",IF($S$108&gt;0,$R$108*Q96/$S$108,IF($W$108=1,$R$108,0)),0),"")</f>
        <v>0.86053837342497</v>
      </c>
      <c r="S96" s="13">
        <f>IF(ISNUMBER(O96),O96+R96,"")</f>
        <v>25.860538373425</v>
      </c>
      <c r="T96" s="13">
        <f>IF(ISNUMBER(S96),P96-S96,"")</f>
        <v>1.63946162657503</v>
      </c>
      <c r="U96" s="13">
        <f>IF(COUNT(AG96:AP96)&gt;0,AVERAGE(AG96:AP96),"")</f>
        <v>26.15</v>
      </c>
      <c r="AG96" s="13">
        <f>IF(ISNUMBER(E$108),E96,"")</f>
        <v>26.5</v>
      </c>
      <c r="AH96" s="13">
        <f>IF(ISNUMBER(F$108),F96,"")</f>
        <v>27.5</v>
      </c>
      <c r="AI96" s="13">
        <f>IF(ISNUMBER(G$108),G96,"")</f>
        <v>25.75</v>
      </c>
      <c r="AJ96" s="13">
        <f>IF(ISNUMBER(H$108),H96,"")</f>
        <v>26.75</v>
      </c>
      <c r="AK96" s="13">
        <f>IF(ISNUMBER(I$108),I96,"")</f>
        <v>25.25</v>
      </c>
      <c r="AL96" s="13">
        <f>IF(ISNUMBER(J$108),J96,"")</f>
        <v>26.25</v>
      </c>
      <c r="AM96" s="13">
        <f>IF(ISNUMBER(K$108),K96,"")</f>
        <v>25</v>
      </c>
      <c r="AN96" s="13">
        <f>IF(ISNUMBER(L$108),L96,"")</f>
        <v>26</v>
      </c>
      <c r="AO96" s="13">
        <f>IF(ISNUMBER(M$108),M96,"")</f>
        <v>27</v>
      </c>
      <c r="AP96" s="13">
        <f>IF(ISNUMBER(N$108),N96,"")</f>
        <v>25.5</v>
      </c>
      <c r="AQ96" s="13">
        <f>IF(C96="Ручная",O96,0)</f>
        <v>25</v>
      </c>
    </row>
    <row r="97" spans="1:43" ht="40" customHeight="1">
      <c r="A97" s="5">
        <v>2</v>
      </c>
      <c r="B97" s="5" t="s">
        <v>185</v>
      </c>
      <c r="C97" s="11" t="s">
        <v>183</v>
      </c>
      <c r="D97" s="7" t="s">
        <v>186</v>
      </c>
      <c r="E97" s="12">
        <v>58.85</v>
      </c>
      <c r="F97" s="12">
        <v>55.55</v>
      </c>
      <c r="G97" s="12">
        <v>57.75</v>
      </c>
      <c r="H97" s="12">
        <v>55</v>
      </c>
      <c r="I97" s="12">
        <v>57.2</v>
      </c>
      <c r="J97" s="12">
        <v>59.4</v>
      </c>
      <c r="K97" s="12">
        <v>56.1</v>
      </c>
      <c r="L97" s="12">
        <v>58.3</v>
      </c>
      <c r="M97" s="12">
        <v>60.5</v>
      </c>
      <c r="N97" s="12">
        <v>56.65</v>
      </c>
      <c r="O97" s="13">
        <f>IF(COUNT(AG97:AP97)&gt;0,MIN(AG97:AP97),"")</f>
        <v>55</v>
      </c>
      <c r="P97" s="13">
        <f>IF(COUNT(AG97:AP97)&gt;0,MAX(AG97:AP97),"")</f>
        <v>60.5</v>
      </c>
      <c r="Q97" s="13">
        <f>IF(ISNUMBER(O97),P97-O97,"")</f>
        <v>5.5</v>
      </c>
      <c r="R97" s="13">
        <f>IF(ISNUMBER(O97),IF(C97="Ручная",IF($S$108&gt;0,$R$108*Q97/$S$108,IF($W$108=2,$R$108,0)),0),"")</f>
        <v>1.89318442153493</v>
      </c>
      <c r="S97" s="13">
        <f>IF(ISNUMBER(O97),O97+R97,"")</f>
        <v>56.8931844215349</v>
      </c>
      <c r="T97" s="13">
        <f>IF(ISNUMBER(S97),P97-S97,"")</f>
        <v>3.60681557846507</v>
      </c>
      <c r="U97" s="13">
        <f>IF(COUNT(AG97:AP97)&gt;0,AVERAGE(AG97:AP97),"")</f>
        <v>57.53</v>
      </c>
      <c r="AG97" s="13">
        <f>IF(ISNUMBER(E$108),E97,"")</f>
        <v>58.85</v>
      </c>
      <c r="AH97" s="13">
        <f>IF(ISNUMBER(F$108),F97,"")</f>
        <v>55.55</v>
      </c>
      <c r="AI97" s="13">
        <f>IF(ISNUMBER(G$108),G97,"")</f>
        <v>57.75</v>
      </c>
      <c r="AJ97" s="13">
        <f>IF(ISNUMBER(H$108),H97,"")</f>
        <v>55</v>
      </c>
      <c r="AK97" s="13">
        <f>IF(ISNUMBER(I$108),I97,"")</f>
        <v>57.2</v>
      </c>
      <c r="AL97" s="13">
        <f>IF(ISNUMBER(J$108),J97,"")</f>
        <v>59.4</v>
      </c>
      <c r="AM97" s="13">
        <f>IF(ISNUMBER(K$108),K97,"")</f>
        <v>56.1</v>
      </c>
      <c r="AN97" s="13">
        <f>IF(ISNUMBER(L$108),L97,"")</f>
        <v>58.3</v>
      </c>
      <c r="AO97" s="13">
        <f>IF(ISNUMBER(M$108),M97,"")</f>
        <v>60.5</v>
      </c>
      <c r="AP97" s="13">
        <f>IF(ISNUMBER(N$108),N97,"")</f>
        <v>56.65</v>
      </c>
      <c r="AQ97" s="13">
        <f>IF(C97="Ручная",O97,0)</f>
        <v>55</v>
      </c>
    </row>
    <row r="98" spans="1:43" ht="40" customHeight="1">
      <c r="A98" s="5">
        <v>3</v>
      </c>
      <c r="B98" s="5" t="s">
        <v>187</v>
      </c>
      <c r="C98" s="11" t="s">
        <v>183</v>
      </c>
      <c r="D98" s="7" t="s">
        <v>188</v>
      </c>
      <c r="E98" s="12">
        <v>19.8</v>
      </c>
      <c r="F98" s="12">
        <v>20.59</v>
      </c>
      <c r="G98" s="12">
        <v>21.38</v>
      </c>
      <c r="H98" s="12">
        <v>20.2</v>
      </c>
      <c r="I98" s="12">
        <v>20.99</v>
      </c>
      <c r="J98" s="12">
        <v>21.78</v>
      </c>
      <c r="K98" s="12">
        <v>20.39</v>
      </c>
      <c r="L98" s="12">
        <v>21.19</v>
      </c>
      <c r="M98" s="12">
        <v>20</v>
      </c>
      <c r="N98" s="12">
        <v>20.79</v>
      </c>
      <c r="O98" s="13">
        <f>IF(COUNT(AG98:AP98)&gt;0,MIN(AG98:AP98),"")</f>
        <v>19.8</v>
      </c>
      <c r="P98" s="13">
        <f>IF(COUNT(AG98:AP98)&gt;0,MAX(AG98:AP98),"")</f>
        <v>21.78</v>
      </c>
      <c r="Q98" s="13">
        <f>IF(ISNUMBER(O98),P98-O98,"")</f>
        <v>1.98</v>
      </c>
      <c r="R98" s="13">
        <f>IF(ISNUMBER(O98),IF(C98="Ручная",IF($S$108&gt;0,$R$108*Q98/$S$108,IF($W$108=3,$R$108,0)),0),"")</f>
        <v>0.681546391752577</v>
      </c>
      <c r="S98" s="13">
        <f>IF(ISNUMBER(O98),O98+R98,"")</f>
        <v>20.4815463917526</v>
      </c>
      <c r="T98" s="13">
        <f>IF(ISNUMBER(S98),P98-S98,"")</f>
        <v>1.29845360824742</v>
      </c>
      <c r="U98" s="13">
        <f>IF(COUNT(AG98:AP98)&gt;0,AVERAGE(AG98:AP98),"")</f>
        <v>20.711</v>
      </c>
      <c r="AG98" s="13">
        <f>IF(ISNUMBER(E$108),E98,"")</f>
        <v>19.8</v>
      </c>
      <c r="AH98" s="13">
        <f>IF(ISNUMBER(F$108),F98,"")</f>
        <v>20.59</v>
      </c>
      <c r="AI98" s="13">
        <f>IF(ISNUMBER(G$108),G98,"")</f>
        <v>21.38</v>
      </c>
      <c r="AJ98" s="13">
        <f>IF(ISNUMBER(H$108),H98,"")</f>
        <v>20.2</v>
      </c>
      <c r="AK98" s="13">
        <f>IF(ISNUMBER(I$108),I98,"")</f>
        <v>20.99</v>
      </c>
      <c r="AL98" s="13">
        <f>IF(ISNUMBER(J$108),J98,"")</f>
        <v>21.78</v>
      </c>
      <c r="AM98" s="13">
        <f>IF(ISNUMBER(K$108),K98,"")</f>
        <v>20.39</v>
      </c>
      <c r="AN98" s="13">
        <f>IF(ISNUMBER(L$108),L98,"")</f>
        <v>21.19</v>
      </c>
      <c r="AO98" s="13">
        <f>IF(ISNUMBER(M$108),M98,"")</f>
        <v>20</v>
      </c>
      <c r="AP98" s="13">
        <f>IF(ISNUMBER(N$108),N98,"")</f>
        <v>20.79</v>
      </c>
      <c r="AQ98" s="13">
        <f>IF(C98="Ручная",O98,0)</f>
        <v>19.8</v>
      </c>
    </row>
    <row r="99" spans="1:43" ht="40" customHeight="1">
      <c r="A99" s="5" t="s">
        <v>189</v>
      </c>
      <c r="B99" s="5" t="s">
        <v>190</v>
      </c>
      <c r="C99" s="11" t="s">
        <v>191</v>
      </c>
      <c r="D99" s="7" t="s">
        <v>192</v>
      </c>
      <c r="E99" s="12">
        <v>6.12</v>
      </c>
      <c r="F99" s="12">
        <v>6.36</v>
      </c>
      <c r="G99" s="12">
        <v>6.6</v>
      </c>
      <c r="H99" s="12">
        <v>6.18</v>
      </c>
      <c r="I99" s="12">
        <v>6.42</v>
      </c>
      <c r="J99" s="12">
        <v>6.06</v>
      </c>
      <c r="K99" s="12">
        <v>6.3</v>
      </c>
      <c r="L99" s="12">
        <v>6</v>
      </c>
      <c r="M99" s="12">
        <v>6.24</v>
      </c>
      <c r="N99" s="12">
        <v>6.48</v>
      </c>
      <c r="O99" s="13">
        <f>IF(COUNT(AG99:AP99)&gt;0,MIN(AG99:AP99),"")</f>
        <v>6</v>
      </c>
      <c r="P99" s="13">
        <f>IF(COUNT(AG99:AP99)&gt;0,MAX(AG99:AP99),"")</f>
        <v>6.6</v>
      </c>
      <c r="Q99" s="13">
        <f>IF(ISNUMBER(O99),P99-O99,"")</f>
        <v>0.6</v>
      </c>
      <c r="R99" s="13">
        <f>IF(ISNUMBER(O99),IF(C99="Ручная",IF($S$108&gt;0,$R$108*Q99/$S$108,IF($W$108=4,$R$108,0)),0),"")</f>
        <v>0</v>
      </c>
      <c r="S99" s="13">
        <f>IF(ISNUMBER(O99),O99+R99,"")</f>
        <v>6</v>
      </c>
      <c r="T99" s="13">
        <f>IF(ISNUMBER(S99),P99-S99,"")</f>
        <v>0.6</v>
      </c>
      <c r="U99" s="13">
        <f>IF(COUNT(AG99:AP99)&gt;0,AVERAGE(AG99:AP99),"")</f>
        <v>6.276</v>
      </c>
      <c r="AG99" s="13">
        <f>IF(ISNUMBER(E$108),E99,"")</f>
        <v>6.12</v>
      </c>
      <c r="AH99" s="13">
        <f>IF(ISNUMBER(F$108),F99,"")</f>
        <v>6.36</v>
      </c>
      <c r="AI99" s="13">
        <f>IF(ISNUMBER(G$108),G99,"")</f>
        <v>6.6</v>
      </c>
      <c r="AJ99" s="13">
        <f>IF(ISNUMBER(H$108),H99,"")</f>
        <v>6.18</v>
      </c>
      <c r="AK99" s="13">
        <f>IF(ISNUMBER(I$108),I99,"")</f>
        <v>6.42</v>
      </c>
      <c r="AL99" s="13">
        <f>IF(ISNUMBER(J$108),J99,"")</f>
        <v>6.06</v>
      </c>
      <c r="AM99" s="13">
        <f>IF(ISNUMBER(K$108),K99,"")</f>
        <v>6.3</v>
      </c>
      <c r="AN99" s="13">
        <f>IF(ISNUMBER(L$108),L99,"")</f>
        <v>6</v>
      </c>
      <c r="AO99" s="13">
        <f>IF(ISNUMBER(M$108),M99,"")</f>
        <v>6.24</v>
      </c>
      <c r="AP99" s="13">
        <f>IF(ISNUMBER(N$108),N99,"")</f>
        <v>6.48</v>
      </c>
      <c r="AQ99" s="13">
        <f>IF(C99="Ручная",O99,0)</f>
        <v>0</v>
      </c>
    </row>
    <row r="100" spans="1:43" ht="40" customHeight="1">
      <c r="A100" s="5">
        <v>5</v>
      </c>
      <c r="B100" s="5" t="s">
        <v>193</v>
      </c>
      <c r="C100" s="11" t="s">
        <v>183</v>
      </c>
      <c r="D100" s="7" t="s">
        <v>194</v>
      </c>
      <c r="E100" s="12">
        <v>30.64</v>
      </c>
      <c r="F100" s="12">
        <v>31.83</v>
      </c>
      <c r="G100" s="12">
        <v>30.05</v>
      </c>
      <c r="H100" s="12">
        <v>31.24</v>
      </c>
      <c r="I100" s="12">
        <v>29.75</v>
      </c>
      <c r="J100" s="12">
        <v>30.94</v>
      </c>
      <c r="K100" s="12">
        <v>32.13</v>
      </c>
      <c r="L100" s="12">
        <v>30.34</v>
      </c>
      <c r="M100" s="12">
        <v>31.54</v>
      </c>
      <c r="N100" s="12">
        <v>32.73</v>
      </c>
      <c r="O100" s="13">
        <f>IF(COUNT(AG100:AP100)&gt;0,MIN(AG100:AP100),"")</f>
        <v>29.75</v>
      </c>
      <c r="P100" s="13">
        <f>IF(COUNT(AG100:AP100)&gt;0,MAX(AG100:AP100),"")</f>
        <v>32.73</v>
      </c>
      <c r="Q100" s="13">
        <f>IF(ISNUMBER(O100),P100-O100,"")</f>
        <v>2.98</v>
      </c>
      <c r="R100" s="13">
        <f>IF(ISNUMBER(O100),IF(C100="Ручная",IF($S$108&gt;0,$R$108*Q100/$S$108,IF($W$108=5,$R$108,0)),0),"")</f>
        <v>1.02576174112256</v>
      </c>
      <c r="S100" s="13">
        <f>IF(ISNUMBER(O100),O100+R100,"")</f>
        <v>30.7757617411226</v>
      </c>
      <c r="T100" s="13">
        <f>IF(ISNUMBER(S100),P100-S100,"")</f>
        <v>1.95423825887743</v>
      </c>
      <c r="U100" s="13">
        <f>IF(COUNT(AG100:AP100)&gt;0,AVERAGE(AG100:AP100),"")</f>
        <v>31.119</v>
      </c>
      <c r="AG100" s="13">
        <f>IF(ISNUMBER(E$108),E100,"")</f>
        <v>30.64</v>
      </c>
      <c r="AH100" s="13">
        <f>IF(ISNUMBER(F$108),F100,"")</f>
        <v>31.83</v>
      </c>
      <c r="AI100" s="13">
        <f>IF(ISNUMBER(G$108),G100,"")</f>
        <v>30.05</v>
      </c>
      <c r="AJ100" s="13">
        <f>IF(ISNUMBER(H$108),H100,"")</f>
        <v>31.24</v>
      </c>
      <c r="AK100" s="13">
        <f>IF(ISNUMBER(I$108),I100,"")</f>
        <v>29.75</v>
      </c>
      <c r="AL100" s="13">
        <f>IF(ISNUMBER(J$108),J100,"")</f>
        <v>30.94</v>
      </c>
      <c r="AM100" s="13">
        <f>IF(ISNUMBER(K$108),K100,"")</f>
        <v>32.13</v>
      </c>
      <c r="AN100" s="13">
        <f>IF(ISNUMBER(L$108),L100,"")</f>
        <v>30.34</v>
      </c>
      <c r="AO100" s="13">
        <f>IF(ISNUMBER(M$108),M100,"")</f>
        <v>31.54</v>
      </c>
      <c r="AP100" s="13">
        <f>IF(ISNUMBER(N$108),N100,"")</f>
        <v>32.73</v>
      </c>
      <c r="AQ100" s="13">
        <f>IF(C100="Ручная",O100,0)</f>
        <v>29.75</v>
      </c>
    </row>
    <row r="101" spans="1:43" ht="40" customHeight="1">
      <c r="A101" s="5" t="s">
        <v>189</v>
      </c>
      <c r="B101" s="5" t="s">
        <v>195</v>
      </c>
      <c r="C101" s="11" t="s">
        <v>196</v>
      </c>
      <c r="D101" s="7" t="s">
        <v>197</v>
      </c>
      <c r="E101" s="18">
        <f>'Ассортимент'!R12</f>
        <v>180</v>
      </c>
      <c r="F101" s="18">
        <f>'Ассортимент'!R12</f>
        <v>180</v>
      </c>
      <c r="G101" s="18">
        <f>'Ассортимент'!R12</f>
        <v>180</v>
      </c>
      <c r="H101" s="18">
        <f>'Ассортимент'!R12</f>
        <v>180</v>
      </c>
      <c r="I101" s="18">
        <f>'Ассортимент'!R12</f>
        <v>180</v>
      </c>
      <c r="J101" s="18">
        <f>'Ассортимент'!R12</f>
        <v>180</v>
      </c>
      <c r="K101" s="18">
        <f>'Ассортимент'!R12</f>
        <v>180</v>
      </c>
      <c r="L101" s="18">
        <f>'Ассортимент'!R12</f>
        <v>180</v>
      </c>
      <c r="M101" s="18">
        <f>'Ассортимент'!R12</f>
        <v>180</v>
      </c>
      <c r="N101" s="18">
        <f>'Ассортимент'!R12</f>
        <v>180</v>
      </c>
      <c r="O101" s="13">
        <f>IF(COUNT(AG101:AP101)&gt;0,MIN(AG101:AP101),"")</f>
        <v>180</v>
      </c>
      <c r="P101" s="13">
        <f>IF(COUNT(AG101:AP101)&gt;0,MAX(AG101:AP101),"")</f>
        <v>180</v>
      </c>
      <c r="Q101" s="13">
        <f>IF(ISNUMBER(O101),P101-O101,"")</f>
        <v>0</v>
      </c>
      <c r="R101" s="13">
        <f>IF(ISNUMBER(O101),IF(C101="Ручная",IF($S$108&gt;0,$R$108*Q101/$S$108,IF($W$108=6,$R$108,0)),0),"")</f>
        <v>0</v>
      </c>
      <c r="S101" s="13">
        <f>IF(ISNUMBER(O101),O101+R101,"")</f>
        <v>180</v>
      </c>
      <c r="T101" s="13">
        <f>IF(ISNUMBER(S101),P101-S101,"")</f>
        <v>0</v>
      </c>
      <c r="U101" s="13">
        <f>IF(COUNT(AG101:AP101)&gt;0,AVERAGE(AG101:AP101),"")</f>
        <v>180</v>
      </c>
      <c r="AG101" s="13">
        <f>IF(ISNUMBER(E$108),E101,"")</f>
        <v>180</v>
      </c>
      <c r="AH101" s="13">
        <f>IF(ISNUMBER(F$108),F101,"")</f>
        <v>180</v>
      </c>
      <c r="AI101" s="13">
        <f>IF(ISNUMBER(G$108),G101,"")</f>
        <v>180</v>
      </c>
      <c r="AJ101" s="13">
        <f>IF(ISNUMBER(H$108),H101,"")</f>
        <v>180</v>
      </c>
      <c r="AK101" s="13">
        <f>IF(ISNUMBER(I$108),I101,"")</f>
        <v>180</v>
      </c>
      <c r="AL101" s="13">
        <f>IF(ISNUMBER(J$108),J101,"")</f>
        <v>180</v>
      </c>
      <c r="AM101" s="13">
        <f>IF(ISNUMBER(K$108),K101,"")</f>
        <v>180</v>
      </c>
      <c r="AN101" s="13">
        <f>IF(ISNUMBER(L$108),L101,"")</f>
        <v>180</v>
      </c>
      <c r="AO101" s="13">
        <f>IF(ISNUMBER(M$108),M101,"")</f>
        <v>180</v>
      </c>
      <c r="AP101" s="13">
        <f>IF(ISNUMBER(N$108),N101,"")</f>
        <v>180</v>
      </c>
      <c r="AQ101" s="13">
        <f>IF(C101="Ручная",O101,0)</f>
        <v>0</v>
      </c>
    </row>
    <row r="102" spans="1:43" ht="40" customHeight="1">
      <c r="A102" s="5">
        <v>7</v>
      </c>
      <c r="B102" s="5" t="s">
        <v>198</v>
      </c>
      <c r="C102" s="11" t="s">
        <v>183</v>
      </c>
      <c r="D102" s="7" t="s">
        <v>199</v>
      </c>
      <c r="E102" s="12">
        <v>29.16</v>
      </c>
      <c r="F102" s="12">
        <v>27.54</v>
      </c>
      <c r="G102" s="12">
        <v>28.62</v>
      </c>
      <c r="H102" s="12">
        <v>29.7</v>
      </c>
      <c r="I102" s="12">
        <v>27.81</v>
      </c>
      <c r="J102" s="12">
        <v>28.89</v>
      </c>
      <c r="K102" s="12">
        <v>27.27</v>
      </c>
      <c r="L102" s="12">
        <v>28.35</v>
      </c>
      <c r="M102" s="12">
        <v>27</v>
      </c>
      <c r="N102" s="12">
        <v>28.08</v>
      </c>
      <c r="O102" s="13">
        <f>IF(COUNT(AG102:AP102)&gt;0,MIN(AG102:AP102),"")</f>
        <v>27</v>
      </c>
      <c r="P102" s="13">
        <f>IF(COUNT(AG102:AP102)&gt;0,MAX(AG102:AP102),"")</f>
        <v>29.7</v>
      </c>
      <c r="Q102" s="13">
        <f>IF(ISNUMBER(O102),P102-O102,"")</f>
        <v>2.7</v>
      </c>
      <c r="R102" s="13">
        <f>IF(ISNUMBER(O102),IF(C102="Ручная",IF($S$108&gt;0,$R$108*Q102/$S$108,IF($W$108=7,$R$108,0)),0),"")</f>
        <v>0.929381443298968</v>
      </c>
      <c r="S102" s="13">
        <f>IF(ISNUMBER(O102),O102+R102,"")</f>
        <v>27.929381443299</v>
      </c>
      <c r="T102" s="13">
        <f>IF(ISNUMBER(S102),P102-S102,"")</f>
        <v>1.77061855670103</v>
      </c>
      <c r="U102" s="13">
        <f>IF(COUNT(AG102:AP102)&gt;0,AVERAGE(AG102:AP102),"")</f>
        <v>28.242</v>
      </c>
      <c r="AG102" s="13">
        <f>IF(ISNUMBER(E$108),E102,"")</f>
        <v>29.16</v>
      </c>
      <c r="AH102" s="13">
        <f>IF(ISNUMBER(F$108),F102,"")</f>
        <v>27.54</v>
      </c>
      <c r="AI102" s="13">
        <f>IF(ISNUMBER(G$108),G102,"")</f>
        <v>28.62</v>
      </c>
      <c r="AJ102" s="13">
        <f>IF(ISNUMBER(H$108),H102,"")</f>
        <v>29.7</v>
      </c>
      <c r="AK102" s="13">
        <f>IF(ISNUMBER(I$108),I102,"")</f>
        <v>27.81</v>
      </c>
      <c r="AL102" s="13">
        <f>IF(ISNUMBER(J$108),J102,"")</f>
        <v>28.89</v>
      </c>
      <c r="AM102" s="13">
        <f>IF(ISNUMBER(K$108),K102,"")</f>
        <v>27.27</v>
      </c>
      <c r="AN102" s="13">
        <f>IF(ISNUMBER(L$108),L102,"")</f>
        <v>28.35</v>
      </c>
      <c r="AO102" s="13">
        <f>IF(ISNUMBER(M$108),M102,"")</f>
        <v>27</v>
      </c>
      <c r="AP102" s="13">
        <f>IF(ISNUMBER(N$108),N102,"")</f>
        <v>28.08</v>
      </c>
      <c r="AQ102" s="13">
        <f>IF(C102="Ручная",O102,0)</f>
        <v>27</v>
      </c>
    </row>
    <row r="103" spans="1:43" ht="40" customHeight="1">
      <c r="A103" s="5">
        <v>8</v>
      </c>
      <c r="B103" s="5" t="s">
        <v>200</v>
      </c>
      <c r="C103" s="11" t="s">
        <v>183</v>
      </c>
      <c r="D103" s="7" t="s">
        <v>201</v>
      </c>
      <c r="E103" s="12">
        <v>19.8</v>
      </c>
      <c r="F103" s="12">
        <v>18.54</v>
      </c>
      <c r="G103" s="12">
        <v>19.26</v>
      </c>
      <c r="H103" s="12">
        <v>18.18</v>
      </c>
      <c r="I103" s="12">
        <v>18.9</v>
      </c>
      <c r="J103" s="12">
        <v>18</v>
      </c>
      <c r="K103" s="12">
        <v>18.72</v>
      </c>
      <c r="L103" s="12">
        <v>19.44</v>
      </c>
      <c r="M103" s="12">
        <v>18.36</v>
      </c>
      <c r="N103" s="12">
        <v>19.08</v>
      </c>
      <c r="O103" s="13">
        <f>IF(COUNT(AG103:AP103)&gt;0,MIN(AG103:AP103),"")</f>
        <v>18</v>
      </c>
      <c r="P103" s="13">
        <f>IF(COUNT(AG103:AP103)&gt;0,MAX(AG103:AP103),"")</f>
        <v>19.8</v>
      </c>
      <c r="Q103" s="13">
        <f>IF(ISNUMBER(O103),P103-O103,"")</f>
        <v>1.8</v>
      </c>
      <c r="R103" s="13">
        <f>IF(ISNUMBER(O103),IF(C103="Ручная",IF($S$108&gt;0,$R$108*Q103/$S$108,IF($W$108=8,$R$108,0)),0),"")</f>
        <v>0.619587628865979</v>
      </c>
      <c r="S103" s="13">
        <f>IF(ISNUMBER(O103),O103+R103,"")</f>
        <v>18.619587628866</v>
      </c>
      <c r="T103" s="13">
        <f>IF(ISNUMBER(S103),P103-S103,"")</f>
        <v>1.18041237113402</v>
      </c>
      <c r="U103" s="13">
        <f>IF(COUNT(AG103:AP103)&gt;0,AVERAGE(AG103:AP103),"")</f>
        <v>18.828</v>
      </c>
      <c r="AG103" s="13">
        <f>IF(ISNUMBER(E$108),E103,"")</f>
        <v>19.8</v>
      </c>
      <c r="AH103" s="13">
        <f>IF(ISNUMBER(F$108),F103,"")</f>
        <v>18.54</v>
      </c>
      <c r="AI103" s="13">
        <f>IF(ISNUMBER(G$108),G103,"")</f>
        <v>19.26</v>
      </c>
      <c r="AJ103" s="13">
        <f>IF(ISNUMBER(H$108),H103,"")</f>
        <v>18.18</v>
      </c>
      <c r="AK103" s="13">
        <f>IF(ISNUMBER(I$108),I103,"")</f>
        <v>18.9</v>
      </c>
      <c r="AL103" s="13">
        <f>IF(ISNUMBER(J$108),J103,"")</f>
        <v>18</v>
      </c>
      <c r="AM103" s="13">
        <f>IF(ISNUMBER(K$108),K103,"")</f>
        <v>18.72</v>
      </c>
      <c r="AN103" s="13">
        <f>IF(ISNUMBER(L$108),L103,"")</f>
        <v>19.44</v>
      </c>
      <c r="AO103" s="13">
        <f>IF(ISNUMBER(M$108),M103,"")</f>
        <v>18.36</v>
      </c>
      <c r="AP103" s="13">
        <f>IF(ISNUMBER(N$108),N103,"")</f>
        <v>19.08</v>
      </c>
      <c r="AQ103" s="13">
        <f>IF(C103="Ручная",O103,0)</f>
        <v>18</v>
      </c>
    </row>
    <row r="104" spans="1:43" ht="40" customHeight="1">
      <c r="A104" s="5" t="s">
        <v>189</v>
      </c>
      <c r="B104" s="5" t="s">
        <v>202</v>
      </c>
      <c r="C104" s="11" t="s">
        <v>191</v>
      </c>
      <c r="D104" s="7" t="s">
        <v>203</v>
      </c>
      <c r="E104" s="12">
        <v>5.05</v>
      </c>
      <c r="F104" s="12">
        <v>5.25</v>
      </c>
      <c r="G104" s="12">
        <v>5</v>
      </c>
      <c r="H104" s="12">
        <v>5.2</v>
      </c>
      <c r="I104" s="12">
        <v>5.4</v>
      </c>
      <c r="J104" s="12">
        <v>5.1</v>
      </c>
      <c r="K104" s="12">
        <v>5.3</v>
      </c>
      <c r="L104" s="12">
        <v>5.5</v>
      </c>
      <c r="M104" s="12">
        <v>5.15</v>
      </c>
      <c r="N104" s="12">
        <v>5.35</v>
      </c>
      <c r="O104" s="13">
        <f>IF(COUNT(AG104:AP104)&gt;0,MIN(AG104:AP104),"")</f>
        <v>5</v>
      </c>
      <c r="P104" s="13">
        <f>IF(COUNT(AG104:AP104)&gt;0,MAX(AG104:AP104),"")</f>
        <v>5.5</v>
      </c>
      <c r="Q104" s="13">
        <f>IF(ISNUMBER(O104),P104-O104,"")</f>
        <v>0.5</v>
      </c>
      <c r="R104" s="13">
        <f>IF(ISNUMBER(O104),IF(C104="Ручная",IF($S$108&gt;0,$R$108*Q104/$S$108,IF($W$108=9,$R$108,0)),0),"")</f>
        <v>0</v>
      </c>
      <c r="S104" s="13">
        <f>IF(ISNUMBER(O104),O104+R104,"")</f>
        <v>5</v>
      </c>
      <c r="T104" s="13">
        <f>IF(ISNUMBER(S104),P104-S104,"")</f>
        <v>0.5</v>
      </c>
      <c r="U104" s="13">
        <f>IF(COUNT(AG104:AP104)&gt;0,AVERAGE(AG104:AP104),"")</f>
        <v>5.23</v>
      </c>
      <c r="AG104" s="13">
        <f>IF(ISNUMBER(E$108),E104,"")</f>
        <v>5.05</v>
      </c>
      <c r="AH104" s="13">
        <f>IF(ISNUMBER(F$108),F104,"")</f>
        <v>5.25</v>
      </c>
      <c r="AI104" s="13">
        <f>IF(ISNUMBER(G$108),G104,"")</f>
        <v>5</v>
      </c>
      <c r="AJ104" s="13">
        <f>IF(ISNUMBER(H$108),H104,"")</f>
        <v>5.2</v>
      </c>
      <c r="AK104" s="13">
        <f>IF(ISNUMBER(I$108),I104,"")</f>
        <v>5.4</v>
      </c>
      <c r="AL104" s="13">
        <f>IF(ISNUMBER(J$108),J104,"")</f>
        <v>5.1</v>
      </c>
      <c r="AM104" s="13">
        <f>IF(ISNUMBER(K$108),K104,"")</f>
        <v>5.3</v>
      </c>
      <c r="AN104" s="13">
        <f>IF(ISNUMBER(L$108),L104,"")</f>
        <v>5.5</v>
      </c>
      <c r="AO104" s="13">
        <f>IF(ISNUMBER(M$108),M104,"")</f>
        <v>5.15</v>
      </c>
      <c r="AP104" s="13">
        <f>IF(ISNUMBER(N$108),N104,"")</f>
        <v>5.35</v>
      </c>
      <c r="AQ104" s="13">
        <f>IF(C104="Ручная",O104,0)</f>
        <v>0</v>
      </c>
    </row>
    <row r="105" spans="1:43" ht="40" customHeight="1">
      <c r="A105" s="5" t="s">
        <v>189</v>
      </c>
      <c r="B105" s="5" t="s">
        <v>204</v>
      </c>
      <c r="C105" s="11" t="s">
        <v>191</v>
      </c>
      <c r="D105" s="7" t="s">
        <v>205</v>
      </c>
      <c r="E105" s="12">
        <v>5.2</v>
      </c>
      <c r="F105" s="12">
        <v>5.4</v>
      </c>
      <c r="G105" s="12">
        <v>5.1</v>
      </c>
      <c r="H105" s="12">
        <v>5.3</v>
      </c>
      <c r="I105" s="12">
        <v>5.5</v>
      </c>
      <c r="J105" s="12">
        <v>5.15</v>
      </c>
      <c r="K105" s="12">
        <v>5.35</v>
      </c>
      <c r="L105" s="12">
        <v>5.05</v>
      </c>
      <c r="M105" s="12">
        <v>5.25</v>
      </c>
      <c r="N105" s="12">
        <v>5</v>
      </c>
      <c r="O105" s="13">
        <f>IF(COUNT(AG105:AP105)&gt;0,MIN(AG105:AP105),"")</f>
        <v>5</v>
      </c>
      <c r="P105" s="13">
        <f>IF(COUNT(AG105:AP105)&gt;0,MAX(AG105:AP105),"")</f>
        <v>5.5</v>
      </c>
      <c r="Q105" s="13">
        <f>IF(ISNUMBER(O105),P105-O105,"")</f>
        <v>0.5</v>
      </c>
      <c r="R105" s="13">
        <f>IF(ISNUMBER(O105),IF(C105="Ручная",IF($S$108&gt;0,$R$108*Q105/$S$108,IF($W$108=10,$R$108,0)),0),"")</f>
        <v>0</v>
      </c>
      <c r="S105" s="13">
        <f>IF(ISNUMBER(O105),O105+R105,"")</f>
        <v>5</v>
      </c>
      <c r="T105" s="13">
        <f>IF(ISNUMBER(S105),P105-S105,"")</f>
        <v>0.5</v>
      </c>
      <c r="U105" s="13">
        <f>IF(COUNT(AG105:AP105)&gt;0,AVERAGE(AG105:AP105),"")</f>
        <v>5.23</v>
      </c>
      <c r="AG105" s="13">
        <f>IF(ISNUMBER(E$108),E105,"")</f>
        <v>5.2</v>
      </c>
      <c r="AH105" s="13">
        <f>IF(ISNUMBER(F$108),F105,"")</f>
        <v>5.4</v>
      </c>
      <c r="AI105" s="13">
        <f>IF(ISNUMBER(G$108),G105,"")</f>
        <v>5.1</v>
      </c>
      <c r="AJ105" s="13">
        <f>IF(ISNUMBER(H$108),H105,"")</f>
        <v>5.3</v>
      </c>
      <c r="AK105" s="13">
        <f>IF(ISNUMBER(I$108),I105,"")</f>
        <v>5.5</v>
      </c>
      <c r="AL105" s="13">
        <f>IF(ISNUMBER(J$108),J105,"")</f>
        <v>5.15</v>
      </c>
      <c r="AM105" s="13">
        <f>IF(ISNUMBER(K$108),K105,"")</f>
        <v>5.35</v>
      </c>
      <c r="AN105" s="13">
        <f>IF(ISNUMBER(L$108),L105,"")</f>
        <v>5.05</v>
      </c>
      <c r="AO105" s="13">
        <f>IF(ISNUMBER(M$108),M105,"")</f>
        <v>5.25</v>
      </c>
      <c r="AP105" s="13">
        <f>IF(ISNUMBER(N$108),N105,"")</f>
        <v>5</v>
      </c>
      <c r="AQ105" s="13">
        <f>IF(C105="Ручная",O105,0)</f>
        <v>0</v>
      </c>
    </row>
    <row r="106" spans="1:43" ht="40" customHeight="1">
      <c r="A106" s="5" t="s">
        <v>189</v>
      </c>
      <c r="B106" s="5" t="s">
        <v>206</v>
      </c>
      <c r="C106" s="11" t="s">
        <v>207</v>
      </c>
      <c r="D106" s="7" t="s">
        <v>208</v>
      </c>
      <c r="E106" s="12">
        <v>0</v>
      </c>
      <c r="F106" s="12">
        <v>0</v>
      </c>
      <c r="G106" s="12">
        <v>0</v>
      </c>
      <c r="H106" s="12">
        <v>0</v>
      </c>
      <c r="I106" s="12">
        <v>0</v>
      </c>
      <c r="J106" s="12">
        <v>0</v>
      </c>
      <c r="K106" s="12">
        <v>0</v>
      </c>
      <c r="L106" s="12">
        <v>0</v>
      </c>
      <c r="M106" s="12">
        <v>0</v>
      </c>
      <c r="N106" s="12">
        <v>0</v>
      </c>
      <c r="O106" s="13">
        <f>IF(COUNT(AG106:AP106)&gt;0,MIN(AG106:AP106),"")</f>
        <v>0</v>
      </c>
      <c r="P106" s="13">
        <f>IF(COUNT(AG106:AP106)&gt;0,MAX(AG106:AP106),"")</f>
        <v>0</v>
      </c>
      <c r="Q106" s="13">
        <f>IF(ISNUMBER(O106),P106-O106,"")</f>
        <v>0</v>
      </c>
      <c r="R106" s="13">
        <f>IF(ISNUMBER(O106),IF(C106="Ручная",IF($S$108&gt;0,$R$108*Q106/$S$108,IF($W$108=11,$R$108,0)),0),"")</f>
        <v>0</v>
      </c>
      <c r="S106" s="13">
        <f>IF(ISNUMBER(O106),O106+R106,"")</f>
        <v>0</v>
      </c>
      <c r="T106" s="13">
        <f>IF(ISNUMBER(S106),P106-S106,"")</f>
        <v>0</v>
      </c>
      <c r="U106" s="13">
        <f>IF(COUNT(AG106:AP106)&gt;0,AVERAGE(AG106:AP106),"")</f>
        <v>0</v>
      </c>
      <c r="AG106" s="13">
        <f>IF(ISNUMBER(E$108),E106,"")</f>
        <v>0</v>
      </c>
      <c r="AH106" s="13">
        <f>IF(ISNUMBER(F$108),F106,"")</f>
        <v>0</v>
      </c>
      <c r="AI106" s="13">
        <f>IF(ISNUMBER(G$108),G106,"")</f>
        <v>0</v>
      </c>
      <c r="AJ106" s="13">
        <f>IF(ISNUMBER(H$108),H106,"")</f>
        <v>0</v>
      </c>
      <c r="AK106" s="13">
        <f>IF(ISNUMBER(I$108),I106,"")</f>
        <v>0</v>
      </c>
      <c r="AL106" s="13">
        <f>IF(ISNUMBER(J$108),J106,"")</f>
        <v>0</v>
      </c>
      <c r="AM106" s="13">
        <f>IF(ISNUMBER(K$108),K106,"")</f>
        <v>0</v>
      </c>
      <c r="AN106" s="13">
        <f>IF(ISNUMBER(L$108),L106,"")</f>
        <v>0</v>
      </c>
      <c r="AO106" s="13">
        <f>IF(ISNUMBER(M$108),M106,"")</f>
        <v>0</v>
      </c>
      <c r="AP106" s="13">
        <f>IF(ISNUMBER(N$108),N106,"")</f>
        <v>0</v>
      </c>
      <c r="AQ106" s="13">
        <f>IF(C106="Ручная",O106,0)</f>
        <v>0</v>
      </c>
    </row>
    <row r="107" spans="1:43" ht="23" customHeight="1">
      <c r="B107" s="4" t="s">
        <v>209</v>
      </c>
      <c r="E107" s="6">
        <f>IF(COUNT(E96:E106)=11,SUM(E96:E106),"")</f>
        <v>381.12</v>
      </c>
      <c r="F107" s="6">
        <f>IF(COUNT(F96:F106)=11,SUM(F96:F106),"")</f>
        <v>378.56</v>
      </c>
      <c r="G107" s="6">
        <f>IF(COUNT(G96:G106)=11,SUM(G96:G106),"")</f>
        <v>379.51</v>
      </c>
      <c r="H107" s="6">
        <f>IF(COUNT(H96:H106)=11,SUM(H96:H106),"")</f>
        <v>377.75</v>
      </c>
      <c r="I107" s="6">
        <f>IF(COUNT(I96:I106)=11,SUM(I96:I106),"")</f>
        <v>377.22</v>
      </c>
      <c r="J107" s="6">
        <f>IF(COUNT(J96:J106)=11,SUM(J96:J106),"")</f>
        <v>381.57</v>
      </c>
      <c r="K107" s="6">
        <f>IF(COUNT(K96:K106)=11,SUM(K96:K106),"")</f>
        <v>376.56</v>
      </c>
      <c r="L107" s="6">
        <f>IF(COUNT(L96:L106)=11,SUM(L96:L106),"")</f>
        <v>380.17</v>
      </c>
      <c r="M107" s="6">
        <f>IF(COUNT(M96:M106)=11,SUM(M96:M106),"")</f>
        <v>381.04</v>
      </c>
      <c r="N107" s="6">
        <f>IF(COUNT(N96:N106)=11,SUM(N96:N106),"")</f>
        <v>379.66</v>
      </c>
      <c r="O107" s="6">
        <f>IF(COUNT(O96:O106)=11,SUM(O96:O106),"")</f>
        <v>370.55</v>
      </c>
      <c r="P107" s="6">
        <f>IF(COUNT(P96:P106)=11,SUM(P96:P106),"")</f>
        <v>389.61</v>
      </c>
      <c r="Q107" s="6">
        <f>IF(COUNT(Q96:Q106)=11,SUM(Q96:Q106),"")</f>
        <v>19.06</v>
      </c>
      <c r="R107" s="6">
        <f>IF(COUNT(R96:R106)=11,SUM(R96:R106),"")</f>
        <v>6.00999999999999</v>
      </c>
      <c r="S107" s="6">
        <f>IF(COUNT(S96:S106)=11,SUM(S96:S106),"")</f>
        <v>376.56</v>
      </c>
      <c r="T107" s="6">
        <f>IF(COUNT(T96:T106)=11,SUM(T96:T106),"")</f>
        <v>13.05</v>
      </c>
      <c r="U107" s="6">
        <f>IF(COUNT(U96:U106)=11,SUM(U96:U106),"")</f>
        <v>379.316</v>
      </c>
    </row>
    <row r="108" spans="1:43" ht="23" customHeight="1">
      <c r="B108" s="4" t="s">
        <v>210</v>
      </c>
      <c r="E108" s="6">
        <f>IF(AND(E94=1,COUNT(E96:E106)=11,MIN(E96:E106)&gt;=0),E107,"")</f>
        <v>381.12</v>
      </c>
      <c r="F108" s="6">
        <f>IF(AND(F94=1,COUNT(F96:F106)=11,MIN(F96:F106)&gt;=0),F107,"")</f>
        <v>378.56</v>
      </c>
      <c r="G108" s="6">
        <f>IF(AND(G94=1,COUNT(G96:G106)=11,MIN(G96:G106)&gt;=0),G107,"")</f>
        <v>379.51</v>
      </c>
      <c r="H108" s="6">
        <f>IF(AND(H94=1,COUNT(H96:H106)=11,MIN(H96:H106)&gt;=0),H107,"")</f>
        <v>377.75</v>
      </c>
      <c r="I108" s="6">
        <f>IF(AND(I94=1,COUNT(I96:I106)=11,MIN(I96:I106)&gt;=0),I107,"")</f>
        <v>377.22</v>
      </c>
      <c r="J108" s="6">
        <f>IF(AND(J94=1,COUNT(J96:J106)=11,MIN(J96:J106)&gt;=0),J107,"")</f>
        <v>381.57</v>
      </c>
      <c r="K108" s="6">
        <f>IF(AND(K94=1,COUNT(K96:K106)=11,MIN(K96:K106)&gt;=0),K107,"")</f>
        <v>376.56</v>
      </c>
      <c r="L108" s="6">
        <f>IF(AND(L94=1,COUNT(L96:L106)=11,MIN(L96:L106)&gt;=0),L107,"")</f>
        <v>380.17</v>
      </c>
      <c r="M108" s="6">
        <f>IF(AND(M94=1,COUNT(M96:M106)=11,MIN(M96:M106)&gt;=0),M107,"")</f>
        <v>381.04</v>
      </c>
      <c r="N108" s="6">
        <f>IF(AND(N94=1,COUNT(N96:N106)=11,MIN(N96:N106)&gt;=0),N107,"")</f>
        <v>379.66</v>
      </c>
      <c r="O108" s="6">
        <f>IF(COUNT(E108:N108)&gt;0,MIN(E108:N108),"")</f>
        <v>376.56</v>
      </c>
      <c r="P108" s="6">
        <f>IF(COUNT(E108:N108)&gt;0,MAX(E108:N108),"")</f>
        <v>381.57</v>
      </c>
      <c r="Q108" s="6">
        <f>IF(ISNUMBER(O108),P108-O108,"")</f>
        <v>5.00999999999999</v>
      </c>
      <c r="R108" s="6">
        <f>IF(ISNUMBER(O108),MAX(0,O108-O107),"")</f>
        <v>6.00999999999999</v>
      </c>
      <c r="S108" s="6">
        <f>SUMIF(C96:C106,"Ручная",Q96:Q106)</f>
        <v>17.46</v>
      </c>
      <c r="T108" s="6">
        <f>COUNT(E108:N108)</f>
        <v>10</v>
      </c>
      <c r="U108" s="6">
        <f>IF(COUNT(E108:N108)&gt;0,AVERAGE(E108:N108),"")</f>
        <v>379.316</v>
      </c>
      <c r="V108" s="6">
        <f>IF(ISNUMBER(O108),S107-O108,"")</f>
        <v>-5.6843418860808e-14</v>
      </c>
      <c r="W108" s="6">
        <f>MATCH(MAX(AQ96:AQ106),AQ96:AQ106,0)</f>
        <v>2</v>
      </c>
      <c r="X108" s="17" t="str">
        <f>IF(T108=0,"НЕТ ЗАМЕРОВ",IF(T108&lt;10,"МЕНЕЕ 10 ЦИКЛОВ",IF(ABS(V108)&lt;0.000001,"ОК","ОШИБКА РЕГУЛИРОВКИ")))</f>
        <v>ОК</v>
      </c>
    </row>
    <row r="109" spans="1:43" ht="23" customHeight="1">
      <c r="A109" s="7" t="s">
        <v>211</v>
      </c>
      <c r="B109" s="7"/>
      <c r="C109" s="7"/>
      <c r="D109" s="7"/>
      <c r="E109" s="7"/>
      <c r="F109" s="7"/>
      <c r="G109" s="7"/>
      <c r="H109" s="7"/>
      <c r="I109" s="7"/>
      <c r="J109" s="7"/>
      <c r="K109" s="7"/>
      <c r="L109" s="7"/>
      <c r="M109" s="7"/>
      <c r="N109" s="7"/>
      <c r="O109" s="7"/>
      <c r="P109" s="7"/>
      <c r="Q109" s="7"/>
      <c r="R109" s="7"/>
      <c r="S109" s="7"/>
      <c r="T109" s="7"/>
      <c r="U109" s="7"/>
      <c r="V109" s="7"/>
      <c r="W109" s="7"/>
      <c r="X109" s="7"/>
    </row>
    <row r="112" spans="1:43" ht="23" customHeight="1">
      <c r="A112" s="4" t="s">
        <v>235</v>
      </c>
      <c r="B112" s="4"/>
      <c r="C112" s="4"/>
      <c r="D112" s="4"/>
      <c r="E112" s="4"/>
      <c r="F112" s="4"/>
      <c r="G112" s="4"/>
      <c r="H112" s="4"/>
      <c r="I112" s="4"/>
      <c r="J112" s="4"/>
      <c r="K112" s="4"/>
      <c r="L112" s="4"/>
      <c r="M112" s="4"/>
      <c r="N112" s="4"/>
      <c r="O112" s="4"/>
      <c r="P112" s="4"/>
      <c r="Q112" s="4"/>
      <c r="R112" s="4"/>
      <c r="S112" s="4"/>
      <c r="T112" s="4"/>
      <c r="U112" s="4"/>
      <c r="V112" s="4"/>
      <c r="W112" s="4"/>
      <c r="X112" s="4"/>
    </row>
    <row r="113" spans="1:43" ht="23" customHeight="1">
      <c r="A113" s="7" t="str">
        <f>"Масса замера, кг: "&amp;'Ассортимент'!J13&amp;".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113" s="7"/>
      <c r="C113" s="7"/>
      <c r="D113" s="7"/>
      <c r="E113" s="7"/>
      <c r="F113" s="7"/>
      <c r="G113" s="7"/>
      <c r="H113" s="7"/>
      <c r="I113" s="7"/>
      <c r="J113" s="7"/>
      <c r="K113" s="7"/>
      <c r="L113" s="7"/>
      <c r="M113" s="7"/>
      <c r="N113" s="7"/>
      <c r="O113" s="7"/>
      <c r="P113" s="7"/>
      <c r="Q113" s="7"/>
      <c r="R113" s="7"/>
      <c r="S113" s="7"/>
      <c r="T113" s="7"/>
      <c r="U113" s="7"/>
      <c r="V113" s="7"/>
      <c r="W113" s="7"/>
      <c r="X113" s="7"/>
    </row>
    <row r="114" spans="1:43" ht="44" customHeight="1">
      <c r="A114" s="8" t="s">
        <v>113</v>
      </c>
      <c r="B114" s="8" t="s">
        <v>156</v>
      </c>
      <c r="C114" s="8" t="s">
        <v>157</v>
      </c>
      <c r="D114" s="8" t="s">
        <v>158</v>
      </c>
      <c r="E114" s="8" t="s">
        <v>159</v>
      </c>
      <c r="F114" s="8" t="s">
        <v>160</v>
      </c>
      <c r="G114" s="8" t="s">
        <v>161</v>
      </c>
      <c r="H114" s="8" t="s">
        <v>162</v>
      </c>
      <c r="I114" s="8" t="s">
        <v>163</v>
      </c>
      <c r="J114" s="8" t="s">
        <v>164</v>
      </c>
      <c r="K114" s="8" t="s">
        <v>165</v>
      </c>
      <c r="L114" s="8" t="s">
        <v>166</v>
      </c>
      <c r="M114" s="8" t="s">
        <v>167</v>
      </c>
      <c r="N114" s="8" t="s">
        <v>168</v>
      </c>
      <c r="O114" s="8" t="s">
        <v>169</v>
      </c>
      <c r="P114" s="8" t="s">
        <v>170</v>
      </c>
      <c r="Q114" s="8" t="s">
        <v>171</v>
      </c>
      <c r="R114" s="8" t="s">
        <v>172</v>
      </c>
      <c r="S114" s="8" t="s">
        <v>173</v>
      </c>
      <c r="T114" s="8" t="s">
        <v>174</v>
      </c>
      <c r="U114" s="8" t="s">
        <v>175</v>
      </c>
      <c r="V114" s="8" t="s">
        <v>176</v>
      </c>
      <c r="W114" s="8" t="s">
        <v>177</v>
      </c>
      <c r="X114" s="8" t="s">
        <v>178</v>
      </c>
    </row>
    <row r="115" spans="1:43" ht="23" customHeight="1">
      <c r="B115" s="5" t="s">
        <v>179</v>
      </c>
      <c r="E115" s="12">
        <v>1</v>
      </c>
      <c r="F115" s="12">
        <v>1</v>
      </c>
      <c r="G115" s="12">
        <v>1</v>
      </c>
      <c r="H115" s="12">
        <v>1</v>
      </c>
      <c r="I115" s="12">
        <v>1</v>
      </c>
      <c r="J115" s="12">
        <v>1</v>
      </c>
      <c r="K115" s="12">
        <v>1</v>
      </c>
      <c r="L115" s="12">
        <v>1</v>
      </c>
      <c r="M115" s="12">
        <v>1</v>
      </c>
      <c r="N115" s="12">
        <v>1</v>
      </c>
    </row>
    <row r="116" spans="1:43" ht="33" customHeight="1">
      <c r="B116" s="5" t="s">
        <v>180</v>
      </c>
      <c r="E116" s="9" t="s">
        <v>181</v>
      </c>
      <c r="F116" s="9" t="s">
        <v>181</v>
      </c>
      <c r="G116" s="9" t="s">
        <v>181</v>
      </c>
      <c r="H116" s="9" t="s">
        <v>181</v>
      </c>
      <c r="I116" s="9" t="s">
        <v>181</v>
      </c>
      <c r="J116" s="9" t="s">
        <v>181</v>
      </c>
      <c r="K116" s="9" t="s">
        <v>181</v>
      </c>
      <c r="L116" s="9" t="s">
        <v>181</v>
      </c>
      <c r="M116" s="9" t="s">
        <v>181</v>
      </c>
      <c r="N116" s="9" t="s">
        <v>181</v>
      </c>
    </row>
    <row r="117" spans="1:43" ht="40" customHeight="1">
      <c r="A117" s="5">
        <v>1</v>
      </c>
      <c r="B117" s="5" t="s">
        <v>182</v>
      </c>
      <c r="C117" s="11" t="s">
        <v>183</v>
      </c>
      <c r="D117" s="7" t="s">
        <v>184</v>
      </c>
      <c r="E117" s="12">
        <v>27.5</v>
      </c>
      <c r="F117" s="12">
        <v>25.75</v>
      </c>
      <c r="G117" s="12">
        <v>26.75</v>
      </c>
      <c r="H117" s="12">
        <v>25.25</v>
      </c>
      <c r="I117" s="12">
        <v>26.25</v>
      </c>
      <c r="J117" s="12">
        <v>25</v>
      </c>
      <c r="K117" s="12">
        <v>26</v>
      </c>
      <c r="L117" s="12">
        <v>27</v>
      </c>
      <c r="M117" s="12">
        <v>25.5</v>
      </c>
      <c r="N117" s="12">
        <v>26.5</v>
      </c>
      <c r="O117" s="13">
        <f>IF(COUNT(AG117:AP117)&gt;0,MIN(AG117:AP117),"")</f>
        <v>25</v>
      </c>
      <c r="P117" s="13">
        <f>IF(COUNT(AG117:AP117)&gt;0,MAX(AG117:AP117),"")</f>
        <v>27.5</v>
      </c>
      <c r="Q117" s="13">
        <f>IF(ISNUMBER(O117),P117-O117,"")</f>
        <v>2.5</v>
      </c>
      <c r="R117" s="13">
        <f>IF(ISNUMBER(O117),IF(C117="Ручная",IF($S$129&gt;0,$R$129*Q117/$S$129,IF($W$129=1,$R$129,0)),0),"")</f>
        <v>0.767263427109979</v>
      </c>
      <c r="S117" s="13">
        <f>IF(ISNUMBER(O117),O117+R117,"")</f>
        <v>25.76726342711</v>
      </c>
      <c r="T117" s="13">
        <f>IF(ISNUMBER(S117),P117-S117,"")</f>
        <v>1.73273657289002</v>
      </c>
      <c r="U117" s="13">
        <f>IF(COUNT(AG117:AP117)&gt;0,AVERAGE(AG117:AP117),"")</f>
        <v>26.15</v>
      </c>
      <c r="AG117" s="13">
        <f>IF(ISNUMBER(E$129),E117,"")</f>
        <v>27.5</v>
      </c>
      <c r="AH117" s="13">
        <f>IF(ISNUMBER(F$129),F117,"")</f>
        <v>25.75</v>
      </c>
      <c r="AI117" s="13">
        <f>IF(ISNUMBER(G$129),G117,"")</f>
        <v>26.75</v>
      </c>
      <c r="AJ117" s="13">
        <f>IF(ISNUMBER(H$129),H117,"")</f>
        <v>25.25</v>
      </c>
      <c r="AK117" s="13">
        <f>IF(ISNUMBER(I$129),I117,"")</f>
        <v>26.25</v>
      </c>
      <c r="AL117" s="13">
        <f>IF(ISNUMBER(J$129),J117,"")</f>
        <v>25</v>
      </c>
      <c r="AM117" s="13">
        <f>IF(ISNUMBER(K$129),K117,"")</f>
        <v>26</v>
      </c>
      <c r="AN117" s="13">
        <f>IF(ISNUMBER(L$129),L117,"")</f>
        <v>27</v>
      </c>
      <c r="AO117" s="13">
        <f>IF(ISNUMBER(M$129),M117,"")</f>
        <v>25.5</v>
      </c>
      <c r="AP117" s="13">
        <f>IF(ISNUMBER(N$129),N117,"")</f>
        <v>26.5</v>
      </c>
      <c r="AQ117" s="13">
        <f>IF(C117="Ручная",O117,0)</f>
        <v>25</v>
      </c>
    </row>
    <row r="118" spans="1:43" ht="40" customHeight="1">
      <c r="A118" s="5">
        <v>2</v>
      </c>
      <c r="B118" s="5" t="s">
        <v>185</v>
      </c>
      <c r="C118" s="11" t="s">
        <v>183</v>
      </c>
      <c r="D118" s="7" t="s">
        <v>186</v>
      </c>
      <c r="E118" s="12">
        <v>116.15</v>
      </c>
      <c r="F118" s="12">
        <v>120.75</v>
      </c>
      <c r="G118" s="12">
        <v>115</v>
      </c>
      <c r="H118" s="12">
        <v>119.6</v>
      </c>
      <c r="I118" s="12">
        <v>124.2</v>
      </c>
      <c r="J118" s="12">
        <v>117.3</v>
      </c>
      <c r="K118" s="12">
        <v>121.9</v>
      </c>
      <c r="L118" s="12">
        <v>126.5</v>
      </c>
      <c r="M118" s="12">
        <v>118.45</v>
      </c>
      <c r="N118" s="12">
        <v>123.05</v>
      </c>
      <c r="O118" s="13">
        <f>IF(COUNT(AG118:AP118)&gt;0,MIN(AG118:AP118),"")</f>
        <v>115</v>
      </c>
      <c r="P118" s="13">
        <f>IF(COUNT(AG118:AP118)&gt;0,MAX(AG118:AP118),"")</f>
        <v>126.5</v>
      </c>
      <c r="Q118" s="13">
        <f>IF(ISNUMBER(O118),P118-O118,"")</f>
        <v>11.5</v>
      </c>
      <c r="R118" s="13">
        <f>IF(ISNUMBER(O118),IF(C118="Ручная",IF($S$129&gt;0,$R$129*Q118/$S$129,IF($W$129=2,$R$129,0)),0),"")</f>
        <v>3.5294117647059</v>
      </c>
      <c r="S118" s="13">
        <f>IF(ISNUMBER(O118),O118+R118,"")</f>
        <v>118.529411764706</v>
      </c>
      <c r="T118" s="13">
        <f>IF(ISNUMBER(S118),P118-S118,"")</f>
        <v>7.9705882352941</v>
      </c>
      <c r="U118" s="13">
        <f>IF(COUNT(AG118:AP118)&gt;0,AVERAGE(AG118:AP118),"")</f>
        <v>120.29</v>
      </c>
      <c r="AG118" s="13">
        <f>IF(ISNUMBER(E$129),E118,"")</f>
        <v>116.15</v>
      </c>
      <c r="AH118" s="13">
        <f>IF(ISNUMBER(F$129),F118,"")</f>
        <v>120.75</v>
      </c>
      <c r="AI118" s="13">
        <f>IF(ISNUMBER(G$129),G118,"")</f>
        <v>115</v>
      </c>
      <c r="AJ118" s="13">
        <f>IF(ISNUMBER(H$129),H118,"")</f>
        <v>119.6</v>
      </c>
      <c r="AK118" s="13">
        <f>IF(ISNUMBER(I$129),I118,"")</f>
        <v>124.2</v>
      </c>
      <c r="AL118" s="13">
        <f>IF(ISNUMBER(J$129),J118,"")</f>
        <v>117.3</v>
      </c>
      <c r="AM118" s="13">
        <f>IF(ISNUMBER(K$129),K118,"")</f>
        <v>121.9</v>
      </c>
      <c r="AN118" s="13">
        <f>IF(ISNUMBER(L$129),L118,"")</f>
        <v>126.5</v>
      </c>
      <c r="AO118" s="13">
        <f>IF(ISNUMBER(M$129),M118,"")</f>
        <v>118.45</v>
      </c>
      <c r="AP118" s="13">
        <f>IF(ISNUMBER(N$129),N118,"")</f>
        <v>123.05</v>
      </c>
      <c r="AQ118" s="13">
        <f>IF(C118="Ручная",O118,0)</f>
        <v>115</v>
      </c>
    </row>
    <row r="119" spans="1:43" ht="40" customHeight="1">
      <c r="A119" s="5">
        <v>3</v>
      </c>
      <c r="B119" s="5" t="s">
        <v>187</v>
      </c>
      <c r="C119" s="11" t="s">
        <v>183</v>
      </c>
      <c r="D119" s="7" t="s">
        <v>188</v>
      </c>
      <c r="E119" s="12">
        <v>20.59</v>
      </c>
      <c r="F119" s="12">
        <v>21.38</v>
      </c>
      <c r="G119" s="12">
        <v>20.2</v>
      </c>
      <c r="H119" s="12">
        <v>20.99</v>
      </c>
      <c r="I119" s="12">
        <v>21.78</v>
      </c>
      <c r="J119" s="12">
        <v>20.39</v>
      </c>
      <c r="K119" s="12">
        <v>21.19</v>
      </c>
      <c r="L119" s="12">
        <v>20</v>
      </c>
      <c r="M119" s="12">
        <v>20.79</v>
      </c>
      <c r="N119" s="12">
        <v>19.8</v>
      </c>
      <c r="O119" s="13">
        <f>IF(COUNT(AG119:AP119)&gt;0,MIN(AG119:AP119),"")</f>
        <v>19.8</v>
      </c>
      <c r="P119" s="13">
        <f>IF(COUNT(AG119:AP119)&gt;0,MAX(AG119:AP119),"")</f>
        <v>21.78</v>
      </c>
      <c r="Q119" s="13">
        <f>IF(ISNUMBER(O119),P119-O119,"")</f>
        <v>1.98</v>
      </c>
      <c r="R119" s="13">
        <f>IF(ISNUMBER(O119),IF(C119="Ручная",IF($S$129&gt;0,$R$129*Q119/$S$129,IF($W$129=3,$R$129,0)),0),"")</f>
        <v>0.607672634271104</v>
      </c>
      <c r="S119" s="13">
        <f>IF(ISNUMBER(O119),O119+R119,"")</f>
        <v>20.4076726342711</v>
      </c>
      <c r="T119" s="13">
        <f>IF(ISNUMBER(S119),P119-S119,"")</f>
        <v>1.3723273657289</v>
      </c>
      <c r="U119" s="13">
        <f>IF(COUNT(AG119:AP119)&gt;0,AVERAGE(AG119:AP119),"")</f>
        <v>20.711</v>
      </c>
      <c r="AG119" s="13">
        <f>IF(ISNUMBER(E$129),E119,"")</f>
        <v>20.59</v>
      </c>
      <c r="AH119" s="13">
        <f>IF(ISNUMBER(F$129),F119,"")</f>
        <v>21.38</v>
      </c>
      <c r="AI119" s="13">
        <f>IF(ISNUMBER(G$129),G119,"")</f>
        <v>20.2</v>
      </c>
      <c r="AJ119" s="13">
        <f>IF(ISNUMBER(H$129),H119,"")</f>
        <v>20.99</v>
      </c>
      <c r="AK119" s="13">
        <f>IF(ISNUMBER(I$129),I119,"")</f>
        <v>21.78</v>
      </c>
      <c r="AL119" s="13">
        <f>IF(ISNUMBER(J$129),J119,"")</f>
        <v>20.39</v>
      </c>
      <c r="AM119" s="13">
        <f>IF(ISNUMBER(K$129),K119,"")</f>
        <v>21.19</v>
      </c>
      <c r="AN119" s="13">
        <f>IF(ISNUMBER(L$129),L119,"")</f>
        <v>20</v>
      </c>
      <c r="AO119" s="13">
        <f>IF(ISNUMBER(M$129),M119,"")</f>
        <v>20.79</v>
      </c>
      <c r="AP119" s="13">
        <f>IF(ISNUMBER(N$129),N119,"")</f>
        <v>19.8</v>
      </c>
      <c r="AQ119" s="13">
        <f>IF(C119="Ручная",O119,0)</f>
        <v>19.8</v>
      </c>
    </row>
    <row r="120" spans="1:43" ht="40" customHeight="1">
      <c r="A120" s="5" t="s">
        <v>189</v>
      </c>
      <c r="B120" s="5" t="s">
        <v>190</v>
      </c>
      <c r="C120" s="11" t="s">
        <v>191</v>
      </c>
      <c r="D120" s="7" t="s">
        <v>192</v>
      </c>
      <c r="E120" s="12">
        <v>6.36</v>
      </c>
      <c r="F120" s="12">
        <v>6.6</v>
      </c>
      <c r="G120" s="12">
        <v>6.18</v>
      </c>
      <c r="H120" s="12">
        <v>6.42</v>
      </c>
      <c r="I120" s="12">
        <v>6.06</v>
      </c>
      <c r="J120" s="12">
        <v>6.3</v>
      </c>
      <c r="K120" s="12">
        <v>6</v>
      </c>
      <c r="L120" s="12">
        <v>6.24</v>
      </c>
      <c r="M120" s="12">
        <v>6.48</v>
      </c>
      <c r="N120" s="12">
        <v>6.12</v>
      </c>
      <c r="O120" s="13">
        <f>IF(COUNT(AG120:AP120)&gt;0,MIN(AG120:AP120),"")</f>
        <v>6</v>
      </c>
      <c r="P120" s="13">
        <f>IF(COUNT(AG120:AP120)&gt;0,MAX(AG120:AP120),"")</f>
        <v>6.6</v>
      </c>
      <c r="Q120" s="13">
        <f>IF(ISNUMBER(O120),P120-O120,"")</f>
        <v>0.6</v>
      </c>
      <c r="R120" s="13">
        <f>IF(ISNUMBER(O120),IF(C120="Ручная",IF($S$129&gt;0,$R$129*Q120/$S$129,IF($W$129=4,$R$129,0)),0),"")</f>
        <v>0</v>
      </c>
      <c r="S120" s="13">
        <f>IF(ISNUMBER(O120),O120+R120,"")</f>
        <v>6</v>
      </c>
      <c r="T120" s="13">
        <f>IF(ISNUMBER(S120),P120-S120,"")</f>
        <v>0.6</v>
      </c>
      <c r="U120" s="13">
        <f>IF(COUNT(AG120:AP120)&gt;0,AVERAGE(AG120:AP120),"")</f>
        <v>6.276</v>
      </c>
      <c r="AG120" s="13">
        <f>IF(ISNUMBER(E$129),E120,"")</f>
        <v>6.36</v>
      </c>
      <c r="AH120" s="13">
        <f>IF(ISNUMBER(F$129),F120,"")</f>
        <v>6.6</v>
      </c>
      <c r="AI120" s="13">
        <f>IF(ISNUMBER(G$129),G120,"")</f>
        <v>6.18</v>
      </c>
      <c r="AJ120" s="13">
        <f>IF(ISNUMBER(H$129),H120,"")</f>
        <v>6.42</v>
      </c>
      <c r="AK120" s="13">
        <f>IF(ISNUMBER(I$129),I120,"")</f>
        <v>6.06</v>
      </c>
      <c r="AL120" s="13">
        <f>IF(ISNUMBER(J$129),J120,"")</f>
        <v>6.3</v>
      </c>
      <c r="AM120" s="13">
        <f>IF(ISNUMBER(K$129),K120,"")</f>
        <v>6</v>
      </c>
      <c r="AN120" s="13">
        <f>IF(ISNUMBER(L$129),L120,"")</f>
        <v>6.24</v>
      </c>
      <c r="AO120" s="13">
        <f>IF(ISNUMBER(M$129),M120,"")</f>
        <v>6.48</v>
      </c>
      <c r="AP120" s="13">
        <f>IF(ISNUMBER(N$129),N120,"")</f>
        <v>6.12</v>
      </c>
      <c r="AQ120" s="13">
        <f>IF(C120="Ручная",O120,0)</f>
        <v>0</v>
      </c>
    </row>
    <row r="121" spans="1:43" ht="40" customHeight="1">
      <c r="A121" s="5">
        <v>5</v>
      </c>
      <c r="B121" s="5" t="s">
        <v>193</v>
      </c>
      <c r="C121" s="11" t="s">
        <v>183</v>
      </c>
      <c r="D121" s="7" t="s">
        <v>194</v>
      </c>
      <c r="E121" s="12">
        <v>31.83</v>
      </c>
      <c r="F121" s="12">
        <v>30.05</v>
      </c>
      <c r="G121" s="12">
        <v>31.24</v>
      </c>
      <c r="H121" s="12">
        <v>29.75</v>
      </c>
      <c r="I121" s="12">
        <v>30.94</v>
      </c>
      <c r="J121" s="12">
        <v>32.13</v>
      </c>
      <c r="K121" s="12">
        <v>30.34</v>
      </c>
      <c r="L121" s="12">
        <v>31.54</v>
      </c>
      <c r="M121" s="12">
        <v>32.73</v>
      </c>
      <c r="N121" s="12">
        <v>30.64</v>
      </c>
      <c r="O121" s="13">
        <f>IF(COUNT(AG121:AP121)&gt;0,MIN(AG121:AP121),"")</f>
        <v>29.75</v>
      </c>
      <c r="P121" s="13">
        <f>IF(COUNT(AG121:AP121)&gt;0,MAX(AG121:AP121),"")</f>
        <v>32.73</v>
      </c>
      <c r="Q121" s="13">
        <f>IF(ISNUMBER(O121),P121-O121,"")</f>
        <v>2.98</v>
      </c>
      <c r="R121" s="13">
        <f>IF(ISNUMBER(O121),IF(C121="Ручная",IF($S$129&gt;0,$R$129*Q121/$S$129,IF($W$129=5,$R$129,0)),0),"")</f>
        <v>0.914578005115094</v>
      </c>
      <c r="S121" s="13">
        <f>IF(ISNUMBER(O121),O121+R121,"")</f>
        <v>30.6645780051151</v>
      </c>
      <c r="T121" s="13">
        <f>IF(ISNUMBER(S121),P121-S121,"")</f>
        <v>2.0654219948849</v>
      </c>
      <c r="U121" s="13">
        <f>IF(COUNT(AG121:AP121)&gt;0,AVERAGE(AG121:AP121),"")</f>
        <v>31.119</v>
      </c>
      <c r="AG121" s="13">
        <f>IF(ISNUMBER(E$129),E121,"")</f>
        <v>31.83</v>
      </c>
      <c r="AH121" s="13">
        <f>IF(ISNUMBER(F$129),F121,"")</f>
        <v>30.05</v>
      </c>
      <c r="AI121" s="13">
        <f>IF(ISNUMBER(G$129),G121,"")</f>
        <v>31.24</v>
      </c>
      <c r="AJ121" s="13">
        <f>IF(ISNUMBER(H$129),H121,"")</f>
        <v>29.75</v>
      </c>
      <c r="AK121" s="13">
        <f>IF(ISNUMBER(I$129),I121,"")</f>
        <v>30.94</v>
      </c>
      <c r="AL121" s="13">
        <f>IF(ISNUMBER(J$129),J121,"")</f>
        <v>32.13</v>
      </c>
      <c r="AM121" s="13">
        <f>IF(ISNUMBER(K$129),K121,"")</f>
        <v>30.34</v>
      </c>
      <c r="AN121" s="13">
        <f>IF(ISNUMBER(L$129),L121,"")</f>
        <v>31.54</v>
      </c>
      <c r="AO121" s="13">
        <f>IF(ISNUMBER(M$129),M121,"")</f>
        <v>32.73</v>
      </c>
      <c r="AP121" s="13">
        <f>IF(ISNUMBER(N$129),N121,"")</f>
        <v>30.64</v>
      </c>
      <c r="AQ121" s="13">
        <f>IF(C121="Ручная",O121,0)</f>
        <v>29.75</v>
      </c>
    </row>
    <row r="122" spans="1:43" ht="40" customHeight="1">
      <c r="A122" s="5" t="s">
        <v>189</v>
      </c>
      <c r="B122" s="5" t="s">
        <v>195</v>
      </c>
      <c r="C122" s="11" t="s">
        <v>196</v>
      </c>
      <c r="D122" s="7" t="s">
        <v>197</v>
      </c>
      <c r="E122" s="18">
        <f>'Ассортимент'!R13</f>
        <v>300</v>
      </c>
      <c r="F122" s="18">
        <f>'Ассортимент'!R13</f>
        <v>300</v>
      </c>
      <c r="G122" s="18">
        <f>'Ассортимент'!R13</f>
        <v>300</v>
      </c>
      <c r="H122" s="18">
        <f>'Ассортимент'!R13</f>
        <v>300</v>
      </c>
      <c r="I122" s="18">
        <f>'Ассортимент'!R13</f>
        <v>300</v>
      </c>
      <c r="J122" s="18">
        <f>'Ассортимент'!R13</f>
        <v>300</v>
      </c>
      <c r="K122" s="18">
        <f>'Ассортимент'!R13</f>
        <v>300</v>
      </c>
      <c r="L122" s="18">
        <f>'Ассортимент'!R13</f>
        <v>300</v>
      </c>
      <c r="M122" s="18">
        <f>'Ассортимент'!R13</f>
        <v>300</v>
      </c>
      <c r="N122" s="18">
        <f>'Ассортимент'!R13</f>
        <v>300</v>
      </c>
      <c r="O122" s="13">
        <f>IF(COUNT(AG122:AP122)&gt;0,MIN(AG122:AP122),"")</f>
        <v>300</v>
      </c>
      <c r="P122" s="13">
        <f>IF(COUNT(AG122:AP122)&gt;0,MAX(AG122:AP122),"")</f>
        <v>300</v>
      </c>
      <c r="Q122" s="13">
        <f>IF(ISNUMBER(O122),P122-O122,"")</f>
        <v>0</v>
      </c>
      <c r="R122" s="13">
        <f>IF(ISNUMBER(O122),IF(C122="Ручная",IF($S$129&gt;0,$R$129*Q122/$S$129,IF($W$129=6,$R$129,0)),0),"")</f>
        <v>0</v>
      </c>
      <c r="S122" s="13">
        <f>IF(ISNUMBER(O122),O122+R122,"")</f>
        <v>300</v>
      </c>
      <c r="T122" s="13">
        <f>IF(ISNUMBER(S122),P122-S122,"")</f>
        <v>0</v>
      </c>
      <c r="U122" s="13">
        <f>IF(COUNT(AG122:AP122)&gt;0,AVERAGE(AG122:AP122),"")</f>
        <v>300</v>
      </c>
      <c r="AG122" s="13">
        <f>IF(ISNUMBER(E$129),E122,"")</f>
        <v>300</v>
      </c>
      <c r="AH122" s="13">
        <f>IF(ISNUMBER(F$129),F122,"")</f>
        <v>300</v>
      </c>
      <c r="AI122" s="13">
        <f>IF(ISNUMBER(G$129),G122,"")</f>
        <v>300</v>
      </c>
      <c r="AJ122" s="13">
        <f>IF(ISNUMBER(H$129),H122,"")</f>
        <v>300</v>
      </c>
      <c r="AK122" s="13">
        <f>IF(ISNUMBER(I$129),I122,"")</f>
        <v>300</v>
      </c>
      <c r="AL122" s="13">
        <f>IF(ISNUMBER(J$129),J122,"")</f>
        <v>300</v>
      </c>
      <c r="AM122" s="13">
        <f>IF(ISNUMBER(K$129),K122,"")</f>
        <v>300</v>
      </c>
      <c r="AN122" s="13">
        <f>IF(ISNUMBER(L$129),L122,"")</f>
        <v>300</v>
      </c>
      <c r="AO122" s="13">
        <f>IF(ISNUMBER(M$129),M122,"")</f>
        <v>300</v>
      </c>
      <c r="AP122" s="13">
        <f>IF(ISNUMBER(N$129),N122,"")</f>
        <v>300</v>
      </c>
      <c r="AQ122" s="13">
        <f>IF(C122="Ручная",O122,0)</f>
        <v>0</v>
      </c>
    </row>
    <row r="123" spans="1:43" ht="40" customHeight="1">
      <c r="A123" s="5">
        <v>7</v>
      </c>
      <c r="B123" s="5" t="s">
        <v>198</v>
      </c>
      <c r="C123" s="11" t="s">
        <v>183</v>
      </c>
      <c r="D123" s="7" t="s">
        <v>199</v>
      </c>
      <c r="E123" s="12">
        <v>27.54</v>
      </c>
      <c r="F123" s="12">
        <v>28.62</v>
      </c>
      <c r="G123" s="12">
        <v>29.7</v>
      </c>
      <c r="H123" s="12">
        <v>27.81</v>
      </c>
      <c r="I123" s="12">
        <v>28.89</v>
      </c>
      <c r="J123" s="12">
        <v>27.27</v>
      </c>
      <c r="K123" s="12">
        <v>28.35</v>
      </c>
      <c r="L123" s="12">
        <v>27</v>
      </c>
      <c r="M123" s="12">
        <v>28.08</v>
      </c>
      <c r="N123" s="12">
        <v>29.16</v>
      </c>
      <c r="O123" s="13">
        <f>IF(COUNT(AG123:AP123)&gt;0,MIN(AG123:AP123),"")</f>
        <v>27</v>
      </c>
      <c r="P123" s="13">
        <f>IF(COUNT(AG123:AP123)&gt;0,MAX(AG123:AP123),"")</f>
        <v>29.7</v>
      </c>
      <c r="Q123" s="13">
        <f>IF(ISNUMBER(O123),P123-O123,"")</f>
        <v>2.7</v>
      </c>
      <c r="R123" s="13">
        <f>IF(ISNUMBER(O123),IF(C123="Ручная",IF($S$129&gt;0,$R$129*Q123/$S$129,IF($W$129=7,$R$129,0)),0),"")</f>
        <v>0.828644501278778</v>
      </c>
      <c r="S123" s="13">
        <f>IF(ISNUMBER(O123),O123+R123,"")</f>
        <v>27.8286445012788</v>
      </c>
      <c r="T123" s="13">
        <f>IF(ISNUMBER(S123),P123-S123,"")</f>
        <v>1.87135549872122</v>
      </c>
      <c r="U123" s="13">
        <f>IF(COUNT(AG123:AP123)&gt;0,AVERAGE(AG123:AP123),"")</f>
        <v>28.242</v>
      </c>
      <c r="AG123" s="13">
        <f>IF(ISNUMBER(E$129),E123,"")</f>
        <v>27.54</v>
      </c>
      <c r="AH123" s="13">
        <f>IF(ISNUMBER(F$129),F123,"")</f>
        <v>28.62</v>
      </c>
      <c r="AI123" s="13">
        <f>IF(ISNUMBER(G$129),G123,"")</f>
        <v>29.7</v>
      </c>
      <c r="AJ123" s="13">
        <f>IF(ISNUMBER(H$129),H123,"")</f>
        <v>27.81</v>
      </c>
      <c r="AK123" s="13">
        <f>IF(ISNUMBER(I$129),I123,"")</f>
        <v>28.89</v>
      </c>
      <c r="AL123" s="13">
        <f>IF(ISNUMBER(J$129),J123,"")</f>
        <v>27.27</v>
      </c>
      <c r="AM123" s="13">
        <f>IF(ISNUMBER(K$129),K123,"")</f>
        <v>28.35</v>
      </c>
      <c r="AN123" s="13">
        <f>IF(ISNUMBER(L$129),L123,"")</f>
        <v>27</v>
      </c>
      <c r="AO123" s="13">
        <f>IF(ISNUMBER(M$129),M123,"")</f>
        <v>28.08</v>
      </c>
      <c r="AP123" s="13">
        <f>IF(ISNUMBER(N$129),N123,"")</f>
        <v>29.16</v>
      </c>
      <c r="AQ123" s="13">
        <f>IF(C123="Ручная",O123,0)</f>
        <v>27</v>
      </c>
    </row>
    <row r="124" spans="1:43" ht="40" customHeight="1">
      <c r="A124" s="5">
        <v>8</v>
      </c>
      <c r="B124" s="5" t="s">
        <v>200</v>
      </c>
      <c r="C124" s="11" t="s">
        <v>183</v>
      </c>
      <c r="D124" s="7" t="s">
        <v>201</v>
      </c>
      <c r="E124" s="12">
        <v>18.54</v>
      </c>
      <c r="F124" s="12">
        <v>19.26</v>
      </c>
      <c r="G124" s="12">
        <v>18.18</v>
      </c>
      <c r="H124" s="12">
        <v>18.9</v>
      </c>
      <c r="I124" s="12">
        <v>18</v>
      </c>
      <c r="J124" s="12">
        <v>18.72</v>
      </c>
      <c r="K124" s="12">
        <v>19.44</v>
      </c>
      <c r="L124" s="12">
        <v>18.36</v>
      </c>
      <c r="M124" s="12">
        <v>19.08</v>
      </c>
      <c r="N124" s="12">
        <v>19.8</v>
      </c>
      <c r="O124" s="13">
        <f>IF(COUNT(AG124:AP124)&gt;0,MIN(AG124:AP124),"")</f>
        <v>18</v>
      </c>
      <c r="P124" s="13">
        <f>IF(COUNT(AG124:AP124)&gt;0,MAX(AG124:AP124),"")</f>
        <v>19.8</v>
      </c>
      <c r="Q124" s="13">
        <f>IF(ISNUMBER(O124),P124-O124,"")</f>
        <v>1.8</v>
      </c>
      <c r="R124" s="13">
        <f>IF(ISNUMBER(O124),IF(C124="Ручная",IF($S$129&gt;0,$R$129*Q124/$S$129,IF($W$129=8,$R$129,0)),0),"")</f>
        <v>0.552429667519185</v>
      </c>
      <c r="S124" s="13">
        <f>IF(ISNUMBER(O124),O124+R124,"")</f>
        <v>18.5524296675192</v>
      </c>
      <c r="T124" s="13">
        <f>IF(ISNUMBER(S124),P124-S124,"")</f>
        <v>1.24757033248082</v>
      </c>
      <c r="U124" s="13">
        <f>IF(COUNT(AG124:AP124)&gt;0,AVERAGE(AG124:AP124),"")</f>
        <v>18.828</v>
      </c>
      <c r="AG124" s="13">
        <f>IF(ISNUMBER(E$129),E124,"")</f>
        <v>18.54</v>
      </c>
      <c r="AH124" s="13">
        <f>IF(ISNUMBER(F$129),F124,"")</f>
        <v>19.26</v>
      </c>
      <c r="AI124" s="13">
        <f>IF(ISNUMBER(G$129),G124,"")</f>
        <v>18.18</v>
      </c>
      <c r="AJ124" s="13">
        <f>IF(ISNUMBER(H$129),H124,"")</f>
        <v>18.9</v>
      </c>
      <c r="AK124" s="13">
        <f>IF(ISNUMBER(I$129),I124,"")</f>
        <v>18</v>
      </c>
      <c r="AL124" s="13">
        <f>IF(ISNUMBER(J$129),J124,"")</f>
        <v>18.72</v>
      </c>
      <c r="AM124" s="13">
        <f>IF(ISNUMBER(K$129),K124,"")</f>
        <v>19.44</v>
      </c>
      <c r="AN124" s="13">
        <f>IF(ISNUMBER(L$129),L124,"")</f>
        <v>18.36</v>
      </c>
      <c r="AO124" s="13">
        <f>IF(ISNUMBER(M$129),M124,"")</f>
        <v>19.08</v>
      </c>
      <c r="AP124" s="13">
        <f>IF(ISNUMBER(N$129),N124,"")</f>
        <v>19.8</v>
      </c>
      <c r="AQ124" s="13">
        <f>IF(C124="Ручная",O124,0)</f>
        <v>18</v>
      </c>
    </row>
    <row r="125" spans="1:43" ht="40" customHeight="1">
      <c r="A125" s="5" t="s">
        <v>189</v>
      </c>
      <c r="B125" s="5" t="s">
        <v>202</v>
      </c>
      <c r="C125" s="11" t="s">
        <v>191</v>
      </c>
      <c r="D125" s="7" t="s">
        <v>203</v>
      </c>
      <c r="E125" s="12">
        <v>5.25</v>
      </c>
      <c r="F125" s="12">
        <v>5</v>
      </c>
      <c r="G125" s="12">
        <v>5.2</v>
      </c>
      <c r="H125" s="12">
        <v>5.4</v>
      </c>
      <c r="I125" s="12">
        <v>5.1</v>
      </c>
      <c r="J125" s="12">
        <v>5.3</v>
      </c>
      <c r="K125" s="12">
        <v>5.5</v>
      </c>
      <c r="L125" s="12">
        <v>5.15</v>
      </c>
      <c r="M125" s="12">
        <v>5.35</v>
      </c>
      <c r="N125" s="12">
        <v>5.05</v>
      </c>
      <c r="O125" s="13">
        <f>IF(COUNT(AG125:AP125)&gt;0,MIN(AG125:AP125),"")</f>
        <v>5</v>
      </c>
      <c r="P125" s="13">
        <f>IF(COUNT(AG125:AP125)&gt;0,MAX(AG125:AP125),"")</f>
        <v>5.5</v>
      </c>
      <c r="Q125" s="13">
        <f>IF(ISNUMBER(O125),P125-O125,"")</f>
        <v>0.5</v>
      </c>
      <c r="R125" s="13">
        <f>IF(ISNUMBER(O125),IF(C125="Ручная",IF($S$129&gt;0,$R$129*Q125/$S$129,IF($W$129=9,$R$129,0)),0),"")</f>
        <v>0</v>
      </c>
      <c r="S125" s="13">
        <f>IF(ISNUMBER(O125),O125+R125,"")</f>
        <v>5</v>
      </c>
      <c r="T125" s="13">
        <f>IF(ISNUMBER(S125),P125-S125,"")</f>
        <v>0.5</v>
      </c>
      <c r="U125" s="13">
        <f>IF(COUNT(AG125:AP125)&gt;0,AVERAGE(AG125:AP125),"")</f>
        <v>5.23</v>
      </c>
      <c r="AG125" s="13">
        <f>IF(ISNUMBER(E$129),E125,"")</f>
        <v>5.25</v>
      </c>
      <c r="AH125" s="13">
        <f>IF(ISNUMBER(F$129),F125,"")</f>
        <v>5</v>
      </c>
      <c r="AI125" s="13">
        <f>IF(ISNUMBER(G$129),G125,"")</f>
        <v>5.2</v>
      </c>
      <c r="AJ125" s="13">
        <f>IF(ISNUMBER(H$129),H125,"")</f>
        <v>5.4</v>
      </c>
      <c r="AK125" s="13">
        <f>IF(ISNUMBER(I$129),I125,"")</f>
        <v>5.1</v>
      </c>
      <c r="AL125" s="13">
        <f>IF(ISNUMBER(J$129),J125,"")</f>
        <v>5.3</v>
      </c>
      <c r="AM125" s="13">
        <f>IF(ISNUMBER(K$129),K125,"")</f>
        <v>5.5</v>
      </c>
      <c r="AN125" s="13">
        <f>IF(ISNUMBER(L$129),L125,"")</f>
        <v>5.15</v>
      </c>
      <c r="AO125" s="13">
        <f>IF(ISNUMBER(M$129),M125,"")</f>
        <v>5.35</v>
      </c>
      <c r="AP125" s="13">
        <f>IF(ISNUMBER(N$129),N125,"")</f>
        <v>5.05</v>
      </c>
      <c r="AQ125" s="13">
        <f>IF(C125="Ручная",O125,0)</f>
        <v>0</v>
      </c>
    </row>
    <row r="126" spans="1:43" ht="40" customHeight="1">
      <c r="A126" s="5" t="s">
        <v>189</v>
      </c>
      <c r="B126" s="5" t="s">
        <v>204</v>
      </c>
      <c r="C126" s="11" t="s">
        <v>191</v>
      </c>
      <c r="D126" s="7" t="s">
        <v>205</v>
      </c>
      <c r="E126" s="12">
        <v>5.4</v>
      </c>
      <c r="F126" s="12">
        <v>5.1</v>
      </c>
      <c r="G126" s="12">
        <v>5.3</v>
      </c>
      <c r="H126" s="12">
        <v>5.5</v>
      </c>
      <c r="I126" s="12">
        <v>5.15</v>
      </c>
      <c r="J126" s="12">
        <v>5.35</v>
      </c>
      <c r="K126" s="12">
        <v>5.05</v>
      </c>
      <c r="L126" s="12">
        <v>5.25</v>
      </c>
      <c r="M126" s="12">
        <v>5</v>
      </c>
      <c r="N126" s="12">
        <v>5.2</v>
      </c>
      <c r="O126" s="13">
        <f>IF(COUNT(AG126:AP126)&gt;0,MIN(AG126:AP126),"")</f>
        <v>5</v>
      </c>
      <c r="P126" s="13">
        <f>IF(COUNT(AG126:AP126)&gt;0,MAX(AG126:AP126),"")</f>
        <v>5.5</v>
      </c>
      <c r="Q126" s="13">
        <f>IF(ISNUMBER(O126),P126-O126,"")</f>
        <v>0.5</v>
      </c>
      <c r="R126" s="13">
        <f>IF(ISNUMBER(O126),IF(C126="Ручная",IF($S$129&gt;0,$R$129*Q126/$S$129,IF($W$129=10,$R$129,0)),0),"")</f>
        <v>0</v>
      </c>
      <c r="S126" s="13">
        <f>IF(ISNUMBER(O126),O126+R126,"")</f>
        <v>5</v>
      </c>
      <c r="T126" s="13">
        <f>IF(ISNUMBER(S126),P126-S126,"")</f>
        <v>0.5</v>
      </c>
      <c r="U126" s="13">
        <f>IF(COUNT(AG126:AP126)&gt;0,AVERAGE(AG126:AP126),"")</f>
        <v>5.23</v>
      </c>
      <c r="AG126" s="13">
        <f>IF(ISNUMBER(E$129),E126,"")</f>
        <v>5.4</v>
      </c>
      <c r="AH126" s="13">
        <f>IF(ISNUMBER(F$129),F126,"")</f>
        <v>5.1</v>
      </c>
      <c r="AI126" s="13">
        <f>IF(ISNUMBER(G$129),G126,"")</f>
        <v>5.3</v>
      </c>
      <c r="AJ126" s="13">
        <f>IF(ISNUMBER(H$129),H126,"")</f>
        <v>5.5</v>
      </c>
      <c r="AK126" s="13">
        <f>IF(ISNUMBER(I$129),I126,"")</f>
        <v>5.15</v>
      </c>
      <c r="AL126" s="13">
        <f>IF(ISNUMBER(J$129),J126,"")</f>
        <v>5.35</v>
      </c>
      <c r="AM126" s="13">
        <f>IF(ISNUMBER(K$129),K126,"")</f>
        <v>5.05</v>
      </c>
      <c r="AN126" s="13">
        <f>IF(ISNUMBER(L$129),L126,"")</f>
        <v>5.25</v>
      </c>
      <c r="AO126" s="13">
        <f>IF(ISNUMBER(M$129),M126,"")</f>
        <v>5</v>
      </c>
      <c r="AP126" s="13">
        <f>IF(ISNUMBER(N$129),N126,"")</f>
        <v>5.2</v>
      </c>
      <c r="AQ126" s="13">
        <f>IF(C126="Ручная",O126,0)</f>
        <v>0</v>
      </c>
    </row>
    <row r="127" spans="1:43" ht="40" customHeight="1">
      <c r="A127" s="5" t="s">
        <v>189</v>
      </c>
      <c r="B127" s="5" t="s">
        <v>206</v>
      </c>
      <c r="C127" s="11" t="s">
        <v>207</v>
      </c>
      <c r="D127" s="7" t="s">
        <v>208</v>
      </c>
      <c r="E127" s="12">
        <v>0</v>
      </c>
      <c r="F127" s="12">
        <v>0</v>
      </c>
      <c r="G127" s="12">
        <v>0</v>
      </c>
      <c r="H127" s="12">
        <v>0</v>
      </c>
      <c r="I127" s="12">
        <v>0</v>
      </c>
      <c r="J127" s="12">
        <v>0</v>
      </c>
      <c r="K127" s="12">
        <v>0</v>
      </c>
      <c r="L127" s="12">
        <v>0</v>
      </c>
      <c r="M127" s="12">
        <v>0</v>
      </c>
      <c r="N127" s="12">
        <v>0</v>
      </c>
      <c r="O127" s="13">
        <f>IF(COUNT(AG127:AP127)&gt;0,MIN(AG127:AP127),"")</f>
        <v>0</v>
      </c>
      <c r="P127" s="13">
        <f>IF(COUNT(AG127:AP127)&gt;0,MAX(AG127:AP127),"")</f>
        <v>0</v>
      </c>
      <c r="Q127" s="13">
        <f>IF(ISNUMBER(O127),P127-O127,"")</f>
        <v>0</v>
      </c>
      <c r="R127" s="13">
        <f>IF(ISNUMBER(O127),IF(C127="Ручная",IF($S$129&gt;0,$R$129*Q127/$S$129,IF($W$129=11,$R$129,0)),0),"")</f>
        <v>0</v>
      </c>
      <c r="S127" s="13">
        <f>IF(ISNUMBER(O127),O127+R127,"")</f>
        <v>0</v>
      </c>
      <c r="T127" s="13">
        <f>IF(ISNUMBER(S127),P127-S127,"")</f>
        <v>0</v>
      </c>
      <c r="U127" s="13">
        <f>IF(COUNT(AG127:AP127)&gt;0,AVERAGE(AG127:AP127),"")</f>
        <v>0</v>
      </c>
      <c r="AG127" s="13">
        <f>IF(ISNUMBER(E$129),E127,"")</f>
        <v>0</v>
      </c>
      <c r="AH127" s="13">
        <f>IF(ISNUMBER(F$129),F127,"")</f>
        <v>0</v>
      </c>
      <c r="AI127" s="13">
        <f>IF(ISNUMBER(G$129),G127,"")</f>
        <v>0</v>
      </c>
      <c r="AJ127" s="13">
        <f>IF(ISNUMBER(H$129),H127,"")</f>
        <v>0</v>
      </c>
      <c r="AK127" s="13">
        <f>IF(ISNUMBER(I$129),I127,"")</f>
        <v>0</v>
      </c>
      <c r="AL127" s="13">
        <f>IF(ISNUMBER(J$129),J127,"")</f>
        <v>0</v>
      </c>
      <c r="AM127" s="13">
        <f>IF(ISNUMBER(K$129),K127,"")</f>
        <v>0</v>
      </c>
      <c r="AN127" s="13">
        <f>IF(ISNUMBER(L$129),L127,"")</f>
        <v>0</v>
      </c>
      <c r="AO127" s="13">
        <f>IF(ISNUMBER(M$129),M127,"")</f>
        <v>0</v>
      </c>
      <c r="AP127" s="13">
        <f>IF(ISNUMBER(N$129),N127,"")</f>
        <v>0</v>
      </c>
      <c r="AQ127" s="13">
        <f>IF(C127="Ручная",O127,0)</f>
        <v>0</v>
      </c>
    </row>
    <row r="128" spans="1:43" ht="23" customHeight="1">
      <c r="B128" s="4" t="s">
        <v>209</v>
      </c>
      <c r="E128" s="6">
        <f>IF(COUNT(E117:E127)=11,SUM(E117:E127),"")</f>
        <v>559.16</v>
      </c>
      <c r="F128" s="6">
        <f>IF(COUNT(F117:F127)=11,SUM(F117:F127),"")</f>
        <v>562.51</v>
      </c>
      <c r="G128" s="6">
        <f>IF(COUNT(G117:G127)=11,SUM(G117:G127),"")</f>
        <v>557.75</v>
      </c>
      <c r="H128" s="6">
        <f>IF(COUNT(H117:H127)=11,SUM(H117:H127),"")</f>
        <v>559.62</v>
      </c>
      <c r="I128" s="6">
        <f>IF(COUNT(I117:I127)=11,SUM(I117:I127),"")</f>
        <v>566.37</v>
      </c>
      <c r="J128" s="6">
        <f>IF(COUNT(J117:J127)=11,SUM(J117:J127),"")</f>
        <v>557.76</v>
      </c>
      <c r="K128" s="6">
        <f>IF(COUNT(K117:K127)=11,SUM(K117:K127),"")</f>
        <v>563.77</v>
      </c>
      <c r="L128" s="6">
        <f>IF(COUNT(L117:L127)=11,SUM(L117:L127),"")</f>
        <v>567.04</v>
      </c>
      <c r="M128" s="6">
        <f>IF(COUNT(M117:M127)=11,SUM(M117:M127),"")</f>
        <v>561.46</v>
      </c>
      <c r="N128" s="6">
        <f>IF(COUNT(N117:N127)=11,SUM(N117:N127),"")</f>
        <v>565.32</v>
      </c>
      <c r="O128" s="6">
        <f>IF(COUNT(O117:O127)=11,SUM(O117:O127),"")</f>
        <v>550.55</v>
      </c>
      <c r="P128" s="6">
        <f>IF(COUNT(P117:P127)=11,SUM(P117:P127),"")</f>
        <v>575.61</v>
      </c>
      <c r="Q128" s="6">
        <f>IF(COUNT(Q117:Q127)=11,SUM(Q117:Q127),"")</f>
        <v>25.06</v>
      </c>
      <c r="R128" s="6">
        <f>IF(COUNT(R117:R127)=11,SUM(R117:R127),"")</f>
        <v>7.20000000000005</v>
      </c>
      <c r="S128" s="6">
        <f>IF(COUNT(S117:S127)=11,SUM(S117:S127),"")</f>
        <v>557.75</v>
      </c>
      <c r="T128" s="6">
        <f>IF(COUNT(T117:T127)=11,SUM(T117:T127),"")</f>
        <v>17.86</v>
      </c>
      <c r="U128" s="6">
        <f>IF(COUNT(U117:U127)=11,SUM(U117:U127),"")</f>
        <v>562.076</v>
      </c>
    </row>
    <row r="129" spans="1:43" ht="23" customHeight="1">
      <c r="B129" s="4" t="s">
        <v>210</v>
      </c>
      <c r="E129" s="6">
        <f>IF(AND(E115=1,COUNT(E117:E127)=11,MIN(E117:E127)&gt;=0),E128,"")</f>
        <v>559.16</v>
      </c>
      <c r="F129" s="6">
        <f>IF(AND(F115=1,COUNT(F117:F127)=11,MIN(F117:F127)&gt;=0),F128,"")</f>
        <v>562.51</v>
      </c>
      <c r="G129" s="6">
        <f>IF(AND(G115=1,COUNT(G117:G127)=11,MIN(G117:G127)&gt;=0),G128,"")</f>
        <v>557.75</v>
      </c>
      <c r="H129" s="6">
        <f>IF(AND(H115=1,COUNT(H117:H127)=11,MIN(H117:H127)&gt;=0),H128,"")</f>
        <v>559.62</v>
      </c>
      <c r="I129" s="6">
        <f>IF(AND(I115=1,COUNT(I117:I127)=11,MIN(I117:I127)&gt;=0),I128,"")</f>
        <v>566.37</v>
      </c>
      <c r="J129" s="6">
        <f>IF(AND(J115=1,COUNT(J117:J127)=11,MIN(J117:J127)&gt;=0),J128,"")</f>
        <v>557.76</v>
      </c>
      <c r="K129" s="6">
        <f>IF(AND(K115=1,COUNT(K117:K127)=11,MIN(K117:K127)&gt;=0),K128,"")</f>
        <v>563.77</v>
      </c>
      <c r="L129" s="6">
        <f>IF(AND(L115=1,COUNT(L117:L127)=11,MIN(L117:L127)&gt;=0),L128,"")</f>
        <v>567.04</v>
      </c>
      <c r="M129" s="6">
        <f>IF(AND(M115=1,COUNT(M117:M127)=11,MIN(M117:M127)&gt;=0),M128,"")</f>
        <v>561.46</v>
      </c>
      <c r="N129" s="6">
        <f>IF(AND(N115=1,COUNT(N117:N127)=11,MIN(N117:N127)&gt;=0),N128,"")</f>
        <v>565.32</v>
      </c>
      <c r="O129" s="6">
        <f>IF(COUNT(E129:N129)&gt;0,MIN(E129:N129),"")</f>
        <v>557.75</v>
      </c>
      <c r="P129" s="6">
        <f>IF(COUNT(E129:N129)&gt;0,MAX(E129:N129),"")</f>
        <v>567.04</v>
      </c>
      <c r="Q129" s="6">
        <f>IF(ISNUMBER(O129),P129-O129,"")</f>
        <v>9.29000000000008</v>
      </c>
      <c r="R129" s="6">
        <f>IF(ISNUMBER(O129),MAX(0,O129-O128),"")</f>
        <v>7.20000000000005</v>
      </c>
      <c r="S129" s="6">
        <f>SUMIF(C117:C127,"Ручная",Q117:Q127)</f>
        <v>23.46</v>
      </c>
      <c r="T129" s="6">
        <f>COUNT(E129:N129)</f>
        <v>10</v>
      </c>
      <c r="U129" s="6">
        <f>IF(COUNT(E129:N129)&gt;0,AVERAGE(E129:N129),"")</f>
        <v>562.076</v>
      </c>
      <c r="V129" s="6">
        <f>IF(ISNUMBER(O129),S128-O129,"")</f>
        <v>1.13686837721616e-13</v>
      </c>
      <c r="W129" s="6">
        <f>MATCH(MAX(AQ117:AQ127),AQ117:AQ127,0)</f>
        <v>2</v>
      </c>
      <c r="X129" s="17" t="str">
        <f>IF(T129=0,"НЕТ ЗАМЕРОВ",IF(T129&lt;10,"МЕНЕЕ 10 ЦИКЛОВ",IF(ABS(V129)&lt;0.000001,"ОК","ОШИБКА РЕГУЛИРОВКИ")))</f>
        <v>ОК</v>
      </c>
    </row>
    <row r="130" spans="1:43" ht="23" customHeight="1">
      <c r="A130" s="7" t="s">
        <v>211</v>
      </c>
      <c r="B130" s="7"/>
      <c r="C130" s="7"/>
      <c r="D130" s="7"/>
      <c r="E130" s="7"/>
      <c r="F130" s="7"/>
      <c r="G130" s="7"/>
      <c r="H130" s="7"/>
      <c r="I130" s="7"/>
      <c r="J130" s="7"/>
      <c r="K130" s="7"/>
      <c r="L130" s="7"/>
      <c r="M130" s="7"/>
      <c r="N130" s="7"/>
      <c r="O130" s="7"/>
      <c r="P130" s="7"/>
      <c r="Q130" s="7"/>
      <c r="R130" s="7"/>
      <c r="S130" s="7"/>
      <c r="T130" s="7"/>
      <c r="U130" s="7"/>
      <c r="V130" s="7"/>
      <c r="W130" s="7"/>
      <c r="X130" s="7"/>
    </row>
    <row r="133" spans="1:43" ht="23" customHeight="1">
      <c r="A133" s="4" t="s">
        <v>236</v>
      </c>
      <c r="B133" s="4"/>
      <c r="C133" s="4"/>
      <c r="D133" s="4"/>
      <c r="E133" s="4"/>
      <c r="F133" s="4"/>
      <c r="G133" s="4"/>
      <c r="H133" s="4"/>
      <c r="I133" s="4"/>
      <c r="J133" s="4"/>
      <c r="K133" s="4"/>
      <c r="L133" s="4"/>
      <c r="M133" s="4"/>
      <c r="N133" s="4"/>
      <c r="O133" s="4"/>
      <c r="P133" s="4"/>
      <c r="Q133" s="4"/>
      <c r="R133" s="4"/>
      <c r="S133" s="4"/>
      <c r="T133" s="4"/>
      <c r="U133" s="4"/>
      <c r="V133" s="4"/>
      <c r="W133" s="4"/>
      <c r="X133" s="4"/>
    </row>
    <row r="134" spans="1:43" ht="23" customHeight="1">
      <c r="A134" s="7" t="str">
        <f>"Масса замера, кг: "&amp;'Ассортимент'!J14&amp;".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134" s="7"/>
      <c r="C134" s="7"/>
      <c r="D134" s="7"/>
      <c r="E134" s="7"/>
      <c r="F134" s="7"/>
      <c r="G134" s="7"/>
      <c r="H134" s="7"/>
      <c r="I134" s="7"/>
      <c r="J134" s="7"/>
      <c r="K134" s="7"/>
      <c r="L134" s="7"/>
      <c r="M134" s="7"/>
      <c r="N134" s="7"/>
      <c r="O134" s="7"/>
      <c r="P134" s="7"/>
      <c r="Q134" s="7"/>
      <c r="R134" s="7"/>
      <c r="S134" s="7"/>
      <c r="T134" s="7"/>
      <c r="U134" s="7"/>
      <c r="V134" s="7"/>
      <c r="W134" s="7"/>
      <c r="X134" s="7"/>
    </row>
    <row r="135" spans="1:43" ht="44" customHeight="1">
      <c r="A135" s="8" t="s">
        <v>113</v>
      </c>
      <c r="B135" s="8" t="s">
        <v>156</v>
      </c>
      <c r="C135" s="8" t="s">
        <v>157</v>
      </c>
      <c r="D135" s="8" t="s">
        <v>158</v>
      </c>
      <c r="E135" s="8" t="s">
        <v>159</v>
      </c>
      <c r="F135" s="8" t="s">
        <v>160</v>
      </c>
      <c r="G135" s="8" t="s">
        <v>161</v>
      </c>
      <c r="H135" s="8" t="s">
        <v>162</v>
      </c>
      <c r="I135" s="8" t="s">
        <v>163</v>
      </c>
      <c r="J135" s="8" t="s">
        <v>164</v>
      </c>
      <c r="K135" s="8" t="s">
        <v>165</v>
      </c>
      <c r="L135" s="8" t="s">
        <v>166</v>
      </c>
      <c r="M135" s="8" t="s">
        <v>167</v>
      </c>
      <c r="N135" s="8" t="s">
        <v>168</v>
      </c>
      <c r="O135" s="8" t="s">
        <v>169</v>
      </c>
      <c r="P135" s="8" t="s">
        <v>170</v>
      </c>
      <c r="Q135" s="8" t="s">
        <v>171</v>
      </c>
      <c r="R135" s="8" t="s">
        <v>172</v>
      </c>
      <c r="S135" s="8" t="s">
        <v>173</v>
      </c>
      <c r="T135" s="8" t="s">
        <v>174</v>
      </c>
      <c r="U135" s="8" t="s">
        <v>175</v>
      </c>
      <c r="V135" s="8" t="s">
        <v>176</v>
      </c>
      <c r="W135" s="8" t="s">
        <v>177</v>
      </c>
      <c r="X135" s="8" t="s">
        <v>178</v>
      </c>
    </row>
    <row r="136" spans="1:43" ht="23" customHeight="1">
      <c r="B136" s="5" t="s">
        <v>179</v>
      </c>
      <c r="E136" s="12">
        <v>1</v>
      </c>
      <c r="F136" s="12">
        <v>1</v>
      </c>
      <c r="G136" s="12">
        <v>1</v>
      </c>
      <c r="H136" s="12">
        <v>1</v>
      </c>
      <c r="I136" s="12">
        <v>1</v>
      </c>
      <c r="J136" s="12">
        <v>1</v>
      </c>
      <c r="K136" s="12">
        <v>1</v>
      </c>
      <c r="L136" s="12">
        <v>1</v>
      </c>
      <c r="M136" s="12">
        <v>1</v>
      </c>
      <c r="N136" s="12">
        <v>1</v>
      </c>
    </row>
    <row r="137" spans="1:43" ht="33" customHeight="1">
      <c r="B137" s="5" t="s">
        <v>180</v>
      </c>
      <c r="E137" s="9" t="s">
        <v>181</v>
      </c>
      <c r="F137" s="9" t="s">
        <v>181</v>
      </c>
      <c r="G137" s="9" t="s">
        <v>181</v>
      </c>
      <c r="H137" s="9" t="s">
        <v>181</v>
      </c>
      <c r="I137" s="9" t="s">
        <v>181</v>
      </c>
      <c r="J137" s="9" t="s">
        <v>181</v>
      </c>
      <c r="K137" s="9" t="s">
        <v>181</v>
      </c>
      <c r="L137" s="9" t="s">
        <v>181</v>
      </c>
      <c r="M137" s="9" t="s">
        <v>181</v>
      </c>
      <c r="N137" s="9" t="s">
        <v>181</v>
      </c>
    </row>
    <row r="138" spans="1:43" ht="40" customHeight="1">
      <c r="A138" s="5">
        <v>1</v>
      </c>
      <c r="B138" s="5" t="s">
        <v>182</v>
      </c>
      <c r="C138" s="11" t="s">
        <v>183</v>
      </c>
      <c r="D138" s="7" t="s">
        <v>184</v>
      </c>
      <c r="E138" s="12">
        <v>25.75</v>
      </c>
      <c r="F138" s="12">
        <v>26.75</v>
      </c>
      <c r="G138" s="12">
        <v>25.25</v>
      </c>
      <c r="H138" s="12">
        <v>26.25</v>
      </c>
      <c r="I138" s="12">
        <v>25</v>
      </c>
      <c r="J138" s="12">
        <v>26</v>
      </c>
      <c r="K138" s="12">
        <v>27</v>
      </c>
      <c r="L138" s="12">
        <v>25.5</v>
      </c>
      <c r="M138" s="12">
        <v>26.5</v>
      </c>
      <c r="N138" s="12">
        <v>27.5</v>
      </c>
      <c r="O138" s="13">
        <f>IF(COUNT(AG138:AP138)&gt;0,MIN(AG138:AP138),"")</f>
        <v>25</v>
      </c>
      <c r="P138" s="13">
        <f>IF(COUNT(AG138:AP138)&gt;0,MAX(AG138:AP138),"")</f>
        <v>27.5</v>
      </c>
      <c r="Q138" s="13">
        <f>IF(ISNUMBER(O138),P138-O138,"")</f>
        <v>2.5</v>
      </c>
      <c r="R138" s="13">
        <f>IF(ISNUMBER(O138),IF(C138="Ручная",IF($S$150&gt;0,$R$150*Q138/$S$150,IF($W$150=1,$R$150,0)),0),"")</f>
        <v>0.786657559198539</v>
      </c>
      <c r="S138" s="13">
        <f>IF(ISNUMBER(O138),O138+R138,"")</f>
        <v>25.7866575591985</v>
      </c>
      <c r="T138" s="13">
        <f>IF(ISNUMBER(S138),P138-S138,"")</f>
        <v>1.71334244080146</v>
      </c>
      <c r="U138" s="13">
        <f>IF(COUNT(AG138:AP138)&gt;0,AVERAGE(AG138:AP138),"")</f>
        <v>26.15</v>
      </c>
      <c r="AG138" s="13">
        <f>IF(ISNUMBER(E$150),E138,"")</f>
        <v>25.75</v>
      </c>
      <c r="AH138" s="13">
        <f>IF(ISNUMBER(F$150),F138,"")</f>
        <v>26.75</v>
      </c>
      <c r="AI138" s="13">
        <f>IF(ISNUMBER(G$150),G138,"")</f>
        <v>25.25</v>
      </c>
      <c r="AJ138" s="13">
        <f>IF(ISNUMBER(H$150),H138,"")</f>
        <v>26.25</v>
      </c>
      <c r="AK138" s="13">
        <f>IF(ISNUMBER(I$150),I138,"")</f>
        <v>25</v>
      </c>
      <c r="AL138" s="13">
        <f>IF(ISNUMBER(J$150),J138,"")</f>
        <v>26</v>
      </c>
      <c r="AM138" s="13">
        <f>IF(ISNUMBER(K$150),K138,"")</f>
        <v>27</v>
      </c>
      <c r="AN138" s="13">
        <f>IF(ISNUMBER(L$150),L138,"")</f>
        <v>25.5</v>
      </c>
      <c r="AO138" s="13">
        <f>IF(ISNUMBER(M$150),M138,"")</f>
        <v>26.5</v>
      </c>
      <c r="AP138" s="13">
        <f>IF(ISNUMBER(N$150),N138,"")</f>
        <v>27.5</v>
      </c>
      <c r="AQ138" s="13">
        <f>IF(C138="Ручная",O138,0)</f>
        <v>25</v>
      </c>
    </row>
    <row r="139" spans="1:43" ht="40" customHeight="1">
      <c r="A139" s="5">
        <v>2</v>
      </c>
      <c r="B139" s="5" t="s">
        <v>185</v>
      </c>
      <c r="C139" s="11" t="s">
        <v>183</v>
      </c>
      <c r="D139" s="7" t="s">
        <v>186</v>
      </c>
      <c r="E139" s="12">
        <v>105</v>
      </c>
      <c r="F139" s="12">
        <v>100</v>
      </c>
      <c r="G139" s="12">
        <v>104</v>
      </c>
      <c r="H139" s="12">
        <v>108</v>
      </c>
      <c r="I139" s="12">
        <v>102</v>
      </c>
      <c r="J139" s="12">
        <v>106</v>
      </c>
      <c r="K139" s="12">
        <v>110</v>
      </c>
      <c r="L139" s="12">
        <v>103</v>
      </c>
      <c r="M139" s="12">
        <v>107</v>
      </c>
      <c r="N139" s="12">
        <v>101</v>
      </c>
      <c r="O139" s="13">
        <f>IF(COUNT(AG139:AP139)&gt;0,MIN(AG139:AP139),"")</f>
        <v>100</v>
      </c>
      <c r="P139" s="13">
        <f>IF(COUNT(AG139:AP139)&gt;0,MAX(AG139:AP139),"")</f>
        <v>110</v>
      </c>
      <c r="Q139" s="13">
        <f>IF(ISNUMBER(O139),P139-O139,"")</f>
        <v>10</v>
      </c>
      <c r="R139" s="13">
        <f>IF(ISNUMBER(O139),IF(C139="Ручная",IF($S$150&gt;0,$R$150*Q139/$S$150,IF($W$150=2,$R$150,0)),0),"")</f>
        <v>3.14663023679416</v>
      </c>
      <c r="S139" s="13">
        <f>IF(ISNUMBER(O139),O139+R139,"")</f>
        <v>103.146630236794</v>
      </c>
      <c r="T139" s="13">
        <f>IF(ISNUMBER(S139),P139-S139,"")</f>
        <v>6.85336976320585</v>
      </c>
      <c r="U139" s="13">
        <f>IF(COUNT(AG139:AP139)&gt;0,AVERAGE(AG139:AP139),"")</f>
        <v>104.6</v>
      </c>
      <c r="AG139" s="13">
        <f>IF(ISNUMBER(E$150),E139,"")</f>
        <v>105</v>
      </c>
      <c r="AH139" s="13">
        <f>IF(ISNUMBER(F$150),F139,"")</f>
        <v>100</v>
      </c>
      <c r="AI139" s="13">
        <f>IF(ISNUMBER(G$150),G139,"")</f>
        <v>104</v>
      </c>
      <c r="AJ139" s="13">
        <f>IF(ISNUMBER(H$150),H139,"")</f>
        <v>108</v>
      </c>
      <c r="AK139" s="13">
        <f>IF(ISNUMBER(I$150),I139,"")</f>
        <v>102</v>
      </c>
      <c r="AL139" s="13">
        <f>IF(ISNUMBER(J$150),J139,"")</f>
        <v>106</v>
      </c>
      <c r="AM139" s="13">
        <f>IF(ISNUMBER(K$150),K139,"")</f>
        <v>110</v>
      </c>
      <c r="AN139" s="13">
        <f>IF(ISNUMBER(L$150),L139,"")</f>
        <v>103</v>
      </c>
      <c r="AO139" s="13">
        <f>IF(ISNUMBER(M$150),M139,"")</f>
        <v>107</v>
      </c>
      <c r="AP139" s="13">
        <f>IF(ISNUMBER(N$150),N139,"")</f>
        <v>101</v>
      </c>
      <c r="AQ139" s="13">
        <f>IF(C139="Ручная",O139,0)</f>
        <v>100</v>
      </c>
    </row>
    <row r="140" spans="1:43" ht="40" customHeight="1">
      <c r="A140" s="5">
        <v>3</v>
      </c>
      <c r="B140" s="5" t="s">
        <v>187</v>
      </c>
      <c r="C140" s="11" t="s">
        <v>183</v>
      </c>
      <c r="D140" s="7" t="s">
        <v>188</v>
      </c>
      <c r="E140" s="12">
        <v>21.38</v>
      </c>
      <c r="F140" s="12">
        <v>20.2</v>
      </c>
      <c r="G140" s="12">
        <v>20.99</v>
      </c>
      <c r="H140" s="12">
        <v>21.78</v>
      </c>
      <c r="I140" s="12">
        <v>20.39</v>
      </c>
      <c r="J140" s="12">
        <v>21.19</v>
      </c>
      <c r="K140" s="12">
        <v>20</v>
      </c>
      <c r="L140" s="12">
        <v>20.79</v>
      </c>
      <c r="M140" s="12">
        <v>19.8</v>
      </c>
      <c r="N140" s="12">
        <v>20.59</v>
      </c>
      <c r="O140" s="13">
        <f>IF(COUNT(AG140:AP140)&gt;0,MIN(AG140:AP140),"")</f>
        <v>19.8</v>
      </c>
      <c r="P140" s="13">
        <f>IF(COUNT(AG140:AP140)&gt;0,MAX(AG140:AP140),"")</f>
        <v>21.78</v>
      </c>
      <c r="Q140" s="13">
        <f>IF(ISNUMBER(O140),P140-O140,"")</f>
        <v>1.98</v>
      </c>
      <c r="R140" s="13">
        <f>IF(ISNUMBER(O140),IF(C140="Ручная",IF($S$150&gt;0,$R$150*Q140/$S$150,IF($W$150=3,$R$150,0)),0),"")</f>
        <v>0.623032786885243</v>
      </c>
      <c r="S140" s="13">
        <f>IF(ISNUMBER(O140),O140+R140,"")</f>
        <v>20.4230327868852</v>
      </c>
      <c r="T140" s="13">
        <f>IF(ISNUMBER(S140),P140-S140,"")</f>
        <v>1.35696721311476</v>
      </c>
      <c r="U140" s="13">
        <f>IF(COUNT(AG140:AP140)&gt;0,AVERAGE(AG140:AP140),"")</f>
        <v>20.711</v>
      </c>
      <c r="AG140" s="13">
        <f>IF(ISNUMBER(E$150),E140,"")</f>
        <v>21.38</v>
      </c>
      <c r="AH140" s="13">
        <f>IF(ISNUMBER(F$150),F140,"")</f>
        <v>20.2</v>
      </c>
      <c r="AI140" s="13">
        <f>IF(ISNUMBER(G$150),G140,"")</f>
        <v>20.99</v>
      </c>
      <c r="AJ140" s="13">
        <f>IF(ISNUMBER(H$150),H140,"")</f>
        <v>21.78</v>
      </c>
      <c r="AK140" s="13">
        <f>IF(ISNUMBER(I$150),I140,"")</f>
        <v>20.39</v>
      </c>
      <c r="AL140" s="13">
        <f>IF(ISNUMBER(J$150),J140,"")</f>
        <v>21.19</v>
      </c>
      <c r="AM140" s="13">
        <f>IF(ISNUMBER(K$150),K140,"")</f>
        <v>20</v>
      </c>
      <c r="AN140" s="13">
        <f>IF(ISNUMBER(L$150),L140,"")</f>
        <v>20.79</v>
      </c>
      <c r="AO140" s="13">
        <f>IF(ISNUMBER(M$150),M140,"")</f>
        <v>19.8</v>
      </c>
      <c r="AP140" s="13">
        <f>IF(ISNUMBER(N$150),N140,"")</f>
        <v>20.59</v>
      </c>
      <c r="AQ140" s="13">
        <f>IF(C140="Ручная",O140,0)</f>
        <v>19.8</v>
      </c>
    </row>
    <row r="141" spans="1:43" ht="40" customHeight="1">
      <c r="A141" s="5" t="s">
        <v>189</v>
      </c>
      <c r="B141" s="5" t="s">
        <v>190</v>
      </c>
      <c r="C141" s="11" t="s">
        <v>191</v>
      </c>
      <c r="D141" s="7" t="s">
        <v>192</v>
      </c>
      <c r="E141" s="12">
        <v>6.6</v>
      </c>
      <c r="F141" s="12">
        <v>6.18</v>
      </c>
      <c r="G141" s="12">
        <v>6.42</v>
      </c>
      <c r="H141" s="12">
        <v>6.06</v>
      </c>
      <c r="I141" s="12">
        <v>6.3</v>
      </c>
      <c r="J141" s="12">
        <v>6</v>
      </c>
      <c r="K141" s="12">
        <v>6.24</v>
      </c>
      <c r="L141" s="12">
        <v>6.48</v>
      </c>
      <c r="M141" s="12">
        <v>6.12</v>
      </c>
      <c r="N141" s="12">
        <v>6.36</v>
      </c>
      <c r="O141" s="13">
        <f>IF(COUNT(AG141:AP141)&gt;0,MIN(AG141:AP141),"")</f>
        <v>6</v>
      </c>
      <c r="P141" s="13">
        <f>IF(COUNT(AG141:AP141)&gt;0,MAX(AG141:AP141),"")</f>
        <v>6.6</v>
      </c>
      <c r="Q141" s="13">
        <f>IF(ISNUMBER(O141),P141-O141,"")</f>
        <v>0.6</v>
      </c>
      <c r="R141" s="13">
        <f>IF(ISNUMBER(O141),IF(C141="Ручная",IF($S$150&gt;0,$R$150*Q141/$S$150,IF($W$150=4,$R$150,0)),0),"")</f>
        <v>0</v>
      </c>
      <c r="S141" s="13">
        <f>IF(ISNUMBER(O141),O141+R141,"")</f>
        <v>6</v>
      </c>
      <c r="T141" s="13">
        <f>IF(ISNUMBER(S141),P141-S141,"")</f>
        <v>0.6</v>
      </c>
      <c r="U141" s="13">
        <f>IF(COUNT(AG141:AP141)&gt;0,AVERAGE(AG141:AP141),"")</f>
        <v>6.276</v>
      </c>
      <c r="AG141" s="13">
        <f>IF(ISNUMBER(E$150),E141,"")</f>
        <v>6.6</v>
      </c>
      <c r="AH141" s="13">
        <f>IF(ISNUMBER(F$150),F141,"")</f>
        <v>6.18</v>
      </c>
      <c r="AI141" s="13">
        <f>IF(ISNUMBER(G$150),G141,"")</f>
        <v>6.42</v>
      </c>
      <c r="AJ141" s="13">
        <f>IF(ISNUMBER(H$150),H141,"")</f>
        <v>6.06</v>
      </c>
      <c r="AK141" s="13">
        <f>IF(ISNUMBER(I$150),I141,"")</f>
        <v>6.3</v>
      </c>
      <c r="AL141" s="13">
        <f>IF(ISNUMBER(J$150),J141,"")</f>
        <v>6</v>
      </c>
      <c r="AM141" s="13">
        <f>IF(ISNUMBER(K$150),K141,"")</f>
        <v>6.24</v>
      </c>
      <c r="AN141" s="13">
        <f>IF(ISNUMBER(L$150),L141,"")</f>
        <v>6.48</v>
      </c>
      <c r="AO141" s="13">
        <f>IF(ISNUMBER(M$150),M141,"")</f>
        <v>6.12</v>
      </c>
      <c r="AP141" s="13">
        <f>IF(ISNUMBER(N$150),N141,"")</f>
        <v>6.36</v>
      </c>
      <c r="AQ141" s="13">
        <f>IF(C141="Ручная",O141,0)</f>
        <v>0</v>
      </c>
    </row>
    <row r="142" spans="1:43" ht="40" customHeight="1">
      <c r="A142" s="5">
        <v>5</v>
      </c>
      <c r="B142" s="5" t="s">
        <v>193</v>
      </c>
      <c r="C142" s="11" t="s">
        <v>183</v>
      </c>
      <c r="D142" s="7" t="s">
        <v>194</v>
      </c>
      <c r="E142" s="12">
        <v>30.05</v>
      </c>
      <c r="F142" s="12">
        <v>31.24</v>
      </c>
      <c r="G142" s="12">
        <v>29.75</v>
      </c>
      <c r="H142" s="12">
        <v>30.94</v>
      </c>
      <c r="I142" s="12">
        <v>32.13</v>
      </c>
      <c r="J142" s="12">
        <v>30.34</v>
      </c>
      <c r="K142" s="12">
        <v>31.54</v>
      </c>
      <c r="L142" s="12">
        <v>32.73</v>
      </c>
      <c r="M142" s="12">
        <v>30.64</v>
      </c>
      <c r="N142" s="12">
        <v>31.83</v>
      </c>
      <c r="O142" s="13">
        <f>IF(COUNT(AG142:AP142)&gt;0,MIN(AG142:AP142),"")</f>
        <v>29.75</v>
      </c>
      <c r="P142" s="13">
        <f>IF(COUNT(AG142:AP142)&gt;0,MAX(AG142:AP142),"")</f>
        <v>32.73</v>
      </c>
      <c r="Q142" s="13">
        <f>IF(ISNUMBER(O142),P142-O142,"")</f>
        <v>2.98</v>
      </c>
      <c r="R142" s="13">
        <f>IF(ISNUMBER(O142),IF(C142="Ручная",IF($S$150&gt;0,$R$150*Q142/$S$150,IF($W$150=5,$R$150,0)),0),"")</f>
        <v>0.937695810564658</v>
      </c>
      <c r="S142" s="13">
        <f>IF(ISNUMBER(O142),O142+R142,"")</f>
        <v>30.6876958105647</v>
      </c>
      <c r="T142" s="13">
        <f>IF(ISNUMBER(S142),P142-S142,"")</f>
        <v>2.04230418943534</v>
      </c>
      <c r="U142" s="13">
        <f>IF(COUNT(AG142:AP142)&gt;0,AVERAGE(AG142:AP142),"")</f>
        <v>31.119</v>
      </c>
      <c r="AG142" s="13">
        <f>IF(ISNUMBER(E$150),E142,"")</f>
        <v>30.05</v>
      </c>
      <c r="AH142" s="13">
        <f>IF(ISNUMBER(F$150),F142,"")</f>
        <v>31.24</v>
      </c>
      <c r="AI142" s="13">
        <f>IF(ISNUMBER(G$150),G142,"")</f>
        <v>29.75</v>
      </c>
      <c r="AJ142" s="13">
        <f>IF(ISNUMBER(H$150),H142,"")</f>
        <v>30.94</v>
      </c>
      <c r="AK142" s="13">
        <f>IF(ISNUMBER(I$150),I142,"")</f>
        <v>32.13</v>
      </c>
      <c r="AL142" s="13">
        <f>IF(ISNUMBER(J$150),J142,"")</f>
        <v>30.34</v>
      </c>
      <c r="AM142" s="13">
        <f>IF(ISNUMBER(K$150),K142,"")</f>
        <v>31.54</v>
      </c>
      <c r="AN142" s="13">
        <f>IF(ISNUMBER(L$150),L142,"")</f>
        <v>32.73</v>
      </c>
      <c r="AO142" s="13">
        <f>IF(ISNUMBER(M$150),M142,"")</f>
        <v>30.64</v>
      </c>
      <c r="AP142" s="13">
        <f>IF(ISNUMBER(N$150),N142,"")</f>
        <v>31.83</v>
      </c>
      <c r="AQ142" s="13">
        <f>IF(C142="Ручная",O142,0)</f>
        <v>29.75</v>
      </c>
    </row>
    <row r="143" spans="1:43" ht="40" customHeight="1">
      <c r="A143" s="5" t="s">
        <v>189</v>
      </c>
      <c r="B143" s="5" t="s">
        <v>195</v>
      </c>
      <c r="C143" s="11" t="s">
        <v>196</v>
      </c>
      <c r="D143" s="7" t="s">
        <v>197</v>
      </c>
      <c r="E143" s="18">
        <f>'Ассортимент'!R14</f>
        <v>300</v>
      </c>
      <c r="F143" s="18">
        <f>'Ассортимент'!R14</f>
        <v>300</v>
      </c>
      <c r="G143" s="18">
        <f>'Ассортимент'!R14</f>
        <v>300</v>
      </c>
      <c r="H143" s="18">
        <f>'Ассортимент'!R14</f>
        <v>300</v>
      </c>
      <c r="I143" s="18">
        <f>'Ассортимент'!R14</f>
        <v>300</v>
      </c>
      <c r="J143" s="18">
        <f>'Ассортимент'!R14</f>
        <v>300</v>
      </c>
      <c r="K143" s="18">
        <f>'Ассортимент'!R14</f>
        <v>300</v>
      </c>
      <c r="L143" s="18">
        <f>'Ассортимент'!R14</f>
        <v>300</v>
      </c>
      <c r="M143" s="18">
        <f>'Ассортимент'!R14</f>
        <v>300</v>
      </c>
      <c r="N143" s="18">
        <f>'Ассортимент'!R14</f>
        <v>300</v>
      </c>
      <c r="O143" s="13">
        <f>IF(COUNT(AG143:AP143)&gt;0,MIN(AG143:AP143),"")</f>
        <v>300</v>
      </c>
      <c r="P143" s="13">
        <f>IF(COUNT(AG143:AP143)&gt;0,MAX(AG143:AP143),"")</f>
        <v>300</v>
      </c>
      <c r="Q143" s="13">
        <f>IF(ISNUMBER(O143),P143-O143,"")</f>
        <v>0</v>
      </c>
      <c r="R143" s="13">
        <f>IF(ISNUMBER(O143),IF(C143="Ручная",IF($S$150&gt;0,$R$150*Q143/$S$150,IF($W$150=6,$R$150,0)),0),"")</f>
        <v>0</v>
      </c>
      <c r="S143" s="13">
        <f>IF(ISNUMBER(O143),O143+R143,"")</f>
        <v>300</v>
      </c>
      <c r="T143" s="13">
        <f>IF(ISNUMBER(S143),P143-S143,"")</f>
        <v>0</v>
      </c>
      <c r="U143" s="13">
        <f>IF(COUNT(AG143:AP143)&gt;0,AVERAGE(AG143:AP143),"")</f>
        <v>300</v>
      </c>
      <c r="AG143" s="13">
        <f>IF(ISNUMBER(E$150),E143,"")</f>
        <v>300</v>
      </c>
      <c r="AH143" s="13">
        <f>IF(ISNUMBER(F$150),F143,"")</f>
        <v>300</v>
      </c>
      <c r="AI143" s="13">
        <f>IF(ISNUMBER(G$150),G143,"")</f>
        <v>300</v>
      </c>
      <c r="AJ143" s="13">
        <f>IF(ISNUMBER(H$150),H143,"")</f>
        <v>300</v>
      </c>
      <c r="AK143" s="13">
        <f>IF(ISNUMBER(I$150),I143,"")</f>
        <v>300</v>
      </c>
      <c r="AL143" s="13">
        <f>IF(ISNUMBER(J$150),J143,"")</f>
        <v>300</v>
      </c>
      <c r="AM143" s="13">
        <f>IF(ISNUMBER(K$150),K143,"")</f>
        <v>300</v>
      </c>
      <c r="AN143" s="13">
        <f>IF(ISNUMBER(L$150),L143,"")</f>
        <v>300</v>
      </c>
      <c r="AO143" s="13">
        <f>IF(ISNUMBER(M$150),M143,"")</f>
        <v>300</v>
      </c>
      <c r="AP143" s="13">
        <f>IF(ISNUMBER(N$150),N143,"")</f>
        <v>300</v>
      </c>
      <c r="AQ143" s="13">
        <f>IF(C143="Ручная",O143,0)</f>
        <v>0</v>
      </c>
    </row>
    <row r="144" spans="1:43" ht="40" customHeight="1">
      <c r="A144" s="5">
        <v>7</v>
      </c>
      <c r="B144" s="5" t="s">
        <v>198</v>
      </c>
      <c r="C144" s="11" t="s">
        <v>183</v>
      </c>
      <c r="D144" s="7" t="s">
        <v>199</v>
      </c>
      <c r="E144" s="12">
        <v>28.62</v>
      </c>
      <c r="F144" s="12">
        <v>29.7</v>
      </c>
      <c r="G144" s="12">
        <v>27.81</v>
      </c>
      <c r="H144" s="12">
        <v>28.89</v>
      </c>
      <c r="I144" s="12">
        <v>27.27</v>
      </c>
      <c r="J144" s="12">
        <v>28.35</v>
      </c>
      <c r="K144" s="12">
        <v>27</v>
      </c>
      <c r="L144" s="12">
        <v>28.08</v>
      </c>
      <c r="M144" s="12">
        <v>29.16</v>
      </c>
      <c r="N144" s="12">
        <v>27.54</v>
      </c>
      <c r="O144" s="13">
        <f>IF(COUNT(AG144:AP144)&gt;0,MIN(AG144:AP144),"")</f>
        <v>27</v>
      </c>
      <c r="P144" s="13">
        <f>IF(COUNT(AG144:AP144)&gt;0,MAX(AG144:AP144),"")</f>
        <v>29.7</v>
      </c>
      <c r="Q144" s="13">
        <f>IF(ISNUMBER(O144),P144-O144,"")</f>
        <v>2.7</v>
      </c>
      <c r="R144" s="13">
        <f>IF(ISNUMBER(O144),IF(C144="Ручная",IF($S$150&gt;0,$R$150*Q144/$S$150,IF($W$150=7,$R$150,0)),0),"")</f>
        <v>0.849590163934422</v>
      </c>
      <c r="S144" s="13">
        <f>IF(ISNUMBER(O144),O144+R144,"")</f>
        <v>27.8495901639344</v>
      </c>
      <c r="T144" s="13">
        <f>IF(ISNUMBER(S144),P144-S144,"")</f>
        <v>1.85040983606558</v>
      </c>
      <c r="U144" s="13">
        <f>IF(COUNT(AG144:AP144)&gt;0,AVERAGE(AG144:AP144),"")</f>
        <v>28.242</v>
      </c>
      <c r="AG144" s="13">
        <f>IF(ISNUMBER(E$150),E144,"")</f>
        <v>28.62</v>
      </c>
      <c r="AH144" s="13">
        <f>IF(ISNUMBER(F$150),F144,"")</f>
        <v>29.7</v>
      </c>
      <c r="AI144" s="13">
        <f>IF(ISNUMBER(G$150),G144,"")</f>
        <v>27.81</v>
      </c>
      <c r="AJ144" s="13">
        <f>IF(ISNUMBER(H$150),H144,"")</f>
        <v>28.89</v>
      </c>
      <c r="AK144" s="13">
        <f>IF(ISNUMBER(I$150),I144,"")</f>
        <v>27.27</v>
      </c>
      <c r="AL144" s="13">
        <f>IF(ISNUMBER(J$150),J144,"")</f>
        <v>28.35</v>
      </c>
      <c r="AM144" s="13">
        <f>IF(ISNUMBER(K$150),K144,"")</f>
        <v>27</v>
      </c>
      <c r="AN144" s="13">
        <f>IF(ISNUMBER(L$150),L144,"")</f>
        <v>28.08</v>
      </c>
      <c r="AO144" s="13">
        <f>IF(ISNUMBER(M$150),M144,"")</f>
        <v>29.16</v>
      </c>
      <c r="AP144" s="13">
        <f>IF(ISNUMBER(N$150),N144,"")</f>
        <v>27.54</v>
      </c>
      <c r="AQ144" s="13">
        <f>IF(C144="Ручная",O144,0)</f>
        <v>27</v>
      </c>
    </row>
    <row r="145" spans="1:43" ht="40" customHeight="1">
      <c r="A145" s="5">
        <v>8</v>
      </c>
      <c r="B145" s="5" t="s">
        <v>200</v>
      </c>
      <c r="C145" s="11" t="s">
        <v>183</v>
      </c>
      <c r="D145" s="7" t="s">
        <v>201</v>
      </c>
      <c r="E145" s="12">
        <v>19.26</v>
      </c>
      <c r="F145" s="12">
        <v>18.18</v>
      </c>
      <c r="G145" s="12">
        <v>18.9</v>
      </c>
      <c r="H145" s="12">
        <v>18</v>
      </c>
      <c r="I145" s="12">
        <v>18.72</v>
      </c>
      <c r="J145" s="12">
        <v>19.44</v>
      </c>
      <c r="K145" s="12">
        <v>18.36</v>
      </c>
      <c r="L145" s="12">
        <v>19.08</v>
      </c>
      <c r="M145" s="12">
        <v>19.8</v>
      </c>
      <c r="N145" s="12">
        <v>18.54</v>
      </c>
      <c r="O145" s="13">
        <f>IF(COUNT(AG145:AP145)&gt;0,MIN(AG145:AP145),"")</f>
        <v>18</v>
      </c>
      <c r="P145" s="13">
        <f>IF(COUNT(AG145:AP145)&gt;0,MAX(AG145:AP145),"")</f>
        <v>19.8</v>
      </c>
      <c r="Q145" s="13">
        <f>IF(ISNUMBER(O145),P145-O145,"")</f>
        <v>1.8</v>
      </c>
      <c r="R145" s="13">
        <f>IF(ISNUMBER(O145),IF(C145="Ручная",IF($S$150&gt;0,$R$150*Q145/$S$150,IF($W$150=8,$R$150,0)),0),"")</f>
        <v>0.566393442622948</v>
      </c>
      <c r="S145" s="13">
        <f>IF(ISNUMBER(O145),O145+R145,"")</f>
        <v>18.5663934426229</v>
      </c>
      <c r="T145" s="13">
        <f>IF(ISNUMBER(S145),P145-S145,"")</f>
        <v>1.23360655737705</v>
      </c>
      <c r="U145" s="13">
        <f>IF(COUNT(AG145:AP145)&gt;0,AVERAGE(AG145:AP145),"")</f>
        <v>18.828</v>
      </c>
      <c r="AG145" s="13">
        <f>IF(ISNUMBER(E$150),E145,"")</f>
        <v>19.26</v>
      </c>
      <c r="AH145" s="13">
        <f>IF(ISNUMBER(F$150),F145,"")</f>
        <v>18.18</v>
      </c>
      <c r="AI145" s="13">
        <f>IF(ISNUMBER(G$150),G145,"")</f>
        <v>18.9</v>
      </c>
      <c r="AJ145" s="13">
        <f>IF(ISNUMBER(H$150),H145,"")</f>
        <v>18</v>
      </c>
      <c r="AK145" s="13">
        <f>IF(ISNUMBER(I$150),I145,"")</f>
        <v>18.72</v>
      </c>
      <c r="AL145" s="13">
        <f>IF(ISNUMBER(J$150),J145,"")</f>
        <v>19.44</v>
      </c>
      <c r="AM145" s="13">
        <f>IF(ISNUMBER(K$150),K145,"")</f>
        <v>18.36</v>
      </c>
      <c r="AN145" s="13">
        <f>IF(ISNUMBER(L$150),L145,"")</f>
        <v>19.08</v>
      </c>
      <c r="AO145" s="13">
        <f>IF(ISNUMBER(M$150),M145,"")</f>
        <v>19.8</v>
      </c>
      <c r="AP145" s="13">
        <f>IF(ISNUMBER(N$150),N145,"")</f>
        <v>18.54</v>
      </c>
      <c r="AQ145" s="13">
        <f>IF(C145="Ручная",O145,0)</f>
        <v>18</v>
      </c>
    </row>
    <row r="146" spans="1:43" ht="40" customHeight="1">
      <c r="A146" s="5" t="s">
        <v>189</v>
      </c>
      <c r="B146" s="5" t="s">
        <v>202</v>
      </c>
      <c r="C146" s="11" t="s">
        <v>191</v>
      </c>
      <c r="D146" s="7" t="s">
        <v>203</v>
      </c>
      <c r="E146" s="12">
        <v>5</v>
      </c>
      <c r="F146" s="12">
        <v>5.2</v>
      </c>
      <c r="G146" s="12">
        <v>5.4</v>
      </c>
      <c r="H146" s="12">
        <v>5.1</v>
      </c>
      <c r="I146" s="12">
        <v>5.3</v>
      </c>
      <c r="J146" s="12">
        <v>5.5</v>
      </c>
      <c r="K146" s="12">
        <v>5.15</v>
      </c>
      <c r="L146" s="12">
        <v>5.35</v>
      </c>
      <c r="M146" s="12">
        <v>5.05</v>
      </c>
      <c r="N146" s="12">
        <v>5.25</v>
      </c>
      <c r="O146" s="13">
        <f>IF(COUNT(AG146:AP146)&gt;0,MIN(AG146:AP146),"")</f>
        <v>5</v>
      </c>
      <c r="P146" s="13">
        <f>IF(COUNT(AG146:AP146)&gt;0,MAX(AG146:AP146),"")</f>
        <v>5.5</v>
      </c>
      <c r="Q146" s="13">
        <f>IF(ISNUMBER(O146),P146-O146,"")</f>
        <v>0.5</v>
      </c>
      <c r="R146" s="13">
        <f>IF(ISNUMBER(O146),IF(C146="Ручная",IF($S$150&gt;0,$R$150*Q146/$S$150,IF($W$150=9,$R$150,0)),0),"")</f>
        <v>0</v>
      </c>
      <c r="S146" s="13">
        <f>IF(ISNUMBER(O146),O146+R146,"")</f>
        <v>5</v>
      </c>
      <c r="T146" s="13">
        <f>IF(ISNUMBER(S146),P146-S146,"")</f>
        <v>0.5</v>
      </c>
      <c r="U146" s="13">
        <f>IF(COUNT(AG146:AP146)&gt;0,AVERAGE(AG146:AP146),"")</f>
        <v>5.23</v>
      </c>
      <c r="AG146" s="13">
        <f>IF(ISNUMBER(E$150),E146,"")</f>
        <v>5</v>
      </c>
      <c r="AH146" s="13">
        <f>IF(ISNUMBER(F$150),F146,"")</f>
        <v>5.2</v>
      </c>
      <c r="AI146" s="13">
        <f>IF(ISNUMBER(G$150),G146,"")</f>
        <v>5.4</v>
      </c>
      <c r="AJ146" s="13">
        <f>IF(ISNUMBER(H$150),H146,"")</f>
        <v>5.1</v>
      </c>
      <c r="AK146" s="13">
        <f>IF(ISNUMBER(I$150),I146,"")</f>
        <v>5.3</v>
      </c>
      <c r="AL146" s="13">
        <f>IF(ISNUMBER(J$150),J146,"")</f>
        <v>5.5</v>
      </c>
      <c r="AM146" s="13">
        <f>IF(ISNUMBER(K$150),K146,"")</f>
        <v>5.15</v>
      </c>
      <c r="AN146" s="13">
        <f>IF(ISNUMBER(L$150),L146,"")</f>
        <v>5.35</v>
      </c>
      <c r="AO146" s="13">
        <f>IF(ISNUMBER(M$150),M146,"")</f>
        <v>5.05</v>
      </c>
      <c r="AP146" s="13">
        <f>IF(ISNUMBER(N$150),N146,"")</f>
        <v>5.25</v>
      </c>
      <c r="AQ146" s="13">
        <f>IF(C146="Ручная",O146,0)</f>
        <v>0</v>
      </c>
    </row>
    <row r="147" spans="1:43" ht="40" customHeight="1">
      <c r="A147" s="5" t="s">
        <v>189</v>
      </c>
      <c r="B147" s="5" t="s">
        <v>204</v>
      </c>
      <c r="C147" s="11" t="s">
        <v>191</v>
      </c>
      <c r="D147" s="7" t="s">
        <v>205</v>
      </c>
      <c r="E147" s="12">
        <v>5.1</v>
      </c>
      <c r="F147" s="12">
        <v>5.3</v>
      </c>
      <c r="G147" s="12">
        <v>5.5</v>
      </c>
      <c r="H147" s="12">
        <v>5.15</v>
      </c>
      <c r="I147" s="12">
        <v>5.35</v>
      </c>
      <c r="J147" s="12">
        <v>5.05</v>
      </c>
      <c r="K147" s="12">
        <v>5.25</v>
      </c>
      <c r="L147" s="12">
        <v>5</v>
      </c>
      <c r="M147" s="12">
        <v>5.2</v>
      </c>
      <c r="N147" s="12">
        <v>5.4</v>
      </c>
      <c r="O147" s="13">
        <f>IF(COUNT(AG147:AP147)&gt;0,MIN(AG147:AP147),"")</f>
        <v>5</v>
      </c>
      <c r="P147" s="13">
        <f>IF(COUNT(AG147:AP147)&gt;0,MAX(AG147:AP147),"")</f>
        <v>5.5</v>
      </c>
      <c r="Q147" s="13">
        <f>IF(ISNUMBER(O147),P147-O147,"")</f>
        <v>0.5</v>
      </c>
      <c r="R147" s="13">
        <f>IF(ISNUMBER(O147),IF(C147="Ручная",IF($S$150&gt;0,$R$150*Q147/$S$150,IF($W$150=10,$R$150,0)),0),"")</f>
        <v>0</v>
      </c>
      <c r="S147" s="13">
        <f>IF(ISNUMBER(O147),O147+R147,"")</f>
        <v>5</v>
      </c>
      <c r="T147" s="13">
        <f>IF(ISNUMBER(S147),P147-S147,"")</f>
        <v>0.5</v>
      </c>
      <c r="U147" s="13">
        <f>IF(COUNT(AG147:AP147)&gt;0,AVERAGE(AG147:AP147),"")</f>
        <v>5.23</v>
      </c>
      <c r="AG147" s="13">
        <f>IF(ISNUMBER(E$150),E147,"")</f>
        <v>5.1</v>
      </c>
      <c r="AH147" s="13">
        <f>IF(ISNUMBER(F$150),F147,"")</f>
        <v>5.3</v>
      </c>
      <c r="AI147" s="13">
        <f>IF(ISNUMBER(G$150),G147,"")</f>
        <v>5.5</v>
      </c>
      <c r="AJ147" s="13">
        <f>IF(ISNUMBER(H$150),H147,"")</f>
        <v>5.15</v>
      </c>
      <c r="AK147" s="13">
        <f>IF(ISNUMBER(I$150),I147,"")</f>
        <v>5.35</v>
      </c>
      <c r="AL147" s="13">
        <f>IF(ISNUMBER(J$150),J147,"")</f>
        <v>5.05</v>
      </c>
      <c r="AM147" s="13">
        <f>IF(ISNUMBER(K$150),K147,"")</f>
        <v>5.25</v>
      </c>
      <c r="AN147" s="13">
        <f>IF(ISNUMBER(L$150),L147,"")</f>
        <v>5</v>
      </c>
      <c r="AO147" s="13">
        <f>IF(ISNUMBER(M$150),M147,"")</f>
        <v>5.2</v>
      </c>
      <c r="AP147" s="13">
        <f>IF(ISNUMBER(N$150),N147,"")</f>
        <v>5.4</v>
      </c>
      <c r="AQ147" s="13">
        <f>IF(C147="Ручная",O147,0)</f>
        <v>0</v>
      </c>
    </row>
    <row r="148" spans="1:43" ht="40" customHeight="1">
      <c r="A148" s="5" t="s">
        <v>189</v>
      </c>
      <c r="B148" s="5" t="s">
        <v>206</v>
      </c>
      <c r="C148" s="11" t="s">
        <v>207</v>
      </c>
      <c r="D148" s="7" t="s">
        <v>208</v>
      </c>
      <c r="E148" s="12">
        <v>0</v>
      </c>
      <c r="F148" s="12">
        <v>0</v>
      </c>
      <c r="G148" s="12">
        <v>0</v>
      </c>
      <c r="H148" s="12">
        <v>0</v>
      </c>
      <c r="I148" s="12">
        <v>0</v>
      </c>
      <c r="J148" s="12">
        <v>0</v>
      </c>
      <c r="K148" s="12">
        <v>0</v>
      </c>
      <c r="L148" s="12">
        <v>0</v>
      </c>
      <c r="M148" s="12">
        <v>0</v>
      </c>
      <c r="N148" s="12">
        <v>0</v>
      </c>
      <c r="O148" s="13">
        <f>IF(COUNT(AG148:AP148)&gt;0,MIN(AG148:AP148),"")</f>
        <v>0</v>
      </c>
      <c r="P148" s="13">
        <f>IF(COUNT(AG148:AP148)&gt;0,MAX(AG148:AP148),"")</f>
        <v>0</v>
      </c>
      <c r="Q148" s="13">
        <f>IF(ISNUMBER(O148),P148-O148,"")</f>
        <v>0</v>
      </c>
      <c r="R148" s="13">
        <f>IF(ISNUMBER(O148),IF(C148="Ручная",IF($S$150&gt;0,$R$150*Q148/$S$150,IF($W$150=11,$R$150,0)),0),"")</f>
        <v>0</v>
      </c>
      <c r="S148" s="13">
        <f>IF(ISNUMBER(O148),O148+R148,"")</f>
        <v>0</v>
      </c>
      <c r="T148" s="13">
        <f>IF(ISNUMBER(S148),P148-S148,"")</f>
        <v>0</v>
      </c>
      <c r="U148" s="13">
        <f>IF(COUNT(AG148:AP148)&gt;0,AVERAGE(AG148:AP148),"")</f>
        <v>0</v>
      </c>
      <c r="AG148" s="13">
        <f>IF(ISNUMBER(E$150),E148,"")</f>
        <v>0</v>
      </c>
      <c r="AH148" s="13">
        <f>IF(ISNUMBER(F$150),F148,"")</f>
        <v>0</v>
      </c>
      <c r="AI148" s="13">
        <f>IF(ISNUMBER(G$150),G148,"")</f>
        <v>0</v>
      </c>
      <c r="AJ148" s="13">
        <f>IF(ISNUMBER(H$150),H148,"")</f>
        <v>0</v>
      </c>
      <c r="AK148" s="13">
        <f>IF(ISNUMBER(I$150),I148,"")</f>
        <v>0</v>
      </c>
      <c r="AL148" s="13">
        <f>IF(ISNUMBER(J$150),J148,"")</f>
        <v>0</v>
      </c>
      <c r="AM148" s="13">
        <f>IF(ISNUMBER(K$150),K148,"")</f>
        <v>0</v>
      </c>
      <c r="AN148" s="13">
        <f>IF(ISNUMBER(L$150),L148,"")</f>
        <v>0</v>
      </c>
      <c r="AO148" s="13">
        <f>IF(ISNUMBER(M$150),M148,"")</f>
        <v>0</v>
      </c>
      <c r="AP148" s="13">
        <f>IF(ISNUMBER(N$150),N148,"")</f>
        <v>0</v>
      </c>
      <c r="AQ148" s="13">
        <f>IF(C148="Ручная",O148,0)</f>
        <v>0</v>
      </c>
    </row>
    <row r="149" spans="1:43" ht="23" customHeight="1">
      <c r="B149" s="4" t="s">
        <v>209</v>
      </c>
      <c r="E149" s="6">
        <f>IF(COUNT(E138:E148)=11,SUM(E138:E148),"")</f>
        <v>546.76</v>
      </c>
      <c r="F149" s="6">
        <f>IF(COUNT(F138:F148)=11,SUM(F138:F148),"")</f>
        <v>542.75</v>
      </c>
      <c r="G149" s="6">
        <f>IF(COUNT(G138:G148)=11,SUM(G138:G148),"")</f>
        <v>544.02</v>
      </c>
      <c r="H149" s="6">
        <f>IF(COUNT(H138:H148)=11,SUM(H138:H148),"")</f>
        <v>550.17</v>
      </c>
      <c r="I149" s="6">
        <f>IF(COUNT(I138:I148)=11,SUM(I138:I148),"")</f>
        <v>542.46</v>
      </c>
      <c r="J149" s="6">
        <f>IF(COUNT(J138:J148)=11,SUM(J138:J148),"")</f>
        <v>547.87</v>
      </c>
      <c r="K149" s="6">
        <f>IF(COUNT(K138:K148)=11,SUM(K138:K148),"")</f>
        <v>550.54</v>
      </c>
      <c r="L149" s="6">
        <f>IF(COUNT(L138:L148)=11,SUM(L138:L148),"")</f>
        <v>546.01</v>
      </c>
      <c r="M149" s="6">
        <f>IF(COUNT(M138:M148)=11,SUM(M138:M148),"")</f>
        <v>549.27</v>
      </c>
      <c r="N149" s="6">
        <f>IF(COUNT(N138:N148)=11,SUM(N138:N148),"")</f>
        <v>544.01</v>
      </c>
      <c r="O149" s="6">
        <f>IF(COUNT(O138:O148)=11,SUM(O138:O148),"")</f>
        <v>535.55</v>
      </c>
      <c r="P149" s="6">
        <f>IF(COUNT(P138:P148)=11,SUM(P138:P148),"")</f>
        <v>559.11</v>
      </c>
      <c r="Q149" s="6">
        <f>IF(COUNT(Q138:Q148)=11,SUM(Q138:Q148),"")</f>
        <v>23.56</v>
      </c>
      <c r="R149" s="6">
        <f>IF(COUNT(R138:R148)=11,SUM(R138:R148),"")</f>
        <v>6.90999999999997</v>
      </c>
      <c r="S149" s="6">
        <f>IF(COUNT(S138:S148)=11,SUM(S138:S148),"")</f>
        <v>542.46</v>
      </c>
      <c r="T149" s="6">
        <f>IF(COUNT(T138:T148)=11,SUM(T138:T148),"")</f>
        <v>16.65</v>
      </c>
      <c r="U149" s="6">
        <f>IF(COUNT(U138:U148)=11,SUM(U138:U148),"")</f>
        <v>546.386</v>
      </c>
    </row>
    <row r="150" spans="1:43" ht="23" customHeight="1">
      <c r="B150" s="4" t="s">
        <v>210</v>
      </c>
      <c r="E150" s="6">
        <f>IF(AND(E136=1,COUNT(E138:E148)=11,MIN(E138:E148)&gt;=0),E149,"")</f>
        <v>546.76</v>
      </c>
      <c r="F150" s="6">
        <f>IF(AND(F136=1,COUNT(F138:F148)=11,MIN(F138:F148)&gt;=0),F149,"")</f>
        <v>542.75</v>
      </c>
      <c r="G150" s="6">
        <f>IF(AND(G136=1,COUNT(G138:G148)=11,MIN(G138:G148)&gt;=0),G149,"")</f>
        <v>544.02</v>
      </c>
      <c r="H150" s="6">
        <f>IF(AND(H136=1,COUNT(H138:H148)=11,MIN(H138:H148)&gt;=0),H149,"")</f>
        <v>550.17</v>
      </c>
      <c r="I150" s="6">
        <f>IF(AND(I136=1,COUNT(I138:I148)=11,MIN(I138:I148)&gt;=0),I149,"")</f>
        <v>542.46</v>
      </c>
      <c r="J150" s="6">
        <f>IF(AND(J136=1,COUNT(J138:J148)=11,MIN(J138:J148)&gt;=0),J149,"")</f>
        <v>547.87</v>
      </c>
      <c r="K150" s="6">
        <f>IF(AND(K136=1,COUNT(K138:K148)=11,MIN(K138:K148)&gt;=0),K149,"")</f>
        <v>550.54</v>
      </c>
      <c r="L150" s="6">
        <f>IF(AND(L136=1,COUNT(L138:L148)=11,MIN(L138:L148)&gt;=0),L149,"")</f>
        <v>546.01</v>
      </c>
      <c r="M150" s="6">
        <f>IF(AND(M136=1,COUNT(M138:M148)=11,MIN(M138:M148)&gt;=0),M149,"")</f>
        <v>549.27</v>
      </c>
      <c r="N150" s="6">
        <f>IF(AND(N136=1,COUNT(N138:N148)=11,MIN(N138:N148)&gt;=0),N149,"")</f>
        <v>544.01</v>
      </c>
      <c r="O150" s="6">
        <f>IF(COUNT(E150:N150)&gt;0,MIN(E150:N150),"")</f>
        <v>542.46</v>
      </c>
      <c r="P150" s="6">
        <f>IF(COUNT(E150:N150)&gt;0,MAX(E150:N150),"")</f>
        <v>550.54</v>
      </c>
      <c r="Q150" s="6">
        <f>IF(ISNUMBER(O150),P150-O150,"")</f>
        <v>8.08000000000015</v>
      </c>
      <c r="R150" s="6">
        <f>IF(ISNUMBER(O150),MAX(0,O150-O149),"")</f>
        <v>6.90999999999997</v>
      </c>
      <c r="S150" s="6">
        <f>SUMIF(C138:C148,"Ручная",Q138:Q148)</f>
        <v>21.96</v>
      </c>
      <c r="T150" s="6">
        <f>COUNT(E150:N150)</f>
        <v>10</v>
      </c>
      <c r="U150" s="6">
        <f>IF(COUNT(E150:N150)&gt;0,AVERAGE(E150:N150),"")</f>
        <v>546.386</v>
      </c>
      <c r="V150" s="6">
        <f>IF(ISNUMBER(O150),S149-O150,"")</f>
        <v>1.13686837721616e-13</v>
      </c>
      <c r="W150" s="6">
        <f>MATCH(MAX(AQ138:AQ148),AQ138:AQ148,0)</f>
        <v>2</v>
      </c>
      <c r="X150" s="17" t="str">
        <f>IF(T150=0,"НЕТ ЗАМЕРОВ",IF(T150&lt;10,"МЕНЕЕ 10 ЦИКЛОВ",IF(ABS(V150)&lt;0.000001,"ОК","ОШИБКА РЕГУЛИРОВКИ")))</f>
        <v>ОК</v>
      </c>
    </row>
    <row r="151" spans="1:43" ht="23" customHeight="1">
      <c r="A151" s="7" t="s">
        <v>211</v>
      </c>
      <c r="B151" s="7"/>
      <c r="C151" s="7"/>
      <c r="D151" s="7"/>
      <c r="E151" s="7"/>
      <c r="F151" s="7"/>
      <c r="G151" s="7"/>
      <c r="H151" s="7"/>
      <c r="I151" s="7"/>
      <c r="J151" s="7"/>
      <c r="K151" s="7"/>
      <c r="L151" s="7"/>
      <c r="M151" s="7"/>
      <c r="N151" s="7"/>
      <c r="O151" s="7"/>
      <c r="P151" s="7"/>
      <c r="Q151" s="7"/>
      <c r="R151" s="7"/>
      <c r="S151" s="7"/>
      <c r="T151" s="7"/>
      <c r="U151" s="7"/>
      <c r="V151" s="7"/>
      <c r="W151" s="7"/>
      <c r="X151" s="7"/>
    </row>
    <row r="154" spans="1:43" ht="23" customHeight="1">
      <c r="A154" s="4" t="s">
        <v>237</v>
      </c>
      <c r="B154" s="4"/>
      <c r="C154" s="4"/>
      <c r="D154" s="4"/>
      <c r="E154" s="4"/>
      <c r="F154" s="4"/>
      <c r="G154" s="4"/>
      <c r="H154" s="4"/>
      <c r="I154" s="4"/>
      <c r="J154" s="4"/>
      <c r="K154" s="4"/>
      <c r="L154" s="4"/>
      <c r="M154" s="4"/>
      <c r="N154" s="4"/>
      <c r="O154" s="4"/>
      <c r="P154" s="4"/>
      <c r="Q154" s="4"/>
      <c r="R154" s="4"/>
      <c r="S154" s="4"/>
      <c r="T154" s="4"/>
      <c r="U154" s="4"/>
      <c r="V154" s="4"/>
      <c r="W154" s="4"/>
      <c r="X154" s="4"/>
    </row>
    <row r="155" spans="1:43" ht="23" customHeight="1">
      <c r="A155" s="7" t="str">
        <f>"Масса замера, кг: "&amp;'Ассортимент'!J15&amp;".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155" s="7"/>
      <c r="C155" s="7"/>
      <c r="D155" s="7"/>
      <c r="E155" s="7"/>
      <c r="F155" s="7"/>
      <c r="G155" s="7"/>
      <c r="H155" s="7"/>
      <c r="I155" s="7"/>
      <c r="J155" s="7"/>
      <c r="K155" s="7"/>
      <c r="L155" s="7"/>
      <c r="M155" s="7"/>
      <c r="N155" s="7"/>
      <c r="O155" s="7"/>
      <c r="P155" s="7"/>
      <c r="Q155" s="7"/>
      <c r="R155" s="7"/>
      <c r="S155" s="7"/>
      <c r="T155" s="7"/>
      <c r="U155" s="7"/>
      <c r="V155" s="7"/>
      <c r="W155" s="7"/>
      <c r="X155" s="7"/>
    </row>
    <row r="156" spans="1:43" ht="44" customHeight="1">
      <c r="A156" s="8" t="s">
        <v>113</v>
      </c>
      <c r="B156" s="8" t="s">
        <v>156</v>
      </c>
      <c r="C156" s="8" t="s">
        <v>157</v>
      </c>
      <c r="D156" s="8" t="s">
        <v>158</v>
      </c>
      <c r="E156" s="8" t="s">
        <v>159</v>
      </c>
      <c r="F156" s="8" t="s">
        <v>160</v>
      </c>
      <c r="G156" s="8" t="s">
        <v>161</v>
      </c>
      <c r="H156" s="8" t="s">
        <v>162</v>
      </c>
      <c r="I156" s="8" t="s">
        <v>163</v>
      </c>
      <c r="J156" s="8" t="s">
        <v>164</v>
      </c>
      <c r="K156" s="8" t="s">
        <v>165</v>
      </c>
      <c r="L156" s="8" t="s">
        <v>166</v>
      </c>
      <c r="M156" s="8" t="s">
        <v>167</v>
      </c>
      <c r="N156" s="8" t="s">
        <v>168</v>
      </c>
      <c r="O156" s="8" t="s">
        <v>169</v>
      </c>
      <c r="P156" s="8" t="s">
        <v>170</v>
      </c>
      <c r="Q156" s="8" t="s">
        <v>171</v>
      </c>
      <c r="R156" s="8" t="s">
        <v>172</v>
      </c>
      <c r="S156" s="8" t="s">
        <v>173</v>
      </c>
      <c r="T156" s="8" t="s">
        <v>174</v>
      </c>
      <c r="U156" s="8" t="s">
        <v>175</v>
      </c>
      <c r="V156" s="8" t="s">
        <v>176</v>
      </c>
      <c r="W156" s="8" t="s">
        <v>177</v>
      </c>
      <c r="X156" s="8" t="s">
        <v>178</v>
      </c>
    </row>
    <row r="157" spans="1:43" ht="23" customHeight="1">
      <c r="B157" s="5" t="s">
        <v>179</v>
      </c>
      <c r="E157" s="12">
        <v>1</v>
      </c>
      <c r="F157" s="12">
        <v>1</v>
      </c>
      <c r="G157" s="12">
        <v>1</v>
      </c>
      <c r="H157" s="12">
        <v>1</v>
      </c>
      <c r="I157" s="12">
        <v>1</v>
      </c>
      <c r="J157" s="12">
        <v>1</v>
      </c>
      <c r="K157" s="12">
        <v>1</v>
      </c>
      <c r="L157" s="12">
        <v>1</v>
      </c>
      <c r="M157" s="12">
        <v>1</v>
      </c>
      <c r="N157" s="12">
        <v>1</v>
      </c>
    </row>
    <row r="158" spans="1:43" ht="33" customHeight="1">
      <c r="B158" s="5" t="s">
        <v>180</v>
      </c>
      <c r="E158" s="9" t="s">
        <v>181</v>
      </c>
      <c r="F158" s="9" t="s">
        <v>181</v>
      </c>
      <c r="G158" s="9" t="s">
        <v>181</v>
      </c>
      <c r="H158" s="9" t="s">
        <v>181</v>
      </c>
      <c r="I158" s="9" t="s">
        <v>181</v>
      </c>
      <c r="J158" s="9" t="s">
        <v>181</v>
      </c>
      <c r="K158" s="9" t="s">
        <v>181</v>
      </c>
      <c r="L158" s="9" t="s">
        <v>181</v>
      </c>
      <c r="M158" s="9" t="s">
        <v>181</v>
      </c>
      <c r="N158" s="9" t="s">
        <v>181</v>
      </c>
    </row>
    <row r="159" spans="1:43" ht="40" customHeight="1">
      <c r="A159" s="5">
        <v>1</v>
      </c>
      <c r="B159" s="5" t="s">
        <v>182</v>
      </c>
      <c r="C159" s="11" t="s">
        <v>183</v>
      </c>
      <c r="D159" s="7" t="s">
        <v>184</v>
      </c>
      <c r="E159" s="12">
        <v>26.75</v>
      </c>
      <c r="F159" s="12">
        <v>25.25</v>
      </c>
      <c r="G159" s="12">
        <v>26.25</v>
      </c>
      <c r="H159" s="12">
        <v>25</v>
      </c>
      <c r="I159" s="12">
        <v>26</v>
      </c>
      <c r="J159" s="12">
        <v>27</v>
      </c>
      <c r="K159" s="12">
        <v>25.5</v>
      </c>
      <c r="L159" s="12">
        <v>26.5</v>
      </c>
      <c r="M159" s="12">
        <v>27.5</v>
      </c>
      <c r="N159" s="12">
        <v>25.75</v>
      </c>
      <c r="O159" s="13">
        <f>IF(COUNT(AG159:AP159)&gt;0,MIN(AG159:AP159),"")</f>
        <v>25</v>
      </c>
      <c r="P159" s="13">
        <f>IF(COUNT(AG159:AP159)&gt;0,MAX(AG159:AP159),"")</f>
        <v>27.5</v>
      </c>
      <c r="Q159" s="13">
        <f>IF(ISNUMBER(O159),P159-O159,"")</f>
        <v>2.5</v>
      </c>
      <c r="R159" s="13">
        <f>IF(ISNUMBER(O159),IF(C159="Ручная",IF($S$171&gt;0,$R$171*Q159/$S$171,IF($W$171=1,$R$171,0)),0),"")</f>
        <v>0.751252086811357</v>
      </c>
      <c r="S159" s="13">
        <f>IF(ISNUMBER(O159),O159+R159,"")</f>
        <v>25.7512520868114</v>
      </c>
      <c r="T159" s="13">
        <f>IF(ISNUMBER(S159),P159-S159,"")</f>
        <v>1.74874791318864</v>
      </c>
      <c r="U159" s="13">
        <f>IF(COUNT(AG159:AP159)&gt;0,AVERAGE(AG159:AP159),"")</f>
        <v>26.15</v>
      </c>
      <c r="AG159" s="13">
        <f>IF(ISNUMBER(E$171),E159,"")</f>
        <v>26.75</v>
      </c>
      <c r="AH159" s="13">
        <f>IF(ISNUMBER(F$171),F159,"")</f>
        <v>25.25</v>
      </c>
      <c r="AI159" s="13">
        <f>IF(ISNUMBER(G$171),G159,"")</f>
        <v>26.25</v>
      </c>
      <c r="AJ159" s="13">
        <f>IF(ISNUMBER(H$171),H159,"")</f>
        <v>25</v>
      </c>
      <c r="AK159" s="13">
        <f>IF(ISNUMBER(I$171),I159,"")</f>
        <v>26</v>
      </c>
      <c r="AL159" s="13">
        <f>IF(ISNUMBER(J$171),J159,"")</f>
        <v>27</v>
      </c>
      <c r="AM159" s="13">
        <f>IF(ISNUMBER(K$171),K159,"")</f>
        <v>25.5</v>
      </c>
      <c r="AN159" s="13">
        <f>IF(ISNUMBER(L$171),L159,"")</f>
        <v>26.5</v>
      </c>
      <c r="AO159" s="13">
        <f>IF(ISNUMBER(M$171),M159,"")</f>
        <v>27.5</v>
      </c>
      <c r="AP159" s="13">
        <f>IF(ISNUMBER(N$171),N159,"")</f>
        <v>25.75</v>
      </c>
      <c r="AQ159" s="13">
        <f>IF(C159="Ручная",O159,0)</f>
        <v>25</v>
      </c>
    </row>
    <row r="160" spans="1:43" ht="40" customHeight="1">
      <c r="A160" s="5">
        <v>2</v>
      </c>
      <c r="B160" s="5" t="s">
        <v>185</v>
      </c>
      <c r="C160" s="11" t="s">
        <v>183</v>
      </c>
      <c r="D160" s="7" t="s">
        <v>186</v>
      </c>
      <c r="E160" s="12">
        <v>120</v>
      </c>
      <c r="F160" s="12">
        <v>124.8</v>
      </c>
      <c r="G160" s="12">
        <v>129.6</v>
      </c>
      <c r="H160" s="12">
        <v>122.4</v>
      </c>
      <c r="I160" s="12">
        <v>127.2</v>
      </c>
      <c r="J160" s="12">
        <v>132</v>
      </c>
      <c r="K160" s="12">
        <v>123.6</v>
      </c>
      <c r="L160" s="12">
        <v>128.4</v>
      </c>
      <c r="M160" s="12">
        <v>121.2</v>
      </c>
      <c r="N160" s="12">
        <v>126</v>
      </c>
      <c r="O160" s="13">
        <f>IF(COUNT(AG160:AP160)&gt;0,MIN(AG160:AP160),"")</f>
        <v>120</v>
      </c>
      <c r="P160" s="13">
        <f>IF(COUNT(AG160:AP160)&gt;0,MAX(AG160:AP160),"")</f>
        <v>132</v>
      </c>
      <c r="Q160" s="13">
        <f>IF(ISNUMBER(O160),P160-O160,"")</f>
        <v>12</v>
      </c>
      <c r="R160" s="13">
        <f>IF(ISNUMBER(O160),IF(C160="Ручная",IF($S$171&gt;0,$R$171*Q160/$S$171,IF($W$171=2,$R$171,0)),0),"")</f>
        <v>3.60601001669451</v>
      </c>
      <c r="S160" s="13">
        <f>IF(ISNUMBER(O160),O160+R160,"")</f>
        <v>123.606010016695</v>
      </c>
      <c r="T160" s="13">
        <f>IF(ISNUMBER(S160),P160-S160,"")</f>
        <v>8.39398998330549</v>
      </c>
      <c r="U160" s="13">
        <f>IF(COUNT(AG160:AP160)&gt;0,AVERAGE(AG160:AP160),"")</f>
        <v>125.52</v>
      </c>
      <c r="AG160" s="13">
        <f>IF(ISNUMBER(E$171),E160,"")</f>
        <v>120</v>
      </c>
      <c r="AH160" s="13">
        <f>IF(ISNUMBER(F$171),F160,"")</f>
        <v>124.8</v>
      </c>
      <c r="AI160" s="13">
        <f>IF(ISNUMBER(G$171),G160,"")</f>
        <v>129.6</v>
      </c>
      <c r="AJ160" s="13">
        <f>IF(ISNUMBER(H$171),H160,"")</f>
        <v>122.4</v>
      </c>
      <c r="AK160" s="13">
        <f>IF(ISNUMBER(I$171),I160,"")</f>
        <v>127.2</v>
      </c>
      <c r="AL160" s="13">
        <f>IF(ISNUMBER(J$171),J160,"")</f>
        <v>132</v>
      </c>
      <c r="AM160" s="13">
        <f>IF(ISNUMBER(K$171),K160,"")</f>
        <v>123.6</v>
      </c>
      <c r="AN160" s="13">
        <f>IF(ISNUMBER(L$171),L160,"")</f>
        <v>128.4</v>
      </c>
      <c r="AO160" s="13">
        <f>IF(ISNUMBER(M$171),M160,"")</f>
        <v>121.2</v>
      </c>
      <c r="AP160" s="13">
        <f>IF(ISNUMBER(N$171),N160,"")</f>
        <v>126</v>
      </c>
      <c r="AQ160" s="13">
        <f>IF(C160="Ручная",O160,0)</f>
        <v>120</v>
      </c>
    </row>
    <row r="161" spans="1:43" ht="40" customHeight="1">
      <c r="A161" s="5">
        <v>3</v>
      </c>
      <c r="B161" s="5" t="s">
        <v>187</v>
      </c>
      <c r="C161" s="11" t="s">
        <v>183</v>
      </c>
      <c r="D161" s="7" t="s">
        <v>188</v>
      </c>
      <c r="E161" s="12">
        <v>20.2</v>
      </c>
      <c r="F161" s="12">
        <v>20.99</v>
      </c>
      <c r="G161" s="12">
        <v>21.78</v>
      </c>
      <c r="H161" s="12">
        <v>20.39</v>
      </c>
      <c r="I161" s="12">
        <v>21.19</v>
      </c>
      <c r="J161" s="12">
        <v>20</v>
      </c>
      <c r="K161" s="12">
        <v>20.79</v>
      </c>
      <c r="L161" s="12">
        <v>19.8</v>
      </c>
      <c r="M161" s="12">
        <v>20.59</v>
      </c>
      <c r="N161" s="12">
        <v>21.38</v>
      </c>
      <c r="O161" s="13">
        <f>IF(COUNT(AG161:AP161)&gt;0,MIN(AG161:AP161),"")</f>
        <v>19.8</v>
      </c>
      <c r="P161" s="13">
        <f>IF(COUNT(AG161:AP161)&gt;0,MAX(AG161:AP161),"")</f>
        <v>21.78</v>
      </c>
      <c r="Q161" s="13">
        <f>IF(ISNUMBER(O161),P161-O161,"")</f>
        <v>1.98</v>
      </c>
      <c r="R161" s="13">
        <f>IF(ISNUMBER(O161),IF(C161="Ручная",IF($S$171&gt;0,$R$171*Q161/$S$171,IF($W$171=3,$R$171,0)),0),"")</f>
        <v>0.594991652754595</v>
      </c>
      <c r="S161" s="13">
        <f>IF(ISNUMBER(O161),O161+R161,"")</f>
        <v>20.3949916527546</v>
      </c>
      <c r="T161" s="13">
        <f>IF(ISNUMBER(S161),P161-S161,"")</f>
        <v>1.38500834724541</v>
      </c>
      <c r="U161" s="13">
        <f>IF(COUNT(AG161:AP161)&gt;0,AVERAGE(AG161:AP161),"")</f>
        <v>20.711</v>
      </c>
      <c r="AG161" s="13">
        <f>IF(ISNUMBER(E$171),E161,"")</f>
        <v>20.2</v>
      </c>
      <c r="AH161" s="13">
        <f>IF(ISNUMBER(F$171),F161,"")</f>
        <v>20.99</v>
      </c>
      <c r="AI161" s="13">
        <f>IF(ISNUMBER(G$171),G161,"")</f>
        <v>21.78</v>
      </c>
      <c r="AJ161" s="13">
        <f>IF(ISNUMBER(H$171),H161,"")</f>
        <v>20.39</v>
      </c>
      <c r="AK161" s="13">
        <f>IF(ISNUMBER(I$171),I161,"")</f>
        <v>21.19</v>
      </c>
      <c r="AL161" s="13">
        <f>IF(ISNUMBER(J$171),J161,"")</f>
        <v>20</v>
      </c>
      <c r="AM161" s="13">
        <f>IF(ISNUMBER(K$171),K161,"")</f>
        <v>20.79</v>
      </c>
      <c r="AN161" s="13">
        <f>IF(ISNUMBER(L$171),L161,"")</f>
        <v>19.8</v>
      </c>
      <c r="AO161" s="13">
        <f>IF(ISNUMBER(M$171),M161,"")</f>
        <v>20.59</v>
      </c>
      <c r="AP161" s="13">
        <f>IF(ISNUMBER(N$171),N161,"")</f>
        <v>21.38</v>
      </c>
      <c r="AQ161" s="13">
        <f>IF(C161="Ручная",O161,0)</f>
        <v>19.8</v>
      </c>
    </row>
    <row r="162" spans="1:43" ht="40" customHeight="1">
      <c r="A162" s="5" t="s">
        <v>189</v>
      </c>
      <c r="B162" s="5" t="s">
        <v>190</v>
      </c>
      <c r="C162" s="11" t="s">
        <v>191</v>
      </c>
      <c r="D162" s="7" t="s">
        <v>192</v>
      </c>
      <c r="E162" s="12">
        <v>6.18</v>
      </c>
      <c r="F162" s="12">
        <v>6.42</v>
      </c>
      <c r="G162" s="12">
        <v>6.06</v>
      </c>
      <c r="H162" s="12">
        <v>6.3</v>
      </c>
      <c r="I162" s="12">
        <v>6</v>
      </c>
      <c r="J162" s="12">
        <v>6.24</v>
      </c>
      <c r="K162" s="12">
        <v>6.48</v>
      </c>
      <c r="L162" s="12">
        <v>6.12</v>
      </c>
      <c r="M162" s="12">
        <v>6.36</v>
      </c>
      <c r="N162" s="12">
        <v>6.6</v>
      </c>
      <c r="O162" s="13">
        <f>IF(COUNT(AG162:AP162)&gt;0,MIN(AG162:AP162),"")</f>
        <v>6</v>
      </c>
      <c r="P162" s="13">
        <f>IF(COUNT(AG162:AP162)&gt;0,MAX(AG162:AP162),"")</f>
        <v>6.6</v>
      </c>
      <c r="Q162" s="13">
        <f>IF(ISNUMBER(O162),P162-O162,"")</f>
        <v>0.6</v>
      </c>
      <c r="R162" s="13">
        <f>IF(ISNUMBER(O162),IF(C162="Ручная",IF($S$171&gt;0,$R$171*Q162/$S$171,IF($W$171=4,$R$171,0)),0),"")</f>
        <v>0</v>
      </c>
      <c r="S162" s="13">
        <f>IF(ISNUMBER(O162),O162+R162,"")</f>
        <v>6</v>
      </c>
      <c r="T162" s="13">
        <f>IF(ISNUMBER(S162),P162-S162,"")</f>
        <v>0.6</v>
      </c>
      <c r="U162" s="13">
        <f>IF(COUNT(AG162:AP162)&gt;0,AVERAGE(AG162:AP162),"")</f>
        <v>6.276</v>
      </c>
      <c r="AG162" s="13">
        <f>IF(ISNUMBER(E$171),E162,"")</f>
        <v>6.18</v>
      </c>
      <c r="AH162" s="13">
        <f>IF(ISNUMBER(F$171),F162,"")</f>
        <v>6.42</v>
      </c>
      <c r="AI162" s="13">
        <f>IF(ISNUMBER(G$171),G162,"")</f>
        <v>6.06</v>
      </c>
      <c r="AJ162" s="13">
        <f>IF(ISNUMBER(H$171),H162,"")</f>
        <v>6.3</v>
      </c>
      <c r="AK162" s="13">
        <f>IF(ISNUMBER(I$171),I162,"")</f>
        <v>6</v>
      </c>
      <c r="AL162" s="13">
        <f>IF(ISNUMBER(J$171),J162,"")</f>
        <v>6.24</v>
      </c>
      <c r="AM162" s="13">
        <f>IF(ISNUMBER(K$171),K162,"")</f>
        <v>6.48</v>
      </c>
      <c r="AN162" s="13">
        <f>IF(ISNUMBER(L$171),L162,"")</f>
        <v>6.12</v>
      </c>
      <c r="AO162" s="13">
        <f>IF(ISNUMBER(M$171),M162,"")</f>
        <v>6.36</v>
      </c>
      <c r="AP162" s="13">
        <f>IF(ISNUMBER(N$171),N162,"")</f>
        <v>6.6</v>
      </c>
      <c r="AQ162" s="13">
        <f>IF(C162="Ручная",O162,0)</f>
        <v>0</v>
      </c>
    </row>
    <row r="163" spans="1:43" ht="40" customHeight="1">
      <c r="A163" s="5">
        <v>5</v>
      </c>
      <c r="B163" s="5" t="s">
        <v>193</v>
      </c>
      <c r="C163" s="11" t="s">
        <v>183</v>
      </c>
      <c r="D163" s="7" t="s">
        <v>194</v>
      </c>
      <c r="E163" s="12">
        <v>31.24</v>
      </c>
      <c r="F163" s="12">
        <v>29.75</v>
      </c>
      <c r="G163" s="12">
        <v>30.94</v>
      </c>
      <c r="H163" s="12">
        <v>32.13</v>
      </c>
      <c r="I163" s="12">
        <v>30.34</v>
      </c>
      <c r="J163" s="12">
        <v>31.54</v>
      </c>
      <c r="K163" s="12">
        <v>32.73</v>
      </c>
      <c r="L163" s="12">
        <v>30.64</v>
      </c>
      <c r="M163" s="12">
        <v>31.83</v>
      </c>
      <c r="N163" s="12">
        <v>30.05</v>
      </c>
      <c r="O163" s="13">
        <f>IF(COUNT(AG163:AP163)&gt;0,MIN(AG163:AP163),"")</f>
        <v>29.75</v>
      </c>
      <c r="P163" s="13">
        <f>IF(COUNT(AG163:AP163)&gt;0,MAX(AG163:AP163),"")</f>
        <v>32.73</v>
      </c>
      <c r="Q163" s="13">
        <f>IF(ISNUMBER(O163),P163-O163,"")</f>
        <v>2.98</v>
      </c>
      <c r="R163" s="13">
        <f>IF(ISNUMBER(O163),IF(C163="Ручная",IF($S$171&gt;0,$R$171*Q163/$S$171,IF($W$171=5,$R$171,0)),0),"")</f>
        <v>0.895492487479137</v>
      </c>
      <c r="S163" s="13">
        <f>IF(ISNUMBER(O163),O163+R163,"")</f>
        <v>30.6454924874791</v>
      </c>
      <c r="T163" s="13">
        <f>IF(ISNUMBER(S163),P163-S163,"")</f>
        <v>2.08450751252086</v>
      </c>
      <c r="U163" s="13">
        <f>IF(COUNT(AG163:AP163)&gt;0,AVERAGE(AG163:AP163),"")</f>
        <v>31.119</v>
      </c>
      <c r="AG163" s="13">
        <f>IF(ISNUMBER(E$171),E163,"")</f>
        <v>31.24</v>
      </c>
      <c r="AH163" s="13">
        <f>IF(ISNUMBER(F$171),F163,"")</f>
        <v>29.75</v>
      </c>
      <c r="AI163" s="13">
        <f>IF(ISNUMBER(G$171),G163,"")</f>
        <v>30.94</v>
      </c>
      <c r="AJ163" s="13">
        <f>IF(ISNUMBER(H$171),H163,"")</f>
        <v>32.13</v>
      </c>
      <c r="AK163" s="13">
        <f>IF(ISNUMBER(I$171),I163,"")</f>
        <v>30.34</v>
      </c>
      <c r="AL163" s="13">
        <f>IF(ISNUMBER(J$171),J163,"")</f>
        <v>31.54</v>
      </c>
      <c r="AM163" s="13">
        <f>IF(ISNUMBER(K$171),K163,"")</f>
        <v>32.73</v>
      </c>
      <c r="AN163" s="13">
        <f>IF(ISNUMBER(L$171),L163,"")</f>
        <v>30.64</v>
      </c>
      <c r="AO163" s="13">
        <f>IF(ISNUMBER(M$171),M163,"")</f>
        <v>31.83</v>
      </c>
      <c r="AP163" s="13">
        <f>IF(ISNUMBER(N$171),N163,"")</f>
        <v>30.05</v>
      </c>
      <c r="AQ163" s="13">
        <f>IF(C163="Ручная",O163,0)</f>
        <v>29.75</v>
      </c>
    </row>
    <row r="164" spans="1:43" ht="40" customHeight="1">
      <c r="A164" s="5" t="s">
        <v>189</v>
      </c>
      <c r="B164" s="5" t="s">
        <v>195</v>
      </c>
      <c r="C164" s="11" t="s">
        <v>196</v>
      </c>
      <c r="D164" s="7" t="s">
        <v>197</v>
      </c>
      <c r="E164" s="18">
        <f>'Ассортимент'!R15</f>
        <v>300</v>
      </c>
      <c r="F164" s="18">
        <f>'Ассортимент'!R15</f>
        <v>300</v>
      </c>
      <c r="G164" s="18">
        <f>'Ассортимент'!R15</f>
        <v>300</v>
      </c>
      <c r="H164" s="18">
        <f>'Ассортимент'!R15</f>
        <v>300</v>
      </c>
      <c r="I164" s="18">
        <f>'Ассортимент'!R15</f>
        <v>300</v>
      </c>
      <c r="J164" s="18">
        <f>'Ассортимент'!R15</f>
        <v>300</v>
      </c>
      <c r="K164" s="18">
        <f>'Ассортимент'!R15</f>
        <v>300</v>
      </c>
      <c r="L164" s="18">
        <f>'Ассортимент'!R15</f>
        <v>300</v>
      </c>
      <c r="M164" s="18">
        <f>'Ассортимент'!R15</f>
        <v>300</v>
      </c>
      <c r="N164" s="18">
        <f>'Ассортимент'!R15</f>
        <v>300</v>
      </c>
      <c r="O164" s="13">
        <f>IF(COUNT(AG164:AP164)&gt;0,MIN(AG164:AP164),"")</f>
        <v>300</v>
      </c>
      <c r="P164" s="13">
        <f>IF(COUNT(AG164:AP164)&gt;0,MAX(AG164:AP164),"")</f>
        <v>300</v>
      </c>
      <c r="Q164" s="13">
        <f>IF(ISNUMBER(O164),P164-O164,"")</f>
        <v>0</v>
      </c>
      <c r="R164" s="13">
        <f>IF(ISNUMBER(O164),IF(C164="Ручная",IF($S$171&gt;0,$R$171*Q164/$S$171,IF($W$171=6,$R$171,0)),0),"")</f>
        <v>0</v>
      </c>
      <c r="S164" s="13">
        <f>IF(ISNUMBER(O164),O164+R164,"")</f>
        <v>300</v>
      </c>
      <c r="T164" s="13">
        <f>IF(ISNUMBER(S164),P164-S164,"")</f>
        <v>0</v>
      </c>
      <c r="U164" s="13">
        <f>IF(COUNT(AG164:AP164)&gt;0,AVERAGE(AG164:AP164),"")</f>
        <v>300</v>
      </c>
      <c r="AG164" s="13">
        <f>IF(ISNUMBER(E$171),E164,"")</f>
        <v>300</v>
      </c>
      <c r="AH164" s="13">
        <f>IF(ISNUMBER(F$171),F164,"")</f>
        <v>300</v>
      </c>
      <c r="AI164" s="13">
        <f>IF(ISNUMBER(G$171),G164,"")</f>
        <v>300</v>
      </c>
      <c r="AJ164" s="13">
        <f>IF(ISNUMBER(H$171),H164,"")</f>
        <v>300</v>
      </c>
      <c r="AK164" s="13">
        <f>IF(ISNUMBER(I$171),I164,"")</f>
        <v>300</v>
      </c>
      <c r="AL164" s="13">
        <f>IF(ISNUMBER(J$171),J164,"")</f>
        <v>300</v>
      </c>
      <c r="AM164" s="13">
        <f>IF(ISNUMBER(K$171),K164,"")</f>
        <v>300</v>
      </c>
      <c r="AN164" s="13">
        <f>IF(ISNUMBER(L$171),L164,"")</f>
        <v>300</v>
      </c>
      <c r="AO164" s="13">
        <f>IF(ISNUMBER(M$171),M164,"")</f>
        <v>300</v>
      </c>
      <c r="AP164" s="13">
        <f>IF(ISNUMBER(N$171),N164,"")</f>
        <v>300</v>
      </c>
      <c r="AQ164" s="13">
        <f>IF(C164="Ручная",O164,0)</f>
        <v>0</v>
      </c>
    </row>
    <row r="165" spans="1:43" ht="40" customHeight="1">
      <c r="A165" s="5">
        <v>7</v>
      </c>
      <c r="B165" s="5" t="s">
        <v>198</v>
      </c>
      <c r="C165" s="11" t="s">
        <v>183</v>
      </c>
      <c r="D165" s="7" t="s">
        <v>199</v>
      </c>
      <c r="E165" s="12">
        <v>29.7</v>
      </c>
      <c r="F165" s="12">
        <v>27.81</v>
      </c>
      <c r="G165" s="12">
        <v>28.89</v>
      </c>
      <c r="H165" s="12">
        <v>27.27</v>
      </c>
      <c r="I165" s="12">
        <v>28.35</v>
      </c>
      <c r="J165" s="12">
        <v>27</v>
      </c>
      <c r="K165" s="12">
        <v>28.08</v>
      </c>
      <c r="L165" s="12">
        <v>29.16</v>
      </c>
      <c r="M165" s="12">
        <v>27.54</v>
      </c>
      <c r="N165" s="12">
        <v>28.62</v>
      </c>
      <c r="O165" s="13">
        <f>IF(COUNT(AG165:AP165)&gt;0,MIN(AG165:AP165),"")</f>
        <v>27</v>
      </c>
      <c r="P165" s="13">
        <f>IF(COUNT(AG165:AP165)&gt;0,MAX(AG165:AP165),"")</f>
        <v>29.7</v>
      </c>
      <c r="Q165" s="13">
        <f>IF(ISNUMBER(O165),P165-O165,"")</f>
        <v>2.7</v>
      </c>
      <c r="R165" s="13">
        <f>IF(ISNUMBER(O165),IF(C165="Ручная",IF($S$171&gt;0,$R$171*Q165/$S$171,IF($W$171=7,$R$171,0)),0),"")</f>
        <v>0.811352253756266</v>
      </c>
      <c r="S165" s="13">
        <f>IF(ISNUMBER(O165),O165+R165,"")</f>
        <v>27.8113522537563</v>
      </c>
      <c r="T165" s="13">
        <f>IF(ISNUMBER(S165),P165-S165,"")</f>
        <v>1.88864774624373</v>
      </c>
      <c r="U165" s="13">
        <f>IF(COUNT(AG165:AP165)&gt;0,AVERAGE(AG165:AP165),"")</f>
        <v>28.242</v>
      </c>
      <c r="AG165" s="13">
        <f>IF(ISNUMBER(E$171),E165,"")</f>
        <v>29.7</v>
      </c>
      <c r="AH165" s="13">
        <f>IF(ISNUMBER(F$171),F165,"")</f>
        <v>27.81</v>
      </c>
      <c r="AI165" s="13">
        <f>IF(ISNUMBER(G$171),G165,"")</f>
        <v>28.89</v>
      </c>
      <c r="AJ165" s="13">
        <f>IF(ISNUMBER(H$171),H165,"")</f>
        <v>27.27</v>
      </c>
      <c r="AK165" s="13">
        <f>IF(ISNUMBER(I$171),I165,"")</f>
        <v>28.35</v>
      </c>
      <c r="AL165" s="13">
        <f>IF(ISNUMBER(J$171),J165,"")</f>
        <v>27</v>
      </c>
      <c r="AM165" s="13">
        <f>IF(ISNUMBER(K$171),K165,"")</f>
        <v>28.08</v>
      </c>
      <c r="AN165" s="13">
        <f>IF(ISNUMBER(L$171),L165,"")</f>
        <v>29.16</v>
      </c>
      <c r="AO165" s="13">
        <f>IF(ISNUMBER(M$171),M165,"")</f>
        <v>27.54</v>
      </c>
      <c r="AP165" s="13">
        <f>IF(ISNUMBER(N$171),N165,"")</f>
        <v>28.62</v>
      </c>
      <c r="AQ165" s="13">
        <f>IF(C165="Ручная",O165,0)</f>
        <v>27</v>
      </c>
    </row>
    <row r="166" spans="1:43" ht="40" customHeight="1">
      <c r="A166" s="5">
        <v>8</v>
      </c>
      <c r="B166" s="5" t="s">
        <v>200</v>
      </c>
      <c r="C166" s="11" t="s">
        <v>183</v>
      </c>
      <c r="D166" s="7" t="s">
        <v>201</v>
      </c>
      <c r="E166" s="12">
        <v>18.18</v>
      </c>
      <c r="F166" s="12">
        <v>18.9</v>
      </c>
      <c r="G166" s="12">
        <v>18</v>
      </c>
      <c r="H166" s="12">
        <v>18.72</v>
      </c>
      <c r="I166" s="12">
        <v>19.44</v>
      </c>
      <c r="J166" s="12">
        <v>18.36</v>
      </c>
      <c r="K166" s="12">
        <v>19.08</v>
      </c>
      <c r="L166" s="12">
        <v>19.8</v>
      </c>
      <c r="M166" s="12">
        <v>18.54</v>
      </c>
      <c r="N166" s="12">
        <v>19.26</v>
      </c>
      <c r="O166" s="13">
        <f>IF(COUNT(AG166:AP166)&gt;0,MIN(AG166:AP166),"")</f>
        <v>18</v>
      </c>
      <c r="P166" s="13">
        <f>IF(COUNT(AG166:AP166)&gt;0,MAX(AG166:AP166),"")</f>
        <v>19.8</v>
      </c>
      <c r="Q166" s="13">
        <f>IF(ISNUMBER(O166),P166-O166,"")</f>
        <v>1.8</v>
      </c>
      <c r="R166" s="13">
        <f>IF(ISNUMBER(O166),IF(C166="Ручная",IF($S$171&gt;0,$R$171*Q166/$S$171,IF($W$171=8,$R$171,0)),0),"")</f>
        <v>0.540901502504177</v>
      </c>
      <c r="S166" s="13">
        <f>IF(ISNUMBER(O166),O166+R166,"")</f>
        <v>18.5409015025042</v>
      </c>
      <c r="T166" s="13">
        <f>IF(ISNUMBER(S166),P166-S166,"")</f>
        <v>1.25909849749582</v>
      </c>
      <c r="U166" s="13">
        <f>IF(COUNT(AG166:AP166)&gt;0,AVERAGE(AG166:AP166),"")</f>
        <v>18.828</v>
      </c>
      <c r="AG166" s="13">
        <f>IF(ISNUMBER(E$171),E166,"")</f>
        <v>18.18</v>
      </c>
      <c r="AH166" s="13">
        <f>IF(ISNUMBER(F$171),F166,"")</f>
        <v>18.9</v>
      </c>
      <c r="AI166" s="13">
        <f>IF(ISNUMBER(G$171),G166,"")</f>
        <v>18</v>
      </c>
      <c r="AJ166" s="13">
        <f>IF(ISNUMBER(H$171),H166,"")</f>
        <v>18.72</v>
      </c>
      <c r="AK166" s="13">
        <f>IF(ISNUMBER(I$171),I166,"")</f>
        <v>19.44</v>
      </c>
      <c r="AL166" s="13">
        <f>IF(ISNUMBER(J$171),J166,"")</f>
        <v>18.36</v>
      </c>
      <c r="AM166" s="13">
        <f>IF(ISNUMBER(K$171),K166,"")</f>
        <v>19.08</v>
      </c>
      <c r="AN166" s="13">
        <f>IF(ISNUMBER(L$171),L166,"")</f>
        <v>19.8</v>
      </c>
      <c r="AO166" s="13">
        <f>IF(ISNUMBER(M$171),M166,"")</f>
        <v>18.54</v>
      </c>
      <c r="AP166" s="13">
        <f>IF(ISNUMBER(N$171),N166,"")</f>
        <v>19.26</v>
      </c>
      <c r="AQ166" s="13">
        <f>IF(C166="Ручная",O166,0)</f>
        <v>18</v>
      </c>
    </row>
    <row r="167" spans="1:43" ht="40" customHeight="1">
      <c r="A167" s="5" t="s">
        <v>189</v>
      </c>
      <c r="B167" s="5" t="s">
        <v>202</v>
      </c>
      <c r="C167" s="11" t="s">
        <v>191</v>
      </c>
      <c r="D167" s="7" t="s">
        <v>203</v>
      </c>
      <c r="E167" s="12">
        <v>5.2</v>
      </c>
      <c r="F167" s="12">
        <v>5.4</v>
      </c>
      <c r="G167" s="12">
        <v>5.1</v>
      </c>
      <c r="H167" s="12">
        <v>5.3</v>
      </c>
      <c r="I167" s="12">
        <v>5.5</v>
      </c>
      <c r="J167" s="12">
        <v>5.15</v>
      </c>
      <c r="K167" s="12">
        <v>5.35</v>
      </c>
      <c r="L167" s="12">
        <v>5.05</v>
      </c>
      <c r="M167" s="12">
        <v>5.25</v>
      </c>
      <c r="N167" s="12">
        <v>5</v>
      </c>
      <c r="O167" s="13">
        <f>IF(COUNT(AG167:AP167)&gt;0,MIN(AG167:AP167),"")</f>
        <v>5</v>
      </c>
      <c r="P167" s="13">
        <f>IF(COUNT(AG167:AP167)&gt;0,MAX(AG167:AP167),"")</f>
        <v>5.5</v>
      </c>
      <c r="Q167" s="13">
        <f>IF(ISNUMBER(O167),P167-O167,"")</f>
        <v>0.5</v>
      </c>
      <c r="R167" s="13">
        <f>IF(ISNUMBER(O167),IF(C167="Ручная",IF($S$171&gt;0,$R$171*Q167/$S$171,IF($W$171=9,$R$171,0)),0),"")</f>
        <v>0</v>
      </c>
      <c r="S167" s="13">
        <f>IF(ISNUMBER(O167),O167+R167,"")</f>
        <v>5</v>
      </c>
      <c r="T167" s="13">
        <f>IF(ISNUMBER(S167),P167-S167,"")</f>
        <v>0.5</v>
      </c>
      <c r="U167" s="13">
        <f>IF(COUNT(AG167:AP167)&gt;0,AVERAGE(AG167:AP167),"")</f>
        <v>5.23</v>
      </c>
      <c r="AG167" s="13">
        <f>IF(ISNUMBER(E$171),E167,"")</f>
        <v>5.2</v>
      </c>
      <c r="AH167" s="13">
        <f>IF(ISNUMBER(F$171),F167,"")</f>
        <v>5.4</v>
      </c>
      <c r="AI167" s="13">
        <f>IF(ISNUMBER(G$171),G167,"")</f>
        <v>5.1</v>
      </c>
      <c r="AJ167" s="13">
        <f>IF(ISNUMBER(H$171),H167,"")</f>
        <v>5.3</v>
      </c>
      <c r="AK167" s="13">
        <f>IF(ISNUMBER(I$171),I167,"")</f>
        <v>5.5</v>
      </c>
      <c r="AL167" s="13">
        <f>IF(ISNUMBER(J$171),J167,"")</f>
        <v>5.15</v>
      </c>
      <c r="AM167" s="13">
        <f>IF(ISNUMBER(K$171),K167,"")</f>
        <v>5.35</v>
      </c>
      <c r="AN167" s="13">
        <f>IF(ISNUMBER(L$171),L167,"")</f>
        <v>5.05</v>
      </c>
      <c r="AO167" s="13">
        <f>IF(ISNUMBER(M$171),M167,"")</f>
        <v>5.25</v>
      </c>
      <c r="AP167" s="13">
        <f>IF(ISNUMBER(N$171),N167,"")</f>
        <v>5</v>
      </c>
      <c r="AQ167" s="13">
        <f>IF(C167="Ручная",O167,0)</f>
        <v>0</v>
      </c>
    </row>
    <row r="168" spans="1:43" ht="40" customHeight="1">
      <c r="A168" s="5" t="s">
        <v>189</v>
      </c>
      <c r="B168" s="5" t="s">
        <v>204</v>
      </c>
      <c r="C168" s="11" t="s">
        <v>191</v>
      </c>
      <c r="D168" s="7" t="s">
        <v>205</v>
      </c>
      <c r="E168" s="12">
        <v>5.3</v>
      </c>
      <c r="F168" s="12">
        <v>5.5</v>
      </c>
      <c r="G168" s="12">
        <v>5.15</v>
      </c>
      <c r="H168" s="12">
        <v>5.35</v>
      </c>
      <c r="I168" s="12">
        <v>5.05</v>
      </c>
      <c r="J168" s="12">
        <v>5.25</v>
      </c>
      <c r="K168" s="12">
        <v>5</v>
      </c>
      <c r="L168" s="12">
        <v>5.2</v>
      </c>
      <c r="M168" s="12">
        <v>5.4</v>
      </c>
      <c r="N168" s="12">
        <v>5.1</v>
      </c>
      <c r="O168" s="13">
        <f>IF(COUNT(AG168:AP168)&gt;0,MIN(AG168:AP168),"")</f>
        <v>5</v>
      </c>
      <c r="P168" s="13">
        <f>IF(COUNT(AG168:AP168)&gt;0,MAX(AG168:AP168),"")</f>
        <v>5.5</v>
      </c>
      <c r="Q168" s="13">
        <f>IF(ISNUMBER(O168),P168-O168,"")</f>
        <v>0.5</v>
      </c>
      <c r="R168" s="13">
        <f>IF(ISNUMBER(O168),IF(C168="Ручная",IF($S$171&gt;0,$R$171*Q168/$S$171,IF($W$171=10,$R$171,0)),0),"")</f>
        <v>0</v>
      </c>
      <c r="S168" s="13">
        <f>IF(ISNUMBER(O168),O168+R168,"")</f>
        <v>5</v>
      </c>
      <c r="T168" s="13">
        <f>IF(ISNUMBER(S168),P168-S168,"")</f>
        <v>0.5</v>
      </c>
      <c r="U168" s="13">
        <f>IF(COUNT(AG168:AP168)&gt;0,AVERAGE(AG168:AP168),"")</f>
        <v>5.23</v>
      </c>
      <c r="AG168" s="13">
        <f>IF(ISNUMBER(E$171),E168,"")</f>
        <v>5.3</v>
      </c>
      <c r="AH168" s="13">
        <f>IF(ISNUMBER(F$171),F168,"")</f>
        <v>5.5</v>
      </c>
      <c r="AI168" s="13">
        <f>IF(ISNUMBER(G$171),G168,"")</f>
        <v>5.15</v>
      </c>
      <c r="AJ168" s="13">
        <f>IF(ISNUMBER(H$171),H168,"")</f>
        <v>5.35</v>
      </c>
      <c r="AK168" s="13">
        <f>IF(ISNUMBER(I$171),I168,"")</f>
        <v>5.05</v>
      </c>
      <c r="AL168" s="13">
        <f>IF(ISNUMBER(J$171),J168,"")</f>
        <v>5.25</v>
      </c>
      <c r="AM168" s="13">
        <f>IF(ISNUMBER(K$171),K168,"")</f>
        <v>5</v>
      </c>
      <c r="AN168" s="13">
        <f>IF(ISNUMBER(L$171),L168,"")</f>
        <v>5.2</v>
      </c>
      <c r="AO168" s="13">
        <f>IF(ISNUMBER(M$171),M168,"")</f>
        <v>5.4</v>
      </c>
      <c r="AP168" s="13">
        <f>IF(ISNUMBER(N$171),N168,"")</f>
        <v>5.1</v>
      </c>
      <c r="AQ168" s="13">
        <f>IF(C168="Ручная",O168,0)</f>
        <v>0</v>
      </c>
    </row>
    <row r="169" spans="1:43" ht="40" customHeight="1">
      <c r="A169" s="5" t="s">
        <v>189</v>
      </c>
      <c r="B169" s="5" t="s">
        <v>206</v>
      </c>
      <c r="C169" s="11" t="s">
        <v>207</v>
      </c>
      <c r="D169" s="7" t="s">
        <v>208</v>
      </c>
      <c r="E169" s="12">
        <v>0</v>
      </c>
      <c r="F169" s="12">
        <v>0</v>
      </c>
      <c r="G169" s="12">
        <v>0</v>
      </c>
      <c r="H169" s="12">
        <v>0</v>
      </c>
      <c r="I169" s="12">
        <v>0</v>
      </c>
      <c r="J169" s="12">
        <v>0</v>
      </c>
      <c r="K169" s="12">
        <v>0</v>
      </c>
      <c r="L169" s="12">
        <v>0</v>
      </c>
      <c r="M169" s="12">
        <v>0</v>
      </c>
      <c r="N169" s="12">
        <v>0</v>
      </c>
      <c r="O169" s="13">
        <f>IF(COUNT(AG169:AP169)&gt;0,MIN(AG169:AP169),"")</f>
        <v>0</v>
      </c>
      <c r="P169" s="13">
        <f>IF(COUNT(AG169:AP169)&gt;0,MAX(AG169:AP169),"")</f>
        <v>0</v>
      </c>
      <c r="Q169" s="13">
        <f>IF(ISNUMBER(O169),P169-O169,"")</f>
        <v>0</v>
      </c>
      <c r="R169" s="13">
        <f>IF(ISNUMBER(O169),IF(C169="Ручная",IF($S$171&gt;0,$R$171*Q169/$S$171,IF($W$171=11,$R$171,0)),0),"")</f>
        <v>0</v>
      </c>
      <c r="S169" s="13">
        <f>IF(ISNUMBER(O169),O169+R169,"")</f>
        <v>0</v>
      </c>
      <c r="T169" s="13">
        <f>IF(ISNUMBER(S169),P169-S169,"")</f>
        <v>0</v>
      </c>
      <c r="U169" s="13">
        <f>IF(COUNT(AG169:AP169)&gt;0,AVERAGE(AG169:AP169),"")</f>
        <v>0</v>
      </c>
      <c r="AG169" s="13">
        <f>IF(ISNUMBER(E$171),E169,"")</f>
        <v>0</v>
      </c>
      <c r="AH169" s="13">
        <f>IF(ISNUMBER(F$171),F169,"")</f>
        <v>0</v>
      </c>
      <c r="AI169" s="13">
        <f>IF(ISNUMBER(G$171),G169,"")</f>
        <v>0</v>
      </c>
      <c r="AJ169" s="13">
        <f>IF(ISNUMBER(H$171),H169,"")</f>
        <v>0</v>
      </c>
      <c r="AK169" s="13">
        <f>IF(ISNUMBER(I$171),I169,"")</f>
        <v>0</v>
      </c>
      <c r="AL169" s="13">
        <f>IF(ISNUMBER(J$171),J169,"")</f>
        <v>0</v>
      </c>
      <c r="AM169" s="13">
        <f>IF(ISNUMBER(K$171),K169,"")</f>
        <v>0</v>
      </c>
      <c r="AN169" s="13">
        <f>IF(ISNUMBER(L$171),L169,"")</f>
        <v>0</v>
      </c>
      <c r="AO169" s="13">
        <f>IF(ISNUMBER(M$171),M169,"")</f>
        <v>0</v>
      </c>
      <c r="AP169" s="13">
        <f>IF(ISNUMBER(N$171),N169,"")</f>
        <v>0</v>
      </c>
      <c r="AQ169" s="13">
        <f>IF(C169="Ручная",O169,0)</f>
        <v>0</v>
      </c>
    </row>
    <row r="170" spans="1:43" ht="23" customHeight="1">
      <c r="B170" s="4" t="s">
        <v>209</v>
      </c>
      <c r="E170" s="6">
        <f>IF(COUNT(E159:E169)=11,SUM(E159:E169),"")</f>
        <v>562.75</v>
      </c>
      <c r="F170" s="6">
        <f>IF(COUNT(F159:F169)=11,SUM(F159:F169),"")</f>
        <v>564.82</v>
      </c>
      <c r="G170" s="6">
        <f>IF(COUNT(G159:G169)=11,SUM(G159:G169),"")</f>
        <v>571.77</v>
      </c>
      <c r="H170" s="6">
        <f>IF(COUNT(H159:H169)=11,SUM(H159:H169),"")</f>
        <v>562.86</v>
      </c>
      <c r="I170" s="6">
        <f>IF(COUNT(I159:I169)=11,SUM(I159:I169),"")</f>
        <v>569.07</v>
      </c>
      <c r="J170" s="6">
        <f>IF(COUNT(J159:J169)=11,SUM(J159:J169),"")</f>
        <v>572.54</v>
      </c>
      <c r="K170" s="6">
        <f>IF(COUNT(K159:K169)=11,SUM(K159:K169),"")</f>
        <v>566.61</v>
      </c>
      <c r="L170" s="6">
        <f>IF(COUNT(L159:L169)=11,SUM(L159:L169),"")</f>
        <v>570.67</v>
      </c>
      <c r="M170" s="6">
        <f>IF(COUNT(M159:M169)=11,SUM(M159:M169),"")</f>
        <v>564.21</v>
      </c>
      <c r="N170" s="6">
        <f>IF(COUNT(N159:N169)=11,SUM(N159:N169),"")</f>
        <v>567.76</v>
      </c>
      <c r="O170" s="6">
        <f>IF(COUNT(O159:O169)=11,SUM(O159:O169),"")</f>
        <v>555.55</v>
      </c>
      <c r="P170" s="6">
        <f>IF(COUNT(P159:P169)=11,SUM(P159:P169),"")</f>
        <v>581.11</v>
      </c>
      <c r="Q170" s="6">
        <f>IF(COUNT(Q159:Q169)=11,SUM(Q159:Q169),"")</f>
        <v>25.56</v>
      </c>
      <c r="R170" s="6">
        <f>IF(COUNT(R159:R169)=11,SUM(R159:R169),"")</f>
        <v>7.20000000000005</v>
      </c>
      <c r="S170" s="6">
        <f>IF(COUNT(S159:S169)=11,SUM(S159:S169),"")</f>
        <v>562.75</v>
      </c>
      <c r="T170" s="6">
        <f>IF(COUNT(T159:T169)=11,SUM(T159:T169),"")</f>
        <v>18.36</v>
      </c>
      <c r="U170" s="6">
        <f>IF(COUNT(U159:U169)=11,SUM(U159:U169),"")</f>
        <v>567.306</v>
      </c>
    </row>
    <row r="171" spans="1:43" ht="23" customHeight="1">
      <c r="B171" s="4" t="s">
        <v>210</v>
      </c>
      <c r="E171" s="6">
        <f>IF(AND(E157=1,COUNT(E159:E169)=11,MIN(E159:E169)&gt;=0),E170,"")</f>
        <v>562.75</v>
      </c>
      <c r="F171" s="6">
        <f>IF(AND(F157=1,COUNT(F159:F169)=11,MIN(F159:F169)&gt;=0),F170,"")</f>
        <v>564.82</v>
      </c>
      <c r="G171" s="6">
        <f>IF(AND(G157=1,COUNT(G159:G169)=11,MIN(G159:G169)&gt;=0),G170,"")</f>
        <v>571.77</v>
      </c>
      <c r="H171" s="6">
        <f>IF(AND(H157=1,COUNT(H159:H169)=11,MIN(H159:H169)&gt;=0),H170,"")</f>
        <v>562.86</v>
      </c>
      <c r="I171" s="6">
        <f>IF(AND(I157=1,COUNT(I159:I169)=11,MIN(I159:I169)&gt;=0),I170,"")</f>
        <v>569.07</v>
      </c>
      <c r="J171" s="6">
        <f>IF(AND(J157=1,COUNT(J159:J169)=11,MIN(J159:J169)&gt;=0),J170,"")</f>
        <v>572.54</v>
      </c>
      <c r="K171" s="6">
        <f>IF(AND(K157=1,COUNT(K159:K169)=11,MIN(K159:K169)&gt;=0),K170,"")</f>
        <v>566.61</v>
      </c>
      <c r="L171" s="6">
        <f>IF(AND(L157=1,COUNT(L159:L169)=11,MIN(L159:L169)&gt;=0),L170,"")</f>
        <v>570.67</v>
      </c>
      <c r="M171" s="6">
        <f>IF(AND(M157=1,COUNT(M159:M169)=11,MIN(M159:M169)&gt;=0),M170,"")</f>
        <v>564.21</v>
      </c>
      <c r="N171" s="6">
        <f>IF(AND(N157=1,COUNT(N159:N169)=11,MIN(N159:N169)&gt;=0),N170,"")</f>
        <v>567.76</v>
      </c>
      <c r="O171" s="6">
        <f>IF(COUNT(E171:N171)&gt;0,MIN(E171:N171),"")</f>
        <v>562.75</v>
      </c>
      <c r="P171" s="6">
        <f>IF(COUNT(E171:N171)&gt;0,MAX(E171:N171),"")</f>
        <v>572.54</v>
      </c>
      <c r="Q171" s="6">
        <f>IF(ISNUMBER(O171),P171-O171,"")</f>
        <v>9.79000000000008</v>
      </c>
      <c r="R171" s="6">
        <f>IF(ISNUMBER(O171),MAX(0,O171-O170),"")</f>
        <v>7.20000000000005</v>
      </c>
      <c r="S171" s="6">
        <f>SUMIF(C159:C169,"Ручная",Q159:Q169)</f>
        <v>23.96</v>
      </c>
      <c r="T171" s="6">
        <f>COUNT(E171:N171)</f>
        <v>10</v>
      </c>
      <c r="U171" s="6">
        <f>IF(COUNT(E171:N171)&gt;0,AVERAGE(E171:N171),"")</f>
        <v>567.306</v>
      </c>
      <c r="V171" s="6">
        <f>IF(ISNUMBER(O171),S170-O171,"")</f>
        <v>0</v>
      </c>
      <c r="W171" s="6">
        <f>MATCH(MAX(AQ159:AQ169),AQ159:AQ169,0)</f>
        <v>2</v>
      </c>
      <c r="X171" s="17" t="str">
        <f>IF(T171=0,"НЕТ ЗАМЕРОВ",IF(T171&lt;10,"МЕНЕЕ 10 ЦИКЛОВ",IF(ABS(V171)&lt;0.000001,"ОК","ОШИБКА РЕГУЛИРОВКИ")))</f>
        <v>ОК</v>
      </c>
    </row>
    <row r="172" spans="1:43" ht="23" customHeight="1">
      <c r="A172" s="7" t="s">
        <v>211</v>
      </c>
      <c r="B172" s="7"/>
      <c r="C172" s="7"/>
      <c r="D172" s="7"/>
      <c r="E172" s="7"/>
      <c r="F172" s="7"/>
      <c r="G172" s="7"/>
      <c r="H172" s="7"/>
      <c r="I172" s="7"/>
      <c r="J172" s="7"/>
      <c r="K172" s="7"/>
      <c r="L172" s="7"/>
      <c r="M172" s="7"/>
      <c r="N172" s="7"/>
      <c r="O172" s="7"/>
      <c r="P172" s="7"/>
      <c r="Q172" s="7"/>
      <c r="R172" s="7"/>
      <c r="S172" s="7"/>
      <c r="T172" s="7"/>
      <c r="U172" s="7"/>
      <c r="V172" s="7"/>
      <c r="W172" s="7"/>
      <c r="X172" s="7"/>
    </row>
    <row r="175" spans="1:43" ht="23" customHeight="1">
      <c r="A175" s="4" t="s">
        <v>238</v>
      </c>
      <c r="B175" s="4"/>
      <c r="C175" s="4"/>
      <c r="D175" s="4"/>
      <c r="E175" s="4"/>
      <c r="F175" s="4"/>
      <c r="G175" s="4"/>
      <c r="H175" s="4"/>
      <c r="I175" s="4"/>
      <c r="J175" s="4"/>
      <c r="K175" s="4"/>
      <c r="L175" s="4"/>
      <c r="M175" s="4"/>
      <c r="N175" s="4"/>
      <c r="O175" s="4"/>
      <c r="P175" s="4"/>
      <c r="Q175" s="4"/>
      <c r="R175" s="4"/>
      <c r="S175" s="4"/>
      <c r="T175" s="4"/>
      <c r="U175" s="4"/>
      <c r="V175" s="4"/>
      <c r="W175" s="4"/>
      <c r="X175" s="4"/>
    </row>
    <row r="176" spans="1:43" ht="23" customHeight="1">
      <c r="A176" s="7" t="str">
        <f>"Масса замера, кг: "&amp;'Ассортимент'!J16&amp;". Все замеры одной партии/исполнителя/условий. Основание: "&amp;'Ввод'!B15</f>
        <v>Масса замера, кг: 5. Все замеры одной партии/исполнителя/условий. Основание: ДЕМО: прогноз; улучшения не внедрены</v>
      </c>
      <c r="B176" s="7"/>
      <c r="C176" s="7"/>
      <c r="D176" s="7"/>
      <c r="E176" s="7"/>
      <c r="F176" s="7"/>
      <c r="G176" s="7"/>
      <c r="H176" s="7"/>
      <c r="I176" s="7"/>
      <c r="J176" s="7"/>
      <c r="K176" s="7"/>
      <c r="L176" s="7"/>
      <c r="M176" s="7"/>
      <c r="N176" s="7"/>
      <c r="O176" s="7"/>
      <c r="P176" s="7"/>
      <c r="Q176" s="7"/>
      <c r="R176" s="7"/>
      <c r="S176" s="7"/>
      <c r="T176" s="7"/>
      <c r="U176" s="7"/>
      <c r="V176" s="7"/>
      <c r="W176" s="7"/>
      <c r="X176" s="7"/>
    </row>
    <row r="177" spans="1:43" ht="44" customHeight="1">
      <c r="A177" s="8" t="s">
        <v>113</v>
      </c>
      <c r="B177" s="8" t="s">
        <v>156</v>
      </c>
      <c r="C177" s="8" t="s">
        <v>157</v>
      </c>
      <c r="D177" s="8" t="s">
        <v>158</v>
      </c>
      <c r="E177" s="8" t="s">
        <v>159</v>
      </c>
      <c r="F177" s="8" t="s">
        <v>160</v>
      </c>
      <c r="G177" s="8" t="s">
        <v>161</v>
      </c>
      <c r="H177" s="8" t="s">
        <v>162</v>
      </c>
      <c r="I177" s="8" t="s">
        <v>163</v>
      </c>
      <c r="J177" s="8" t="s">
        <v>164</v>
      </c>
      <c r="K177" s="8" t="s">
        <v>165</v>
      </c>
      <c r="L177" s="8" t="s">
        <v>166</v>
      </c>
      <c r="M177" s="8" t="s">
        <v>167</v>
      </c>
      <c r="N177" s="8" t="s">
        <v>168</v>
      </c>
      <c r="O177" s="8" t="s">
        <v>169</v>
      </c>
      <c r="P177" s="8" t="s">
        <v>170</v>
      </c>
      <c r="Q177" s="8" t="s">
        <v>171</v>
      </c>
      <c r="R177" s="8" t="s">
        <v>172</v>
      </c>
      <c r="S177" s="8" t="s">
        <v>173</v>
      </c>
      <c r="T177" s="8" t="s">
        <v>174</v>
      </c>
      <c r="U177" s="8" t="s">
        <v>175</v>
      </c>
      <c r="V177" s="8" t="s">
        <v>176</v>
      </c>
      <c r="W177" s="8" t="s">
        <v>177</v>
      </c>
      <c r="X177" s="8" t="s">
        <v>178</v>
      </c>
    </row>
    <row r="178" spans="1:43" ht="23" customHeight="1">
      <c r="B178" s="5" t="s">
        <v>179</v>
      </c>
      <c r="E178" s="12">
        <v>1</v>
      </c>
      <c r="F178" s="12">
        <v>1</v>
      </c>
      <c r="G178" s="12">
        <v>1</v>
      </c>
      <c r="H178" s="12">
        <v>1</v>
      </c>
      <c r="I178" s="12">
        <v>1</v>
      </c>
      <c r="J178" s="12">
        <v>1</v>
      </c>
      <c r="K178" s="12">
        <v>1</v>
      </c>
      <c r="L178" s="12">
        <v>1</v>
      </c>
      <c r="M178" s="12">
        <v>1</v>
      </c>
      <c r="N178" s="12">
        <v>1</v>
      </c>
    </row>
    <row r="179" spans="1:43" ht="33" customHeight="1">
      <c r="B179" s="5" t="s">
        <v>180</v>
      </c>
      <c r="E179" s="9" t="s">
        <v>181</v>
      </c>
      <c r="F179" s="9" t="s">
        <v>181</v>
      </c>
      <c r="G179" s="9" t="s">
        <v>181</v>
      </c>
      <c r="H179" s="9" t="s">
        <v>181</v>
      </c>
      <c r="I179" s="9" t="s">
        <v>181</v>
      </c>
      <c r="J179" s="9" t="s">
        <v>181</v>
      </c>
      <c r="K179" s="9" t="s">
        <v>181</v>
      </c>
      <c r="L179" s="9" t="s">
        <v>181</v>
      </c>
      <c r="M179" s="9" t="s">
        <v>181</v>
      </c>
      <c r="N179" s="9" t="s">
        <v>181</v>
      </c>
    </row>
    <row r="180" spans="1:43" ht="40" customHeight="1">
      <c r="A180" s="5">
        <v>1</v>
      </c>
      <c r="B180" s="5" t="s">
        <v>182</v>
      </c>
      <c r="C180" s="11" t="s">
        <v>183</v>
      </c>
      <c r="D180" s="7" t="s">
        <v>184</v>
      </c>
      <c r="E180" s="12">
        <v>25.25</v>
      </c>
      <c r="F180" s="12">
        <v>26.25</v>
      </c>
      <c r="G180" s="12">
        <v>25</v>
      </c>
      <c r="H180" s="12">
        <v>26</v>
      </c>
      <c r="I180" s="12">
        <v>27</v>
      </c>
      <c r="J180" s="12">
        <v>25.5</v>
      </c>
      <c r="K180" s="12">
        <v>26.5</v>
      </c>
      <c r="L180" s="12">
        <v>27.5</v>
      </c>
      <c r="M180" s="12">
        <v>25.75</v>
      </c>
      <c r="N180" s="12">
        <v>26.75</v>
      </c>
      <c r="O180" s="13">
        <f>IF(COUNT(AG180:AP180)&gt;0,MIN(AG180:AP180),"")</f>
        <v>25</v>
      </c>
      <c r="P180" s="13">
        <f>IF(COUNT(AG180:AP180)&gt;0,MAX(AG180:AP180),"")</f>
        <v>27.5</v>
      </c>
      <c r="Q180" s="13">
        <f>IF(ISNUMBER(O180),P180-O180,"")</f>
        <v>2.5</v>
      </c>
      <c r="R180" s="13">
        <f>IF(ISNUMBER(O180),IF(C180="Ручная",IF($S$192&gt;0,$R$192*Q180/$S$192,IF($W$192=1,$R$192,0)),0),"")</f>
        <v>0.841007583965335</v>
      </c>
      <c r="S180" s="13">
        <f>IF(ISNUMBER(O180),O180+R180,"")</f>
        <v>25.8410075839653</v>
      </c>
      <c r="T180" s="13">
        <f>IF(ISNUMBER(S180),P180-S180,"")</f>
        <v>1.65899241603466</v>
      </c>
      <c r="U180" s="13">
        <f>IF(COUNT(AG180:AP180)&gt;0,AVERAGE(AG180:AP180),"")</f>
        <v>26.15</v>
      </c>
      <c r="AG180" s="13">
        <f>IF(ISNUMBER(E$192),E180,"")</f>
        <v>25.25</v>
      </c>
      <c r="AH180" s="13">
        <f>IF(ISNUMBER(F$192),F180,"")</f>
        <v>26.25</v>
      </c>
      <c r="AI180" s="13">
        <f>IF(ISNUMBER(G$192),G180,"")</f>
        <v>25</v>
      </c>
      <c r="AJ180" s="13">
        <f>IF(ISNUMBER(H$192),H180,"")</f>
        <v>26</v>
      </c>
      <c r="AK180" s="13">
        <f>IF(ISNUMBER(I$192),I180,"")</f>
        <v>27</v>
      </c>
      <c r="AL180" s="13">
        <f>IF(ISNUMBER(J$192),J180,"")</f>
        <v>25.5</v>
      </c>
      <c r="AM180" s="13">
        <f>IF(ISNUMBER(K$192),K180,"")</f>
        <v>26.5</v>
      </c>
      <c r="AN180" s="13">
        <f>IF(ISNUMBER(L$192),L180,"")</f>
        <v>27.5</v>
      </c>
      <c r="AO180" s="13">
        <f>IF(ISNUMBER(M$192),M180,"")</f>
        <v>25.75</v>
      </c>
      <c r="AP180" s="13">
        <f>IF(ISNUMBER(N$192),N180,"")</f>
        <v>26.75</v>
      </c>
      <c r="AQ180" s="13">
        <f>IF(C180="Ручная",O180,0)</f>
        <v>25</v>
      </c>
    </row>
    <row r="181" spans="1:43" ht="40" customHeight="1">
      <c r="A181" s="5">
        <v>2</v>
      </c>
      <c r="B181" s="5" t="s">
        <v>185</v>
      </c>
      <c r="C181" s="11" t="s">
        <v>183</v>
      </c>
      <c r="D181" s="7" t="s">
        <v>186</v>
      </c>
      <c r="E181" s="12">
        <v>67.59999999999999</v>
      </c>
      <c r="F181" s="12">
        <v>70.2</v>
      </c>
      <c r="G181" s="12">
        <v>66.3</v>
      </c>
      <c r="H181" s="12">
        <v>68.90000000000001</v>
      </c>
      <c r="I181" s="12">
        <v>71.5</v>
      </c>
      <c r="J181" s="12">
        <v>66.95</v>
      </c>
      <c r="K181" s="12">
        <v>69.55</v>
      </c>
      <c r="L181" s="12">
        <v>65.65000000000001</v>
      </c>
      <c r="M181" s="12">
        <v>68.25</v>
      </c>
      <c r="N181" s="12">
        <v>65</v>
      </c>
      <c r="O181" s="13">
        <f>IF(COUNT(AG181:AP181)&gt;0,MIN(AG181:AP181),"")</f>
        <v>65</v>
      </c>
      <c r="P181" s="13">
        <f>IF(COUNT(AG181:AP181)&gt;0,MAX(AG181:AP181),"")</f>
        <v>71.5</v>
      </c>
      <c r="Q181" s="13">
        <f>IF(ISNUMBER(O181),P181-O181,"")</f>
        <v>6.5</v>
      </c>
      <c r="R181" s="13">
        <f>IF(ISNUMBER(O181),IF(C181="Ручная",IF($S$192&gt;0,$R$192*Q181/$S$192,IF($W$192=2,$R$192,0)),0),"")</f>
        <v>2.18661971830987</v>
      </c>
      <c r="S181" s="13">
        <f>IF(ISNUMBER(O181),O181+R181,"")</f>
        <v>67.1866197183099</v>
      </c>
      <c r="T181" s="13">
        <f>IF(ISNUMBER(S181),P181-S181,"")</f>
        <v>4.31338028169013</v>
      </c>
      <c r="U181" s="13">
        <f>IF(COUNT(AG181:AP181)&gt;0,AVERAGE(AG181:AP181),"")</f>
        <v>67.99</v>
      </c>
      <c r="AG181" s="13">
        <f>IF(ISNUMBER(E$192),E181,"")</f>
        <v>67.6</v>
      </c>
      <c r="AH181" s="13">
        <f>IF(ISNUMBER(F$192),F181,"")</f>
        <v>70.2</v>
      </c>
      <c r="AI181" s="13">
        <f>IF(ISNUMBER(G$192),G181,"")</f>
        <v>66.3</v>
      </c>
      <c r="AJ181" s="13">
        <f>IF(ISNUMBER(H$192),H181,"")</f>
        <v>68.9</v>
      </c>
      <c r="AK181" s="13">
        <f>IF(ISNUMBER(I$192),I181,"")</f>
        <v>71.5</v>
      </c>
      <c r="AL181" s="13">
        <f>IF(ISNUMBER(J$192),J181,"")</f>
        <v>66.95</v>
      </c>
      <c r="AM181" s="13">
        <f>IF(ISNUMBER(K$192),K181,"")</f>
        <v>69.55</v>
      </c>
      <c r="AN181" s="13">
        <f>IF(ISNUMBER(L$192),L181,"")</f>
        <v>65.65</v>
      </c>
      <c r="AO181" s="13">
        <f>IF(ISNUMBER(M$192),M181,"")</f>
        <v>68.25</v>
      </c>
      <c r="AP181" s="13">
        <f>IF(ISNUMBER(N$192),N181,"")</f>
        <v>65</v>
      </c>
      <c r="AQ181" s="13">
        <f>IF(C181="Ручная",O181,0)</f>
        <v>65</v>
      </c>
    </row>
    <row r="182" spans="1:43" ht="40" customHeight="1">
      <c r="A182" s="5">
        <v>3</v>
      </c>
      <c r="B182" s="5" t="s">
        <v>187</v>
      </c>
      <c r="C182" s="11" t="s">
        <v>183</v>
      </c>
      <c r="D182" s="7" t="s">
        <v>188</v>
      </c>
      <c r="E182" s="12">
        <v>20.99</v>
      </c>
      <c r="F182" s="12">
        <v>21.78</v>
      </c>
      <c r="G182" s="12">
        <v>20.39</v>
      </c>
      <c r="H182" s="12">
        <v>21.19</v>
      </c>
      <c r="I182" s="12">
        <v>20</v>
      </c>
      <c r="J182" s="12">
        <v>20.79</v>
      </c>
      <c r="K182" s="12">
        <v>19.8</v>
      </c>
      <c r="L182" s="12">
        <v>20.59</v>
      </c>
      <c r="M182" s="12">
        <v>21.38</v>
      </c>
      <c r="N182" s="12">
        <v>20.2</v>
      </c>
      <c r="O182" s="13">
        <f>IF(COUNT(AG182:AP182)&gt;0,MIN(AG182:AP182),"")</f>
        <v>19.8</v>
      </c>
      <c r="P182" s="13">
        <f>IF(COUNT(AG182:AP182)&gt;0,MAX(AG182:AP182),"")</f>
        <v>21.78</v>
      </c>
      <c r="Q182" s="13">
        <f>IF(ISNUMBER(O182),P182-O182,"")</f>
        <v>1.98</v>
      </c>
      <c r="R182" s="13">
        <f>IF(ISNUMBER(O182),IF(C182="Ручная",IF($S$192&gt;0,$R$192*Q182/$S$192,IF($W$192=3,$R$192,0)),0),"")</f>
        <v>0.666078006500546</v>
      </c>
      <c r="S182" s="13">
        <f>IF(ISNUMBER(O182),O182+R182,"")</f>
        <v>20.4660780065005</v>
      </c>
      <c r="T182" s="13">
        <f>IF(ISNUMBER(S182),P182-S182,"")</f>
        <v>1.31392199349946</v>
      </c>
      <c r="U182" s="13">
        <f>IF(COUNT(AG182:AP182)&gt;0,AVERAGE(AG182:AP182),"")</f>
        <v>20.711</v>
      </c>
      <c r="AG182" s="13">
        <f>IF(ISNUMBER(E$192),E182,"")</f>
        <v>20.99</v>
      </c>
      <c r="AH182" s="13">
        <f>IF(ISNUMBER(F$192),F182,"")</f>
        <v>21.78</v>
      </c>
      <c r="AI182" s="13">
        <f>IF(ISNUMBER(G$192),G182,"")</f>
        <v>20.39</v>
      </c>
      <c r="AJ182" s="13">
        <f>IF(ISNUMBER(H$192),H182,"")</f>
        <v>21.19</v>
      </c>
      <c r="AK182" s="13">
        <f>IF(ISNUMBER(I$192),I182,"")</f>
        <v>20</v>
      </c>
      <c r="AL182" s="13">
        <f>IF(ISNUMBER(J$192),J182,"")</f>
        <v>20.79</v>
      </c>
      <c r="AM182" s="13">
        <f>IF(ISNUMBER(K$192),K182,"")</f>
        <v>19.8</v>
      </c>
      <c r="AN182" s="13">
        <f>IF(ISNUMBER(L$192),L182,"")</f>
        <v>20.59</v>
      </c>
      <c r="AO182" s="13">
        <f>IF(ISNUMBER(M$192),M182,"")</f>
        <v>21.38</v>
      </c>
      <c r="AP182" s="13">
        <f>IF(ISNUMBER(N$192),N182,"")</f>
        <v>20.2</v>
      </c>
      <c r="AQ182" s="13">
        <f>IF(C182="Ручная",O182,0)</f>
        <v>19.8</v>
      </c>
    </row>
    <row r="183" spans="1:43" ht="40" customHeight="1">
      <c r="A183" s="5" t="s">
        <v>189</v>
      </c>
      <c r="B183" s="5" t="s">
        <v>190</v>
      </c>
      <c r="C183" s="11" t="s">
        <v>191</v>
      </c>
      <c r="D183" s="7" t="s">
        <v>192</v>
      </c>
      <c r="E183" s="12">
        <v>6.42</v>
      </c>
      <c r="F183" s="12">
        <v>6.06</v>
      </c>
      <c r="G183" s="12">
        <v>6.3</v>
      </c>
      <c r="H183" s="12">
        <v>6</v>
      </c>
      <c r="I183" s="12">
        <v>6.24</v>
      </c>
      <c r="J183" s="12">
        <v>6.48</v>
      </c>
      <c r="K183" s="12">
        <v>6.12</v>
      </c>
      <c r="L183" s="12">
        <v>6.36</v>
      </c>
      <c r="M183" s="12">
        <v>6.6</v>
      </c>
      <c r="N183" s="12">
        <v>6.18</v>
      </c>
      <c r="O183" s="13">
        <f>IF(COUNT(AG183:AP183)&gt;0,MIN(AG183:AP183),"")</f>
        <v>6</v>
      </c>
      <c r="P183" s="13">
        <f>IF(COUNT(AG183:AP183)&gt;0,MAX(AG183:AP183),"")</f>
        <v>6.6</v>
      </c>
      <c r="Q183" s="13">
        <f>IF(ISNUMBER(O183),P183-O183,"")</f>
        <v>0.6</v>
      </c>
      <c r="R183" s="13">
        <f>IF(ISNUMBER(O183),IF(C183="Ручная",IF($S$192&gt;0,$R$192*Q183/$S$192,IF($W$192=4,$R$192,0)),0),"")</f>
        <v>0</v>
      </c>
      <c r="S183" s="13">
        <f>IF(ISNUMBER(O183),O183+R183,"")</f>
        <v>6</v>
      </c>
      <c r="T183" s="13">
        <f>IF(ISNUMBER(S183),P183-S183,"")</f>
        <v>0.6</v>
      </c>
      <c r="U183" s="13">
        <f>IF(COUNT(AG183:AP183)&gt;0,AVERAGE(AG183:AP183),"")</f>
        <v>6.276</v>
      </c>
      <c r="AG183" s="13">
        <f>IF(ISNUMBER(E$192),E183,"")</f>
        <v>6.42</v>
      </c>
      <c r="AH183" s="13">
        <f>IF(ISNUMBER(F$192),F183,"")</f>
        <v>6.06</v>
      </c>
      <c r="AI183" s="13">
        <f>IF(ISNUMBER(G$192),G183,"")</f>
        <v>6.3</v>
      </c>
      <c r="AJ183" s="13">
        <f>IF(ISNUMBER(H$192),H183,"")</f>
        <v>6</v>
      </c>
      <c r="AK183" s="13">
        <f>IF(ISNUMBER(I$192),I183,"")</f>
        <v>6.24</v>
      </c>
      <c r="AL183" s="13">
        <f>IF(ISNUMBER(J$192),J183,"")</f>
        <v>6.48</v>
      </c>
      <c r="AM183" s="13">
        <f>IF(ISNUMBER(K$192),K183,"")</f>
        <v>6.12</v>
      </c>
      <c r="AN183" s="13">
        <f>IF(ISNUMBER(L$192),L183,"")</f>
        <v>6.36</v>
      </c>
      <c r="AO183" s="13">
        <f>IF(ISNUMBER(M$192),M183,"")</f>
        <v>6.6</v>
      </c>
      <c r="AP183" s="13">
        <f>IF(ISNUMBER(N$192),N183,"")</f>
        <v>6.18</v>
      </c>
      <c r="AQ183" s="13">
        <f>IF(C183="Ручная",O183,0)</f>
        <v>0</v>
      </c>
    </row>
    <row r="184" spans="1:43" ht="40" customHeight="1">
      <c r="A184" s="5">
        <v>5</v>
      </c>
      <c r="B184" s="5" t="s">
        <v>193</v>
      </c>
      <c r="C184" s="11" t="s">
        <v>183</v>
      </c>
      <c r="D184" s="7" t="s">
        <v>194</v>
      </c>
      <c r="E184" s="12">
        <v>29.75</v>
      </c>
      <c r="F184" s="12">
        <v>30.94</v>
      </c>
      <c r="G184" s="12">
        <v>32.13</v>
      </c>
      <c r="H184" s="12">
        <v>30.34</v>
      </c>
      <c r="I184" s="12">
        <v>31.54</v>
      </c>
      <c r="J184" s="12">
        <v>32.73</v>
      </c>
      <c r="K184" s="12">
        <v>30.64</v>
      </c>
      <c r="L184" s="12">
        <v>31.83</v>
      </c>
      <c r="M184" s="12">
        <v>30.05</v>
      </c>
      <c r="N184" s="12">
        <v>31.24</v>
      </c>
      <c r="O184" s="13">
        <f>IF(COUNT(AG184:AP184)&gt;0,MIN(AG184:AP184),"")</f>
        <v>29.75</v>
      </c>
      <c r="P184" s="13">
        <f>IF(COUNT(AG184:AP184)&gt;0,MAX(AG184:AP184),"")</f>
        <v>32.73</v>
      </c>
      <c r="Q184" s="13">
        <f>IF(ISNUMBER(O184),P184-O184,"")</f>
        <v>2.98</v>
      </c>
      <c r="R184" s="13">
        <f>IF(ISNUMBER(O184),IF(C184="Ручная",IF($S$192&gt;0,$R$192*Q184/$S$192,IF($W$192=5,$R$192,0)),0),"")</f>
        <v>1.00248104008668</v>
      </c>
      <c r="S184" s="13">
        <f>IF(ISNUMBER(O184),O184+R184,"")</f>
        <v>30.7524810400867</v>
      </c>
      <c r="T184" s="13">
        <f>IF(ISNUMBER(S184),P184-S184,"")</f>
        <v>1.97751895991332</v>
      </c>
      <c r="U184" s="13">
        <f>IF(COUNT(AG184:AP184)&gt;0,AVERAGE(AG184:AP184),"")</f>
        <v>31.119</v>
      </c>
      <c r="AG184" s="13">
        <f>IF(ISNUMBER(E$192),E184,"")</f>
        <v>29.75</v>
      </c>
      <c r="AH184" s="13">
        <f>IF(ISNUMBER(F$192),F184,"")</f>
        <v>30.94</v>
      </c>
      <c r="AI184" s="13">
        <f>IF(ISNUMBER(G$192),G184,"")</f>
        <v>32.13</v>
      </c>
      <c r="AJ184" s="13">
        <f>IF(ISNUMBER(H$192),H184,"")</f>
        <v>30.34</v>
      </c>
      <c r="AK184" s="13">
        <f>IF(ISNUMBER(I$192),I184,"")</f>
        <v>31.54</v>
      </c>
      <c r="AL184" s="13">
        <f>IF(ISNUMBER(J$192),J184,"")</f>
        <v>32.73</v>
      </c>
      <c r="AM184" s="13">
        <f>IF(ISNUMBER(K$192),K184,"")</f>
        <v>30.64</v>
      </c>
      <c r="AN184" s="13">
        <f>IF(ISNUMBER(L$192),L184,"")</f>
        <v>31.83</v>
      </c>
      <c r="AO184" s="13">
        <f>IF(ISNUMBER(M$192),M184,"")</f>
        <v>30.05</v>
      </c>
      <c r="AP184" s="13">
        <f>IF(ISNUMBER(N$192),N184,"")</f>
        <v>31.24</v>
      </c>
      <c r="AQ184" s="13">
        <f>IF(C184="Ручная",O184,0)</f>
        <v>29.75</v>
      </c>
    </row>
    <row r="185" spans="1:43" ht="40" customHeight="1">
      <c r="A185" s="5" t="s">
        <v>189</v>
      </c>
      <c r="B185" s="5" t="s">
        <v>195</v>
      </c>
      <c r="C185" s="11" t="s">
        <v>196</v>
      </c>
      <c r="D185" s="7" t="s">
        <v>197</v>
      </c>
      <c r="E185" s="18">
        <f>'Ассортимент'!R16</f>
        <v>300</v>
      </c>
      <c r="F185" s="18">
        <f>'Ассортимент'!R16</f>
        <v>300</v>
      </c>
      <c r="G185" s="18">
        <f>'Ассортимент'!R16</f>
        <v>300</v>
      </c>
      <c r="H185" s="18">
        <f>'Ассортимент'!R16</f>
        <v>300</v>
      </c>
      <c r="I185" s="18">
        <f>'Ассортимент'!R16</f>
        <v>300</v>
      </c>
      <c r="J185" s="18">
        <f>'Ассортимент'!R16</f>
        <v>300</v>
      </c>
      <c r="K185" s="18">
        <f>'Ассортимент'!R16</f>
        <v>300</v>
      </c>
      <c r="L185" s="18">
        <f>'Ассортимент'!R16</f>
        <v>300</v>
      </c>
      <c r="M185" s="18">
        <f>'Ассортимент'!R16</f>
        <v>300</v>
      </c>
      <c r="N185" s="18">
        <f>'Ассортимент'!R16</f>
        <v>300</v>
      </c>
      <c r="O185" s="13">
        <f>IF(COUNT(AG185:AP185)&gt;0,MIN(AG185:AP185),"")</f>
        <v>300</v>
      </c>
      <c r="P185" s="13">
        <f>IF(COUNT(AG185:AP185)&gt;0,MAX(AG185:AP185),"")</f>
        <v>300</v>
      </c>
      <c r="Q185" s="13">
        <f>IF(ISNUMBER(O185),P185-O185,"")</f>
        <v>0</v>
      </c>
      <c r="R185" s="13">
        <f>IF(ISNUMBER(O185),IF(C185="Ручная",IF($S$192&gt;0,$R$192*Q185/$S$192,IF($W$192=6,$R$192,0)),0),"")</f>
        <v>0</v>
      </c>
      <c r="S185" s="13">
        <f>IF(ISNUMBER(O185),O185+R185,"")</f>
        <v>300</v>
      </c>
      <c r="T185" s="13">
        <f>IF(ISNUMBER(S185),P185-S185,"")</f>
        <v>0</v>
      </c>
      <c r="U185" s="13">
        <f>IF(COUNT(AG185:AP185)&gt;0,AVERAGE(AG185:AP185),"")</f>
        <v>300</v>
      </c>
      <c r="AG185" s="13">
        <f>IF(ISNUMBER(E$192),E185,"")</f>
        <v>300</v>
      </c>
      <c r="AH185" s="13">
        <f>IF(ISNUMBER(F$192),F185,"")</f>
        <v>300</v>
      </c>
      <c r="AI185" s="13">
        <f>IF(ISNUMBER(G$192),G185,"")</f>
        <v>300</v>
      </c>
      <c r="AJ185" s="13">
        <f>IF(ISNUMBER(H$192),H185,"")</f>
        <v>300</v>
      </c>
      <c r="AK185" s="13">
        <f>IF(ISNUMBER(I$192),I185,"")</f>
        <v>300</v>
      </c>
      <c r="AL185" s="13">
        <f>IF(ISNUMBER(J$192),J185,"")</f>
        <v>300</v>
      </c>
      <c r="AM185" s="13">
        <f>IF(ISNUMBER(K$192),K185,"")</f>
        <v>300</v>
      </c>
      <c r="AN185" s="13">
        <f>IF(ISNUMBER(L$192),L185,"")</f>
        <v>300</v>
      </c>
      <c r="AO185" s="13">
        <f>IF(ISNUMBER(M$192),M185,"")</f>
        <v>300</v>
      </c>
      <c r="AP185" s="13">
        <f>IF(ISNUMBER(N$192),N185,"")</f>
        <v>300</v>
      </c>
      <c r="AQ185" s="13">
        <f>IF(C185="Ручная",O185,0)</f>
        <v>0</v>
      </c>
    </row>
    <row r="186" spans="1:43" ht="40" customHeight="1">
      <c r="A186" s="5">
        <v>7</v>
      </c>
      <c r="B186" s="5" t="s">
        <v>198</v>
      </c>
      <c r="C186" s="11" t="s">
        <v>183</v>
      </c>
      <c r="D186" s="7" t="s">
        <v>199</v>
      </c>
      <c r="E186" s="12">
        <v>27.81</v>
      </c>
      <c r="F186" s="12">
        <v>28.89</v>
      </c>
      <c r="G186" s="12">
        <v>27.27</v>
      </c>
      <c r="H186" s="12">
        <v>28.35</v>
      </c>
      <c r="I186" s="12">
        <v>27</v>
      </c>
      <c r="J186" s="12">
        <v>28.08</v>
      </c>
      <c r="K186" s="12">
        <v>29.16</v>
      </c>
      <c r="L186" s="12">
        <v>27.54</v>
      </c>
      <c r="M186" s="12">
        <v>28.62</v>
      </c>
      <c r="N186" s="12">
        <v>29.7</v>
      </c>
      <c r="O186" s="13">
        <f>IF(COUNT(AG186:AP186)&gt;0,MIN(AG186:AP186),"")</f>
        <v>27</v>
      </c>
      <c r="P186" s="13">
        <f>IF(COUNT(AG186:AP186)&gt;0,MAX(AG186:AP186),"")</f>
        <v>29.7</v>
      </c>
      <c r="Q186" s="13">
        <f>IF(ISNUMBER(O186),P186-O186,"")</f>
        <v>2.7</v>
      </c>
      <c r="R186" s="13">
        <f>IF(ISNUMBER(O186),IF(C186="Ручная",IF($S$192&gt;0,$R$192*Q186/$S$192,IF($W$192=7,$R$192,0)),0),"")</f>
        <v>0.908288190682562</v>
      </c>
      <c r="S186" s="13">
        <f>IF(ISNUMBER(O186),O186+R186,"")</f>
        <v>27.9082881906826</v>
      </c>
      <c r="T186" s="13">
        <f>IF(ISNUMBER(S186),P186-S186,"")</f>
        <v>1.79171180931744</v>
      </c>
      <c r="U186" s="13">
        <f>IF(COUNT(AG186:AP186)&gt;0,AVERAGE(AG186:AP186),"")</f>
        <v>28.242</v>
      </c>
      <c r="AG186" s="13">
        <f>IF(ISNUMBER(E$192),E186,"")</f>
        <v>27.81</v>
      </c>
      <c r="AH186" s="13">
        <f>IF(ISNUMBER(F$192),F186,"")</f>
        <v>28.89</v>
      </c>
      <c r="AI186" s="13">
        <f>IF(ISNUMBER(G$192),G186,"")</f>
        <v>27.27</v>
      </c>
      <c r="AJ186" s="13">
        <f>IF(ISNUMBER(H$192),H186,"")</f>
        <v>28.35</v>
      </c>
      <c r="AK186" s="13">
        <f>IF(ISNUMBER(I$192),I186,"")</f>
        <v>27</v>
      </c>
      <c r="AL186" s="13">
        <f>IF(ISNUMBER(J$192),J186,"")</f>
        <v>28.08</v>
      </c>
      <c r="AM186" s="13">
        <f>IF(ISNUMBER(K$192),K186,"")</f>
        <v>29.16</v>
      </c>
      <c r="AN186" s="13">
        <f>IF(ISNUMBER(L$192),L186,"")</f>
        <v>27.54</v>
      </c>
      <c r="AO186" s="13">
        <f>IF(ISNUMBER(M$192),M186,"")</f>
        <v>28.62</v>
      </c>
      <c r="AP186" s="13">
        <f>IF(ISNUMBER(N$192),N186,"")</f>
        <v>29.7</v>
      </c>
      <c r="AQ186" s="13">
        <f>IF(C186="Ручная",O186,0)</f>
        <v>27</v>
      </c>
    </row>
    <row r="187" spans="1:43" ht="40" customHeight="1">
      <c r="A187" s="5">
        <v>8</v>
      </c>
      <c r="B187" s="5" t="s">
        <v>200</v>
      </c>
      <c r="C187" s="11" t="s">
        <v>183</v>
      </c>
      <c r="D187" s="7" t="s">
        <v>201</v>
      </c>
      <c r="E187" s="12">
        <v>18.9</v>
      </c>
      <c r="F187" s="12">
        <v>18</v>
      </c>
      <c r="G187" s="12">
        <v>18.72</v>
      </c>
      <c r="H187" s="12">
        <v>19.44</v>
      </c>
      <c r="I187" s="12">
        <v>18.36</v>
      </c>
      <c r="J187" s="12">
        <v>19.08</v>
      </c>
      <c r="K187" s="12">
        <v>19.8</v>
      </c>
      <c r="L187" s="12">
        <v>18.54</v>
      </c>
      <c r="M187" s="12">
        <v>19.26</v>
      </c>
      <c r="N187" s="12">
        <v>18.18</v>
      </c>
      <c r="O187" s="13">
        <f>IF(COUNT(AG187:AP187)&gt;0,MIN(AG187:AP187),"")</f>
        <v>18</v>
      </c>
      <c r="P187" s="13">
        <f>IF(COUNT(AG187:AP187)&gt;0,MAX(AG187:AP187),"")</f>
        <v>19.8</v>
      </c>
      <c r="Q187" s="13">
        <f>IF(ISNUMBER(O187),P187-O187,"")</f>
        <v>1.8</v>
      </c>
      <c r="R187" s="13">
        <f>IF(ISNUMBER(O187),IF(C187="Ручная",IF($S$192&gt;0,$R$192*Q187/$S$192,IF($W$192=8,$R$192,0)),0),"")</f>
        <v>0.605525460455042</v>
      </c>
      <c r="S187" s="13">
        <f>IF(ISNUMBER(O187),O187+R187,"")</f>
        <v>18.605525460455</v>
      </c>
      <c r="T187" s="13">
        <f>IF(ISNUMBER(S187),P187-S187,"")</f>
        <v>1.19447453954496</v>
      </c>
      <c r="U187" s="13">
        <f>IF(COUNT(AG187:AP187)&gt;0,AVERAGE(AG187:AP187),"")</f>
        <v>18.828</v>
      </c>
      <c r="AG187" s="13">
        <f>IF(ISNUMBER(E$192),E187,"")</f>
        <v>18.9</v>
      </c>
      <c r="AH187" s="13">
        <f>IF(ISNUMBER(F$192),F187,"")</f>
        <v>18</v>
      </c>
      <c r="AI187" s="13">
        <f>IF(ISNUMBER(G$192),G187,"")</f>
        <v>18.72</v>
      </c>
      <c r="AJ187" s="13">
        <f>IF(ISNUMBER(H$192),H187,"")</f>
        <v>19.44</v>
      </c>
      <c r="AK187" s="13">
        <f>IF(ISNUMBER(I$192),I187,"")</f>
        <v>18.36</v>
      </c>
      <c r="AL187" s="13">
        <f>IF(ISNUMBER(J$192),J187,"")</f>
        <v>19.08</v>
      </c>
      <c r="AM187" s="13">
        <f>IF(ISNUMBER(K$192),K187,"")</f>
        <v>19.8</v>
      </c>
      <c r="AN187" s="13">
        <f>IF(ISNUMBER(L$192),L187,"")</f>
        <v>18.54</v>
      </c>
      <c r="AO187" s="13">
        <f>IF(ISNUMBER(M$192),M187,"")</f>
        <v>19.26</v>
      </c>
      <c r="AP187" s="13">
        <f>IF(ISNUMBER(N$192),N187,"")</f>
        <v>18.18</v>
      </c>
      <c r="AQ187" s="13">
        <f>IF(C187="Ручная",O187,0)</f>
        <v>18</v>
      </c>
    </row>
    <row r="188" spans="1:43" ht="40" customHeight="1">
      <c r="A188" s="5" t="s">
        <v>189</v>
      </c>
      <c r="B188" s="5" t="s">
        <v>202</v>
      </c>
      <c r="C188" s="11" t="s">
        <v>191</v>
      </c>
      <c r="D188" s="7" t="s">
        <v>203</v>
      </c>
      <c r="E188" s="12">
        <v>5.4</v>
      </c>
      <c r="F188" s="12">
        <v>5.1</v>
      </c>
      <c r="G188" s="12">
        <v>5.3</v>
      </c>
      <c r="H188" s="12">
        <v>5.5</v>
      </c>
      <c r="I188" s="12">
        <v>5.15</v>
      </c>
      <c r="J188" s="12">
        <v>5.35</v>
      </c>
      <c r="K188" s="12">
        <v>5.05</v>
      </c>
      <c r="L188" s="12">
        <v>5.25</v>
      </c>
      <c r="M188" s="12">
        <v>5</v>
      </c>
      <c r="N188" s="12">
        <v>5.2</v>
      </c>
      <c r="O188" s="13">
        <f>IF(COUNT(AG188:AP188)&gt;0,MIN(AG188:AP188),"")</f>
        <v>5</v>
      </c>
      <c r="P188" s="13">
        <f>IF(COUNT(AG188:AP188)&gt;0,MAX(AG188:AP188),"")</f>
        <v>5.5</v>
      </c>
      <c r="Q188" s="13">
        <f>IF(ISNUMBER(O188),P188-O188,"")</f>
        <v>0.5</v>
      </c>
      <c r="R188" s="13">
        <f>IF(ISNUMBER(O188),IF(C188="Ручная",IF($S$192&gt;0,$R$192*Q188/$S$192,IF($W$192=9,$R$192,0)),0),"")</f>
        <v>0</v>
      </c>
      <c r="S188" s="13">
        <f>IF(ISNUMBER(O188),O188+R188,"")</f>
        <v>5</v>
      </c>
      <c r="T188" s="13">
        <f>IF(ISNUMBER(S188),P188-S188,"")</f>
        <v>0.5</v>
      </c>
      <c r="U188" s="13">
        <f>IF(COUNT(AG188:AP188)&gt;0,AVERAGE(AG188:AP188),"")</f>
        <v>5.23</v>
      </c>
      <c r="AG188" s="13">
        <f>IF(ISNUMBER(E$192),E188,"")</f>
        <v>5.4</v>
      </c>
      <c r="AH188" s="13">
        <f>IF(ISNUMBER(F$192),F188,"")</f>
        <v>5.1</v>
      </c>
      <c r="AI188" s="13">
        <f>IF(ISNUMBER(G$192),G188,"")</f>
        <v>5.3</v>
      </c>
      <c r="AJ188" s="13">
        <f>IF(ISNUMBER(H$192),H188,"")</f>
        <v>5.5</v>
      </c>
      <c r="AK188" s="13">
        <f>IF(ISNUMBER(I$192),I188,"")</f>
        <v>5.15</v>
      </c>
      <c r="AL188" s="13">
        <f>IF(ISNUMBER(J$192),J188,"")</f>
        <v>5.35</v>
      </c>
      <c r="AM188" s="13">
        <f>IF(ISNUMBER(K$192),K188,"")</f>
        <v>5.05</v>
      </c>
      <c r="AN188" s="13">
        <f>IF(ISNUMBER(L$192),L188,"")</f>
        <v>5.25</v>
      </c>
      <c r="AO188" s="13">
        <f>IF(ISNUMBER(M$192),M188,"")</f>
        <v>5</v>
      </c>
      <c r="AP188" s="13">
        <f>IF(ISNUMBER(N$192),N188,"")</f>
        <v>5.2</v>
      </c>
      <c r="AQ188" s="13">
        <f>IF(C188="Ручная",O188,0)</f>
        <v>0</v>
      </c>
    </row>
    <row r="189" spans="1:43" ht="40" customHeight="1">
      <c r="A189" s="5" t="s">
        <v>189</v>
      </c>
      <c r="B189" s="5" t="s">
        <v>204</v>
      </c>
      <c r="C189" s="11" t="s">
        <v>191</v>
      </c>
      <c r="D189" s="7" t="s">
        <v>205</v>
      </c>
      <c r="E189" s="12">
        <v>5.5</v>
      </c>
      <c r="F189" s="12">
        <v>5.15</v>
      </c>
      <c r="G189" s="12">
        <v>5.35</v>
      </c>
      <c r="H189" s="12">
        <v>5.05</v>
      </c>
      <c r="I189" s="12">
        <v>5.25</v>
      </c>
      <c r="J189" s="12">
        <v>5</v>
      </c>
      <c r="K189" s="12">
        <v>5.2</v>
      </c>
      <c r="L189" s="12">
        <v>5.4</v>
      </c>
      <c r="M189" s="12">
        <v>5.1</v>
      </c>
      <c r="N189" s="12">
        <v>5.3</v>
      </c>
      <c r="O189" s="13">
        <f>IF(COUNT(AG189:AP189)&gt;0,MIN(AG189:AP189),"")</f>
        <v>5</v>
      </c>
      <c r="P189" s="13">
        <f>IF(COUNT(AG189:AP189)&gt;0,MAX(AG189:AP189),"")</f>
        <v>5.5</v>
      </c>
      <c r="Q189" s="13">
        <f>IF(ISNUMBER(O189),P189-O189,"")</f>
        <v>0.5</v>
      </c>
      <c r="R189" s="13">
        <f>IF(ISNUMBER(O189),IF(C189="Ручная",IF($S$192&gt;0,$R$192*Q189/$S$192,IF($W$192=10,$R$192,0)),0),"")</f>
        <v>0</v>
      </c>
      <c r="S189" s="13">
        <f>IF(ISNUMBER(O189),O189+R189,"")</f>
        <v>5</v>
      </c>
      <c r="T189" s="13">
        <f>IF(ISNUMBER(S189),P189-S189,"")</f>
        <v>0.5</v>
      </c>
      <c r="U189" s="13">
        <f>IF(COUNT(AG189:AP189)&gt;0,AVERAGE(AG189:AP189),"")</f>
        <v>5.23</v>
      </c>
      <c r="AG189" s="13">
        <f>IF(ISNUMBER(E$192),E189,"")</f>
        <v>5.5</v>
      </c>
      <c r="AH189" s="13">
        <f>IF(ISNUMBER(F$192),F189,"")</f>
        <v>5.15</v>
      </c>
      <c r="AI189" s="13">
        <f>IF(ISNUMBER(G$192),G189,"")</f>
        <v>5.35</v>
      </c>
      <c r="AJ189" s="13">
        <f>IF(ISNUMBER(H$192),H189,"")</f>
        <v>5.05</v>
      </c>
      <c r="AK189" s="13">
        <f>IF(ISNUMBER(I$192),I189,"")</f>
        <v>5.25</v>
      </c>
      <c r="AL189" s="13">
        <f>IF(ISNUMBER(J$192),J189,"")</f>
        <v>5</v>
      </c>
      <c r="AM189" s="13">
        <f>IF(ISNUMBER(K$192),K189,"")</f>
        <v>5.2</v>
      </c>
      <c r="AN189" s="13">
        <f>IF(ISNUMBER(L$192),L189,"")</f>
        <v>5.4</v>
      </c>
      <c r="AO189" s="13">
        <f>IF(ISNUMBER(M$192),M189,"")</f>
        <v>5.1</v>
      </c>
      <c r="AP189" s="13">
        <f>IF(ISNUMBER(N$192),N189,"")</f>
        <v>5.3</v>
      </c>
      <c r="AQ189" s="13">
        <f>IF(C189="Ручная",O189,0)</f>
        <v>0</v>
      </c>
    </row>
    <row r="190" spans="1:43" ht="40" customHeight="1">
      <c r="A190" s="5" t="s">
        <v>189</v>
      </c>
      <c r="B190" s="5" t="s">
        <v>206</v>
      </c>
      <c r="C190" s="11" t="s">
        <v>207</v>
      </c>
      <c r="D190" s="7" t="s">
        <v>208</v>
      </c>
      <c r="E190" s="12">
        <v>0</v>
      </c>
      <c r="F190" s="12">
        <v>0</v>
      </c>
      <c r="G190" s="12">
        <v>0</v>
      </c>
      <c r="H190" s="12">
        <v>0</v>
      </c>
      <c r="I190" s="12">
        <v>0</v>
      </c>
      <c r="J190" s="12">
        <v>0</v>
      </c>
      <c r="K190" s="12">
        <v>0</v>
      </c>
      <c r="L190" s="12">
        <v>0</v>
      </c>
      <c r="M190" s="12">
        <v>0</v>
      </c>
      <c r="N190" s="12">
        <v>0</v>
      </c>
      <c r="O190" s="13">
        <f>IF(COUNT(AG190:AP190)&gt;0,MIN(AG190:AP190),"")</f>
        <v>0</v>
      </c>
      <c r="P190" s="13">
        <f>IF(COUNT(AG190:AP190)&gt;0,MAX(AG190:AP190),"")</f>
        <v>0</v>
      </c>
      <c r="Q190" s="13">
        <f>IF(ISNUMBER(O190),P190-O190,"")</f>
        <v>0</v>
      </c>
      <c r="R190" s="13">
        <f>IF(ISNUMBER(O190),IF(C190="Ручная",IF($S$192&gt;0,$R$192*Q190/$S$192,IF($W$192=11,$R$192,0)),0),"")</f>
        <v>0</v>
      </c>
      <c r="S190" s="13">
        <f>IF(ISNUMBER(O190),O190+R190,"")</f>
        <v>0</v>
      </c>
      <c r="T190" s="13">
        <f>IF(ISNUMBER(S190),P190-S190,"")</f>
        <v>0</v>
      </c>
      <c r="U190" s="13">
        <f>IF(COUNT(AG190:AP190)&gt;0,AVERAGE(AG190:AP190),"")</f>
        <v>0</v>
      </c>
      <c r="AG190" s="13">
        <f>IF(ISNUMBER(E$192),E190,"")</f>
        <v>0</v>
      </c>
      <c r="AH190" s="13">
        <f>IF(ISNUMBER(F$192),F190,"")</f>
        <v>0</v>
      </c>
      <c r="AI190" s="13">
        <f>IF(ISNUMBER(G$192),G190,"")</f>
        <v>0</v>
      </c>
      <c r="AJ190" s="13">
        <f>IF(ISNUMBER(H$192),H190,"")</f>
        <v>0</v>
      </c>
      <c r="AK190" s="13">
        <f>IF(ISNUMBER(I$192),I190,"")</f>
        <v>0</v>
      </c>
      <c r="AL190" s="13">
        <f>IF(ISNUMBER(J$192),J190,"")</f>
        <v>0</v>
      </c>
      <c r="AM190" s="13">
        <f>IF(ISNUMBER(K$192),K190,"")</f>
        <v>0</v>
      </c>
      <c r="AN190" s="13">
        <f>IF(ISNUMBER(L$192),L190,"")</f>
        <v>0</v>
      </c>
      <c r="AO190" s="13">
        <f>IF(ISNUMBER(M$192),M190,"")</f>
        <v>0</v>
      </c>
      <c r="AP190" s="13">
        <f>IF(ISNUMBER(N$192),N190,"")</f>
        <v>0</v>
      </c>
      <c r="AQ190" s="13">
        <f>IF(C190="Ручная",O190,0)</f>
        <v>0</v>
      </c>
    </row>
    <row r="191" spans="1:43" ht="23" customHeight="1">
      <c r="B191" s="4" t="s">
        <v>209</v>
      </c>
      <c r="E191" s="6">
        <f>IF(COUNT(E180:E190)=11,SUM(E180:E190),"")</f>
        <v>507.62</v>
      </c>
      <c r="F191" s="6">
        <f>IF(COUNT(F180:F190)=11,SUM(F180:F190),"")</f>
        <v>512.37</v>
      </c>
      <c r="G191" s="6">
        <f>IF(COUNT(G180:G190)=11,SUM(G180:G190),"")</f>
        <v>506.76</v>
      </c>
      <c r="H191" s="6">
        <f>IF(COUNT(H180:H190)=11,SUM(H180:H190),"")</f>
        <v>510.77</v>
      </c>
      <c r="I191" s="6">
        <f>IF(COUNT(I180:I190)=11,SUM(I180:I190),"")</f>
        <v>512.04</v>
      </c>
      <c r="J191" s="6">
        <f>IF(COUNT(J180:J190)=11,SUM(J180:J190),"")</f>
        <v>509.96</v>
      </c>
      <c r="K191" s="6">
        <f>IF(COUNT(K180:K190)=11,SUM(K180:K190),"")</f>
        <v>511.82</v>
      </c>
      <c r="L191" s="6">
        <f>IF(COUNT(L180:L190)=11,SUM(L180:L190),"")</f>
        <v>508.66</v>
      </c>
      <c r="M191" s="6">
        <f>IF(COUNT(M180:M190)=11,SUM(M180:M190),"")</f>
        <v>510.01</v>
      </c>
      <c r="N191" s="6">
        <f>IF(COUNT(N180:N190)=11,SUM(N180:N190),"")</f>
        <v>507.75</v>
      </c>
      <c r="O191" s="6">
        <f>IF(COUNT(O180:O190)=11,SUM(O180:O190),"")</f>
        <v>500.55</v>
      </c>
      <c r="P191" s="6">
        <f>IF(COUNT(P180:P190)=11,SUM(P180:P190),"")</f>
        <v>520.61</v>
      </c>
      <c r="Q191" s="6">
        <f>IF(COUNT(Q180:Q190)=11,SUM(Q180:Q190),"")</f>
        <v>20.06</v>
      </c>
      <c r="R191" s="6">
        <f>IF(COUNT(R180:R190)=11,SUM(R180:R190),"")</f>
        <v>6.21000000000004</v>
      </c>
      <c r="S191" s="6">
        <f>IF(COUNT(S180:S190)=11,SUM(S180:S190),"")</f>
        <v>506.76</v>
      </c>
      <c r="T191" s="6">
        <f>IF(COUNT(T180:T190)=11,SUM(T180:T190),"")</f>
        <v>13.85</v>
      </c>
      <c r="U191" s="6">
        <f>IF(COUNT(U180:U190)=11,SUM(U180:U190),"")</f>
        <v>509.776</v>
      </c>
    </row>
    <row r="192" spans="1:43" ht="23" customHeight="1">
      <c r="B192" s="4" t="s">
        <v>210</v>
      </c>
      <c r="E192" s="6">
        <f>IF(AND(E178=1,COUNT(E180:E190)=11,MIN(E180:E190)&gt;=0),E191,"")</f>
        <v>507.62</v>
      </c>
      <c r="F192" s="6">
        <f>IF(AND(F178=1,COUNT(F180:F190)=11,MIN(F180:F190)&gt;=0),F191,"")</f>
        <v>512.37</v>
      </c>
      <c r="G192" s="6">
        <f>IF(AND(G178=1,COUNT(G180:G190)=11,MIN(G180:G190)&gt;=0),G191,"")</f>
        <v>506.76</v>
      </c>
      <c r="H192" s="6">
        <f>IF(AND(H178=1,COUNT(H180:H190)=11,MIN(H180:H190)&gt;=0),H191,"")</f>
        <v>510.77</v>
      </c>
      <c r="I192" s="6">
        <f>IF(AND(I178=1,COUNT(I180:I190)=11,MIN(I180:I190)&gt;=0),I191,"")</f>
        <v>512.04</v>
      </c>
      <c r="J192" s="6">
        <f>IF(AND(J178=1,COUNT(J180:J190)=11,MIN(J180:J190)&gt;=0),J191,"")</f>
        <v>509.96</v>
      </c>
      <c r="K192" s="6">
        <f>IF(AND(K178=1,COUNT(K180:K190)=11,MIN(K180:K190)&gt;=0),K191,"")</f>
        <v>511.82</v>
      </c>
      <c r="L192" s="6">
        <f>IF(AND(L178=1,COUNT(L180:L190)=11,MIN(L180:L190)&gt;=0),L191,"")</f>
        <v>508.66</v>
      </c>
      <c r="M192" s="6">
        <f>IF(AND(M178=1,COUNT(M180:M190)=11,MIN(M180:M190)&gt;=0),M191,"")</f>
        <v>510.01</v>
      </c>
      <c r="N192" s="6">
        <f>IF(AND(N178=1,COUNT(N180:N190)=11,MIN(N180:N190)&gt;=0),N191,"")</f>
        <v>507.75</v>
      </c>
      <c r="O192" s="6">
        <f>IF(COUNT(E192:N192)&gt;0,MIN(E192:N192),"")</f>
        <v>506.76</v>
      </c>
      <c r="P192" s="6">
        <f>IF(COUNT(E192:N192)&gt;0,MAX(E192:N192),"")</f>
        <v>512.37</v>
      </c>
      <c r="Q192" s="6">
        <f>IF(ISNUMBER(O192),P192-O192,"")</f>
        <v>5.60999999999996</v>
      </c>
      <c r="R192" s="6">
        <f>IF(ISNUMBER(O192),MAX(0,O192-O191),"")</f>
        <v>6.21000000000004</v>
      </c>
      <c r="S192" s="6">
        <f>SUMIF(C180:C190,"Ручная",Q180:Q190)</f>
        <v>18.46</v>
      </c>
      <c r="T192" s="6">
        <f>COUNT(E192:N192)</f>
        <v>10</v>
      </c>
      <c r="U192" s="6">
        <f>IF(COUNT(E192:N192)&gt;0,AVERAGE(E192:N192),"")</f>
        <v>509.776</v>
      </c>
      <c r="V192" s="6">
        <f>IF(ISNUMBER(O192),S191-O192,"")</f>
        <v>-5.6843418860808e-14</v>
      </c>
      <c r="W192" s="6">
        <f>MATCH(MAX(AQ180:AQ190),AQ180:AQ190,0)</f>
        <v>2</v>
      </c>
      <c r="X192" s="17" t="str">
        <f>IF(T192=0,"НЕТ ЗАМЕРОВ",IF(T192&lt;10,"МЕНЕЕ 10 ЦИКЛОВ",IF(ABS(V192)&lt;0.000001,"ОК","ОШИБКА РЕГУЛИРОВКИ")))</f>
        <v>ОК</v>
      </c>
    </row>
    <row r="193" spans="1:43" ht="23" customHeight="1">
      <c r="A193" s="7" t="s">
        <v>211</v>
      </c>
      <c r="B193" s="7"/>
      <c r="C193" s="7"/>
      <c r="D193" s="7"/>
      <c r="E193" s="7"/>
      <c r="F193" s="7"/>
      <c r="G193" s="7"/>
      <c r="H193" s="7"/>
      <c r="I193" s="7"/>
      <c r="J193" s="7"/>
      <c r="K193" s="7"/>
      <c r="L193" s="7"/>
      <c r="M193" s="7"/>
      <c r="N193" s="7"/>
      <c r="O193" s="7"/>
      <c r="P193" s="7"/>
      <c r="Q193" s="7"/>
      <c r="R193" s="7"/>
      <c r="S193" s="7"/>
      <c r="T193" s="7"/>
      <c r="U193" s="7"/>
      <c r="V193" s="7"/>
      <c r="W193" s="7"/>
      <c r="X193" s="7"/>
    </row>
    <row r="196" spans="1:43" ht="23" customHeight="1">
      <c r="A196" s="4" t="s">
        <v>239</v>
      </c>
      <c r="B196" s="4"/>
      <c r="C196" s="4"/>
      <c r="D196" s="4"/>
      <c r="E196" s="4"/>
      <c r="F196" s="4"/>
      <c r="G196" s="4"/>
      <c r="H196" s="4"/>
      <c r="I196" s="4"/>
      <c r="J196" s="4"/>
      <c r="K196" s="4"/>
      <c r="L196" s="4"/>
      <c r="M196" s="4"/>
      <c r="N196" s="4"/>
      <c r="O196" s="4"/>
      <c r="P196" s="4"/>
      <c r="Q196" s="4"/>
      <c r="R196" s="4"/>
      <c r="S196" s="4"/>
      <c r="T196" s="4"/>
      <c r="U196" s="4"/>
      <c r="V196" s="4"/>
      <c r="W196" s="4"/>
      <c r="X196" s="4"/>
    </row>
    <row r="197" spans="1:43" ht="23" customHeight="1">
      <c r="A197" s="7" t="str">
        <f>"Масса замера, кг: "&amp;'Ассортимент'!J17&amp;". Все замеры одной партии/исполнителя/условий. Основание: "&amp;'Ввод'!B15</f>
        <v>Масса замера, кг: 5. Все замеры одной партии/исполнителя/условий. Основание: ДЕМО: прогноз; улучшения не внедрены</v>
      </c>
      <c r="B197" s="7"/>
      <c r="C197" s="7"/>
      <c r="D197" s="7"/>
      <c r="E197" s="7"/>
      <c r="F197" s="7"/>
      <c r="G197" s="7"/>
      <c r="H197" s="7"/>
      <c r="I197" s="7"/>
      <c r="J197" s="7"/>
      <c r="K197" s="7"/>
      <c r="L197" s="7"/>
      <c r="M197" s="7"/>
      <c r="N197" s="7"/>
      <c r="O197" s="7"/>
      <c r="P197" s="7"/>
      <c r="Q197" s="7"/>
      <c r="R197" s="7"/>
      <c r="S197" s="7"/>
      <c r="T197" s="7"/>
      <c r="U197" s="7"/>
      <c r="V197" s="7"/>
      <c r="W197" s="7"/>
      <c r="X197" s="7"/>
    </row>
    <row r="198" spans="1:43" ht="44" customHeight="1">
      <c r="A198" s="8" t="s">
        <v>113</v>
      </c>
      <c r="B198" s="8" t="s">
        <v>156</v>
      </c>
      <c r="C198" s="8" t="s">
        <v>157</v>
      </c>
      <c r="D198" s="8" t="s">
        <v>158</v>
      </c>
      <c r="E198" s="8" t="s">
        <v>159</v>
      </c>
      <c r="F198" s="8" t="s">
        <v>160</v>
      </c>
      <c r="G198" s="8" t="s">
        <v>161</v>
      </c>
      <c r="H198" s="8" t="s">
        <v>162</v>
      </c>
      <c r="I198" s="8" t="s">
        <v>163</v>
      </c>
      <c r="J198" s="8" t="s">
        <v>164</v>
      </c>
      <c r="K198" s="8" t="s">
        <v>165</v>
      </c>
      <c r="L198" s="8" t="s">
        <v>166</v>
      </c>
      <c r="M198" s="8" t="s">
        <v>167</v>
      </c>
      <c r="N198" s="8" t="s">
        <v>168</v>
      </c>
      <c r="O198" s="8" t="s">
        <v>169</v>
      </c>
      <c r="P198" s="8" t="s">
        <v>170</v>
      </c>
      <c r="Q198" s="8" t="s">
        <v>171</v>
      </c>
      <c r="R198" s="8" t="s">
        <v>172</v>
      </c>
      <c r="S198" s="8" t="s">
        <v>173</v>
      </c>
      <c r="T198" s="8" t="s">
        <v>174</v>
      </c>
      <c r="U198" s="8" t="s">
        <v>175</v>
      </c>
      <c r="V198" s="8" t="s">
        <v>176</v>
      </c>
      <c r="W198" s="8" t="s">
        <v>177</v>
      </c>
      <c r="X198" s="8" t="s">
        <v>178</v>
      </c>
    </row>
    <row r="199" spans="1:43" ht="23" customHeight="1">
      <c r="B199" s="5" t="s">
        <v>179</v>
      </c>
      <c r="E199" s="12">
        <v>1</v>
      </c>
      <c r="F199" s="12">
        <v>1</v>
      </c>
      <c r="G199" s="12">
        <v>1</v>
      </c>
      <c r="H199" s="12">
        <v>1</v>
      </c>
      <c r="I199" s="12">
        <v>1</v>
      </c>
      <c r="J199" s="12">
        <v>1</v>
      </c>
      <c r="K199" s="12">
        <v>1</v>
      </c>
      <c r="L199" s="12">
        <v>1</v>
      </c>
      <c r="M199" s="12">
        <v>1</v>
      </c>
      <c r="N199" s="12">
        <v>1</v>
      </c>
    </row>
    <row r="200" spans="1:43" ht="33" customHeight="1">
      <c r="B200" s="5" t="s">
        <v>180</v>
      </c>
      <c r="E200" s="9" t="s">
        <v>181</v>
      </c>
      <c r="F200" s="9" t="s">
        <v>181</v>
      </c>
      <c r="G200" s="9" t="s">
        <v>181</v>
      </c>
      <c r="H200" s="9" t="s">
        <v>181</v>
      </c>
      <c r="I200" s="9" t="s">
        <v>181</v>
      </c>
      <c r="J200" s="9" t="s">
        <v>181</v>
      </c>
      <c r="K200" s="9" t="s">
        <v>181</v>
      </c>
      <c r="L200" s="9" t="s">
        <v>181</v>
      </c>
      <c r="M200" s="9" t="s">
        <v>181</v>
      </c>
      <c r="N200" s="9" t="s">
        <v>181</v>
      </c>
    </row>
    <row r="201" spans="1:43" ht="40" customHeight="1">
      <c r="A201" s="5">
        <v>1</v>
      </c>
      <c r="B201" s="5" t="s">
        <v>182</v>
      </c>
      <c r="C201" s="11" t="s">
        <v>183</v>
      </c>
      <c r="D201" s="7" t="s">
        <v>184</v>
      </c>
      <c r="E201" s="12">
        <v>26.25</v>
      </c>
      <c r="F201" s="12">
        <v>25</v>
      </c>
      <c r="G201" s="12">
        <v>26</v>
      </c>
      <c r="H201" s="12">
        <v>27</v>
      </c>
      <c r="I201" s="12">
        <v>25.5</v>
      </c>
      <c r="J201" s="12">
        <v>26.5</v>
      </c>
      <c r="K201" s="12">
        <v>27.5</v>
      </c>
      <c r="L201" s="12">
        <v>25.75</v>
      </c>
      <c r="M201" s="12">
        <v>26.75</v>
      </c>
      <c r="N201" s="12">
        <v>25.25</v>
      </c>
      <c r="O201" s="13">
        <f>IF(COUNT(AG201:AP201)&gt;0,MIN(AG201:AP201),"")</f>
        <v>25</v>
      </c>
      <c r="P201" s="13">
        <f>IF(COUNT(AG201:AP201)&gt;0,MAX(AG201:AP201),"")</f>
        <v>27.5</v>
      </c>
      <c r="Q201" s="13">
        <f>IF(ISNUMBER(O201),P201-O201,"")</f>
        <v>2.5</v>
      </c>
      <c r="R201" s="13">
        <f>IF(ISNUMBER(O201),IF(C201="Ручная",IF($S$213&gt;0,$R$213*Q201/$S$213,IF($W$213=1,$R$213,0)),0),"")</f>
        <v>0.882442284325647</v>
      </c>
      <c r="S201" s="13">
        <f>IF(ISNUMBER(O201),O201+R201,"")</f>
        <v>25.8824422843256</v>
      </c>
      <c r="T201" s="13">
        <f>IF(ISNUMBER(S201),P201-S201,"")</f>
        <v>1.61755771567435</v>
      </c>
      <c r="U201" s="13">
        <f>IF(COUNT(AG201:AP201)&gt;0,AVERAGE(AG201:AP201),"")</f>
        <v>26.15</v>
      </c>
      <c r="AG201" s="13">
        <f>IF(ISNUMBER(E$213),E201,"")</f>
        <v>26.25</v>
      </c>
      <c r="AH201" s="13">
        <f>IF(ISNUMBER(F$213),F201,"")</f>
        <v>25</v>
      </c>
      <c r="AI201" s="13">
        <f>IF(ISNUMBER(G$213),G201,"")</f>
        <v>26</v>
      </c>
      <c r="AJ201" s="13">
        <f>IF(ISNUMBER(H$213),H201,"")</f>
        <v>27</v>
      </c>
      <c r="AK201" s="13">
        <f>IF(ISNUMBER(I$213),I201,"")</f>
        <v>25.5</v>
      </c>
      <c r="AL201" s="13">
        <f>IF(ISNUMBER(J$213),J201,"")</f>
        <v>26.5</v>
      </c>
      <c r="AM201" s="13">
        <f>IF(ISNUMBER(K$213),K201,"")</f>
        <v>27.5</v>
      </c>
      <c r="AN201" s="13">
        <f>IF(ISNUMBER(L$213),L201,"")</f>
        <v>25.75</v>
      </c>
      <c r="AO201" s="13">
        <f>IF(ISNUMBER(M$213),M201,"")</f>
        <v>26.75</v>
      </c>
      <c r="AP201" s="13">
        <f>IF(ISNUMBER(N$213),N201,"")</f>
        <v>25.25</v>
      </c>
      <c r="AQ201" s="13">
        <f>IF(C201="Ручная",O201,0)</f>
        <v>25</v>
      </c>
    </row>
    <row r="202" spans="1:43" ht="40" customHeight="1">
      <c r="A202" s="5">
        <v>2</v>
      </c>
      <c r="B202" s="5" t="s">
        <v>185</v>
      </c>
      <c r="C202" s="11" t="s">
        <v>183</v>
      </c>
      <c r="D202" s="7" t="s">
        <v>186</v>
      </c>
      <c r="E202" s="12">
        <v>48.6</v>
      </c>
      <c r="F202" s="12">
        <v>45.9</v>
      </c>
      <c r="G202" s="12">
        <v>47.7</v>
      </c>
      <c r="H202" s="12">
        <v>49.5</v>
      </c>
      <c r="I202" s="12">
        <v>46.35</v>
      </c>
      <c r="J202" s="12">
        <v>48.15</v>
      </c>
      <c r="K202" s="12">
        <v>45.45</v>
      </c>
      <c r="L202" s="12">
        <v>47.25</v>
      </c>
      <c r="M202" s="12">
        <v>45</v>
      </c>
      <c r="N202" s="12">
        <v>46.8</v>
      </c>
      <c r="O202" s="13">
        <f>IF(COUNT(AG202:AP202)&gt;0,MIN(AG202:AP202),"")</f>
        <v>45</v>
      </c>
      <c r="P202" s="13">
        <f>IF(COUNT(AG202:AP202)&gt;0,MAX(AG202:AP202),"")</f>
        <v>49.5</v>
      </c>
      <c r="Q202" s="13">
        <f>IF(ISNUMBER(O202),P202-O202,"")</f>
        <v>4.5</v>
      </c>
      <c r="R202" s="13">
        <f>IF(ISNUMBER(O202),IF(C202="Ручная",IF($S$213&gt;0,$R$213*Q202/$S$213,IF($W$213=2,$R$213,0)),0),"")</f>
        <v>1.58839611178616</v>
      </c>
      <c r="S202" s="13">
        <f>IF(ISNUMBER(O202),O202+R202,"")</f>
        <v>46.5883961117862</v>
      </c>
      <c r="T202" s="13">
        <f>IF(ISNUMBER(S202),P202-S202,"")</f>
        <v>2.91160388821383</v>
      </c>
      <c r="U202" s="13">
        <f>IF(COUNT(AG202:AP202)&gt;0,AVERAGE(AG202:AP202),"")</f>
        <v>47.07</v>
      </c>
      <c r="AG202" s="13">
        <f>IF(ISNUMBER(E$213),E202,"")</f>
        <v>48.6</v>
      </c>
      <c r="AH202" s="13">
        <f>IF(ISNUMBER(F$213),F202,"")</f>
        <v>45.9</v>
      </c>
      <c r="AI202" s="13">
        <f>IF(ISNUMBER(G$213),G202,"")</f>
        <v>47.7</v>
      </c>
      <c r="AJ202" s="13">
        <f>IF(ISNUMBER(H$213),H202,"")</f>
        <v>49.5</v>
      </c>
      <c r="AK202" s="13">
        <f>IF(ISNUMBER(I$213),I202,"")</f>
        <v>46.35</v>
      </c>
      <c r="AL202" s="13">
        <f>IF(ISNUMBER(J$213),J202,"")</f>
        <v>48.15</v>
      </c>
      <c r="AM202" s="13">
        <f>IF(ISNUMBER(K$213),K202,"")</f>
        <v>45.45</v>
      </c>
      <c r="AN202" s="13">
        <f>IF(ISNUMBER(L$213),L202,"")</f>
        <v>47.25</v>
      </c>
      <c r="AO202" s="13">
        <f>IF(ISNUMBER(M$213),M202,"")</f>
        <v>45</v>
      </c>
      <c r="AP202" s="13">
        <f>IF(ISNUMBER(N$213),N202,"")</f>
        <v>46.8</v>
      </c>
      <c r="AQ202" s="13">
        <f>IF(C202="Ручная",O202,0)</f>
        <v>45</v>
      </c>
    </row>
    <row r="203" spans="1:43" ht="40" customHeight="1">
      <c r="A203" s="5">
        <v>3</v>
      </c>
      <c r="B203" s="5" t="s">
        <v>187</v>
      </c>
      <c r="C203" s="11" t="s">
        <v>183</v>
      </c>
      <c r="D203" s="7" t="s">
        <v>188</v>
      </c>
      <c r="E203" s="12">
        <v>21.78</v>
      </c>
      <c r="F203" s="12">
        <v>20.39</v>
      </c>
      <c r="G203" s="12">
        <v>21.19</v>
      </c>
      <c r="H203" s="12">
        <v>20</v>
      </c>
      <c r="I203" s="12">
        <v>20.79</v>
      </c>
      <c r="J203" s="12">
        <v>19.8</v>
      </c>
      <c r="K203" s="12">
        <v>20.59</v>
      </c>
      <c r="L203" s="12">
        <v>21.38</v>
      </c>
      <c r="M203" s="12">
        <v>20.2</v>
      </c>
      <c r="N203" s="12">
        <v>20.99</v>
      </c>
      <c r="O203" s="13">
        <f>IF(COUNT(AG203:AP203)&gt;0,MIN(AG203:AP203),"")</f>
        <v>19.8</v>
      </c>
      <c r="P203" s="13">
        <f>IF(COUNT(AG203:AP203)&gt;0,MAX(AG203:AP203),"")</f>
        <v>21.78</v>
      </c>
      <c r="Q203" s="13">
        <f>IF(ISNUMBER(O203),P203-O203,"")</f>
        <v>1.98</v>
      </c>
      <c r="R203" s="13">
        <f>IF(ISNUMBER(O203),IF(C203="Ручная",IF($S$213&gt;0,$R$213*Q203/$S$213,IF($W$213=3,$R$213,0)),0),"")</f>
        <v>0.698894289185913</v>
      </c>
      <c r="S203" s="13">
        <f>IF(ISNUMBER(O203),O203+R203,"")</f>
        <v>20.4988942891859</v>
      </c>
      <c r="T203" s="13">
        <f>IF(ISNUMBER(S203),P203-S203,"")</f>
        <v>1.28110571081409</v>
      </c>
      <c r="U203" s="13">
        <f>IF(COUNT(AG203:AP203)&gt;0,AVERAGE(AG203:AP203),"")</f>
        <v>20.711</v>
      </c>
      <c r="AG203" s="13">
        <f>IF(ISNUMBER(E$213),E203,"")</f>
        <v>21.78</v>
      </c>
      <c r="AH203" s="13">
        <f>IF(ISNUMBER(F$213),F203,"")</f>
        <v>20.39</v>
      </c>
      <c r="AI203" s="13">
        <f>IF(ISNUMBER(G$213),G203,"")</f>
        <v>21.19</v>
      </c>
      <c r="AJ203" s="13">
        <f>IF(ISNUMBER(H$213),H203,"")</f>
        <v>20</v>
      </c>
      <c r="AK203" s="13">
        <f>IF(ISNUMBER(I$213),I203,"")</f>
        <v>20.79</v>
      </c>
      <c r="AL203" s="13">
        <f>IF(ISNUMBER(J$213),J203,"")</f>
        <v>19.8</v>
      </c>
      <c r="AM203" s="13">
        <f>IF(ISNUMBER(K$213),K203,"")</f>
        <v>20.59</v>
      </c>
      <c r="AN203" s="13">
        <f>IF(ISNUMBER(L$213),L203,"")</f>
        <v>21.38</v>
      </c>
      <c r="AO203" s="13">
        <f>IF(ISNUMBER(M$213),M203,"")</f>
        <v>20.2</v>
      </c>
      <c r="AP203" s="13">
        <f>IF(ISNUMBER(N$213),N203,"")</f>
        <v>20.99</v>
      </c>
      <c r="AQ203" s="13">
        <f>IF(C203="Ручная",O203,0)</f>
        <v>19.8</v>
      </c>
    </row>
    <row r="204" spans="1:43" ht="40" customHeight="1">
      <c r="A204" s="5" t="s">
        <v>189</v>
      </c>
      <c r="B204" s="5" t="s">
        <v>190</v>
      </c>
      <c r="C204" s="11" t="s">
        <v>191</v>
      </c>
      <c r="D204" s="7" t="s">
        <v>192</v>
      </c>
      <c r="E204" s="12">
        <v>6.06</v>
      </c>
      <c r="F204" s="12">
        <v>6.3</v>
      </c>
      <c r="G204" s="12">
        <v>6</v>
      </c>
      <c r="H204" s="12">
        <v>6.24</v>
      </c>
      <c r="I204" s="12">
        <v>6.48</v>
      </c>
      <c r="J204" s="12">
        <v>6.12</v>
      </c>
      <c r="K204" s="12">
        <v>6.36</v>
      </c>
      <c r="L204" s="12">
        <v>6.6</v>
      </c>
      <c r="M204" s="12">
        <v>6.18</v>
      </c>
      <c r="N204" s="12">
        <v>6.42</v>
      </c>
      <c r="O204" s="13">
        <f>IF(COUNT(AG204:AP204)&gt;0,MIN(AG204:AP204),"")</f>
        <v>6</v>
      </c>
      <c r="P204" s="13">
        <f>IF(COUNT(AG204:AP204)&gt;0,MAX(AG204:AP204),"")</f>
        <v>6.6</v>
      </c>
      <c r="Q204" s="13">
        <f>IF(ISNUMBER(O204),P204-O204,"")</f>
        <v>0.6</v>
      </c>
      <c r="R204" s="13">
        <f>IF(ISNUMBER(O204),IF(C204="Ручная",IF($S$213&gt;0,$R$213*Q204/$S$213,IF($W$213=4,$R$213,0)),0),"")</f>
        <v>0</v>
      </c>
      <c r="S204" s="13">
        <f>IF(ISNUMBER(O204),O204+R204,"")</f>
        <v>6</v>
      </c>
      <c r="T204" s="13">
        <f>IF(ISNUMBER(S204),P204-S204,"")</f>
        <v>0.6</v>
      </c>
      <c r="U204" s="13">
        <f>IF(COUNT(AG204:AP204)&gt;0,AVERAGE(AG204:AP204),"")</f>
        <v>6.276</v>
      </c>
      <c r="AG204" s="13">
        <f>IF(ISNUMBER(E$213),E204,"")</f>
        <v>6.06</v>
      </c>
      <c r="AH204" s="13">
        <f>IF(ISNUMBER(F$213),F204,"")</f>
        <v>6.3</v>
      </c>
      <c r="AI204" s="13">
        <f>IF(ISNUMBER(G$213),G204,"")</f>
        <v>6</v>
      </c>
      <c r="AJ204" s="13">
        <f>IF(ISNUMBER(H$213),H204,"")</f>
        <v>6.24</v>
      </c>
      <c r="AK204" s="13">
        <f>IF(ISNUMBER(I$213),I204,"")</f>
        <v>6.48</v>
      </c>
      <c r="AL204" s="13">
        <f>IF(ISNUMBER(J$213),J204,"")</f>
        <v>6.12</v>
      </c>
      <c r="AM204" s="13">
        <f>IF(ISNUMBER(K$213),K204,"")</f>
        <v>6.36</v>
      </c>
      <c r="AN204" s="13">
        <f>IF(ISNUMBER(L$213),L204,"")</f>
        <v>6.6</v>
      </c>
      <c r="AO204" s="13">
        <f>IF(ISNUMBER(M$213),M204,"")</f>
        <v>6.18</v>
      </c>
      <c r="AP204" s="13">
        <f>IF(ISNUMBER(N$213),N204,"")</f>
        <v>6.42</v>
      </c>
      <c r="AQ204" s="13">
        <f>IF(C204="Ручная",O204,0)</f>
        <v>0</v>
      </c>
    </row>
    <row r="205" spans="1:43" ht="40" customHeight="1">
      <c r="A205" s="5">
        <v>5</v>
      </c>
      <c r="B205" s="5" t="s">
        <v>193</v>
      </c>
      <c r="C205" s="11" t="s">
        <v>183</v>
      </c>
      <c r="D205" s="7" t="s">
        <v>194</v>
      </c>
      <c r="E205" s="12">
        <v>30.94</v>
      </c>
      <c r="F205" s="12">
        <v>32.13</v>
      </c>
      <c r="G205" s="12">
        <v>30.34</v>
      </c>
      <c r="H205" s="12">
        <v>31.54</v>
      </c>
      <c r="I205" s="12">
        <v>32.73</v>
      </c>
      <c r="J205" s="12">
        <v>30.64</v>
      </c>
      <c r="K205" s="12">
        <v>31.83</v>
      </c>
      <c r="L205" s="12">
        <v>30.05</v>
      </c>
      <c r="M205" s="12">
        <v>31.24</v>
      </c>
      <c r="N205" s="12">
        <v>29.75</v>
      </c>
      <c r="O205" s="13">
        <f>IF(COUNT(AG205:AP205)&gt;0,MIN(AG205:AP205),"")</f>
        <v>29.75</v>
      </c>
      <c r="P205" s="13">
        <f>IF(COUNT(AG205:AP205)&gt;0,MAX(AG205:AP205),"")</f>
        <v>32.73</v>
      </c>
      <c r="Q205" s="13">
        <f>IF(ISNUMBER(O205),P205-O205,"")</f>
        <v>2.98</v>
      </c>
      <c r="R205" s="13">
        <f>IF(ISNUMBER(O205),IF(C205="Ручная",IF($S$213&gt;0,$R$213*Q205/$S$213,IF($W$213=5,$R$213,0)),0),"")</f>
        <v>1.05187120291617</v>
      </c>
      <c r="S205" s="13">
        <f>IF(ISNUMBER(O205),O205+R205,"")</f>
        <v>30.8018712029162</v>
      </c>
      <c r="T205" s="13">
        <f>IF(ISNUMBER(S205),P205-S205,"")</f>
        <v>1.92812879708383</v>
      </c>
      <c r="U205" s="13">
        <f>IF(COUNT(AG205:AP205)&gt;0,AVERAGE(AG205:AP205),"")</f>
        <v>31.119</v>
      </c>
      <c r="AG205" s="13">
        <f>IF(ISNUMBER(E$213),E205,"")</f>
        <v>30.94</v>
      </c>
      <c r="AH205" s="13">
        <f>IF(ISNUMBER(F$213),F205,"")</f>
        <v>32.13</v>
      </c>
      <c r="AI205" s="13">
        <f>IF(ISNUMBER(G$213),G205,"")</f>
        <v>30.34</v>
      </c>
      <c r="AJ205" s="13">
        <f>IF(ISNUMBER(H$213),H205,"")</f>
        <v>31.54</v>
      </c>
      <c r="AK205" s="13">
        <f>IF(ISNUMBER(I$213),I205,"")</f>
        <v>32.73</v>
      </c>
      <c r="AL205" s="13">
        <f>IF(ISNUMBER(J$213),J205,"")</f>
        <v>30.64</v>
      </c>
      <c r="AM205" s="13">
        <f>IF(ISNUMBER(K$213),K205,"")</f>
        <v>31.83</v>
      </c>
      <c r="AN205" s="13">
        <f>IF(ISNUMBER(L$213),L205,"")</f>
        <v>30.05</v>
      </c>
      <c r="AO205" s="13">
        <f>IF(ISNUMBER(M$213),M205,"")</f>
        <v>31.24</v>
      </c>
      <c r="AP205" s="13">
        <f>IF(ISNUMBER(N$213),N205,"")</f>
        <v>29.75</v>
      </c>
      <c r="AQ205" s="13">
        <f>IF(C205="Ручная",O205,0)</f>
        <v>29.75</v>
      </c>
    </row>
    <row r="206" spans="1:43" ht="40" customHeight="1">
      <c r="A206" s="5" t="s">
        <v>189</v>
      </c>
      <c r="B206" s="5" t="s">
        <v>195</v>
      </c>
      <c r="C206" s="11" t="s">
        <v>196</v>
      </c>
      <c r="D206" s="7" t="s">
        <v>197</v>
      </c>
      <c r="E206" s="18">
        <f>'Ассортимент'!R17</f>
        <v>300</v>
      </c>
      <c r="F206" s="18">
        <f>'Ассортимент'!R17</f>
        <v>300</v>
      </c>
      <c r="G206" s="18">
        <f>'Ассортимент'!R17</f>
        <v>300</v>
      </c>
      <c r="H206" s="18">
        <f>'Ассортимент'!R17</f>
        <v>300</v>
      </c>
      <c r="I206" s="18">
        <f>'Ассортимент'!R17</f>
        <v>300</v>
      </c>
      <c r="J206" s="18">
        <f>'Ассортимент'!R17</f>
        <v>300</v>
      </c>
      <c r="K206" s="18">
        <f>'Ассортимент'!R17</f>
        <v>300</v>
      </c>
      <c r="L206" s="18">
        <f>'Ассортимент'!R17</f>
        <v>300</v>
      </c>
      <c r="M206" s="18">
        <f>'Ассортимент'!R17</f>
        <v>300</v>
      </c>
      <c r="N206" s="18">
        <f>'Ассортимент'!R17</f>
        <v>300</v>
      </c>
      <c r="O206" s="13">
        <f>IF(COUNT(AG206:AP206)&gt;0,MIN(AG206:AP206),"")</f>
        <v>300</v>
      </c>
      <c r="P206" s="13">
        <f>IF(COUNT(AG206:AP206)&gt;0,MAX(AG206:AP206),"")</f>
        <v>300</v>
      </c>
      <c r="Q206" s="13">
        <f>IF(ISNUMBER(O206),P206-O206,"")</f>
        <v>0</v>
      </c>
      <c r="R206" s="13">
        <f>IF(ISNUMBER(O206),IF(C206="Ручная",IF($S$213&gt;0,$R$213*Q206/$S$213,IF($W$213=6,$R$213,0)),0),"")</f>
        <v>0</v>
      </c>
      <c r="S206" s="13">
        <f>IF(ISNUMBER(O206),O206+R206,"")</f>
        <v>300</v>
      </c>
      <c r="T206" s="13">
        <f>IF(ISNUMBER(S206),P206-S206,"")</f>
        <v>0</v>
      </c>
      <c r="U206" s="13">
        <f>IF(COUNT(AG206:AP206)&gt;0,AVERAGE(AG206:AP206),"")</f>
        <v>300</v>
      </c>
      <c r="AG206" s="13">
        <f>IF(ISNUMBER(E$213),E206,"")</f>
        <v>300</v>
      </c>
      <c r="AH206" s="13">
        <f>IF(ISNUMBER(F$213),F206,"")</f>
        <v>300</v>
      </c>
      <c r="AI206" s="13">
        <f>IF(ISNUMBER(G$213),G206,"")</f>
        <v>300</v>
      </c>
      <c r="AJ206" s="13">
        <f>IF(ISNUMBER(H$213),H206,"")</f>
        <v>300</v>
      </c>
      <c r="AK206" s="13">
        <f>IF(ISNUMBER(I$213),I206,"")</f>
        <v>300</v>
      </c>
      <c r="AL206" s="13">
        <f>IF(ISNUMBER(J$213),J206,"")</f>
        <v>300</v>
      </c>
      <c r="AM206" s="13">
        <f>IF(ISNUMBER(K$213),K206,"")</f>
        <v>300</v>
      </c>
      <c r="AN206" s="13">
        <f>IF(ISNUMBER(L$213),L206,"")</f>
        <v>300</v>
      </c>
      <c r="AO206" s="13">
        <f>IF(ISNUMBER(M$213),M206,"")</f>
        <v>300</v>
      </c>
      <c r="AP206" s="13">
        <f>IF(ISNUMBER(N$213),N206,"")</f>
        <v>300</v>
      </c>
      <c r="AQ206" s="13">
        <f>IF(C206="Ручная",O206,0)</f>
        <v>0</v>
      </c>
    </row>
    <row r="207" spans="1:43" ht="40" customHeight="1">
      <c r="A207" s="5">
        <v>7</v>
      </c>
      <c r="B207" s="5" t="s">
        <v>198</v>
      </c>
      <c r="C207" s="11" t="s">
        <v>183</v>
      </c>
      <c r="D207" s="7" t="s">
        <v>199</v>
      </c>
      <c r="E207" s="12">
        <v>28.89</v>
      </c>
      <c r="F207" s="12">
        <v>27.27</v>
      </c>
      <c r="G207" s="12">
        <v>28.35</v>
      </c>
      <c r="H207" s="12">
        <v>27</v>
      </c>
      <c r="I207" s="12">
        <v>28.08</v>
      </c>
      <c r="J207" s="12">
        <v>29.16</v>
      </c>
      <c r="K207" s="12">
        <v>27.54</v>
      </c>
      <c r="L207" s="12">
        <v>28.62</v>
      </c>
      <c r="M207" s="12">
        <v>29.7</v>
      </c>
      <c r="N207" s="12">
        <v>27.81</v>
      </c>
      <c r="O207" s="13">
        <f>IF(COUNT(AG207:AP207)&gt;0,MIN(AG207:AP207),"")</f>
        <v>27</v>
      </c>
      <c r="P207" s="13">
        <f>IF(COUNT(AG207:AP207)&gt;0,MAX(AG207:AP207),"")</f>
        <v>29.7</v>
      </c>
      <c r="Q207" s="13">
        <f>IF(ISNUMBER(O207),P207-O207,"")</f>
        <v>2.7</v>
      </c>
      <c r="R207" s="13">
        <f>IF(ISNUMBER(O207),IF(C207="Ручная",IF($S$213&gt;0,$R$213*Q207/$S$213,IF($W$213=7,$R$213,0)),0),"")</f>
        <v>0.953037667071699</v>
      </c>
      <c r="S207" s="13">
        <f>IF(ISNUMBER(O207),O207+R207,"")</f>
        <v>27.9530376670717</v>
      </c>
      <c r="T207" s="13">
        <f>IF(ISNUMBER(S207),P207-S207,"")</f>
        <v>1.7469623329283</v>
      </c>
      <c r="U207" s="13">
        <f>IF(COUNT(AG207:AP207)&gt;0,AVERAGE(AG207:AP207),"")</f>
        <v>28.242</v>
      </c>
      <c r="AG207" s="13">
        <f>IF(ISNUMBER(E$213),E207,"")</f>
        <v>28.89</v>
      </c>
      <c r="AH207" s="13">
        <f>IF(ISNUMBER(F$213),F207,"")</f>
        <v>27.27</v>
      </c>
      <c r="AI207" s="13">
        <f>IF(ISNUMBER(G$213),G207,"")</f>
        <v>28.35</v>
      </c>
      <c r="AJ207" s="13">
        <f>IF(ISNUMBER(H$213),H207,"")</f>
        <v>27</v>
      </c>
      <c r="AK207" s="13">
        <f>IF(ISNUMBER(I$213),I207,"")</f>
        <v>28.08</v>
      </c>
      <c r="AL207" s="13">
        <f>IF(ISNUMBER(J$213),J207,"")</f>
        <v>29.16</v>
      </c>
      <c r="AM207" s="13">
        <f>IF(ISNUMBER(K$213),K207,"")</f>
        <v>27.54</v>
      </c>
      <c r="AN207" s="13">
        <f>IF(ISNUMBER(L$213),L207,"")</f>
        <v>28.62</v>
      </c>
      <c r="AO207" s="13">
        <f>IF(ISNUMBER(M$213),M207,"")</f>
        <v>29.7</v>
      </c>
      <c r="AP207" s="13">
        <f>IF(ISNUMBER(N$213),N207,"")</f>
        <v>27.81</v>
      </c>
      <c r="AQ207" s="13">
        <f>IF(C207="Ручная",O207,0)</f>
        <v>27</v>
      </c>
    </row>
    <row r="208" spans="1:43" ht="40" customHeight="1">
      <c r="A208" s="5">
        <v>8</v>
      </c>
      <c r="B208" s="5" t="s">
        <v>200</v>
      </c>
      <c r="C208" s="11" t="s">
        <v>183</v>
      </c>
      <c r="D208" s="7" t="s">
        <v>201</v>
      </c>
      <c r="E208" s="12">
        <v>18</v>
      </c>
      <c r="F208" s="12">
        <v>18.72</v>
      </c>
      <c r="G208" s="12">
        <v>19.44</v>
      </c>
      <c r="H208" s="12">
        <v>18.36</v>
      </c>
      <c r="I208" s="12">
        <v>19.08</v>
      </c>
      <c r="J208" s="12">
        <v>19.8</v>
      </c>
      <c r="K208" s="12">
        <v>18.54</v>
      </c>
      <c r="L208" s="12">
        <v>19.26</v>
      </c>
      <c r="M208" s="12">
        <v>18.18</v>
      </c>
      <c r="N208" s="12">
        <v>18.9</v>
      </c>
      <c r="O208" s="13">
        <f>IF(COUNT(AG208:AP208)&gt;0,MIN(AG208:AP208),"")</f>
        <v>18</v>
      </c>
      <c r="P208" s="13">
        <f>IF(COUNT(AG208:AP208)&gt;0,MAX(AG208:AP208),"")</f>
        <v>19.8</v>
      </c>
      <c r="Q208" s="13">
        <f>IF(ISNUMBER(O208),P208-O208,"")</f>
        <v>1.8</v>
      </c>
      <c r="R208" s="13">
        <f>IF(ISNUMBER(O208),IF(C208="Ручная",IF($S$213&gt;0,$R$213*Q208/$S$213,IF($W$213=8,$R$213,0)),0),"")</f>
        <v>0.635358444714466</v>
      </c>
      <c r="S208" s="13">
        <f>IF(ISNUMBER(O208),O208+R208,"")</f>
        <v>18.6353584447145</v>
      </c>
      <c r="T208" s="13">
        <f>IF(ISNUMBER(S208),P208-S208,"")</f>
        <v>1.16464155528553</v>
      </c>
      <c r="U208" s="13">
        <f>IF(COUNT(AG208:AP208)&gt;0,AVERAGE(AG208:AP208),"")</f>
        <v>18.828</v>
      </c>
      <c r="AG208" s="13">
        <f>IF(ISNUMBER(E$213),E208,"")</f>
        <v>18</v>
      </c>
      <c r="AH208" s="13">
        <f>IF(ISNUMBER(F$213),F208,"")</f>
        <v>18.72</v>
      </c>
      <c r="AI208" s="13">
        <f>IF(ISNUMBER(G$213),G208,"")</f>
        <v>19.44</v>
      </c>
      <c r="AJ208" s="13">
        <f>IF(ISNUMBER(H$213),H208,"")</f>
        <v>18.36</v>
      </c>
      <c r="AK208" s="13">
        <f>IF(ISNUMBER(I$213),I208,"")</f>
        <v>19.08</v>
      </c>
      <c r="AL208" s="13">
        <f>IF(ISNUMBER(J$213),J208,"")</f>
        <v>19.8</v>
      </c>
      <c r="AM208" s="13">
        <f>IF(ISNUMBER(K$213),K208,"")</f>
        <v>18.54</v>
      </c>
      <c r="AN208" s="13">
        <f>IF(ISNUMBER(L$213),L208,"")</f>
        <v>19.26</v>
      </c>
      <c r="AO208" s="13">
        <f>IF(ISNUMBER(M$213),M208,"")</f>
        <v>18.18</v>
      </c>
      <c r="AP208" s="13">
        <f>IF(ISNUMBER(N$213),N208,"")</f>
        <v>18.9</v>
      </c>
      <c r="AQ208" s="13">
        <f>IF(C208="Ручная",O208,0)</f>
        <v>18</v>
      </c>
    </row>
    <row r="209" spans="1:43" ht="40" customHeight="1">
      <c r="A209" s="5" t="s">
        <v>189</v>
      </c>
      <c r="B209" s="5" t="s">
        <v>202</v>
      </c>
      <c r="C209" s="11" t="s">
        <v>191</v>
      </c>
      <c r="D209" s="7" t="s">
        <v>203</v>
      </c>
      <c r="E209" s="12">
        <v>5.1</v>
      </c>
      <c r="F209" s="12">
        <v>5.3</v>
      </c>
      <c r="G209" s="12">
        <v>5.5</v>
      </c>
      <c r="H209" s="12">
        <v>5.15</v>
      </c>
      <c r="I209" s="12">
        <v>5.35</v>
      </c>
      <c r="J209" s="12">
        <v>5.05</v>
      </c>
      <c r="K209" s="12">
        <v>5.25</v>
      </c>
      <c r="L209" s="12">
        <v>5</v>
      </c>
      <c r="M209" s="12">
        <v>5.2</v>
      </c>
      <c r="N209" s="12">
        <v>5.4</v>
      </c>
      <c r="O209" s="13">
        <f>IF(COUNT(AG209:AP209)&gt;0,MIN(AG209:AP209),"")</f>
        <v>5</v>
      </c>
      <c r="P209" s="13">
        <f>IF(COUNT(AG209:AP209)&gt;0,MAX(AG209:AP209),"")</f>
        <v>5.5</v>
      </c>
      <c r="Q209" s="13">
        <f>IF(ISNUMBER(O209),P209-O209,"")</f>
        <v>0.5</v>
      </c>
      <c r="R209" s="13">
        <f>IF(ISNUMBER(O209),IF(C209="Ручная",IF($S$213&gt;0,$R$213*Q209/$S$213,IF($W$213=9,$R$213,0)),0),"")</f>
        <v>0</v>
      </c>
      <c r="S209" s="13">
        <f>IF(ISNUMBER(O209),O209+R209,"")</f>
        <v>5</v>
      </c>
      <c r="T209" s="13">
        <f>IF(ISNUMBER(S209),P209-S209,"")</f>
        <v>0.5</v>
      </c>
      <c r="U209" s="13">
        <f>IF(COUNT(AG209:AP209)&gt;0,AVERAGE(AG209:AP209),"")</f>
        <v>5.23</v>
      </c>
      <c r="AG209" s="13">
        <f>IF(ISNUMBER(E$213),E209,"")</f>
        <v>5.1</v>
      </c>
      <c r="AH209" s="13">
        <f>IF(ISNUMBER(F$213),F209,"")</f>
        <v>5.3</v>
      </c>
      <c r="AI209" s="13">
        <f>IF(ISNUMBER(G$213),G209,"")</f>
        <v>5.5</v>
      </c>
      <c r="AJ209" s="13">
        <f>IF(ISNUMBER(H$213),H209,"")</f>
        <v>5.15</v>
      </c>
      <c r="AK209" s="13">
        <f>IF(ISNUMBER(I$213),I209,"")</f>
        <v>5.35</v>
      </c>
      <c r="AL209" s="13">
        <f>IF(ISNUMBER(J$213),J209,"")</f>
        <v>5.05</v>
      </c>
      <c r="AM209" s="13">
        <f>IF(ISNUMBER(K$213),K209,"")</f>
        <v>5.25</v>
      </c>
      <c r="AN209" s="13">
        <f>IF(ISNUMBER(L$213),L209,"")</f>
        <v>5</v>
      </c>
      <c r="AO209" s="13">
        <f>IF(ISNUMBER(M$213),M209,"")</f>
        <v>5.2</v>
      </c>
      <c r="AP209" s="13">
        <f>IF(ISNUMBER(N$213),N209,"")</f>
        <v>5.4</v>
      </c>
      <c r="AQ209" s="13">
        <f>IF(C209="Ручная",O209,0)</f>
        <v>0</v>
      </c>
    </row>
    <row r="210" spans="1:43" ht="40" customHeight="1">
      <c r="A210" s="5" t="s">
        <v>189</v>
      </c>
      <c r="B210" s="5" t="s">
        <v>204</v>
      </c>
      <c r="C210" s="11" t="s">
        <v>191</v>
      </c>
      <c r="D210" s="7" t="s">
        <v>205</v>
      </c>
      <c r="E210" s="12">
        <v>5.15</v>
      </c>
      <c r="F210" s="12">
        <v>5.35</v>
      </c>
      <c r="G210" s="12">
        <v>5.05</v>
      </c>
      <c r="H210" s="12">
        <v>5.25</v>
      </c>
      <c r="I210" s="12">
        <v>5</v>
      </c>
      <c r="J210" s="12">
        <v>5.2</v>
      </c>
      <c r="K210" s="12">
        <v>5.4</v>
      </c>
      <c r="L210" s="12">
        <v>5.1</v>
      </c>
      <c r="M210" s="12">
        <v>5.3</v>
      </c>
      <c r="N210" s="12">
        <v>5.5</v>
      </c>
      <c r="O210" s="13">
        <f>IF(COUNT(AG210:AP210)&gt;0,MIN(AG210:AP210),"")</f>
        <v>5</v>
      </c>
      <c r="P210" s="13">
        <f>IF(COUNT(AG210:AP210)&gt;0,MAX(AG210:AP210),"")</f>
        <v>5.5</v>
      </c>
      <c r="Q210" s="13">
        <f>IF(ISNUMBER(O210),P210-O210,"")</f>
        <v>0.5</v>
      </c>
      <c r="R210" s="13">
        <f>IF(ISNUMBER(O210),IF(C210="Ручная",IF($S$213&gt;0,$R$213*Q210/$S$213,IF($W$213=10,$R$213,0)),0),"")</f>
        <v>0</v>
      </c>
      <c r="S210" s="13">
        <f>IF(ISNUMBER(O210),O210+R210,"")</f>
        <v>5</v>
      </c>
      <c r="T210" s="13">
        <f>IF(ISNUMBER(S210),P210-S210,"")</f>
        <v>0.5</v>
      </c>
      <c r="U210" s="13">
        <f>IF(COUNT(AG210:AP210)&gt;0,AVERAGE(AG210:AP210),"")</f>
        <v>5.23</v>
      </c>
      <c r="AG210" s="13">
        <f>IF(ISNUMBER(E$213),E210,"")</f>
        <v>5.15</v>
      </c>
      <c r="AH210" s="13">
        <f>IF(ISNUMBER(F$213),F210,"")</f>
        <v>5.35</v>
      </c>
      <c r="AI210" s="13">
        <f>IF(ISNUMBER(G$213),G210,"")</f>
        <v>5.05</v>
      </c>
      <c r="AJ210" s="13">
        <f>IF(ISNUMBER(H$213),H210,"")</f>
        <v>5.25</v>
      </c>
      <c r="AK210" s="13">
        <f>IF(ISNUMBER(I$213),I210,"")</f>
        <v>5</v>
      </c>
      <c r="AL210" s="13">
        <f>IF(ISNUMBER(J$213),J210,"")</f>
        <v>5.2</v>
      </c>
      <c r="AM210" s="13">
        <f>IF(ISNUMBER(K$213),K210,"")</f>
        <v>5.4</v>
      </c>
      <c r="AN210" s="13">
        <f>IF(ISNUMBER(L$213),L210,"")</f>
        <v>5.1</v>
      </c>
      <c r="AO210" s="13">
        <f>IF(ISNUMBER(M$213),M210,"")</f>
        <v>5.3</v>
      </c>
      <c r="AP210" s="13">
        <f>IF(ISNUMBER(N$213),N210,"")</f>
        <v>5.5</v>
      </c>
      <c r="AQ210" s="13">
        <f>IF(C210="Ручная",O210,0)</f>
        <v>0</v>
      </c>
    </row>
    <row r="211" spans="1:43" ht="40" customHeight="1">
      <c r="A211" s="5" t="s">
        <v>189</v>
      </c>
      <c r="B211" s="5" t="s">
        <v>206</v>
      </c>
      <c r="C211" s="11" t="s">
        <v>207</v>
      </c>
      <c r="D211" s="7" t="s">
        <v>208</v>
      </c>
      <c r="E211" s="12">
        <v>0</v>
      </c>
      <c r="F211" s="12">
        <v>0</v>
      </c>
      <c r="G211" s="12">
        <v>0</v>
      </c>
      <c r="H211" s="12">
        <v>0</v>
      </c>
      <c r="I211" s="12">
        <v>0</v>
      </c>
      <c r="J211" s="12">
        <v>0</v>
      </c>
      <c r="K211" s="12">
        <v>0</v>
      </c>
      <c r="L211" s="12">
        <v>0</v>
      </c>
      <c r="M211" s="12">
        <v>0</v>
      </c>
      <c r="N211" s="12">
        <v>0</v>
      </c>
      <c r="O211" s="13">
        <f>IF(COUNT(AG211:AP211)&gt;0,MIN(AG211:AP211),"")</f>
        <v>0</v>
      </c>
      <c r="P211" s="13">
        <f>IF(COUNT(AG211:AP211)&gt;0,MAX(AG211:AP211),"")</f>
        <v>0</v>
      </c>
      <c r="Q211" s="13">
        <f>IF(ISNUMBER(O211),P211-O211,"")</f>
        <v>0</v>
      </c>
      <c r="R211" s="13">
        <f>IF(ISNUMBER(O211),IF(C211="Ручная",IF($S$213&gt;0,$R$213*Q211/$S$213,IF($W$213=11,$R$213,0)),0),"")</f>
        <v>0</v>
      </c>
      <c r="S211" s="13">
        <f>IF(ISNUMBER(O211),O211+R211,"")</f>
        <v>0</v>
      </c>
      <c r="T211" s="13">
        <f>IF(ISNUMBER(S211),P211-S211,"")</f>
        <v>0</v>
      </c>
      <c r="U211" s="13">
        <f>IF(COUNT(AG211:AP211)&gt;0,AVERAGE(AG211:AP211),"")</f>
        <v>0</v>
      </c>
      <c r="AG211" s="13">
        <f>IF(ISNUMBER(E$213),E211,"")</f>
        <v>0</v>
      </c>
      <c r="AH211" s="13">
        <f>IF(ISNUMBER(F$213),F211,"")</f>
        <v>0</v>
      </c>
      <c r="AI211" s="13">
        <f>IF(ISNUMBER(G$213),G211,"")</f>
        <v>0</v>
      </c>
      <c r="AJ211" s="13">
        <f>IF(ISNUMBER(H$213),H211,"")</f>
        <v>0</v>
      </c>
      <c r="AK211" s="13">
        <f>IF(ISNUMBER(I$213),I211,"")</f>
        <v>0</v>
      </c>
      <c r="AL211" s="13">
        <f>IF(ISNUMBER(J$213),J211,"")</f>
        <v>0</v>
      </c>
      <c r="AM211" s="13">
        <f>IF(ISNUMBER(K$213),K211,"")</f>
        <v>0</v>
      </c>
      <c r="AN211" s="13">
        <f>IF(ISNUMBER(L$213),L211,"")</f>
        <v>0</v>
      </c>
      <c r="AO211" s="13">
        <f>IF(ISNUMBER(M$213),M211,"")</f>
        <v>0</v>
      </c>
      <c r="AP211" s="13">
        <f>IF(ISNUMBER(N$213),N211,"")</f>
        <v>0</v>
      </c>
      <c r="AQ211" s="13">
        <f>IF(C211="Ручная",O211,0)</f>
        <v>0</v>
      </c>
    </row>
    <row r="212" spans="1:43" ht="23" customHeight="1">
      <c r="B212" s="4" t="s">
        <v>209</v>
      </c>
      <c r="E212" s="6">
        <f>IF(COUNT(E201:E211)=11,SUM(E201:E211),"")</f>
        <v>490.77</v>
      </c>
      <c r="F212" s="6">
        <f>IF(COUNT(F201:F211)=11,SUM(F201:F211),"")</f>
        <v>486.36</v>
      </c>
      <c r="G212" s="6">
        <f>IF(COUNT(G201:G211)=11,SUM(G201:G211),"")</f>
        <v>489.57</v>
      </c>
      <c r="H212" s="6">
        <f>IF(COUNT(H201:H211)=11,SUM(H201:H211),"")</f>
        <v>490.04</v>
      </c>
      <c r="I212" s="6">
        <f>IF(COUNT(I201:I211)=11,SUM(I201:I211),"")</f>
        <v>489.36</v>
      </c>
      <c r="J212" s="6">
        <f>IF(COUNT(J201:J211)=11,SUM(J201:J211),"")</f>
        <v>490.42</v>
      </c>
      <c r="K212" s="6">
        <f>IF(COUNT(K201:K211)=11,SUM(K201:K211),"")</f>
        <v>488.46</v>
      </c>
      <c r="L212" s="6">
        <f>IF(COUNT(L201:L211)=11,SUM(L201:L211),"")</f>
        <v>489.01</v>
      </c>
      <c r="M212" s="6">
        <f>IF(COUNT(M201:M211)=11,SUM(M201:M211),"")</f>
        <v>487.75</v>
      </c>
      <c r="N212" s="6">
        <f>IF(COUNT(N201:N211)=11,SUM(N201:N211),"")</f>
        <v>486.82</v>
      </c>
      <c r="O212" s="6">
        <f>IF(COUNT(O201:O211)=11,SUM(O201:O211),"")</f>
        <v>480.55</v>
      </c>
      <c r="P212" s="6">
        <f>IF(COUNT(P201:P211)=11,SUM(P201:P211),"")</f>
        <v>498.61</v>
      </c>
      <c r="Q212" s="6">
        <f>IF(COUNT(Q201:Q211)=11,SUM(Q201:Q211),"")</f>
        <v>18.06</v>
      </c>
      <c r="R212" s="6">
        <f>IF(COUNT(R201:R211)=11,SUM(R201:R211),"")</f>
        <v>5.81000000000006</v>
      </c>
      <c r="S212" s="6">
        <f>IF(COUNT(S201:S211)=11,SUM(S201:S211),"")</f>
        <v>486.36</v>
      </c>
      <c r="T212" s="6">
        <f>IF(COUNT(T201:T211)=11,SUM(T201:T211),"")</f>
        <v>12.2499999999999</v>
      </c>
      <c r="U212" s="6">
        <f>IF(COUNT(U201:U211)=11,SUM(U201:U211),"")</f>
        <v>488.856</v>
      </c>
    </row>
    <row r="213" spans="1:43" ht="23" customHeight="1">
      <c r="B213" s="4" t="s">
        <v>210</v>
      </c>
      <c r="E213" s="6">
        <f>IF(AND(E199=1,COUNT(E201:E211)=11,MIN(E201:E211)&gt;=0),E212,"")</f>
        <v>490.77</v>
      </c>
      <c r="F213" s="6">
        <f>IF(AND(F199=1,COUNT(F201:F211)=11,MIN(F201:F211)&gt;=0),F212,"")</f>
        <v>486.36</v>
      </c>
      <c r="G213" s="6">
        <f>IF(AND(G199=1,COUNT(G201:G211)=11,MIN(G201:G211)&gt;=0),G212,"")</f>
        <v>489.57</v>
      </c>
      <c r="H213" s="6">
        <f>IF(AND(H199=1,COUNT(H201:H211)=11,MIN(H201:H211)&gt;=0),H212,"")</f>
        <v>490.04</v>
      </c>
      <c r="I213" s="6">
        <f>IF(AND(I199=1,COUNT(I201:I211)=11,MIN(I201:I211)&gt;=0),I212,"")</f>
        <v>489.36</v>
      </c>
      <c r="J213" s="6">
        <f>IF(AND(J199=1,COUNT(J201:J211)=11,MIN(J201:J211)&gt;=0),J212,"")</f>
        <v>490.42</v>
      </c>
      <c r="K213" s="6">
        <f>IF(AND(K199=1,COUNT(K201:K211)=11,MIN(K201:K211)&gt;=0),K212,"")</f>
        <v>488.46</v>
      </c>
      <c r="L213" s="6">
        <f>IF(AND(L199=1,COUNT(L201:L211)=11,MIN(L201:L211)&gt;=0),L212,"")</f>
        <v>489.01</v>
      </c>
      <c r="M213" s="6">
        <f>IF(AND(M199=1,COUNT(M201:M211)=11,MIN(M201:M211)&gt;=0),M212,"")</f>
        <v>487.75</v>
      </c>
      <c r="N213" s="6">
        <f>IF(AND(N199=1,COUNT(N201:N211)=11,MIN(N201:N211)&gt;=0),N212,"")</f>
        <v>486.82</v>
      </c>
      <c r="O213" s="6">
        <f>IF(COUNT(E213:N213)&gt;0,MIN(E213:N213),"")</f>
        <v>486.36</v>
      </c>
      <c r="P213" s="6">
        <f>IF(COUNT(E213:N213)&gt;0,MAX(E213:N213),"")</f>
        <v>490.77</v>
      </c>
      <c r="Q213" s="6">
        <f>IF(ISNUMBER(O213),P213-O213,"")</f>
        <v>4.40999999999991</v>
      </c>
      <c r="R213" s="6">
        <f>IF(ISNUMBER(O213),MAX(0,O213-O212),"")</f>
        <v>5.81000000000006</v>
      </c>
      <c r="S213" s="6">
        <f>SUMIF(C201:C211,"Ручная",Q201:Q211)</f>
        <v>16.46</v>
      </c>
      <c r="T213" s="6">
        <f>COUNT(E213:N213)</f>
        <v>10</v>
      </c>
      <c r="U213" s="6">
        <f>IF(COUNT(E213:N213)&gt;0,AVERAGE(E213:N213),"")</f>
        <v>488.856</v>
      </c>
      <c r="V213" s="6">
        <f>IF(ISNUMBER(O213),S212-O213,"")</f>
        <v>0</v>
      </c>
      <c r="W213" s="6">
        <f>MATCH(MAX(AQ201:AQ211),AQ201:AQ211,0)</f>
        <v>2</v>
      </c>
      <c r="X213" s="17" t="str">
        <f>IF(T213=0,"НЕТ ЗАМЕРОВ",IF(T213&lt;10,"МЕНЕЕ 10 ЦИКЛОВ",IF(ABS(V213)&lt;0.000001,"ОК","ОШИБКА РЕГУЛИРОВКИ")))</f>
        <v>ОК</v>
      </c>
    </row>
    <row r="214" spans="1:43" ht="23" customHeight="1">
      <c r="A214" s="7" t="s">
        <v>211</v>
      </c>
      <c r="B214" s="7"/>
      <c r="C214" s="7"/>
      <c r="D214" s="7"/>
      <c r="E214" s="7"/>
      <c r="F214" s="7"/>
      <c r="G214" s="7"/>
      <c r="H214" s="7"/>
      <c r="I214" s="7"/>
      <c r="J214" s="7"/>
      <c r="K214" s="7"/>
      <c r="L214" s="7"/>
      <c r="M214" s="7"/>
      <c r="N214" s="7"/>
      <c r="O214" s="7"/>
      <c r="P214" s="7"/>
      <c r="Q214" s="7"/>
      <c r="R214" s="7"/>
      <c r="S214" s="7"/>
      <c r="T214" s="7"/>
      <c r="U214" s="7"/>
      <c r="V214" s="7"/>
      <c r="W214" s="7"/>
      <c r="X214" s="7"/>
    </row>
    <row r="217" spans="1:43" ht="23" customHeight="1">
      <c r="A217" s="4" t="s">
        <v>240</v>
      </c>
      <c r="B217" s="4"/>
      <c r="C217" s="4"/>
      <c r="D217" s="4"/>
      <c r="E217" s="4"/>
      <c r="F217" s="4"/>
      <c r="G217" s="4"/>
      <c r="H217" s="4"/>
      <c r="I217" s="4"/>
      <c r="J217" s="4"/>
      <c r="K217" s="4"/>
      <c r="L217" s="4"/>
      <c r="M217" s="4"/>
      <c r="N217" s="4"/>
      <c r="O217" s="4"/>
      <c r="P217" s="4"/>
      <c r="Q217" s="4"/>
      <c r="R217" s="4"/>
      <c r="S217" s="4"/>
      <c r="T217" s="4"/>
      <c r="U217" s="4"/>
      <c r="V217" s="4"/>
      <c r="W217" s="4"/>
      <c r="X217" s="4"/>
    </row>
    <row r="218" spans="1:43" ht="23" customHeight="1">
      <c r="A218" s="7" t="str">
        <f>"Масса замера, кг: "&amp;'Ассортимент'!J18&amp;". Все замеры одной партии/исполнителя/условий. Основание: "&amp;'Ввод'!B15</f>
        <v>Масса замера, кг: 5. Все замеры одной партии/исполнителя/условий. Основание: ДЕМО: прогноз; улучшения не внедрены</v>
      </c>
      <c r="B218" s="7"/>
      <c r="C218" s="7"/>
      <c r="D218" s="7"/>
      <c r="E218" s="7"/>
      <c r="F218" s="7"/>
      <c r="G218" s="7"/>
      <c r="H218" s="7"/>
      <c r="I218" s="7"/>
      <c r="J218" s="7"/>
      <c r="K218" s="7"/>
      <c r="L218" s="7"/>
      <c r="M218" s="7"/>
      <c r="N218" s="7"/>
      <c r="O218" s="7"/>
      <c r="P218" s="7"/>
      <c r="Q218" s="7"/>
      <c r="R218" s="7"/>
      <c r="S218" s="7"/>
      <c r="T218" s="7"/>
      <c r="U218" s="7"/>
      <c r="V218" s="7"/>
      <c r="W218" s="7"/>
      <c r="X218" s="7"/>
    </row>
    <row r="219" spans="1:43" ht="44" customHeight="1">
      <c r="A219" s="8" t="s">
        <v>113</v>
      </c>
      <c r="B219" s="8" t="s">
        <v>156</v>
      </c>
      <c r="C219" s="8" t="s">
        <v>157</v>
      </c>
      <c r="D219" s="8" t="s">
        <v>158</v>
      </c>
      <c r="E219" s="8" t="s">
        <v>159</v>
      </c>
      <c r="F219" s="8" t="s">
        <v>160</v>
      </c>
      <c r="G219" s="8" t="s">
        <v>161</v>
      </c>
      <c r="H219" s="8" t="s">
        <v>162</v>
      </c>
      <c r="I219" s="8" t="s">
        <v>163</v>
      </c>
      <c r="J219" s="8" t="s">
        <v>164</v>
      </c>
      <c r="K219" s="8" t="s">
        <v>165</v>
      </c>
      <c r="L219" s="8" t="s">
        <v>166</v>
      </c>
      <c r="M219" s="8" t="s">
        <v>167</v>
      </c>
      <c r="N219" s="8" t="s">
        <v>168</v>
      </c>
      <c r="O219" s="8" t="s">
        <v>169</v>
      </c>
      <c r="P219" s="8" t="s">
        <v>170</v>
      </c>
      <c r="Q219" s="8" t="s">
        <v>171</v>
      </c>
      <c r="R219" s="8" t="s">
        <v>172</v>
      </c>
      <c r="S219" s="8" t="s">
        <v>173</v>
      </c>
      <c r="T219" s="8" t="s">
        <v>174</v>
      </c>
      <c r="U219" s="8" t="s">
        <v>175</v>
      </c>
      <c r="V219" s="8" t="s">
        <v>176</v>
      </c>
      <c r="W219" s="8" t="s">
        <v>177</v>
      </c>
      <c r="X219" s="8" t="s">
        <v>178</v>
      </c>
    </row>
    <row r="220" spans="1:43" ht="23" customHeight="1">
      <c r="B220" s="5" t="s">
        <v>179</v>
      </c>
      <c r="E220" s="12">
        <v>1</v>
      </c>
      <c r="F220" s="12">
        <v>1</v>
      </c>
      <c r="G220" s="12">
        <v>1</v>
      </c>
      <c r="H220" s="12">
        <v>1</v>
      </c>
      <c r="I220" s="12">
        <v>1</v>
      </c>
      <c r="J220" s="12">
        <v>1</v>
      </c>
      <c r="K220" s="12">
        <v>1</v>
      </c>
      <c r="L220" s="12">
        <v>1</v>
      </c>
      <c r="M220" s="12">
        <v>1</v>
      </c>
      <c r="N220" s="12">
        <v>1</v>
      </c>
    </row>
    <row r="221" spans="1:43" ht="33" customHeight="1">
      <c r="B221" s="5" t="s">
        <v>180</v>
      </c>
      <c r="E221" s="9" t="s">
        <v>181</v>
      </c>
      <c r="F221" s="9" t="s">
        <v>181</v>
      </c>
      <c r="G221" s="9" t="s">
        <v>181</v>
      </c>
      <c r="H221" s="9" t="s">
        <v>181</v>
      </c>
      <c r="I221" s="9" t="s">
        <v>181</v>
      </c>
      <c r="J221" s="9" t="s">
        <v>181</v>
      </c>
      <c r="K221" s="9" t="s">
        <v>181</v>
      </c>
      <c r="L221" s="9" t="s">
        <v>181</v>
      </c>
      <c r="M221" s="9" t="s">
        <v>181</v>
      </c>
      <c r="N221" s="9" t="s">
        <v>181</v>
      </c>
    </row>
    <row r="222" spans="1:43" ht="40" customHeight="1">
      <c r="A222" s="5">
        <v>1</v>
      </c>
      <c r="B222" s="5" t="s">
        <v>182</v>
      </c>
      <c r="C222" s="11" t="s">
        <v>183</v>
      </c>
      <c r="D222" s="7" t="s">
        <v>184</v>
      </c>
      <c r="E222" s="12">
        <v>25</v>
      </c>
      <c r="F222" s="12">
        <v>26</v>
      </c>
      <c r="G222" s="12">
        <v>27</v>
      </c>
      <c r="H222" s="12">
        <v>25.5</v>
      </c>
      <c r="I222" s="12">
        <v>26.5</v>
      </c>
      <c r="J222" s="12">
        <v>27.5</v>
      </c>
      <c r="K222" s="12">
        <v>25.75</v>
      </c>
      <c r="L222" s="12">
        <v>26.75</v>
      </c>
      <c r="M222" s="12">
        <v>25.25</v>
      </c>
      <c r="N222" s="12">
        <v>26.25</v>
      </c>
      <c r="O222" s="13">
        <f>IF(COUNT(AG222:AP222)&gt;0,MIN(AG222:AP222),"")</f>
        <v>25</v>
      </c>
      <c r="P222" s="13">
        <f>IF(COUNT(AG222:AP222)&gt;0,MAX(AG222:AP222),"")</f>
        <v>27.5</v>
      </c>
      <c r="Q222" s="13">
        <f>IF(ISNUMBER(O222),P222-O222,"")</f>
        <v>2.5</v>
      </c>
      <c r="R222" s="13">
        <f>IF(ISNUMBER(O222),IF(C222="Ручная",IF($S$234&gt;0,$R$234*Q222/$S$234,IF($W$234=1,$R$234,0)),0),"")</f>
        <v>0.907179818887454</v>
      </c>
      <c r="S222" s="13">
        <f>IF(ISNUMBER(O222),O222+R222,"")</f>
        <v>25.9071798188875</v>
      </c>
      <c r="T222" s="13">
        <f>IF(ISNUMBER(S222),P222-S222,"")</f>
        <v>1.59282018111255</v>
      </c>
      <c r="U222" s="13">
        <f>IF(COUNT(AG222:AP222)&gt;0,AVERAGE(AG222:AP222),"")</f>
        <v>26.15</v>
      </c>
      <c r="AG222" s="13">
        <f>IF(ISNUMBER(E$234),E222,"")</f>
        <v>25</v>
      </c>
      <c r="AH222" s="13">
        <f>IF(ISNUMBER(F$234),F222,"")</f>
        <v>26</v>
      </c>
      <c r="AI222" s="13">
        <f>IF(ISNUMBER(G$234),G222,"")</f>
        <v>27</v>
      </c>
      <c r="AJ222" s="13">
        <f>IF(ISNUMBER(H$234),H222,"")</f>
        <v>25.5</v>
      </c>
      <c r="AK222" s="13">
        <f>IF(ISNUMBER(I$234),I222,"")</f>
        <v>26.5</v>
      </c>
      <c r="AL222" s="13">
        <f>IF(ISNUMBER(J$234),J222,"")</f>
        <v>27.5</v>
      </c>
      <c r="AM222" s="13">
        <f>IF(ISNUMBER(K$234),K222,"")</f>
        <v>25.75</v>
      </c>
      <c r="AN222" s="13">
        <f>IF(ISNUMBER(L$234),L222,"")</f>
        <v>26.75</v>
      </c>
      <c r="AO222" s="13">
        <f>IF(ISNUMBER(M$234),M222,"")</f>
        <v>25.25</v>
      </c>
      <c r="AP222" s="13">
        <f>IF(ISNUMBER(N$234),N222,"")</f>
        <v>26.25</v>
      </c>
      <c r="AQ222" s="13">
        <f>IF(C222="Ручная",O222,0)</f>
        <v>25</v>
      </c>
    </row>
    <row r="223" spans="1:43" ht="40" customHeight="1">
      <c r="A223" s="5">
        <v>2</v>
      </c>
      <c r="B223" s="5" t="s">
        <v>185</v>
      </c>
      <c r="C223" s="11" t="s">
        <v>183</v>
      </c>
      <c r="D223" s="7" t="s">
        <v>186</v>
      </c>
      <c r="E223" s="12">
        <v>35.7</v>
      </c>
      <c r="F223" s="12">
        <v>37.1</v>
      </c>
      <c r="G223" s="12">
        <v>38.5</v>
      </c>
      <c r="H223" s="12">
        <v>36.05</v>
      </c>
      <c r="I223" s="12">
        <v>37.45</v>
      </c>
      <c r="J223" s="12">
        <v>35.35</v>
      </c>
      <c r="K223" s="12">
        <v>36.75</v>
      </c>
      <c r="L223" s="12">
        <v>35</v>
      </c>
      <c r="M223" s="12">
        <v>36.4</v>
      </c>
      <c r="N223" s="12">
        <v>37.8</v>
      </c>
      <c r="O223" s="13">
        <f>IF(COUNT(AG223:AP223)&gt;0,MIN(AG223:AP223),"")</f>
        <v>35</v>
      </c>
      <c r="P223" s="13">
        <f>IF(COUNT(AG223:AP223)&gt;0,MAX(AG223:AP223),"")</f>
        <v>38.5</v>
      </c>
      <c r="Q223" s="13">
        <f>IF(ISNUMBER(O223),P223-O223,"")</f>
        <v>3.5</v>
      </c>
      <c r="R223" s="13">
        <f>IF(ISNUMBER(O223),IF(C223="Ручная",IF($S$234&gt;0,$R$234*Q223/$S$234,IF($W$234=2,$R$234,0)),0),"")</f>
        <v>1.27005174644244</v>
      </c>
      <c r="S223" s="13">
        <f>IF(ISNUMBER(O223),O223+R223,"")</f>
        <v>36.2700517464424</v>
      </c>
      <c r="T223" s="13">
        <f>IF(ISNUMBER(S223),P223-S223,"")</f>
        <v>2.22994825355757</v>
      </c>
      <c r="U223" s="13">
        <f>IF(COUNT(AG223:AP223)&gt;0,AVERAGE(AG223:AP223),"")</f>
        <v>36.61</v>
      </c>
      <c r="AG223" s="13">
        <f>IF(ISNUMBER(E$234),E223,"")</f>
        <v>35.7</v>
      </c>
      <c r="AH223" s="13">
        <f>IF(ISNUMBER(F$234),F223,"")</f>
        <v>37.1</v>
      </c>
      <c r="AI223" s="13">
        <f>IF(ISNUMBER(G$234),G223,"")</f>
        <v>38.5</v>
      </c>
      <c r="AJ223" s="13">
        <f>IF(ISNUMBER(H$234),H223,"")</f>
        <v>36.05</v>
      </c>
      <c r="AK223" s="13">
        <f>IF(ISNUMBER(I$234),I223,"")</f>
        <v>37.45</v>
      </c>
      <c r="AL223" s="13">
        <f>IF(ISNUMBER(J$234),J223,"")</f>
        <v>35.35</v>
      </c>
      <c r="AM223" s="13">
        <f>IF(ISNUMBER(K$234),K223,"")</f>
        <v>36.75</v>
      </c>
      <c r="AN223" s="13">
        <f>IF(ISNUMBER(L$234),L223,"")</f>
        <v>35</v>
      </c>
      <c r="AO223" s="13">
        <f>IF(ISNUMBER(M$234),M223,"")</f>
        <v>36.4</v>
      </c>
      <c r="AP223" s="13">
        <f>IF(ISNUMBER(N$234),N223,"")</f>
        <v>37.8</v>
      </c>
      <c r="AQ223" s="13">
        <f>IF(C223="Ручная",O223,0)</f>
        <v>35</v>
      </c>
    </row>
    <row r="224" spans="1:43" ht="40" customHeight="1">
      <c r="A224" s="5">
        <v>3</v>
      </c>
      <c r="B224" s="5" t="s">
        <v>187</v>
      </c>
      <c r="C224" s="11" t="s">
        <v>183</v>
      </c>
      <c r="D224" s="7" t="s">
        <v>188</v>
      </c>
      <c r="E224" s="12">
        <v>20.39</v>
      </c>
      <c r="F224" s="12">
        <v>21.19</v>
      </c>
      <c r="G224" s="12">
        <v>20</v>
      </c>
      <c r="H224" s="12">
        <v>20.79</v>
      </c>
      <c r="I224" s="12">
        <v>19.8</v>
      </c>
      <c r="J224" s="12">
        <v>20.59</v>
      </c>
      <c r="K224" s="12">
        <v>21.38</v>
      </c>
      <c r="L224" s="12">
        <v>20.2</v>
      </c>
      <c r="M224" s="12">
        <v>20.99</v>
      </c>
      <c r="N224" s="12">
        <v>21.78</v>
      </c>
      <c r="O224" s="13">
        <f>IF(COUNT(AG224:AP224)&gt;0,MIN(AG224:AP224),"")</f>
        <v>19.8</v>
      </c>
      <c r="P224" s="13">
        <f>IF(COUNT(AG224:AP224)&gt;0,MAX(AG224:AP224),"")</f>
        <v>21.78</v>
      </c>
      <c r="Q224" s="13">
        <f>IF(ISNUMBER(O224),P224-O224,"")</f>
        <v>1.98</v>
      </c>
      <c r="R224" s="13">
        <f>IF(ISNUMBER(O224),IF(C224="Ручная",IF($S$234&gt;0,$R$234*Q224/$S$234,IF($W$234=3,$R$234,0)),0),"")</f>
        <v>0.718486416558864</v>
      </c>
      <c r="S224" s="13">
        <f>IF(ISNUMBER(O224),O224+R224,"")</f>
        <v>20.5184864165589</v>
      </c>
      <c r="T224" s="13">
        <f>IF(ISNUMBER(S224),P224-S224,"")</f>
        <v>1.26151358344114</v>
      </c>
      <c r="U224" s="13">
        <f>IF(COUNT(AG224:AP224)&gt;0,AVERAGE(AG224:AP224),"")</f>
        <v>20.711</v>
      </c>
      <c r="AG224" s="13">
        <f>IF(ISNUMBER(E$234),E224,"")</f>
        <v>20.39</v>
      </c>
      <c r="AH224" s="13">
        <f>IF(ISNUMBER(F$234),F224,"")</f>
        <v>21.19</v>
      </c>
      <c r="AI224" s="13">
        <f>IF(ISNUMBER(G$234),G224,"")</f>
        <v>20</v>
      </c>
      <c r="AJ224" s="13">
        <f>IF(ISNUMBER(H$234),H224,"")</f>
        <v>20.79</v>
      </c>
      <c r="AK224" s="13">
        <f>IF(ISNUMBER(I$234),I224,"")</f>
        <v>19.8</v>
      </c>
      <c r="AL224" s="13">
        <f>IF(ISNUMBER(J$234),J224,"")</f>
        <v>20.59</v>
      </c>
      <c r="AM224" s="13">
        <f>IF(ISNUMBER(K$234),K224,"")</f>
        <v>21.38</v>
      </c>
      <c r="AN224" s="13">
        <f>IF(ISNUMBER(L$234),L224,"")</f>
        <v>20.2</v>
      </c>
      <c r="AO224" s="13">
        <f>IF(ISNUMBER(M$234),M224,"")</f>
        <v>20.99</v>
      </c>
      <c r="AP224" s="13">
        <f>IF(ISNUMBER(N$234),N224,"")</f>
        <v>21.78</v>
      </c>
      <c r="AQ224" s="13">
        <f>IF(C224="Ручная",O224,0)</f>
        <v>19.8</v>
      </c>
    </row>
    <row r="225" spans="1:43" ht="40" customHeight="1">
      <c r="A225" s="5" t="s">
        <v>189</v>
      </c>
      <c r="B225" s="5" t="s">
        <v>190</v>
      </c>
      <c r="C225" s="11" t="s">
        <v>191</v>
      </c>
      <c r="D225" s="7" t="s">
        <v>192</v>
      </c>
      <c r="E225" s="12">
        <v>6.3</v>
      </c>
      <c r="F225" s="12">
        <v>6</v>
      </c>
      <c r="G225" s="12">
        <v>6.24</v>
      </c>
      <c r="H225" s="12">
        <v>6.48</v>
      </c>
      <c r="I225" s="12">
        <v>6.12</v>
      </c>
      <c r="J225" s="12">
        <v>6.36</v>
      </c>
      <c r="K225" s="12">
        <v>6.6</v>
      </c>
      <c r="L225" s="12">
        <v>6.18</v>
      </c>
      <c r="M225" s="12">
        <v>6.42</v>
      </c>
      <c r="N225" s="12">
        <v>6.06</v>
      </c>
      <c r="O225" s="13">
        <f>IF(COUNT(AG225:AP225)&gt;0,MIN(AG225:AP225),"")</f>
        <v>6</v>
      </c>
      <c r="P225" s="13">
        <f>IF(COUNT(AG225:AP225)&gt;0,MAX(AG225:AP225),"")</f>
        <v>6.6</v>
      </c>
      <c r="Q225" s="13">
        <f>IF(ISNUMBER(O225),P225-O225,"")</f>
        <v>0.6</v>
      </c>
      <c r="R225" s="13">
        <f>IF(ISNUMBER(O225),IF(C225="Ручная",IF($S$234&gt;0,$R$234*Q225/$S$234,IF($W$234=4,$R$234,0)),0),"")</f>
        <v>0</v>
      </c>
      <c r="S225" s="13">
        <f>IF(ISNUMBER(O225),O225+R225,"")</f>
        <v>6</v>
      </c>
      <c r="T225" s="13">
        <f>IF(ISNUMBER(S225),P225-S225,"")</f>
        <v>0.6</v>
      </c>
      <c r="U225" s="13">
        <f>IF(COUNT(AG225:AP225)&gt;0,AVERAGE(AG225:AP225),"")</f>
        <v>6.276</v>
      </c>
      <c r="AG225" s="13">
        <f>IF(ISNUMBER(E$234),E225,"")</f>
        <v>6.3</v>
      </c>
      <c r="AH225" s="13">
        <f>IF(ISNUMBER(F$234),F225,"")</f>
        <v>6</v>
      </c>
      <c r="AI225" s="13">
        <f>IF(ISNUMBER(G$234),G225,"")</f>
        <v>6.24</v>
      </c>
      <c r="AJ225" s="13">
        <f>IF(ISNUMBER(H$234),H225,"")</f>
        <v>6.48</v>
      </c>
      <c r="AK225" s="13">
        <f>IF(ISNUMBER(I$234),I225,"")</f>
        <v>6.12</v>
      </c>
      <c r="AL225" s="13">
        <f>IF(ISNUMBER(J$234),J225,"")</f>
        <v>6.36</v>
      </c>
      <c r="AM225" s="13">
        <f>IF(ISNUMBER(K$234),K225,"")</f>
        <v>6.6</v>
      </c>
      <c r="AN225" s="13">
        <f>IF(ISNUMBER(L$234),L225,"")</f>
        <v>6.18</v>
      </c>
      <c r="AO225" s="13">
        <f>IF(ISNUMBER(M$234),M225,"")</f>
        <v>6.42</v>
      </c>
      <c r="AP225" s="13">
        <f>IF(ISNUMBER(N$234),N225,"")</f>
        <v>6.06</v>
      </c>
      <c r="AQ225" s="13">
        <f>IF(C225="Ручная",O225,0)</f>
        <v>0</v>
      </c>
    </row>
    <row r="226" spans="1:43" ht="40" customHeight="1">
      <c r="A226" s="5">
        <v>5</v>
      </c>
      <c r="B226" s="5" t="s">
        <v>193</v>
      </c>
      <c r="C226" s="11" t="s">
        <v>183</v>
      </c>
      <c r="D226" s="7" t="s">
        <v>194</v>
      </c>
      <c r="E226" s="12">
        <v>32.13</v>
      </c>
      <c r="F226" s="12">
        <v>30.34</v>
      </c>
      <c r="G226" s="12">
        <v>31.54</v>
      </c>
      <c r="H226" s="12">
        <v>32.73</v>
      </c>
      <c r="I226" s="12">
        <v>30.64</v>
      </c>
      <c r="J226" s="12">
        <v>31.83</v>
      </c>
      <c r="K226" s="12">
        <v>30.05</v>
      </c>
      <c r="L226" s="12">
        <v>31.24</v>
      </c>
      <c r="M226" s="12">
        <v>29.75</v>
      </c>
      <c r="N226" s="12">
        <v>30.94</v>
      </c>
      <c r="O226" s="13">
        <f>IF(COUNT(AG226:AP226)&gt;0,MIN(AG226:AP226),"")</f>
        <v>29.75</v>
      </c>
      <c r="P226" s="13">
        <f>IF(COUNT(AG226:AP226)&gt;0,MAX(AG226:AP226),"")</f>
        <v>32.73</v>
      </c>
      <c r="Q226" s="13">
        <f>IF(ISNUMBER(O226),P226-O226,"")</f>
        <v>2.98</v>
      </c>
      <c r="R226" s="13">
        <f>IF(ISNUMBER(O226),IF(C226="Ручная",IF($S$234&gt;0,$R$234*Q226/$S$234,IF($W$234=5,$R$234,0)),0),"")</f>
        <v>1.08135834411384</v>
      </c>
      <c r="S226" s="13">
        <f>IF(ISNUMBER(O226),O226+R226,"")</f>
        <v>30.8313583441138</v>
      </c>
      <c r="T226" s="13">
        <f>IF(ISNUMBER(S226),P226-S226,"")</f>
        <v>1.89864165588615</v>
      </c>
      <c r="U226" s="13">
        <f>IF(COUNT(AG226:AP226)&gt;0,AVERAGE(AG226:AP226),"")</f>
        <v>31.119</v>
      </c>
      <c r="AG226" s="13">
        <f>IF(ISNUMBER(E$234),E226,"")</f>
        <v>32.13</v>
      </c>
      <c r="AH226" s="13">
        <f>IF(ISNUMBER(F$234),F226,"")</f>
        <v>30.34</v>
      </c>
      <c r="AI226" s="13">
        <f>IF(ISNUMBER(G$234),G226,"")</f>
        <v>31.54</v>
      </c>
      <c r="AJ226" s="13">
        <f>IF(ISNUMBER(H$234),H226,"")</f>
        <v>32.73</v>
      </c>
      <c r="AK226" s="13">
        <f>IF(ISNUMBER(I$234),I226,"")</f>
        <v>30.64</v>
      </c>
      <c r="AL226" s="13">
        <f>IF(ISNUMBER(J$234),J226,"")</f>
        <v>31.83</v>
      </c>
      <c r="AM226" s="13">
        <f>IF(ISNUMBER(K$234),K226,"")</f>
        <v>30.05</v>
      </c>
      <c r="AN226" s="13">
        <f>IF(ISNUMBER(L$234),L226,"")</f>
        <v>31.24</v>
      </c>
      <c r="AO226" s="13">
        <f>IF(ISNUMBER(M$234),M226,"")</f>
        <v>29.75</v>
      </c>
      <c r="AP226" s="13">
        <f>IF(ISNUMBER(N$234),N226,"")</f>
        <v>30.94</v>
      </c>
      <c r="AQ226" s="13">
        <f>IF(C226="Ручная",O226,0)</f>
        <v>29.75</v>
      </c>
    </row>
    <row r="227" spans="1:43" ht="40" customHeight="1">
      <c r="A227" s="5" t="s">
        <v>189</v>
      </c>
      <c r="B227" s="5" t="s">
        <v>195</v>
      </c>
      <c r="C227" s="11" t="s">
        <v>196</v>
      </c>
      <c r="D227" s="7" t="s">
        <v>197</v>
      </c>
      <c r="E227" s="18">
        <f>'Ассортимент'!R18</f>
        <v>300</v>
      </c>
      <c r="F227" s="18">
        <f>'Ассортимент'!R18</f>
        <v>300</v>
      </c>
      <c r="G227" s="18">
        <f>'Ассортимент'!R18</f>
        <v>300</v>
      </c>
      <c r="H227" s="18">
        <f>'Ассортимент'!R18</f>
        <v>300</v>
      </c>
      <c r="I227" s="18">
        <f>'Ассортимент'!R18</f>
        <v>300</v>
      </c>
      <c r="J227" s="18">
        <f>'Ассортимент'!R18</f>
        <v>300</v>
      </c>
      <c r="K227" s="18">
        <f>'Ассортимент'!R18</f>
        <v>300</v>
      </c>
      <c r="L227" s="18">
        <f>'Ассортимент'!R18</f>
        <v>300</v>
      </c>
      <c r="M227" s="18">
        <f>'Ассортимент'!R18</f>
        <v>300</v>
      </c>
      <c r="N227" s="18">
        <f>'Ассортимент'!R18</f>
        <v>300</v>
      </c>
      <c r="O227" s="13">
        <f>IF(COUNT(AG227:AP227)&gt;0,MIN(AG227:AP227),"")</f>
        <v>300</v>
      </c>
      <c r="P227" s="13">
        <f>IF(COUNT(AG227:AP227)&gt;0,MAX(AG227:AP227),"")</f>
        <v>300</v>
      </c>
      <c r="Q227" s="13">
        <f>IF(ISNUMBER(O227),P227-O227,"")</f>
        <v>0</v>
      </c>
      <c r="R227" s="13">
        <f>IF(ISNUMBER(O227),IF(C227="Ручная",IF($S$234&gt;0,$R$234*Q227/$S$234,IF($W$234=6,$R$234,0)),0),"")</f>
        <v>0</v>
      </c>
      <c r="S227" s="13">
        <f>IF(ISNUMBER(O227),O227+R227,"")</f>
        <v>300</v>
      </c>
      <c r="T227" s="13">
        <f>IF(ISNUMBER(S227),P227-S227,"")</f>
        <v>0</v>
      </c>
      <c r="U227" s="13">
        <f>IF(COUNT(AG227:AP227)&gt;0,AVERAGE(AG227:AP227),"")</f>
        <v>300</v>
      </c>
      <c r="AG227" s="13">
        <f>IF(ISNUMBER(E$234),E227,"")</f>
        <v>300</v>
      </c>
      <c r="AH227" s="13">
        <f>IF(ISNUMBER(F$234),F227,"")</f>
        <v>300</v>
      </c>
      <c r="AI227" s="13">
        <f>IF(ISNUMBER(G$234),G227,"")</f>
        <v>300</v>
      </c>
      <c r="AJ227" s="13">
        <f>IF(ISNUMBER(H$234),H227,"")</f>
        <v>300</v>
      </c>
      <c r="AK227" s="13">
        <f>IF(ISNUMBER(I$234),I227,"")</f>
        <v>300</v>
      </c>
      <c r="AL227" s="13">
        <f>IF(ISNUMBER(J$234),J227,"")</f>
        <v>300</v>
      </c>
      <c r="AM227" s="13">
        <f>IF(ISNUMBER(K$234),K227,"")</f>
        <v>300</v>
      </c>
      <c r="AN227" s="13">
        <f>IF(ISNUMBER(L$234),L227,"")</f>
        <v>300</v>
      </c>
      <c r="AO227" s="13">
        <f>IF(ISNUMBER(M$234),M227,"")</f>
        <v>300</v>
      </c>
      <c r="AP227" s="13">
        <f>IF(ISNUMBER(N$234),N227,"")</f>
        <v>300</v>
      </c>
      <c r="AQ227" s="13">
        <f>IF(C227="Ручная",O227,0)</f>
        <v>0</v>
      </c>
    </row>
    <row r="228" spans="1:43" ht="40" customHeight="1">
      <c r="A228" s="5">
        <v>7</v>
      </c>
      <c r="B228" s="5" t="s">
        <v>198</v>
      </c>
      <c r="C228" s="11" t="s">
        <v>183</v>
      </c>
      <c r="D228" s="7" t="s">
        <v>199</v>
      </c>
      <c r="E228" s="12">
        <v>27.27</v>
      </c>
      <c r="F228" s="12">
        <v>28.35</v>
      </c>
      <c r="G228" s="12">
        <v>27</v>
      </c>
      <c r="H228" s="12">
        <v>28.08</v>
      </c>
      <c r="I228" s="12">
        <v>29.16</v>
      </c>
      <c r="J228" s="12">
        <v>27.54</v>
      </c>
      <c r="K228" s="12">
        <v>28.62</v>
      </c>
      <c r="L228" s="12">
        <v>29.7</v>
      </c>
      <c r="M228" s="12">
        <v>27.81</v>
      </c>
      <c r="N228" s="12">
        <v>28.89</v>
      </c>
      <c r="O228" s="13">
        <f>IF(COUNT(AG228:AP228)&gt;0,MIN(AG228:AP228),"")</f>
        <v>27</v>
      </c>
      <c r="P228" s="13">
        <f>IF(COUNT(AG228:AP228)&gt;0,MAX(AG228:AP228),"")</f>
        <v>29.7</v>
      </c>
      <c r="Q228" s="13">
        <f>IF(ISNUMBER(O228),P228-O228,"")</f>
        <v>2.7</v>
      </c>
      <c r="R228" s="13">
        <f>IF(ISNUMBER(O228),IF(C228="Ручная",IF($S$234&gt;0,$R$234*Q228/$S$234,IF($W$234=7,$R$234,0)),0),"")</f>
        <v>0.97975420439845</v>
      </c>
      <c r="S228" s="13">
        <f>IF(ISNUMBER(O228),O228+R228,"")</f>
        <v>27.9797542043984</v>
      </c>
      <c r="T228" s="13">
        <f>IF(ISNUMBER(S228),P228-S228,"")</f>
        <v>1.72024579560155</v>
      </c>
      <c r="U228" s="13">
        <f>IF(COUNT(AG228:AP228)&gt;0,AVERAGE(AG228:AP228),"")</f>
        <v>28.242</v>
      </c>
      <c r="AG228" s="13">
        <f>IF(ISNUMBER(E$234),E228,"")</f>
        <v>27.27</v>
      </c>
      <c r="AH228" s="13">
        <f>IF(ISNUMBER(F$234),F228,"")</f>
        <v>28.35</v>
      </c>
      <c r="AI228" s="13">
        <f>IF(ISNUMBER(G$234),G228,"")</f>
        <v>27</v>
      </c>
      <c r="AJ228" s="13">
        <f>IF(ISNUMBER(H$234),H228,"")</f>
        <v>28.08</v>
      </c>
      <c r="AK228" s="13">
        <f>IF(ISNUMBER(I$234),I228,"")</f>
        <v>29.16</v>
      </c>
      <c r="AL228" s="13">
        <f>IF(ISNUMBER(J$234),J228,"")</f>
        <v>27.54</v>
      </c>
      <c r="AM228" s="13">
        <f>IF(ISNUMBER(K$234),K228,"")</f>
        <v>28.62</v>
      </c>
      <c r="AN228" s="13">
        <f>IF(ISNUMBER(L$234),L228,"")</f>
        <v>29.7</v>
      </c>
      <c r="AO228" s="13">
        <f>IF(ISNUMBER(M$234),M228,"")</f>
        <v>27.81</v>
      </c>
      <c r="AP228" s="13">
        <f>IF(ISNUMBER(N$234),N228,"")</f>
        <v>28.89</v>
      </c>
      <c r="AQ228" s="13">
        <f>IF(C228="Ручная",O228,0)</f>
        <v>27</v>
      </c>
    </row>
    <row r="229" spans="1:43" ht="40" customHeight="1">
      <c r="A229" s="5">
        <v>8</v>
      </c>
      <c r="B229" s="5" t="s">
        <v>200</v>
      </c>
      <c r="C229" s="11" t="s">
        <v>183</v>
      </c>
      <c r="D229" s="7" t="s">
        <v>201</v>
      </c>
      <c r="E229" s="12">
        <v>18.72</v>
      </c>
      <c r="F229" s="12">
        <v>19.44</v>
      </c>
      <c r="G229" s="12">
        <v>18.36</v>
      </c>
      <c r="H229" s="12">
        <v>19.08</v>
      </c>
      <c r="I229" s="12">
        <v>19.8</v>
      </c>
      <c r="J229" s="12">
        <v>18.54</v>
      </c>
      <c r="K229" s="12">
        <v>19.26</v>
      </c>
      <c r="L229" s="12">
        <v>18.18</v>
      </c>
      <c r="M229" s="12">
        <v>18.9</v>
      </c>
      <c r="N229" s="12">
        <v>18</v>
      </c>
      <c r="O229" s="13">
        <f>IF(COUNT(AG229:AP229)&gt;0,MIN(AG229:AP229),"")</f>
        <v>18</v>
      </c>
      <c r="P229" s="13">
        <f>IF(COUNT(AG229:AP229)&gt;0,MAX(AG229:AP229),"")</f>
        <v>19.8</v>
      </c>
      <c r="Q229" s="13">
        <f>IF(ISNUMBER(O229),P229-O229,"")</f>
        <v>1.8</v>
      </c>
      <c r="R229" s="13">
        <f>IF(ISNUMBER(O229),IF(C229="Ручная",IF($S$234&gt;0,$R$234*Q229/$S$234,IF($W$234=8,$R$234,0)),0),"")</f>
        <v>0.653169469598967</v>
      </c>
      <c r="S229" s="13">
        <f>IF(ISNUMBER(O229),O229+R229,"")</f>
        <v>18.653169469599</v>
      </c>
      <c r="T229" s="13">
        <f>IF(ISNUMBER(S229),P229-S229,"")</f>
        <v>1.14683053040103</v>
      </c>
      <c r="U229" s="13">
        <f>IF(COUNT(AG229:AP229)&gt;0,AVERAGE(AG229:AP229),"")</f>
        <v>18.828</v>
      </c>
      <c r="AG229" s="13">
        <f>IF(ISNUMBER(E$234),E229,"")</f>
        <v>18.72</v>
      </c>
      <c r="AH229" s="13">
        <f>IF(ISNUMBER(F$234),F229,"")</f>
        <v>19.44</v>
      </c>
      <c r="AI229" s="13">
        <f>IF(ISNUMBER(G$234),G229,"")</f>
        <v>18.36</v>
      </c>
      <c r="AJ229" s="13">
        <f>IF(ISNUMBER(H$234),H229,"")</f>
        <v>19.08</v>
      </c>
      <c r="AK229" s="13">
        <f>IF(ISNUMBER(I$234),I229,"")</f>
        <v>19.8</v>
      </c>
      <c r="AL229" s="13">
        <f>IF(ISNUMBER(J$234),J229,"")</f>
        <v>18.54</v>
      </c>
      <c r="AM229" s="13">
        <f>IF(ISNUMBER(K$234),K229,"")</f>
        <v>19.26</v>
      </c>
      <c r="AN229" s="13">
        <f>IF(ISNUMBER(L$234),L229,"")</f>
        <v>18.18</v>
      </c>
      <c r="AO229" s="13">
        <f>IF(ISNUMBER(M$234),M229,"")</f>
        <v>18.9</v>
      </c>
      <c r="AP229" s="13">
        <f>IF(ISNUMBER(N$234),N229,"")</f>
        <v>18</v>
      </c>
      <c r="AQ229" s="13">
        <f>IF(C229="Ручная",O229,0)</f>
        <v>18</v>
      </c>
    </row>
    <row r="230" spans="1:43" ht="40" customHeight="1">
      <c r="A230" s="5" t="s">
        <v>189</v>
      </c>
      <c r="B230" s="5" t="s">
        <v>202</v>
      </c>
      <c r="C230" s="11" t="s">
        <v>191</v>
      </c>
      <c r="D230" s="7" t="s">
        <v>203</v>
      </c>
      <c r="E230" s="12">
        <v>5.3</v>
      </c>
      <c r="F230" s="12">
        <v>5.5</v>
      </c>
      <c r="G230" s="12">
        <v>5.15</v>
      </c>
      <c r="H230" s="12">
        <v>5.35</v>
      </c>
      <c r="I230" s="12">
        <v>5.05</v>
      </c>
      <c r="J230" s="12">
        <v>5.25</v>
      </c>
      <c r="K230" s="12">
        <v>5</v>
      </c>
      <c r="L230" s="12">
        <v>5.2</v>
      </c>
      <c r="M230" s="12">
        <v>5.4</v>
      </c>
      <c r="N230" s="12">
        <v>5.1</v>
      </c>
      <c r="O230" s="13">
        <f>IF(COUNT(AG230:AP230)&gt;0,MIN(AG230:AP230),"")</f>
        <v>5</v>
      </c>
      <c r="P230" s="13">
        <f>IF(COUNT(AG230:AP230)&gt;0,MAX(AG230:AP230),"")</f>
        <v>5.5</v>
      </c>
      <c r="Q230" s="13">
        <f>IF(ISNUMBER(O230),P230-O230,"")</f>
        <v>0.5</v>
      </c>
      <c r="R230" s="13">
        <f>IF(ISNUMBER(O230),IF(C230="Ручная",IF($S$234&gt;0,$R$234*Q230/$S$234,IF($W$234=9,$R$234,0)),0),"")</f>
        <v>0</v>
      </c>
      <c r="S230" s="13">
        <f>IF(ISNUMBER(O230),O230+R230,"")</f>
        <v>5</v>
      </c>
      <c r="T230" s="13">
        <f>IF(ISNUMBER(S230),P230-S230,"")</f>
        <v>0.5</v>
      </c>
      <c r="U230" s="13">
        <f>IF(COUNT(AG230:AP230)&gt;0,AVERAGE(AG230:AP230),"")</f>
        <v>5.23</v>
      </c>
      <c r="AG230" s="13">
        <f>IF(ISNUMBER(E$234),E230,"")</f>
        <v>5.3</v>
      </c>
      <c r="AH230" s="13">
        <f>IF(ISNUMBER(F$234),F230,"")</f>
        <v>5.5</v>
      </c>
      <c r="AI230" s="13">
        <f>IF(ISNUMBER(G$234),G230,"")</f>
        <v>5.15</v>
      </c>
      <c r="AJ230" s="13">
        <f>IF(ISNUMBER(H$234),H230,"")</f>
        <v>5.35</v>
      </c>
      <c r="AK230" s="13">
        <f>IF(ISNUMBER(I$234),I230,"")</f>
        <v>5.05</v>
      </c>
      <c r="AL230" s="13">
        <f>IF(ISNUMBER(J$234),J230,"")</f>
        <v>5.25</v>
      </c>
      <c r="AM230" s="13">
        <f>IF(ISNUMBER(K$234),K230,"")</f>
        <v>5</v>
      </c>
      <c r="AN230" s="13">
        <f>IF(ISNUMBER(L$234),L230,"")</f>
        <v>5.2</v>
      </c>
      <c r="AO230" s="13">
        <f>IF(ISNUMBER(M$234),M230,"")</f>
        <v>5.4</v>
      </c>
      <c r="AP230" s="13">
        <f>IF(ISNUMBER(N$234),N230,"")</f>
        <v>5.1</v>
      </c>
      <c r="AQ230" s="13">
        <f>IF(C230="Ручная",O230,0)</f>
        <v>0</v>
      </c>
    </row>
    <row r="231" spans="1:43" ht="40" customHeight="1">
      <c r="A231" s="5" t="s">
        <v>189</v>
      </c>
      <c r="B231" s="5" t="s">
        <v>204</v>
      </c>
      <c r="C231" s="11" t="s">
        <v>191</v>
      </c>
      <c r="D231" s="7" t="s">
        <v>205</v>
      </c>
      <c r="E231" s="12">
        <v>5.35</v>
      </c>
      <c r="F231" s="12">
        <v>5.05</v>
      </c>
      <c r="G231" s="12">
        <v>5.25</v>
      </c>
      <c r="H231" s="12">
        <v>5</v>
      </c>
      <c r="I231" s="12">
        <v>5.2</v>
      </c>
      <c r="J231" s="12">
        <v>5.4</v>
      </c>
      <c r="K231" s="12">
        <v>5.1</v>
      </c>
      <c r="L231" s="12">
        <v>5.3</v>
      </c>
      <c r="M231" s="12">
        <v>5.5</v>
      </c>
      <c r="N231" s="12">
        <v>5.15</v>
      </c>
      <c r="O231" s="13">
        <f>IF(COUNT(AG231:AP231)&gt;0,MIN(AG231:AP231),"")</f>
        <v>5</v>
      </c>
      <c r="P231" s="13">
        <f>IF(COUNT(AG231:AP231)&gt;0,MAX(AG231:AP231),"")</f>
        <v>5.5</v>
      </c>
      <c r="Q231" s="13">
        <f>IF(ISNUMBER(O231),P231-O231,"")</f>
        <v>0.5</v>
      </c>
      <c r="R231" s="13">
        <f>IF(ISNUMBER(O231),IF(C231="Ручная",IF($S$234&gt;0,$R$234*Q231/$S$234,IF($W$234=10,$R$234,0)),0),"")</f>
        <v>0</v>
      </c>
      <c r="S231" s="13">
        <f>IF(ISNUMBER(O231),O231+R231,"")</f>
        <v>5</v>
      </c>
      <c r="T231" s="13">
        <f>IF(ISNUMBER(S231),P231-S231,"")</f>
        <v>0.5</v>
      </c>
      <c r="U231" s="13">
        <f>IF(COUNT(AG231:AP231)&gt;0,AVERAGE(AG231:AP231),"")</f>
        <v>5.23</v>
      </c>
      <c r="AG231" s="13">
        <f>IF(ISNUMBER(E$234),E231,"")</f>
        <v>5.35</v>
      </c>
      <c r="AH231" s="13">
        <f>IF(ISNUMBER(F$234),F231,"")</f>
        <v>5.05</v>
      </c>
      <c r="AI231" s="13">
        <f>IF(ISNUMBER(G$234),G231,"")</f>
        <v>5.25</v>
      </c>
      <c r="AJ231" s="13">
        <f>IF(ISNUMBER(H$234),H231,"")</f>
        <v>5</v>
      </c>
      <c r="AK231" s="13">
        <f>IF(ISNUMBER(I$234),I231,"")</f>
        <v>5.2</v>
      </c>
      <c r="AL231" s="13">
        <f>IF(ISNUMBER(J$234),J231,"")</f>
        <v>5.4</v>
      </c>
      <c r="AM231" s="13">
        <f>IF(ISNUMBER(K$234),K231,"")</f>
        <v>5.1</v>
      </c>
      <c r="AN231" s="13">
        <f>IF(ISNUMBER(L$234),L231,"")</f>
        <v>5.3</v>
      </c>
      <c r="AO231" s="13">
        <f>IF(ISNUMBER(M$234),M231,"")</f>
        <v>5.5</v>
      </c>
      <c r="AP231" s="13">
        <f>IF(ISNUMBER(N$234),N231,"")</f>
        <v>5.15</v>
      </c>
      <c r="AQ231" s="13">
        <f>IF(C231="Ручная",O231,0)</f>
        <v>0</v>
      </c>
    </row>
    <row r="232" spans="1:43" ht="40" customHeight="1">
      <c r="A232" s="5" t="s">
        <v>189</v>
      </c>
      <c r="B232" s="5" t="s">
        <v>206</v>
      </c>
      <c r="C232" s="11" t="s">
        <v>207</v>
      </c>
      <c r="D232" s="7" t="s">
        <v>208</v>
      </c>
      <c r="E232" s="12">
        <v>0</v>
      </c>
      <c r="F232" s="12">
        <v>0</v>
      </c>
      <c r="G232" s="12">
        <v>0</v>
      </c>
      <c r="H232" s="12">
        <v>0</v>
      </c>
      <c r="I232" s="12">
        <v>0</v>
      </c>
      <c r="J232" s="12">
        <v>0</v>
      </c>
      <c r="K232" s="12">
        <v>0</v>
      </c>
      <c r="L232" s="12">
        <v>0</v>
      </c>
      <c r="M232" s="12">
        <v>0</v>
      </c>
      <c r="N232" s="12">
        <v>0</v>
      </c>
      <c r="O232" s="13">
        <f>IF(COUNT(AG232:AP232)&gt;0,MIN(AG232:AP232),"")</f>
        <v>0</v>
      </c>
      <c r="P232" s="13">
        <f>IF(COUNT(AG232:AP232)&gt;0,MAX(AG232:AP232),"")</f>
        <v>0</v>
      </c>
      <c r="Q232" s="13">
        <f>IF(ISNUMBER(O232),P232-O232,"")</f>
        <v>0</v>
      </c>
      <c r="R232" s="13">
        <f>IF(ISNUMBER(O232),IF(C232="Ручная",IF($S$234&gt;0,$R$234*Q232/$S$234,IF($W$234=11,$R$234,0)),0),"")</f>
        <v>0</v>
      </c>
      <c r="S232" s="13">
        <f>IF(ISNUMBER(O232),O232+R232,"")</f>
        <v>0</v>
      </c>
      <c r="T232" s="13">
        <f>IF(ISNUMBER(S232),P232-S232,"")</f>
        <v>0</v>
      </c>
      <c r="U232" s="13">
        <f>IF(COUNT(AG232:AP232)&gt;0,AVERAGE(AG232:AP232),"")</f>
        <v>0</v>
      </c>
      <c r="AG232" s="13">
        <f>IF(ISNUMBER(E$234),E232,"")</f>
        <v>0</v>
      </c>
      <c r="AH232" s="13">
        <f>IF(ISNUMBER(F$234),F232,"")</f>
        <v>0</v>
      </c>
      <c r="AI232" s="13">
        <f>IF(ISNUMBER(G$234),G232,"")</f>
        <v>0</v>
      </c>
      <c r="AJ232" s="13">
        <f>IF(ISNUMBER(H$234),H232,"")</f>
        <v>0</v>
      </c>
      <c r="AK232" s="13">
        <f>IF(ISNUMBER(I$234),I232,"")</f>
        <v>0</v>
      </c>
      <c r="AL232" s="13">
        <f>IF(ISNUMBER(J$234),J232,"")</f>
        <v>0</v>
      </c>
      <c r="AM232" s="13">
        <f>IF(ISNUMBER(K$234),K232,"")</f>
        <v>0</v>
      </c>
      <c r="AN232" s="13">
        <f>IF(ISNUMBER(L$234),L232,"")</f>
        <v>0</v>
      </c>
      <c r="AO232" s="13">
        <f>IF(ISNUMBER(M$234),M232,"")</f>
        <v>0</v>
      </c>
      <c r="AP232" s="13">
        <f>IF(ISNUMBER(N$234),N232,"")</f>
        <v>0</v>
      </c>
      <c r="AQ232" s="13">
        <f>IF(C232="Ручная",O232,0)</f>
        <v>0</v>
      </c>
    </row>
    <row r="233" spans="1:43" ht="23" customHeight="1">
      <c r="B233" s="4" t="s">
        <v>209</v>
      </c>
      <c r="E233" s="6">
        <f>IF(COUNT(E222:E232)=11,SUM(E222:E232),"")</f>
        <v>476.16</v>
      </c>
      <c r="F233" s="6">
        <f>IF(COUNT(F222:F232)=11,SUM(F222:F232),"")</f>
        <v>478.97</v>
      </c>
      <c r="G233" s="6">
        <f>IF(COUNT(G222:G232)=11,SUM(G222:G232),"")</f>
        <v>479.04</v>
      </c>
      <c r="H233" s="6">
        <f>IF(COUNT(H222:H232)=11,SUM(H222:H232),"")</f>
        <v>479.06</v>
      </c>
      <c r="I233" s="6">
        <f>IF(COUNT(I222:I232)=11,SUM(I222:I232),"")</f>
        <v>479.72</v>
      </c>
      <c r="J233" s="6">
        <f>IF(COUNT(J222:J232)=11,SUM(J222:J232),"")</f>
        <v>478.36</v>
      </c>
      <c r="K233" s="6">
        <f>IF(COUNT(K222:K232)=11,SUM(K222:K232),"")</f>
        <v>478.51</v>
      </c>
      <c r="L233" s="6">
        <f>IF(COUNT(L222:L232)=11,SUM(L222:L232),"")</f>
        <v>477.75</v>
      </c>
      <c r="M233" s="6">
        <f>IF(COUNT(M222:M232)=11,SUM(M222:M232),"")</f>
        <v>476.42</v>
      </c>
      <c r="N233" s="6">
        <f>IF(COUNT(N222:N232)=11,SUM(N222:N232),"")</f>
        <v>479.97</v>
      </c>
      <c r="O233" s="6">
        <f>IF(COUNT(O222:O232)=11,SUM(O222:O232),"")</f>
        <v>470.55</v>
      </c>
      <c r="P233" s="6">
        <f>IF(COUNT(P222:P232)=11,SUM(P222:P232),"")</f>
        <v>487.61</v>
      </c>
      <c r="Q233" s="6">
        <f>IF(COUNT(Q222:Q232)=11,SUM(Q222:Q232),"")</f>
        <v>17.06</v>
      </c>
      <c r="R233" s="6">
        <f>IF(COUNT(R222:R232)=11,SUM(R222:R232),"")</f>
        <v>5.61000000000001</v>
      </c>
      <c r="S233" s="6">
        <f>IF(COUNT(S222:S232)=11,SUM(S222:S232),"")</f>
        <v>476.16</v>
      </c>
      <c r="T233" s="6">
        <f>IF(COUNT(T222:T232)=11,SUM(T222:T232),"")</f>
        <v>11.45</v>
      </c>
      <c r="U233" s="6">
        <f>IF(COUNT(U222:U232)=11,SUM(U222:U232),"")</f>
        <v>478.396</v>
      </c>
    </row>
    <row r="234" spans="1:43" ht="23" customHeight="1">
      <c r="B234" s="4" t="s">
        <v>210</v>
      </c>
      <c r="E234" s="6">
        <f>IF(AND(E220=1,COUNT(E222:E232)=11,MIN(E222:E232)&gt;=0),E233,"")</f>
        <v>476.16</v>
      </c>
      <c r="F234" s="6">
        <f>IF(AND(F220=1,COUNT(F222:F232)=11,MIN(F222:F232)&gt;=0),F233,"")</f>
        <v>478.97</v>
      </c>
      <c r="G234" s="6">
        <f>IF(AND(G220=1,COUNT(G222:G232)=11,MIN(G222:G232)&gt;=0),G233,"")</f>
        <v>479.04</v>
      </c>
      <c r="H234" s="6">
        <f>IF(AND(H220=1,COUNT(H222:H232)=11,MIN(H222:H232)&gt;=0),H233,"")</f>
        <v>479.06</v>
      </c>
      <c r="I234" s="6">
        <f>IF(AND(I220=1,COUNT(I222:I232)=11,MIN(I222:I232)&gt;=0),I233,"")</f>
        <v>479.72</v>
      </c>
      <c r="J234" s="6">
        <f>IF(AND(J220=1,COUNT(J222:J232)=11,MIN(J222:J232)&gt;=0),J233,"")</f>
        <v>478.36</v>
      </c>
      <c r="K234" s="6">
        <f>IF(AND(K220=1,COUNT(K222:K232)=11,MIN(K222:K232)&gt;=0),K233,"")</f>
        <v>478.51</v>
      </c>
      <c r="L234" s="6">
        <f>IF(AND(L220=1,COUNT(L222:L232)=11,MIN(L222:L232)&gt;=0),L233,"")</f>
        <v>477.75</v>
      </c>
      <c r="M234" s="6">
        <f>IF(AND(M220=1,COUNT(M222:M232)=11,MIN(M222:M232)&gt;=0),M233,"")</f>
        <v>476.42</v>
      </c>
      <c r="N234" s="6">
        <f>IF(AND(N220=1,COUNT(N222:N232)=11,MIN(N222:N232)&gt;=0),N233,"")</f>
        <v>479.97</v>
      </c>
      <c r="O234" s="6">
        <f>IF(COUNT(E234:N234)&gt;0,MIN(E234:N234),"")</f>
        <v>476.16</v>
      </c>
      <c r="P234" s="6">
        <f>IF(COUNT(E234:N234)&gt;0,MAX(E234:N234),"")</f>
        <v>479.97</v>
      </c>
      <c r="Q234" s="6">
        <f>IF(ISNUMBER(O234),P234-O234,"")</f>
        <v>3.80999999999995</v>
      </c>
      <c r="R234" s="6">
        <f>IF(ISNUMBER(O234),MAX(0,O234-O233),"")</f>
        <v>5.61000000000001</v>
      </c>
      <c r="S234" s="6">
        <f>SUMIF(C222:C232,"Ручная",Q222:Q232)</f>
        <v>15.46</v>
      </c>
      <c r="T234" s="6">
        <f>COUNT(E234:N234)</f>
        <v>10</v>
      </c>
      <c r="U234" s="6">
        <f>IF(COUNT(E234:N234)&gt;0,AVERAGE(E234:N234),"")</f>
        <v>478.396</v>
      </c>
      <c r="V234" s="6">
        <f>IF(ISNUMBER(O234),S233-O234,"")</f>
        <v>-5.6843418860808e-14</v>
      </c>
      <c r="W234" s="6">
        <f>MATCH(MAX(AQ222:AQ232),AQ222:AQ232,0)</f>
        <v>2</v>
      </c>
      <c r="X234" s="17" t="str">
        <f>IF(T234=0,"НЕТ ЗАМЕРОВ",IF(T234&lt;10,"МЕНЕЕ 10 ЦИКЛОВ",IF(ABS(V234)&lt;0.000001,"ОК","ОШИБКА РЕГУЛИРОВКИ")))</f>
        <v>ОК</v>
      </c>
    </row>
    <row r="235" spans="1:43" ht="23" customHeight="1">
      <c r="A235" s="7" t="s">
        <v>211</v>
      </c>
      <c r="B235" s="7"/>
      <c r="C235" s="7"/>
      <c r="D235" s="7"/>
      <c r="E235" s="7"/>
      <c r="F235" s="7"/>
      <c r="G235" s="7"/>
      <c r="H235" s="7"/>
      <c r="I235" s="7"/>
      <c r="J235" s="7"/>
      <c r="K235" s="7"/>
      <c r="L235" s="7"/>
      <c r="M235" s="7"/>
      <c r="N235" s="7"/>
      <c r="O235" s="7"/>
      <c r="P235" s="7"/>
      <c r="Q235" s="7"/>
      <c r="R235" s="7"/>
      <c r="S235" s="7"/>
      <c r="T235" s="7"/>
      <c r="U235" s="7"/>
      <c r="V235" s="7"/>
      <c r="W235" s="7"/>
      <c r="X235" s="7"/>
    </row>
    <row r="238" spans="1:43" ht="23" customHeight="1">
      <c r="A238" s="4" t="s">
        <v>241</v>
      </c>
      <c r="B238" s="4"/>
      <c r="C238" s="4"/>
      <c r="D238" s="4"/>
      <c r="E238" s="4"/>
      <c r="F238" s="4"/>
      <c r="G238" s="4"/>
      <c r="H238" s="4"/>
      <c r="I238" s="4"/>
      <c r="J238" s="4"/>
      <c r="K238" s="4"/>
      <c r="L238" s="4"/>
      <c r="M238" s="4"/>
      <c r="N238" s="4"/>
      <c r="O238" s="4"/>
      <c r="P238" s="4"/>
      <c r="Q238" s="4"/>
      <c r="R238" s="4"/>
      <c r="S238" s="4"/>
      <c r="T238" s="4"/>
      <c r="U238" s="4"/>
      <c r="V238" s="4"/>
      <c r="W238" s="4"/>
      <c r="X238" s="4"/>
    </row>
    <row r="239" spans="1:43" ht="23" customHeight="1">
      <c r="A239" s="7" t="str">
        <f>"Масса замера, кг: "&amp;'Ассортимент'!J19&amp;". Все замеры одной партии/исполнителя/условий. Основание: "&amp;'Ввод'!B15</f>
        <v>Масса замера, кг: 3. Все замеры одной партии/исполнителя/условий. Основание: ДЕМО: прогноз; улучшения не внедрены</v>
      </c>
      <c r="B239" s="7"/>
      <c r="C239" s="7"/>
      <c r="D239" s="7"/>
      <c r="E239" s="7"/>
      <c r="F239" s="7"/>
      <c r="G239" s="7"/>
      <c r="H239" s="7"/>
      <c r="I239" s="7"/>
      <c r="J239" s="7"/>
      <c r="K239" s="7"/>
      <c r="L239" s="7"/>
      <c r="M239" s="7"/>
      <c r="N239" s="7"/>
      <c r="O239" s="7"/>
      <c r="P239" s="7"/>
      <c r="Q239" s="7"/>
      <c r="R239" s="7"/>
      <c r="S239" s="7"/>
      <c r="T239" s="7"/>
      <c r="U239" s="7"/>
      <c r="V239" s="7"/>
      <c r="W239" s="7"/>
      <c r="X239" s="7"/>
    </row>
    <row r="240" spans="1:43" ht="44" customHeight="1">
      <c r="A240" s="8" t="s">
        <v>113</v>
      </c>
      <c r="B240" s="8" t="s">
        <v>156</v>
      </c>
      <c r="C240" s="8" t="s">
        <v>157</v>
      </c>
      <c r="D240" s="8" t="s">
        <v>158</v>
      </c>
      <c r="E240" s="8" t="s">
        <v>159</v>
      </c>
      <c r="F240" s="8" t="s">
        <v>160</v>
      </c>
      <c r="G240" s="8" t="s">
        <v>161</v>
      </c>
      <c r="H240" s="8" t="s">
        <v>162</v>
      </c>
      <c r="I240" s="8" t="s">
        <v>163</v>
      </c>
      <c r="J240" s="8" t="s">
        <v>164</v>
      </c>
      <c r="K240" s="8" t="s">
        <v>165</v>
      </c>
      <c r="L240" s="8" t="s">
        <v>166</v>
      </c>
      <c r="M240" s="8" t="s">
        <v>167</v>
      </c>
      <c r="N240" s="8" t="s">
        <v>168</v>
      </c>
      <c r="O240" s="8" t="s">
        <v>169</v>
      </c>
      <c r="P240" s="8" t="s">
        <v>170</v>
      </c>
      <c r="Q240" s="8" t="s">
        <v>171</v>
      </c>
      <c r="R240" s="8" t="s">
        <v>172</v>
      </c>
      <c r="S240" s="8" t="s">
        <v>173</v>
      </c>
      <c r="T240" s="8" t="s">
        <v>174</v>
      </c>
      <c r="U240" s="8" t="s">
        <v>175</v>
      </c>
      <c r="V240" s="8" t="s">
        <v>176</v>
      </c>
      <c r="W240" s="8" t="s">
        <v>177</v>
      </c>
      <c r="X240" s="8" t="s">
        <v>178</v>
      </c>
    </row>
    <row r="241" spans="1:43" ht="23" customHeight="1">
      <c r="B241" s="5" t="s">
        <v>179</v>
      </c>
      <c r="E241" s="12">
        <v>1</v>
      </c>
      <c r="F241" s="12">
        <v>1</v>
      </c>
      <c r="G241" s="12">
        <v>1</v>
      </c>
      <c r="H241" s="12">
        <v>1</v>
      </c>
      <c r="I241" s="12">
        <v>1</v>
      </c>
      <c r="J241" s="12">
        <v>1</v>
      </c>
      <c r="K241" s="12">
        <v>1</v>
      </c>
      <c r="L241" s="12">
        <v>1</v>
      </c>
      <c r="M241" s="12">
        <v>1</v>
      </c>
      <c r="N241" s="12">
        <v>1</v>
      </c>
    </row>
    <row r="242" spans="1:43" ht="33" customHeight="1">
      <c r="B242" s="5" t="s">
        <v>180</v>
      </c>
      <c r="E242" s="9" t="s">
        <v>181</v>
      </c>
      <c r="F242" s="9" t="s">
        <v>181</v>
      </c>
      <c r="G242" s="9" t="s">
        <v>181</v>
      </c>
      <c r="H242" s="9" t="s">
        <v>181</v>
      </c>
      <c r="I242" s="9" t="s">
        <v>181</v>
      </c>
      <c r="J242" s="9" t="s">
        <v>181</v>
      </c>
      <c r="K242" s="9" t="s">
        <v>181</v>
      </c>
      <c r="L242" s="9" t="s">
        <v>181</v>
      </c>
      <c r="M242" s="9" t="s">
        <v>181</v>
      </c>
      <c r="N242" s="9" t="s">
        <v>181</v>
      </c>
    </row>
    <row r="243" spans="1:43" ht="40" customHeight="1">
      <c r="A243" s="5">
        <v>1</v>
      </c>
      <c r="B243" s="5" t="s">
        <v>182</v>
      </c>
      <c r="C243" s="11" t="s">
        <v>183</v>
      </c>
      <c r="D243" s="7" t="s">
        <v>184</v>
      </c>
      <c r="E243" s="12">
        <v>26</v>
      </c>
      <c r="F243" s="12">
        <v>27</v>
      </c>
      <c r="G243" s="12">
        <v>25.5</v>
      </c>
      <c r="H243" s="12">
        <v>26.5</v>
      </c>
      <c r="I243" s="12">
        <v>27.5</v>
      </c>
      <c r="J243" s="12">
        <v>25.75</v>
      </c>
      <c r="K243" s="12">
        <v>26.75</v>
      </c>
      <c r="L243" s="12">
        <v>25.25</v>
      </c>
      <c r="M243" s="12">
        <v>26.25</v>
      </c>
      <c r="N243" s="12">
        <v>25</v>
      </c>
      <c r="O243" s="13">
        <f>IF(COUNT(AG243:AP243)&gt;0,MIN(AG243:AP243),"")</f>
        <v>25</v>
      </c>
      <c r="P243" s="13">
        <f>IF(COUNT(AG243:AP243)&gt;0,MAX(AG243:AP243),"")</f>
        <v>27.5</v>
      </c>
      <c r="Q243" s="13">
        <f>IF(ISNUMBER(O243),P243-O243,"")</f>
        <v>2.5</v>
      </c>
      <c r="R243" s="13">
        <f>IF(ISNUMBER(O243),IF(C243="Ручная",IF($S$255&gt;0,$R$255*Q243/$S$255,IF($W$255=1,$R$255,0)),0),"")</f>
        <v>0.850501113585748</v>
      </c>
      <c r="S243" s="13">
        <f>IF(ISNUMBER(O243),O243+R243,"")</f>
        <v>25.8505011135857</v>
      </c>
      <c r="T243" s="13">
        <f>IF(ISNUMBER(S243),P243-S243,"")</f>
        <v>1.64949888641425</v>
      </c>
      <c r="U243" s="13">
        <f>IF(COUNT(AG243:AP243)&gt;0,AVERAGE(AG243:AP243),"")</f>
        <v>26.15</v>
      </c>
      <c r="AG243" s="13">
        <f>IF(ISNUMBER(E$255),E243,"")</f>
        <v>26</v>
      </c>
      <c r="AH243" s="13">
        <f>IF(ISNUMBER(F$255),F243,"")</f>
        <v>27</v>
      </c>
      <c r="AI243" s="13">
        <f>IF(ISNUMBER(G$255),G243,"")</f>
        <v>25.5</v>
      </c>
      <c r="AJ243" s="13">
        <f>IF(ISNUMBER(H$255),H243,"")</f>
        <v>26.5</v>
      </c>
      <c r="AK243" s="13">
        <f>IF(ISNUMBER(I$255),I243,"")</f>
        <v>27.5</v>
      </c>
      <c r="AL243" s="13">
        <f>IF(ISNUMBER(J$255),J243,"")</f>
        <v>25.75</v>
      </c>
      <c r="AM243" s="13">
        <f>IF(ISNUMBER(K$255),K243,"")</f>
        <v>26.75</v>
      </c>
      <c r="AN243" s="13">
        <f>IF(ISNUMBER(L$255),L243,"")</f>
        <v>25.25</v>
      </c>
      <c r="AO243" s="13">
        <f>IF(ISNUMBER(M$255),M243,"")</f>
        <v>26.25</v>
      </c>
      <c r="AP243" s="13">
        <f>IF(ISNUMBER(N$255),N243,"")</f>
        <v>25</v>
      </c>
      <c r="AQ243" s="13">
        <f>IF(C243="Ручная",O243,0)</f>
        <v>25</v>
      </c>
    </row>
    <row r="244" spans="1:43" ht="40" customHeight="1">
      <c r="A244" s="5">
        <v>2</v>
      </c>
      <c r="B244" s="5" t="s">
        <v>185</v>
      </c>
      <c r="C244" s="11" t="s">
        <v>183</v>
      </c>
      <c r="D244" s="7" t="s">
        <v>186</v>
      </c>
      <c r="E244" s="12">
        <v>63.6</v>
      </c>
      <c r="F244" s="12">
        <v>66</v>
      </c>
      <c r="G244" s="12">
        <v>61.8</v>
      </c>
      <c r="H244" s="12">
        <v>64.2</v>
      </c>
      <c r="I244" s="12">
        <v>60.6</v>
      </c>
      <c r="J244" s="12">
        <v>63</v>
      </c>
      <c r="K244" s="12">
        <v>60</v>
      </c>
      <c r="L244" s="12">
        <v>62.4</v>
      </c>
      <c r="M244" s="12">
        <v>64.8</v>
      </c>
      <c r="N244" s="12">
        <v>61.2</v>
      </c>
      <c r="O244" s="13">
        <f>IF(COUNT(AG244:AP244)&gt;0,MIN(AG244:AP244),"")</f>
        <v>60</v>
      </c>
      <c r="P244" s="13">
        <f>IF(COUNT(AG244:AP244)&gt;0,MAX(AG244:AP244),"")</f>
        <v>66</v>
      </c>
      <c r="Q244" s="13">
        <f>IF(ISNUMBER(O244),P244-O244,"")</f>
        <v>6</v>
      </c>
      <c r="R244" s="13">
        <f>IF(ISNUMBER(O244),IF(C244="Ручная",IF($S$255&gt;0,$R$255*Q244/$S$255,IF($W$255=2,$R$255,0)),0),"")</f>
        <v>2.0412026726058</v>
      </c>
      <c r="S244" s="13">
        <f>IF(ISNUMBER(O244),O244+R244,"")</f>
        <v>62.0412026726058</v>
      </c>
      <c r="T244" s="13">
        <f>IF(ISNUMBER(S244),P244-S244,"")</f>
        <v>3.9587973273942</v>
      </c>
      <c r="U244" s="13">
        <f>IF(COUNT(AG244:AP244)&gt;0,AVERAGE(AG244:AP244),"")</f>
        <v>62.76</v>
      </c>
      <c r="AG244" s="13">
        <f>IF(ISNUMBER(E$255),E244,"")</f>
        <v>63.6</v>
      </c>
      <c r="AH244" s="13">
        <f>IF(ISNUMBER(F$255),F244,"")</f>
        <v>66</v>
      </c>
      <c r="AI244" s="13">
        <f>IF(ISNUMBER(G$255),G244,"")</f>
        <v>61.8</v>
      </c>
      <c r="AJ244" s="13">
        <f>IF(ISNUMBER(H$255),H244,"")</f>
        <v>64.2</v>
      </c>
      <c r="AK244" s="13">
        <f>IF(ISNUMBER(I$255),I244,"")</f>
        <v>60.6</v>
      </c>
      <c r="AL244" s="13">
        <f>IF(ISNUMBER(J$255),J244,"")</f>
        <v>63</v>
      </c>
      <c r="AM244" s="13">
        <f>IF(ISNUMBER(K$255),K244,"")</f>
        <v>60</v>
      </c>
      <c r="AN244" s="13">
        <f>IF(ISNUMBER(L$255),L244,"")</f>
        <v>62.4</v>
      </c>
      <c r="AO244" s="13">
        <f>IF(ISNUMBER(M$255),M244,"")</f>
        <v>64.8</v>
      </c>
      <c r="AP244" s="13">
        <f>IF(ISNUMBER(N$255),N244,"")</f>
        <v>61.2</v>
      </c>
      <c r="AQ244" s="13">
        <f>IF(C244="Ручная",O244,0)</f>
        <v>60</v>
      </c>
    </row>
    <row r="245" spans="1:43" ht="40" customHeight="1">
      <c r="A245" s="5">
        <v>3</v>
      </c>
      <c r="B245" s="5" t="s">
        <v>187</v>
      </c>
      <c r="C245" s="11" t="s">
        <v>183</v>
      </c>
      <c r="D245" s="7" t="s">
        <v>188</v>
      </c>
      <c r="E245" s="12">
        <v>21.19</v>
      </c>
      <c r="F245" s="12">
        <v>20</v>
      </c>
      <c r="G245" s="12">
        <v>20.79</v>
      </c>
      <c r="H245" s="12">
        <v>19.8</v>
      </c>
      <c r="I245" s="12">
        <v>20.59</v>
      </c>
      <c r="J245" s="12">
        <v>21.38</v>
      </c>
      <c r="K245" s="12">
        <v>20.2</v>
      </c>
      <c r="L245" s="12">
        <v>20.99</v>
      </c>
      <c r="M245" s="12">
        <v>21.78</v>
      </c>
      <c r="N245" s="12">
        <v>20.39</v>
      </c>
      <c r="O245" s="13">
        <f>IF(COUNT(AG245:AP245)&gt;0,MIN(AG245:AP245),"")</f>
        <v>19.8</v>
      </c>
      <c r="P245" s="13">
        <f>IF(COUNT(AG245:AP245)&gt;0,MAX(AG245:AP245),"")</f>
        <v>21.78</v>
      </c>
      <c r="Q245" s="13">
        <f>IF(ISNUMBER(O245),P245-O245,"")</f>
        <v>1.98</v>
      </c>
      <c r="R245" s="13">
        <f>IF(ISNUMBER(O245),IF(C245="Ручная",IF($S$255&gt;0,$R$255*Q245/$S$255,IF($W$255=3,$R$255,0)),0),"")</f>
        <v>0.673596881959913</v>
      </c>
      <c r="S245" s="13">
        <f>IF(ISNUMBER(O245),O245+R245,"")</f>
        <v>20.4735968819599</v>
      </c>
      <c r="T245" s="13">
        <f>IF(ISNUMBER(S245),P245-S245,"")</f>
        <v>1.30640311804009</v>
      </c>
      <c r="U245" s="13">
        <f>IF(COUNT(AG245:AP245)&gt;0,AVERAGE(AG245:AP245),"")</f>
        <v>20.711</v>
      </c>
      <c r="AG245" s="13">
        <f>IF(ISNUMBER(E$255),E245,"")</f>
        <v>21.19</v>
      </c>
      <c r="AH245" s="13">
        <f>IF(ISNUMBER(F$255),F245,"")</f>
        <v>20</v>
      </c>
      <c r="AI245" s="13">
        <f>IF(ISNUMBER(G$255),G245,"")</f>
        <v>20.79</v>
      </c>
      <c r="AJ245" s="13">
        <f>IF(ISNUMBER(H$255),H245,"")</f>
        <v>19.8</v>
      </c>
      <c r="AK245" s="13">
        <f>IF(ISNUMBER(I$255),I245,"")</f>
        <v>20.59</v>
      </c>
      <c r="AL245" s="13">
        <f>IF(ISNUMBER(J$255),J245,"")</f>
        <v>21.38</v>
      </c>
      <c r="AM245" s="13">
        <f>IF(ISNUMBER(K$255),K245,"")</f>
        <v>20.2</v>
      </c>
      <c r="AN245" s="13">
        <f>IF(ISNUMBER(L$255),L245,"")</f>
        <v>20.99</v>
      </c>
      <c r="AO245" s="13">
        <f>IF(ISNUMBER(M$255),M245,"")</f>
        <v>21.78</v>
      </c>
      <c r="AP245" s="13">
        <f>IF(ISNUMBER(N$255),N245,"")</f>
        <v>20.39</v>
      </c>
      <c r="AQ245" s="13">
        <f>IF(C245="Ручная",O245,0)</f>
        <v>19.8</v>
      </c>
    </row>
    <row r="246" spans="1:43" ht="40" customHeight="1">
      <c r="A246" s="5" t="s">
        <v>189</v>
      </c>
      <c r="B246" s="5" t="s">
        <v>190</v>
      </c>
      <c r="C246" s="11" t="s">
        <v>191</v>
      </c>
      <c r="D246" s="7" t="s">
        <v>192</v>
      </c>
      <c r="E246" s="12">
        <v>6</v>
      </c>
      <c r="F246" s="12">
        <v>6.24</v>
      </c>
      <c r="G246" s="12">
        <v>6.48</v>
      </c>
      <c r="H246" s="12">
        <v>6.12</v>
      </c>
      <c r="I246" s="12">
        <v>6.36</v>
      </c>
      <c r="J246" s="12">
        <v>6.6</v>
      </c>
      <c r="K246" s="12">
        <v>6.18</v>
      </c>
      <c r="L246" s="12">
        <v>6.42</v>
      </c>
      <c r="M246" s="12">
        <v>6.06</v>
      </c>
      <c r="N246" s="12">
        <v>6.3</v>
      </c>
      <c r="O246" s="13">
        <f>IF(COUNT(AG246:AP246)&gt;0,MIN(AG246:AP246),"")</f>
        <v>6</v>
      </c>
      <c r="P246" s="13">
        <f>IF(COUNT(AG246:AP246)&gt;0,MAX(AG246:AP246),"")</f>
        <v>6.6</v>
      </c>
      <c r="Q246" s="13">
        <f>IF(ISNUMBER(O246),P246-O246,"")</f>
        <v>0.6</v>
      </c>
      <c r="R246" s="13">
        <f>IF(ISNUMBER(O246),IF(C246="Ручная",IF($S$255&gt;0,$R$255*Q246/$S$255,IF($W$255=4,$R$255,0)),0),"")</f>
        <v>0</v>
      </c>
      <c r="S246" s="13">
        <f>IF(ISNUMBER(O246),O246+R246,"")</f>
        <v>6</v>
      </c>
      <c r="T246" s="13">
        <f>IF(ISNUMBER(S246),P246-S246,"")</f>
        <v>0.6</v>
      </c>
      <c r="U246" s="13">
        <f>IF(COUNT(AG246:AP246)&gt;0,AVERAGE(AG246:AP246),"")</f>
        <v>6.276</v>
      </c>
      <c r="AG246" s="13">
        <f>IF(ISNUMBER(E$255),E246,"")</f>
        <v>6</v>
      </c>
      <c r="AH246" s="13">
        <f>IF(ISNUMBER(F$255),F246,"")</f>
        <v>6.24</v>
      </c>
      <c r="AI246" s="13">
        <f>IF(ISNUMBER(G$255),G246,"")</f>
        <v>6.48</v>
      </c>
      <c r="AJ246" s="13">
        <f>IF(ISNUMBER(H$255),H246,"")</f>
        <v>6.12</v>
      </c>
      <c r="AK246" s="13">
        <f>IF(ISNUMBER(I$255),I246,"")</f>
        <v>6.36</v>
      </c>
      <c r="AL246" s="13">
        <f>IF(ISNUMBER(J$255),J246,"")</f>
        <v>6.6</v>
      </c>
      <c r="AM246" s="13">
        <f>IF(ISNUMBER(K$255),K246,"")</f>
        <v>6.18</v>
      </c>
      <c r="AN246" s="13">
        <f>IF(ISNUMBER(L$255),L246,"")</f>
        <v>6.42</v>
      </c>
      <c r="AO246" s="13">
        <f>IF(ISNUMBER(M$255),M246,"")</f>
        <v>6.06</v>
      </c>
      <c r="AP246" s="13">
        <f>IF(ISNUMBER(N$255),N246,"")</f>
        <v>6.3</v>
      </c>
      <c r="AQ246" s="13">
        <f>IF(C246="Ручная",O246,0)</f>
        <v>0</v>
      </c>
    </row>
    <row r="247" spans="1:43" ht="40" customHeight="1">
      <c r="A247" s="5">
        <v>5</v>
      </c>
      <c r="B247" s="5" t="s">
        <v>193</v>
      </c>
      <c r="C247" s="11" t="s">
        <v>183</v>
      </c>
      <c r="D247" s="7" t="s">
        <v>194</v>
      </c>
      <c r="E247" s="12">
        <v>30.34</v>
      </c>
      <c r="F247" s="12">
        <v>31.54</v>
      </c>
      <c r="G247" s="12">
        <v>32.73</v>
      </c>
      <c r="H247" s="12">
        <v>30.64</v>
      </c>
      <c r="I247" s="12">
        <v>31.83</v>
      </c>
      <c r="J247" s="12">
        <v>30.05</v>
      </c>
      <c r="K247" s="12">
        <v>31.24</v>
      </c>
      <c r="L247" s="12">
        <v>29.75</v>
      </c>
      <c r="M247" s="12">
        <v>30.94</v>
      </c>
      <c r="N247" s="12">
        <v>32.13</v>
      </c>
      <c r="O247" s="13">
        <f>IF(COUNT(AG247:AP247)&gt;0,MIN(AG247:AP247),"")</f>
        <v>29.75</v>
      </c>
      <c r="P247" s="13">
        <f>IF(COUNT(AG247:AP247)&gt;0,MAX(AG247:AP247),"")</f>
        <v>32.73</v>
      </c>
      <c r="Q247" s="13">
        <f>IF(ISNUMBER(O247),P247-O247,"")</f>
        <v>2.98</v>
      </c>
      <c r="R247" s="13">
        <f>IF(ISNUMBER(O247),IF(C247="Ручная",IF($S$255&gt;0,$R$255*Q247/$S$255,IF($W$255=5,$R$255,0)),0),"")</f>
        <v>1.01379732739421</v>
      </c>
      <c r="S247" s="13">
        <f>IF(ISNUMBER(O247),O247+R247,"")</f>
        <v>30.7637973273942</v>
      </c>
      <c r="T247" s="13">
        <f>IF(ISNUMBER(S247),P247-S247,"")</f>
        <v>1.96620267260579</v>
      </c>
      <c r="U247" s="13">
        <f>IF(COUNT(AG247:AP247)&gt;0,AVERAGE(AG247:AP247),"")</f>
        <v>31.119</v>
      </c>
      <c r="AG247" s="13">
        <f>IF(ISNUMBER(E$255),E247,"")</f>
        <v>30.34</v>
      </c>
      <c r="AH247" s="13">
        <f>IF(ISNUMBER(F$255),F247,"")</f>
        <v>31.54</v>
      </c>
      <c r="AI247" s="13">
        <f>IF(ISNUMBER(G$255),G247,"")</f>
        <v>32.73</v>
      </c>
      <c r="AJ247" s="13">
        <f>IF(ISNUMBER(H$255),H247,"")</f>
        <v>30.64</v>
      </c>
      <c r="AK247" s="13">
        <f>IF(ISNUMBER(I$255),I247,"")</f>
        <v>31.83</v>
      </c>
      <c r="AL247" s="13">
        <f>IF(ISNUMBER(J$255),J247,"")</f>
        <v>30.05</v>
      </c>
      <c r="AM247" s="13">
        <f>IF(ISNUMBER(K$255),K247,"")</f>
        <v>31.24</v>
      </c>
      <c r="AN247" s="13">
        <f>IF(ISNUMBER(L$255),L247,"")</f>
        <v>29.75</v>
      </c>
      <c r="AO247" s="13">
        <f>IF(ISNUMBER(M$255),M247,"")</f>
        <v>30.94</v>
      </c>
      <c r="AP247" s="13">
        <f>IF(ISNUMBER(N$255),N247,"")</f>
        <v>32.13</v>
      </c>
      <c r="AQ247" s="13">
        <f>IF(C247="Ручная",O247,0)</f>
        <v>29.75</v>
      </c>
    </row>
    <row r="248" spans="1:43" ht="40" customHeight="1">
      <c r="A248" s="5" t="s">
        <v>189</v>
      </c>
      <c r="B248" s="5" t="s">
        <v>195</v>
      </c>
      <c r="C248" s="11" t="s">
        <v>196</v>
      </c>
      <c r="D248" s="7" t="s">
        <v>197</v>
      </c>
      <c r="E248" s="18">
        <f>'Ассортимент'!R19</f>
        <v>300</v>
      </c>
      <c r="F248" s="18">
        <f>'Ассортимент'!R19</f>
        <v>300</v>
      </c>
      <c r="G248" s="18">
        <f>'Ассортимент'!R19</f>
        <v>300</v>
      </c>
      <c r="H248" s="18">
        <f>'Ассортимент'!R19</f>
        <v>300</v>
      </c>
      <c r="I248" s="18">
        <f>'Ассортимент'!R19</f>
        <v>300</v>
      </c>
      <c r="J248" s="18">
        <f>'Ассортимент'!R19</f>
        <v>300</v>
      </c>
      <c r="K248" s="18">
        <f>'Ассортимент'!R19</f>
        <v>300</v>
      </c>
      <c r="L248" s="18">
        <f>'Ассортимент'!R19</f>
        <v>300</v>
      </c>
      <c r="M248" s="18">
        <f>'Ассортимент'!R19</f>
        <v>300</v>
      </c>
      <c r="N248" s="18">
        <f>'Ассортимент'!R19</f>
        <v>300</v>
      </c>
      <c r="O248" s="13">
        <f>IF(COUNT(AG248:AP248)&gt;0,MIN(AG248:AP248),"")</f>
        <v>300</v>
      </c>
      <c r="P248" s="13">
        <f>IF(COUNT(AG248:AP248)&gt;0,MAX(AG248:AP248),"")</f>
        <v>300</v>
      </c>
      <c r="Q248" s="13">
        <f>IF(ISNUMBER(O248),P248-O248,"")</f>
        <v>0</v>
      </c>
      <c r="R248" s="13">
        <f>IF(ISNUMBER(O248),IF(C248="Ручная",IF($S$255&gt;0,$R$255*Q248/$S$255,IF($W$255=6,$R$255,0)),0),"")</f>
        <v>0</v>
      </c>
      <c r="S248" s="13">
        <f>IF(ISNUMBER(O248),O248+R248,"")</f>
        <v>300</v>
      </c>
      <c r="T248" s="13">
        <f>IF(ISNUMBER(S248),P248-S248,"")</f>
        <v>0</v>
      </c>
      <c r="U248" s="13">
        <f>IF(COUNT(AG248:AP248)&gt;0,AVERAGE(AG248:AP248),"")</f>
        <v>300</v>
      </c>
      <c r="AG248" s="13">
        <f>IF(ISNUMBER(E$255),E248,"")</f>
        <v>300</v>
      </c>
      <c r="AH248" s="13">
        <f>IF(ISNUMBER(F$255),F248,"")</f>
        <v>300</v>
      </c>
      <c r="AI248" s="13">
        <f>IF(ISNUMBER(G$255),G248,"")</f>
        <v>300</v>
      </c>
      <c r="AJ248" s="13">
        <f>IF(ISNUMBER(H$255),H248,"")</f>
        <v>300</v>
      </c>
      <c r="AK248" s="13">
        <f>IF(ISNUMBER(I$255),I248,"")</f>
        <v>300</v>
      </c>
      <c r="AL248" s="13">
        <f>IF(ISNUMBER(J$255),J248,"")</f>
        <v>300</v>
      </c>
      <c r="AM248" s="13">
        <f>IF(ISNUMBER(K$255),K248,"")</f>
        <v>300</v>
      </c>
      <c r="AN248" s="13">
        <f>IF(ISNUMBER(L$255),L248,"")</f>
        <v>300</v>
      </c>
      <c r="AO248" s="13">
        <f>IF(ISNUMBER(M$255),M248,"")</f>
        <v>300</v>
      </c>
      <c r="AP248" s="13">
        <f>IF(ISNUMBER(N$255),N248,"")</f>
        <v>300</v>
      </c>
      <c r="AQ248" s="13">
        <f>IF(C248="Ручная",O248,0)</f>
        <v>0</v>
      </c>
    </row>
    <row r="249" spans="1:43" ht="40" customHeight="1">
      <c r="A249" s="5">
        <v>7</v>
      </c>
      <c r="B249" s="5" t="s">
        <v>198</v>
      </c>
      <c r="C249" s="11" t="s">
        <v>183</v>
      </c>
      <c r="D249" s="7" t="s">
        <v>199</v>
      </c>
      <c r="E249" s="12">
        <v>28.35</v>
      </c>
      <c r="F249" s="12">
        <v>27</v>
      </c>
      <c r="G249" s="12">
        <v>28.08</v>
      </c>
      <c r="H249" s="12">
        <v>29.16</v>
      </c>
      <c r="I249" s="12">
        <v>27.54</v>
      </c>
      <c r="J249" s="12">
        <v>28.62</v>
      </c>
      <c r="K249" s="12">
        <v>29.7</v>
      </c>
      <c r="L249" s="12">
        <v>27.81</v>
      </c>
      <c r="M249" s="12">
        <v>28.89</v>
      </c>
      <c r="N249" s="12">
        <v>27.27</v>
      </c>
      <c r="O249" s="13">
        <f>IF(COUNT(AG249:AP249)&gt;0,MIN(AG249:AP249),"")</f>
        <v>27</v>
      </c>
      <c r="P249" s="13">
        <f>IF(COUNT(AG249:AP249)&gt;0,MAX(AG249:AP249),"")</f>
        <v>29.7</v>
      </c>
      <c r="Q249" s="13">
        <f>IF(ISNUMBER(O249),P249-O249,"")</f>
        <v>2.7</v>
      </c>
      <c r="R249" s="13">
        <f>IF(ISNUMBER(O249),IF(C249="Ручная",IF($S$255&gt;0,$R$255*Q249/$S$255,IF($W$255=7,$R$255,0)),0),"")</f>
        <v>0.918541202672608</v>
      </c>
      <c r="S249" s="13">
        <f>IF(ISNUMBER(O249),O249+R249,"")</f>
        <v>27.9185412026726</v>
      </c>
      <c r="T249" s="13">
        <f>IF(ISNUMBER(S249),P249-S249,"")</f>
        <v>1.78145879732739</v>
      </c>
      <c r="U249" s="13">
        <f>IF(COUNT(AG249:AP249)&gt;0,AVERAGE(AG249:AP249),"")</f>
        <v>28.242</v>
      </c>
      <c r="AG249" s="13">
        <f>IF(ISNUMBER(E$255),E249,"")</f>
        <v>28.35</v>
      </c>
      <c r="AH249" s="13">
        <f>IF(ISNUMBER(F$255),F249,"")</f>
        <v>27</v>
      </c>
      <c r="AI249" s="13">
        <f>IF(ISNUMBER(G$255),G249,"")</f>
        <v>28.08</v>
      </c>
      <c r="AJ249" s="13">
        <f>IF(ISNUMBER(H$255),H249,"")</f>
        <v>29.16</v>
      </c>
      <c r="AK249" s="13">
        <f>IF(ISNUMBER(I$255),I249,"")</f>
        <v>27.54</v>
      </c>
      <c r="AL249" s="13">
        <f>IF(ISNUMBER(J$255),J249,"")</f>
        <v>28.62</v>
      </c>
      <c r="AM249" s="13">
        <f>IF(ISNUMBER(K$255),K249,"")</f>
        <v>29.7</v>
      </c>
      <c r="AN249" s="13">
        <f>IF(ISNUMBER(L$255),L249,"")</f>
        <v>27.81</v>
      </c>
      <c r="AO249" s="13">
        <f>IF(ISNUMBER(M$255),M249,"")</f>
        <v>28.89</v>
      </c>
      <c r="AP249" s="13">
        <f>IF(ISNUMBER(N$255),N249,"")</f>
        <v>27.27</v>
      </c>
      <c r="AQ249" s="13">
        <f>IF(C249="Ручная",O249,0)</f>
        <v>27</v>
      </c>
    </row>
    <row r="250" spans="1:43" ht="40" customHeight="1">
      <c r="A250" s="5">
        <v>8</v>
      </c>
      <c r="B250" s="5" t="s">
        <v>200</v>
      </c>
      <c r="C250" s="11" t="s">
        <v>183</v>
      </c>
      <c r="D250" s="7" t="s">
        <v>201</v>
      </c>
      <c r="E250" s="12">
        <v>19.44</v>
      </c>
      <c r="F250" s="12">
        <v>18.36</v>
      </c>
      <c r="G250" s="12">
        <v>19.08</v>
      </c>
      <c r="H250" s="12">
        <v>19.8</v>
      </c>
      <c r="I250" s="12">
        <v>18.54</v>
      </c>
      <c r="J250" s="12">
        <v>19.26</v>
      </c>
      <c r="K250" s="12">
        <v>18.18</v>
      </c>
      <c r="L250" s="12">
        <v>18.9</v>
      </c>
      <c r="M250" s="12">
        <v>18</v>
      </c>
      <c r="N250" s="12">
        <v>18.72</v>
      </c>
      <c r="O250" s="13">
        <f>IF(COUNT(AG250:AP250)&gt;0,MIN(AG250:AP250),"")</f>
        <v>18</v>
      </c>
      <c r="P250" s="13">
        <f>IF(COUNT(AG250:AP250)&gt;0,MAX(AG250:AP250),"")</f>
        <v>19.8</v>
      </c>
      <c r="Q250" s="13">
        <f>IF(ISNUMBER(O250),P250-O250,"")</f>
        <v>1.8</v>
      </c>
      <c r="R250" s="13">
        <f>IF(ISNUMBER(O250),IF(C250="Ручная",IF($S$255&gt;0,$R$255*Q250/$S$255,IF($W$255=8,$R$255,0)),0),"")</f>
        <v>0.612360801781739</v>
      </c>
      <c r="S250" s="13">
        <f>IF(ISNUMBER(O250),O250+R250,"")</f>
        <v>18.6123608017817</v>
      </c>
      <c r="T250" s="13">
        <f>IF(ISNUMBER(S250),P250-S250,"")</f>
        <v>1.18763919821826</v>
      </c>
      <c r="U250" s="13">
        <f>IF(COUNT(AG250:AP250)&gt;0,AVERAGE(AG250:AP250),"")</f>
        <v>18.828</v>
      </c>
      <c r="AG250" s="13">
        <f>IF(ISNUMBER(E$255),E250,"")</f>
        <v>19.44</v>
      </c>
      <c r="AH250" s="13">
        <f>IF(ISNUMBER(F$255),F250,"")</f>
        <v>18.36</v>
      </c>
      <c r="AI250" s="13">
        <f>IF(ISNUMBER(G$255),G250,"")</f>
        <v>19.08</v>
      </c>
      <c r="AJ250" s="13">
        <f>IF(ISNUMBER(H$255),H250,"")</f>
        <v>19.8</v>
      </c>
      <c r="AK250" s="13">
        <f>IF(ISNUMBER(I$255),I250,"")</f>
        <v>18.54</v>
      </c>
      <c r="AL250" s="13">
        <f>IF(ISNUMBER(J$255),J250,"")</f>
        <v>19.26</v>
      </c>
      <c r="AM250" s="13">
        <f>IF(ISNUMBER(K$255),K250,"")</f>
        <v>18.18</v>
      </c>
      <c r="AN250" s="13">
        <f>IF(ISNUMBER(L$255),L250,"")</f>
        <v>18.9</v>
      </c>
      <c r="AO250" s="13">
        <f>IF(ISNUMBER(M$255),M250,"")</f>
        <v>18</v>
      </c>
      <c r="AP250" s="13">
        <f>IF(ISNUMBER(N$255),N250,"")</f>
        <v>18.72</v>
      </c>
      <c r="AQ250" s="13">
        <f>IF(C250="Ручная",O250,0)</f>
        <v>18</v>
      </c>
    </row>
    <row r="251" spans="1:43" ht="40" customHeight="1">
      <c r="A251" s="5" t="s">
        <v>189</v>
      </c>
      <c r="B251" s="5" t="s">
        <v>202</v>
      </c>
      <c r="C251" s="11" t="s">
        <v>191</v>
      </c>
      <c r="D251" s="7" t="s">
        <v>203</v>
      </c>
      <c r="E251" s="12">
        <v>5.5</v>
      </c>
      <c r="F251" s="12">
        <v>5.15</v>
      </c>
      <c r="G251" s="12">
        <v>5.35</v>
      </c>
      <c r="H251" s="12">
        <v>5.05</v>
      </c>
      <c r="I251" s="12">
        <v>5.25</v>
      </c>
      <c r="J251" s="12">
        <v>5</v>
      </c>
      <c r="K251" s="12">
        <v>5.2</v>
      </c>
      <c r="L251" s="12">
        <v>5.4</v>
      </c>
      <c r="M251" s="12">
        <v>5.1</v>
      </c>
      <c r="N251" s="12">
        <v>5.3</v>
      </c>
      <c r="O251" s="13">
        <f>IF(COUNT(AG251:AP251)&gt;0,MIN(AG251:AP251),"")</f>
        <v>5</v>
      </c>
      <c r="P251" s="13">
        <f>IF(COUNT(AG251:AP251)&gt;0,MAX(AG251:AP251),"")</f>
        <v>5.5</v>
      </c>
      <c r="Q251" s="13">
        <f>IF(ISNUMBER(O251),P251-O251,"")</f>
        <v>0.5</v>
      </c>
      <c r="R251" s="13">
        <f>IF(ISNUMBER(O251),IF(C251="Ручная",IF($S$255&gt;0,$R$255*Q251/$S$255,IF($W$255=9,$R$255,0)),0),"")</f>
        <v>0</v>
      </c>
      <c r="S251" s="13">
        <f>IF(ISNUMBER(O251),O251+R251,"")</f>
        <v>5</v>
      </c>
      <c r="T251" s="13">
        <f>IF(ISNUMBER(S251),P251-S251,"")</f>
        <v>0.5</v>
      </c>
      <c r="U251" s="13">
        <f>IF(COUNT(AG251:AP251)&gt;0,AVERAGE(AG251:AP251),"")</f>
        <v>5.23</v>
      </c>
      <c r="AG251" s="13">
        <f>IF(ISNUMBER(E$255),E251,"")</f>
        <v>5.5</v>
      </c>
      <c r="AH251" s="13">
        <f>IF(ISNUMBER(F$255),F251,"")</f>
        <v>5.15</v>
      </c>
      <c r="AI251" s="13">
        <f>IF(ISNUMBER(G$255),G251,"")</f>
        <v>5.35</v>
      </c>
      <c r="AJ251" s="13">
        <f>IF(ISNUMBER(H$255),H251,"")</f>
        <v>5.05</v>
      </c>
      <c r="AK251" s="13">
        <f>IF(ISNUMBER(I$255),I251,"")</f>
        <v>5.25</v>
      </c>
      <c r="AL251" s="13">
        <f>IF(ISNUMBER(J$255),J251,"")</f>
        <v>5</v>
      </c>
      <c r="AM251" s="13">
        <f>IF(ISNUMBER(K$255),K251,"")</f>
        <v>5.2</v>
      </c>
      <c r="AN251" s="13">
        <f>IF(ISNUMBER(L$255),L251,"")</f>
        <v>5.4</v>
      </c>
      <c r="AO251" s="13">
        <f>IF(ISNUMBER(M$255),M251,"")</f>
        <v>5.1</v>
      </c>
      <c r="AP251" s="13">
        <f>IF(ISNUMBER(N$255),N251,"")</f>
        <v>5.3</v>
      </c>
      <c r="AQ251" s="13">
        <f>IF(C251="Ручная",O251,0)</f>
        <v>0</v>
      </c>
    </row>
    <row r="252" spans="1:43" ht="40" customHeight="1">
      <c r="A252" s="5" t="s">
        <v>189</v>
      </c>
      <c r="B252" s="5" t="s">
        <v>204</v>
      </c>
      <c r="C252" s="11" t="s">
        <v>191</v>
      </c>
      <c r="D252" s="7" t="s">
        <v>205</v>
      </c>
      <c r="E252" s="12">
        <v>5.05</v>
      </c>
      <c r="F252" s="12">
        <v>5.25</v>
      </c>
      <c r="G252" s="12">
        <v>5</v>
      </c>
      <c r="H252" s="12">
        <v>5.2</v>
      </c>
      <c r="I252" s="12">
        <v>5.4</v>
      </c>
      <c r="J252" s="12">
        <v>5.1</v>
      </c>
      <c r="K252" s="12">
        <v>5.3</v>
      </c>
      <c r="L252" s="12">
        <v>5.5</v>
      </c>
      <c r="M252" s="12">
        <v>5.15</v>
      </c>
      <c r="N252" s="12">
        <v>5.35</v>
      </c>
      <c r="O252" s="13">
        <f>IF(COUNT(AG252:AP252)&gt;0,MIN(AG252:AP252),"")</f>
        <v>5</v>
      </c>
      <c r="P252" s="13">
        <f>IF(COUNT(AG252:AP252)&gt;0,MAX(AG252:AP252),"")</f>
        <v>5.5</v>
      </c>
      <c r="Q252" s="13">
        <f>IF(ISNUMBER(O252),P252-O252,"")</f>
        <v>0.5</v>
      </c>
      <c r="R252" s="13">
        <f>IF(ISNUMBER(O252),IF(C252="Ручная",IF($S$255&gt;0,$R$255*Q252/$S$255,IF($W$255=10,$R$255,0)),0),"")</f>
        <v>0</v>
      </c>
      <c r="S252" s="13">
        <f>IF(ISNUMBER(O252),O252+R252,"")</f>
        <v>5</v>
      </c>
      <c r="T252" s="13">
        <f>IF(ISNUMBER(S252),P252-S252,"")</f>
        <v>0.5</v>
      </c>
      <c r="U252" s="13">
        <f>IF(COUNT(AG252:AP252)&gt;0,AVERAGE(AG252:AP252),"")</f>
        <v>5.23</v>
      </c>
      <c r="AG252" s="13">
        <f>IF(ISNUMBER(E$255),E252,"")</f>
        <v>5.05</v>
      </c>
      <c r="AH252" s="13">
        <f>IF(ISNUMBER(F$255),F252,"")</f>
        <v>5.25</v>
      </c>
      <c r="AI252" s="13">
        <f>IF(ISNUMBER(G$255),G252,"")</f>
        <v>5</v>
      </c>
      <c r="AJ252" s="13">
        <f>IF(ISNUMBER(H$255),H252,"")</f>
        <v>5.2</v>
      </c>
      <c r="AK252" s="13">
        <f>IF(ISNUMBER(I$255),I252,"")</f>
        <v>5.4</v>
      </c>
      <c r="AL252" s="13">
        <f>IF(ISNUMBER(J$255),J252,"")</f>
        <v>5.1</v>
      </c>
      <c r="AM252" s="13">
        <f>IF(ISNUMBER(K$255),K252,"")</f>
        <v>5.3</v>
      </c>
      <c r="AN252" s="13">
        <f>IF(ISNUMBER(L$255),L252,"")</f>
        <v>5.5</v>
      </c>
      <c r="AO252" s="13">
        <f>IF(ISNUMBER(M$255),M252,"")</f>
        <v>5.15</v>
      </c>
      <c r="AP252" s="13">
        <f>IF(ISNUMBER(N$255),N252,"")</f>
        <v>5.35</v>
      </c>
      <c r="AQ252" s="13">
        <f>IF(C252="Ручная",O252,0)</f>
        <v>0</v>
      </c>
    </row>
    <row r="253" spans="1:43" ht="40" customHeight="1">
      <c r="A253" s="5" t="s">
        <v>189</v>
      </c>
      <c r="B253" s="5" t="s">
        <v>206</v>
      </c>
      <c r="C253" s="11" t="s">
        <v>207</v>
      </c>
      <c r="D253" s="7" t="s">
        <v>208</v>
      </c>
      <c r="E253" s="12">
        <v>0</v>
      </c>
      <c r="F253" s="12">
        <v>0</v>
      </c>
      <c r="G253" s="12">
        <v>0</v>
      </c>
      <c r="H253" s="12">
        <v>0</v>
      </c>
      <c r="I253" s="12">
        <v>0</v>
      </c>
      <c r="J253" s="12">
        <v>0</v>
      </c>
      <c r="K253" s="12">
        <v>0</v>
      </c>
      <c r="L253" s="12">
        <v>0</v>
      </c>
      <c r="M253" s="12">
        <v>0</v>
      </c>
      <c r="N253" s="12">
        <v>0</v>
      </c>
      <c r="O253" s="13">
        <f>IF(COUNT(AG253:AP253)&gt;0,MIN(AG253:AP253),"")</f>
        <v>0</v>
      </c>
      <c r="P253" s="13">
        <f>IF(COUNT(AG253:AP253)&gt;0,MAX(AG253:AP253),"")</f>
        <v>0</v>
      </c>
      <c r="Q253" s="13">
        <f>IF(ISNUMBER(O253),P253-O253,"")</f>
        <v>0</v>
      </c>
      <c r="R253" s="13">
        <f>IF(ISNUMBER(O253),IF(C253="Ручная",IF($S$255&gt;0,$R$255*Q253/$S$255,IF($W$255=11,$R$255,0)),0),"")</f>
        <v>0</v>
      </c>
      <c r="S253" s="13">
        <f>IF(ISNUMBER(O253),O253+R253,"")</f>
        <v>0</v>
      </c>
      <c r="T253" s="13">
        <f>IF(ISNUMBER(S253),P253-S253,"")</f>
        <v>0</v>
      </c>
      <c r="U253" s="13">
        <f>IF(COUNT(AG253:AP253)&gt;0,AVERAGE(AG253:AP253),"")</f>
        <v>0</v>
      </c>
      <c r="AG253" s="13">
        <f>IF(ISNUMBER(E$255),E253,"")</f>
        <v>0</v>
      </c>
      <c r="AH253" s="13">
        <f>IF(ISNUMBER(F$255),F253,"")</f>
        <v>0</v>
      </c>
      <c r="AI253" s="13">
        <f>IF(ISNUMBER(G$255),G253,"")</f>
        <v>0</v>
      </c>
      <c r="AJ253" s="13">
        <f>IF(ISNUMBER(H$255),H253,"")</f>
        <v>0</v>
      </c>
      <c r="AK253" s="13">
        <f>IF(ISNUMBER(I$255),I253,"")</f>
        <v>0</v>
      </c>
      <c r="AL253" s="13">
        <f>IF(ISNUMBER(J$255),J253,"")</f>
        <v>0</v>
      </c>
      <c r="AM253" s="13">
        <f>IF(ISNUMBER(K$255),K253,"")</f>
        <v>0</v>
      </c>
      <c r="AN253" s="13">
        <f>IF(ISNUMBER(L$255),L253,"")</f>
        <v>0</v>
      </c>
      <c r="AO253" s="13">
        <f>IF(ISNUMBER(M$255),M253,"")</f>
        <v>0</v>
      </c>
      <c r="AP253" s="13">
        <f>IF(ISNUMBER(N$255),N253,"")</f>
        <v>0</v>
      </c>
      <c r="AQ253" s="13">
        <f>IF(C253="Ручная",O253,0)</f>
        <v>0</v>
      </c>
    </row>
    <row r="254" spans="1:43" ht="23" customHeight="1">
      <c r="B254" s="4" t="s">
        <v>209</v>
      </c>
      <c r="E254" s="6">
        <f>IF(COUNT(E243:E253)=11,SUM(E243:E253),"")</f>
        <v>505.47</v>
      </c>
      <c r="F254" s="6">
        <f>IF(COUNT(F243:F253)=11,SUM(F243:F253),"")</f>
        <v>506.54</v>
      </c>
      <c r="G254" s="6">
        <f>IF(COUNT(G243:G253)=11,SUM(G243:G253),"")</f>
        <v>504.81</v>
      </c>
      <c r="H254" s="6">
        <f>IF(COUNT(H243:H253)=11,SUM(H243:H253),"")</f>
        <v>506.47</v>
      </c>
      <c r="I254" s="6">
        <f>IF(COUNT(I243:I253)=11,SUM(I243:I253),"")</f>
        <v>503.61</v>
      </c>
      <c r="J254" s="6">
        <f>IF(COUNT(J243:J253)=11,SUM(J243:J253),"")</f>
        <v>504.76</v>
      </c>
      <c r="K254" s="6">
        <f>IF(COUNT(K243:K253)=11,SUM(K243:K253),"")</f>
        <v>502.75</v>
      </c>
      <c r="L254" s="6">
        <f>IF(COUNT(L243:L253)=11,SUM(L243:L253),"")</f>
        <v>502.42</v>
      </c>
      <c r="M254" s="6">
        <f>IF(COUNT(M243:M253)=11,SUM(M243:M253),"")</f>
        <v>506.97</v>
      </c>
      <c r="N254" s="6">
        <f>IF(COUNT(N243:N253)=11,SUM(N243:N253),"")</f>
        <v>501.66</v>
      </c>
      <c r="O254" s="6">
        <f>IF(COUNT(O243:O253)=11,SUM(O243:O253),"")</f>
        <v>495.55</v>
      </c>
      <c r="P254" s="6">
        <f>IF(COUNT(P243:P253)=11,SUM(P243:P253),"")</f>
        <v>515.11</v>
      </c>
      <c r="Q254" s="6">
        <f>IF(COUNT(Q243:Q253)=11,SUM(Q243:Q253),"")</f>
        <v>19.56</v>
      </c>
      <c r="R254" s="6">
        <f>IF(COUNT(R243:R253)=11,SUM(R243:R253),"")</f>
        <v>6.11000000000001</v>
      </c>
      <c r="S254" s="6">
        <f>IF(COUNT(S243:S253)=11,SUM(S243:S253),"")</f>
        <v>501.66</v>
      </c>
      <c r="T254" s="6">
        <f>IF(COUNT(T243:T253)=11,SUM(T243:T253),"")</f>
        <v>13.45</v>
      </c>
      <c r="U254" s="6">
        <f>IF(COUNT(U243:U253)=11,SUM(U243:U253),"")</f>
        <v>504.546</v>
      </c>
    </row>
    <row r="255" spans="1:43" ht="23" customHeight="1">
      <c r="B255" s="4" t="s">
        <v>210</v>
      </c>
      <c r="E255" s="6">
        <f>IF(AND(E241=1,COUNT(E243:E253)=11,MIN(E243:E253)&gt;=0),E254,"")</f>
        <v>505.47</v>
      </c>
      <c r="F255" s="6">
        <f>IF(AND(F241=1,COUNT(F243:F253)=11,MIN(F243:F253)&gt;=0),F254,"")</f>
        <v>506.54</v>
      </c>
      <c r="G255" s="6">
        <f>IF(AND(G241=1,COUNT(G243:G253)=11,MIN(G243:G253)&gt;=0),G254,"")</f>
        <v>504.81</v>
      </c>
      <c r="H255" s="6">
        <f>IF(AND(H241=1,COUNT(H243:H253)=11,MIN(H243:H253)&gt;=0),H254,"")</f>
        <v>506.47</v>
      </c>
      <c r="I255" s="6">
        <f>IF(AND(I241=1,COUNT(I243:I253)=11,MIN(I243:I253)&gt;=0),I254,"")</f>
        <v>503.61</v>
      </c>
      <c r="J255" s="6">
        <f>IF(AND(J241=1,COUNT(J243:J253)=11,MIN(J243:J253)&gt;=0),J254,"")</f>
        <v>504.76</v>
      </c>
      <c r="K255" s="6">
        <f>IF(AND(K241=1,COUNT(K243:K253)=11,MIN(K243:K253)&gt;=0),K254,"")</f>
        <v>502.75</v>
      </c>
      <c r="L255" s="6">
        <f>IF(AND(L241=1,COUNT(L243:L253)=11,MIN(L243:L253)&gt;=0),L254,"")</f>
        <v>502.42</v>
      </c>
      <c r="M255" s="6">
        <f>IF(AND(M241=1,COUNT(M243:M253)=11,MIN(M243:M253)&gt;=0),M254,"")</f>
        <v>506.97</v>
      </c>
      <c r="N255" s="6">
        <f>IF(AND(N241=1,COUNT(N243:N253)=11,MIN(N243:N253)&gt;=0),N254,"")</f>
        <v>501.66</v>
      </c>
      <c r="O255" s="6">
        <f>IF(COUNT(E255:N255)&gt;0,MIN(E255:N255),"")</f>
        <v>501.66</v>
      </c>
      <c r="P255" s="6">
        <f>IF(COUNT(E255:N255)&gt;0,MAX(E255:N255),"")</f>
        <v>506.97</v>
      </c>
      <c r="Q255" s="6">
        <f>IF(ISNUMBER(O255),P255-O255,"")</f>
        <v>5.30999999999995</v>
      </c>
      <c r="R255" s="6">
        <f>IF(ISNUMBER(O255),MAX(0,O255-O254),"")</f>
        <v>6.11000000000001</v>
      </c>
      <c r="S255" s="6">
        <f>SUMIF(C243:C253,"Ручная",Q243:Q253)</f>
        <v>17.96</v>
      </c>
      <c r="T255" s="6">
        <f>COUNT(E255:N255)</f>
        <v>10</v>
      </c>
      <c r="U255" s="6">
        <f>IF(COUNT(E255:N255)&gt;0,AVERAGE(E255:N255),"")</f>
        <v>504.546</v>
      </c>
      <c r="V255" s="6">
        <f>IF(ISNUMBER(O255),S254-O255,"")</f>
        <v>0</v>
      </c>
      <c r="W255" s="6">
        <f>MATCH(MAX(AQ243:AQ253),AQ243:AQ253,0)</f>
        <v>2</v>
      </c>
      <c r="X255" s="17" t="str">
        <f>IF(T255=0,"НЕТ ЗАМЕРОВ",IF(T255&lt;10,"МЕНЕЕ 10 ЦИКЛОВ",IF(ABS(V255)&lt;0.000001,"ОК","ОШИБКА РЕГУЛИРОВКИ")))</f>
        <v>ОК</v>
      </c>
    </row>
    <row r="256" spans="1:43" ht="23" customHeight="1">
      <c r="A256" s="7" t="s">
        <v>211</v>
      </c>
      <c r="B256" s="7"/>
      <c r="C256" s="7"/>
      <c r="D256" s="7"/>
      <c r="E256" s="7"/>
      <c r="F256" s="7"/>
      <c r="G256" s="7"/>
      <c r="H256" s="7"/>
      <c r="I256" s="7"/>
      <c r="J256" s="7"/>
      <c r="K256" s="7"/>
      <c r="L256" s="7"/>
      <c r="M256" s="7"/>
      <c r="N256" s="7"/>
      <c r="O256" s="7"/>
      <c r="P256" s="7"/>
      <c r="Q256" s="7"/>
      <c r="R256" s="7"/>
      <c r="S256" s="7"/>
      <c r="T256" s="7"/>
      <c r="U256" s="7"/>
      <c r="V256" s="7"/>
      <c r="W256" s="7"/>
      <c r="X256" s="7"/>
    </row>
    <row r="259" spans="1:43" ht="23" customHeight="1">
      <c r="A259" s="4" t="s">
        <v>242</v>
      </c>
      <c r="B259" s="4"/>
      <c r="C259" s="4"/>
      <c r="D259" s="4"/>
      <c r="E259" s="4"/>
      <c r="F259" s="4"/>
      <c r="G259" s="4"/>
      <c r="H259" s="4"/>
      <c r="I259" s="4"/>
      <c r="J259" s="4"/>
      <c r="K259" s="4"/>
      <c r="L259" s="4"/>
      <c r="M259" s="4"/>
      <c r="N259" s="4"/>
      <c r="O259" s="4"/>
      <c r="P259" s="4"/>
      <c r="Q259" s="4"/>
      <c r="R259" s="4"/>
      <c r="S259" s="4"/>
      <c r="T259" s="4"/>
      <c r="U259" s="4"/>
      <c r="V259" s="4"/>
      <c r="W259" s="4"/>
      <c r="X259" s="4"/>
    </row>
    <row r="260" spans="1:43" ht="23" customHeight="1">
      <c r="A260" s="7" t="str">
        <f>"Масса замера, кг: "&amp;'Ассортимент'!J20&amp;".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260" s="7"/>
      <c r="C260" s="7"/>
      <c r="D260" s="7"/>
      <c r="E260" s="7"/>
      <c r="F260" s="7"/>
      <c r="G260" s="7"/>
      <c r="H260" s="7"/>
      <c r="I260" s="7"/>
      <c r="J260" s="7"/>
      <c r="K260" s="7"/>
      <c r="L260" s="7"/>
      <c r="M260" s="7"/>
      <c r="N260" s="7"/>
      <c r="O260" s="7"/>
      <c r="P260" s="7"/>
      <c r="Q260" s="7"/>
      <c r="R260" s="7"/>
      <c r="S260" s="7"/>
      <c r="T260" s="7"/>
      <c r="U260" s="7"/>
      <c r="V260" s="7"/>
      <c r="W260" s="7"/>
      <c r="X260" s="7"/>
    </row>
    <row r="261" spans="1:43" ht="44" customHeight="1">
      <c r="A261" s="8" t="s">
        <v>113</v>
      </c>
      <c r="B261" s="8" t="s">
        <v>156</v>
      </c>
      <c r="C261" s="8" t="s">
        <v>157</v>
      </c>
      <c r="D261" s="8" t="s">
        <v>158</v>
      </c>
      <c r="E261" s="8" t="s">
        <v>159</v>
      </c>
      <c r="F261" s="8" t="s">
        <v>160</v>
      </c>
      <c r="G261" s="8" t="s">
        <v>161</v>
      </c>
      <c r="H261" s="8" t="s">
        <v>162</v>
      </c>
      <c r="I261" s="8" t="s">
        <v>163</v>
      </c>
      <c r="J261" s="8" t="s">
        <v>164</v>
      </c>
      <c r="K261" s="8" t="s">
        <v>165</v>
      </c>
      <c r="L261" s="8" t="s">
        <v>166</v>
      </c>
      <c r="M261" s="8" t="s">
        <v>167</v>
      </c>
      <c r="N261" s="8" t="s">
        <v>168</v>
      </c>
      <c r="O261" s="8" t="s">
        <v>169</v>
      </c>
      <c r="P261" s="8" t="s">
        <v>170</v>
      </c>
      <c r="Q261" s="8" t="s">
        <v>171</v>
      </c>
      <c r="R261" s="8" t="s">
        <v>172</v>
      </c>
      <c r="S261" s="8" t="s">
        <v>173</v>
      </c>
      <c r="T261" s="8" t="s">
        <v>174</v>
      </c>
      <c r="U261" s="8" t="s">
        <v>175</v>
      </c>
      <c r="V261" s="8" t="s">
        <v>176</v>
      </c>
      <c r="W261" s="8" t="s">
        <v>177</v>
      </c>
      <c r="X261" s="8" t="s">
        <v>178</v>
      </c>
    </row>
    <row r="262" spans="1:43" ht="23" customHeight="1">
      <c r="B262" s="5" t="s">
        <v>179</v>
      </c>
      <c r="E262" s="12">
        <v>1</v>
      </c>
      <c r="F262" s="12">
        <v>1</v>
      </c>
      <c r="G262" s="12">
        <v>1</v>
      </c>
      <c r="H262" s="12">
        <v>1</v>
      </c>
      <c r="I262" s="12">
        <v>1</v>
      </c>
      <c r="J262" s="12">
        <v>1</v>
      </c>
      <c r="K262" s="12">
        <v>1</v>
      </c>
      <c r="L262" s="12">
        <v>1</v>
      </c>
      <c r="M262" s="12">
        <v>1</v>
      </c>
      <c r="N262" s="12">
        <v>1</v>
      </c>
    </row>
    <row r="263" spans="1:43" ht="33" customHeight="1">
      <c r="B263" s="5" t="s">
        <v>180</v>
      </c>
      <c r="E263" s="9" t="s">
        <v>181</v>
      </c>
      <c r="F263" s="9" t="s">
        <v>181</v>
      </c>
      <c r="G263" s="9" t="s">
        <v>181</v>
      </c>
      <c r="H263" s="9" t="s">
        <v>181</v>
      </c>
      <c r="I263" s="9" t="s">
        <v>181</v>
      </c>
      <c r="J263" s="9" t="s">
        <v>181</v>
      </c>
      <c r="K263" s="9" t="s">
        <v>181</v>
      </c>
      <c r="L263" s="9" t="s">
        <v>181</v>
      </c>
      <c r="M263" s="9" t="s">
        <v>181</v>
      </c>
      <c r="N263" s="9" t="s">
        <v>181</v>
      </c>
    </row>
    <row r="264" spans="1:43" ht="40" customHeight="1">
      <c r="A264" s="5">
        <v>1</v>
      </c>
      <c r="B264" s="5" t="s">
        <v>182</v>
      </c>
      <c r="C264" s="11" t="s">
        <v>183</v>
      </c>
      <c r="D264" s="7" t="s">
        <v>184</v>
      </c>
      <c r="E264" s="12">
        <v>27</v>
      </c>
      <c r="F264" s="12">
        <v>25.5</v>
      </c>
      <c r="G264" s="12">
        <v>26.5</v>
      </c>
      <c r="H264" s="12">
        <v>27.5</v>
      </c>
      <c r="I264" s="12">
        <v>25.75</v>
      </c>
      <c r="J264" s="12">
        <v>26.75</v>
      </c>
      <c r="K264" s="12">
        <v>25.25</v>
      </c>
      <c r="L264" s="12">
        <v>26.25</v>
      </c>
      <c r="M264" s="12">
        <v>25</v>
      </c>
      <c r="N264" s="12">
        <v>26</v>
      </c>
      <c r="O264" s="13">
        <f>IF(COUNT(AG264:AP264)&gt;0,MIN(AG264:AP264),"")</f>
        <v>25</v>
      </c>
      <c r="P264" s="13">
        <f>IF(COUNT(AG264:AP264)&gt;0,MAX(AG264:AP264),"")</f>
        <v>27.5</v>
      </c>
      <c r="Q264" s="13">
        <f>IF(ISNUMBER(O264),P264-O264,"")</f>
        <v>2.5</v>
      </c>
      <c r="R264" s="13">
        <f>IF(ISNUMBER(O264),IF(C264="Ручная",IF($S$276&gt;0,$R$276*Q264/$S$276,IF($W$276=1,$R$276,0)),0),"")</f>
        <v>0.832014767932497</v>
      </c>
      <c r="S264" s="13">
        <f>IF(ISNUMBER(O264),O264+R264,"")</f>
        <v>25.8320147679325</v>
      </c>
      <c r="T264" s="13">
        <f>IF(ISNUMBER(S264),P264-S264,"")</f>
        <v>1.6679852320675</v>
      </c>
      <c r="U264" s="13">
        <f>IF(COUNT(AG264:AP264)&gt;0,AVERAGE(AG264:AP264),"")</f>
        <v>26.15</v>
      </c>
      <c r="AG264" s="13">
        <f>IF(ISNUMBER(E$276),E264,"")</f>
        <v>27</v>
      </c>
      <c r="AH264" s="13">
        <f>IF(ISNUMBER(F$276),F264,"")</f>
        <v>25.5</v>
      </c>
      <c r="AI264" s="13">
        <f>IF(ISNUMBER(G$276),G264,"")</f>
        <v>26.5</v>
      </c>
      <c r="AJ264" s="13">
        <f>IF(ISNUMBER(H$276),H264,"")</f>
        <v>27.5</v>
      </c>
      <c r="AK264" s="13">
        <f>IF(ISNUMBER(I$276),I264,"")</f>
        <v>25.75</v>
      </c>
      <c r="AL264" s="13">
        <f>IF(ISNUMBER(J$276),J264,"")</f>
        <v>26.75</v>
      </c>
      <c r="AM264" s="13">
        <f>IF(ISNUMBER(K$276),K264,"")</f>
        <v>25.25</v>
      </c>
      <c r="AN264" s="13">
        <f>IF(ISNUMBER(L$276),L264,"")</f>
        <v>26.25</v>
      </c>
      <c r="AO264" s="13">
        <f>IF(ISNUMBER(M$276),M264,"")</f>
        <v>25</v>
      </c>
      <c r="AP264" s="13">
        <f>IF(ISNUMBER(N$276),N264,"")</f>
        <v>26</v>
      </c>
      <c r="AQ264" s="13">
        <f>IF(C264="Ручная",O264,0)</f>
        <v>25</v>
      </c>
    </row>
    <row r="265" spans="1:43" ht="40" customHeight="1">
      <c r="A265" s="5">
        <v>2</v>
      </c>
      <c r="B265" s="5" t="s">
        <v>185</v>
      </c>
      <c r="C265" s="11" t="s">
        <v>183</v>
      </c>
      <c r="D265" s="7" t="s">
        <v>186</v>
      </c>
      <c r="E265" s="12">
        <v>77</v>
      </c>
      <c r="F265" s="12">
        <v>72.09999999999999</v>
      </c>
      <c r="G265" s="12">
        <v>74.90000000000001</v>
      </c>
      <c r="H265" s="12">
        <v>70.7</v>
      </c>
      <c r="I265" s="12">
        <v>73.5</v>
      </c>
      <c r="J265" s="12">
        <v>70</v>
      </c>
      <c r="K265" s="12">
        <v>72.8</v>
      </c>
      <c r="L265" s="12">
        <v>75.59999999999999</v>
      </c>
      <c r="M265" s="12">
        <v>71.40000000000001</v>
      </c>
      <c r="N265" s="12">
        <v>74.2</v>
      </c>
      <c r="O265" s="13">
        <f>IF(COUNT(AG265:AP265)&gt;0,MIN(AG265:AP265),"")</f>
        <v>70</v>
      </c>
      <c r="P265" s="13">
        <f>IF(COUNT(AG265:AP265)&gt;0,MAX(AG265:AP265),"")</f>
        <v>77</v>
      </c>
      <c r="Q265" s="13">
        <f>IF(ISNUMBER(O265),P265-O265,"")</f>
        <v>7</v>
      </c>
      <c r="R265" s="13">
        <f>IF(ISNUMBER(O265),IF(C265="Ручная",IF($S$276&gt;0,$R$276*Q265/$S$276,IF($W$276=2,$R$276,0)),0),"")</f>
        <v>2.32964135021099</v>
      </c>
      <c r="S265" s="13">
        <f>IF(ISNUMBER(O265),O265+R265,"")</f>
        <v>72.329641350211</v>
      </c>
      <c r="T265" s="13">
        <f>IF(ISNUMBER(S265),P265-S265,"")</f>
        <v>4.67035864978901</v>
      </c>
      <c r="U265" s="13">
        <f>IF(COUNT(AG265:AP265)&gt;0,AVERAGE(AG265:AP265),"")</f>
        <v>73.22</v>
      </c>
      <c r="AG265" s="13">
        <f>IF(ISNUMBER(E$276),E265,"")</f>
        <v>77</v>
      </c>
      <c r="AH265" s="13">
        <f>IF(ISNUMBER(F$276),F265,"")</f>
        <v>72.1</v>
      </c>
      <c r="AI265" s="13">
        <f>IF(ISNUMBER(G$276),G265,"")</f>
        <v>74.9</v>
      </c>
      <c r="AJ265" s="13">
        <f>IF(ISNUMBER(H$276),H265,"")</f>
        <v>70.7</v>
      </c>
      <c r="AK265" s="13">
        <f>IF(ISNUMBER(I$276),I265,"")</f>
        <v>73.5</v>
      </c>
      <c r="AL265" s="13">
        <f>IF(ISNUMBER(J$276),J265,"")</f>
        <v>70</v>
      </c>
      <c r="AM265" s="13">
        <f>IF(ISNUMBER(K$276),K265,"")</f>
        <v>72.8</v>
      </c>
      <c r="AN265" s="13">
        <f>IF(ISNUMBER(L$276),L265,"")</f>
        <v>75.6</v>
      </c>
      <c r="AO265" s="13">
        <f>IF(ISNUMBER(M$276),M265,"")</f>
        <v>71.4</v>
      </c>
      <c r="AP265" s="13">
        <f>IF(ISNUMBER(N$276),N265,"")</f>
        <v>74.2</v>
      </c>
      <c r="AQ265" s="13">
        <f>IF(C265="Ручная",O265,0)</f>
        <v>70</v>
      </c>
    </row>
    <row r="266" spans="1:43" ht="40" customHeight="1">
      <c r="A266" s="5">
        <v>3</v>
      </c>
      <c r="B266" s="5" t="s">
        <v>187</v>
      </c>
      <c r="C266" s="11" t="s">
        <v>183</v>
      </c>
      <c r="D266" s="7" t="s">
        <v>188</v>
      </c>
      <c r="E266" s="12">
        <v>20</v>
      </c>
      <c r="F266" s="12">
        <v>20.79</v>
      </c>
      <c r="G266" s="12">
        <v>19.8</v>
      </c>
      <c r="H266" s="12">
        <v>20.59</v>
      </c>
      <c r="I266" s="12">
        <v>21.38</v>
      </c>
      <c r="J266" s="12">
        <v>20.2</v>
      </c>
      <c r="K266" s="12">
        <v>20.99</v>
      </c>
      <c r="L266" s="12">
        <v>21.78</v>
      </c>
      <c r="M266" s="12">
        <v>20.39</v>
      </c>
      <c r="N266" s="12">
        <v>21.19</v>
      </c>
      <c r="O266" s="13">
        <f>IF(COUNT(AG266:AP266)&gt;0,MIN(AG266:AP266),"")</f>
        <v>19.8</v>
      </c>
      <c r="P266" s="13">
        <f>IF(COUNT(AG266:AP266)&gt;0,MAX(AG266:AP266),"")</f>
        <v>21.78</v>
      </c>
      <c r="Q266" s="13">
        <f>IF(ISNUMBER(O266),P266-O266,"")</f>
        <v>1.98</v>
      </c>
      <c r="R266" s="13">
        <f>IF(ISNUMBER(O266),IF(C266="Ручная",IF($S$276&gt;0,$R$276*Q266/$S$276,IF($W$276=3,$R$276,0)),0),"")</f>
        <v>0.658955696202538</v>
      </c>
      <c r="S266" s="13">
        <f>IF(ISNUMBER(O266),O266+R266,"")</f>
        <v>20.4589556962025</v>
      </c>
      <c r="T266" s="13">
        <f>IF(ISNUMBER(S266),P266-S266,"")</f>
        <v>1.32104430379746</v>
      </c>
      <c r="U266" s="13">
        <f>IF(COUNT(AG266:AP266)&gt;0,AVERAGE(AG266:AP266),"")</f>
        <v>20.711</v>
      </c>
      <c r="AG266" s="13">
        <f>IF(ISNUMBER(E$276),E266,"")</f>
        <v>20</v>
      </c>
      <c r="AH266" s="13">
        <f>IF(ISNUMBER(F$276),F266,"")</f>
        <v>20.79</v>
      </c>
      <c r="AI266" s="13">
        <f>IF(ISNUMBER(G$276),G266,"")</f>
        <v>19.8</v>
      </c>
      <c r="AJ266" s="13">
        <f>IF(ISNUMBER(H$276),H266,"")</f>
        <v>20.59</v>
      </c>
      <c r="AK266" s="13">
        <f>IF(ISNUMBER(I$276),I266,"")</f>
        <v>21.38</v>
      </c>
      <c r="AL266" s="13">
        <f>IF(ISNUMBER(J$276),J266,"")</f>
        <v>20.2</v>
      </c>
      <c r="AM266" s="13">
        <f>IF(ISNUMBER(K$276),K266,"")</f>
        <v>20.99</v>
      </c>
      <c r="AN266" s="13">
        <f>IF(ISNUMBER(L$276),L266,"")</f>
        <v>21.78</v>
      </c>
      <c r="AO266" s="13">
        <f>IF(ISNUMBER(M$276),M266,"")</f>
        <v>20.39</v>
      </c>
      <c r="AP266" s="13">
        <f>IF(ISNUMBER(N$276),N266,"")</f>
        <v>21.19</v>
      </c>
      <c r="AQ266" s="13">
        <f>IF(C266="Ручная",O266,0)</f>
        <v>19.8</v>
      </c>
    </row>
    <row r="267" spans="1:43" ht="40" customHeight="1">
      <c r="A267" s="5" t="s">
        <v>189</v>
      </c>
      <c r="B267" s="5" t="s">
        <v>190</v>
      </c>
      <c r="C267" s="11" t="s">
        <v>191</v>
      </c>
      <c r="D267" s="7" t="s">
        <v>192</v>
      </c>
      <c r="E267" s="12">
        <v>6.24</v>
      </c>
      <c r="F267" s="12">
        <v>6.48</v>
      </c>
      <c r="G267" s="12">
        <v>6.12</v>
      </c>
      <c r="H267" s="12">
        <v>6.36</v>
      </c>
      <c r="I267" s="12">
        <v>6.6</v>
      </c>
      <c r="J267" s="12">
        <v>6.18</v>
      </c>
      <c r="K267" s="12">
        <v>6.42</v>
      </c>
      <c r="L267" s="12">
        <v>6.06</v>
      </c>
      <c r="M267" s="12">
        <v>6.3</v>
      </c>
      <c r="N267" s="12">
        <v>6</v>
      </c>
      <c r="O267" s="13">
        <f>IF(COUNT(AG267:AP267)&gt;0,MIN(AG267:AP267),"")</f>
        <v>6</v>
      </c>
      <c r="P267" s="13">
        <f>IF(COUNT(AG267:AP267)&gt;0,MAX(AG267:AP267),"")</f>
        <v>6.6</v>
      </c>
      <c r="Q267" s="13">
        <f>IF(ISNUMBER(O267),P267-O267,"")</f>
        <v>0.6</v>
      </c>
      <c r="R267" s="13">
        <f>IF(ISNUMBER(O267),IF(C267="Ручная",IF($S$276&gt;0,$R$276*Q267/$S$276,IF($W$276=4,$R$276,0)),0),"")</f>
        <v>0</v>
      </c>
      <c r="S267" s="13">
        <f>IF(ISNUMBER(O267),O267+R267,"")</f>
        <v>6</v>
      </c>
      <c r="T267" s="13">
        <f>IF(ISNUMBER(S267),P267-S267,"")</f>
        <v>0.6</v>
      </c>
      <c r="U267" s="13">
        <f>IF(COUNT(AG267:AP267)&gt;0,AVERAGE(AG267:AP267),"")</f>
        <v>6.276</v>
      </c>
      <c r="AG267" s="13">
        <f>IF(ISNUMBER(E$276),E267,"")</f>
        <v>6.24</v>
      </c>
      <c r="AH267" s="13">
        <f>IF(ISNUMBER(F$276),F267,"")</f>
        <v>6.48</v>
      </c>
      <c r="AI267" s="13">
        <f>IF(ISNUMBER(G$276),G267,"")</f>
        <v>6.12</v>
      </c>
      <c r="AJ267" s="13">
        <f>IF(ISNUMBER(H$276),H267,"")</f>
        <v>6.36</v>
      </c>
      <c r="AK267" s="13">
        <f>IF(ISNUMBER(I$276),I267,"")</f>
        <v>6.6</v>
      </c>
      <c r="AL267" s="13">
        <f>IF(ISNUMBER(J$276),J267,"")</f>
        <v>6.18</v>
      </c>
      <c r="AM267" s="13">
        <f>IF(ISNUMBER(K$276),K267,"")</f>
        <v>6.42</v>
      </c>
      <c r="AN267" s="13">
        <f>IF(ISNUMBER(L$276),L267,"")</f>
        <v>6.06</v>
      </c>
      <c r="AO267" s="13">
        <f>IF(ISNUMBER(M$276),M267,"")</f>
        <v>6.3</v>
      </c>
      <c r="AP267" s="13">
        <f>IF(ISNUMBER(N$276),N267,"")</f>
        <v>6</v>
      </c>
      <c r="AQ267" s="13">
        <f>IF(C267="Ручная",O267,0)</f>
        <v>0</v>
      </c>
    </row>
    <row r="268" spans="1:43" ht="40" customHeight="1">
      <c r="A268" s="5">
        <v>5</v>
      </c>
      <c r="B268" s="5" t="s">
        <v>193</v>
      </c>
      <c r="C268" s="11" t="s">
        <v>183</v>
      </c>
      <c r="D268" s="7" t="s">
        <v>194</v>
      </c>
      <c r="E268" s="12">
        <v>31.54</v>
      </c>
      <c r="F268" s="12">
        <v>32.73</v>
      </c>
      <c r="G268" s="12">
        <v>30.64</v>
      </c>
      <c r="H268" s="12">
        <v>31.83</v>
      </c>
      <c r="I268" s="12">
        <v>30.05</v>
      </c>
      <c r="J268" s="12">
        <v>31.24</v>
      </c>
      <c r="K268" s="12">
        <v>29.75</v>
      </c>
      <c r="L268" s="12">
        <v>30.94</v>
      </c>
      <c r="M268" s="12">
        <v>32.13</v>
      </c>
      <c r="N268" s="12">
        <v>30.34</v>
      </c>
      <c r="O268" s="13">
        <f>IF(COUNT(AG268:AP268)&gt;0,MIN(AG268:AP268),"")</f>
        <v>29.75</v>
      </c>
      <c r="P268" s="13">
        <f>IF(COUNT(AG268:AP268)&gt;0,MAX(AG268:AP268),"")</f>
        <v>32.73</v>
      </c>
      <c r="Q268" s="13">
        <f>IF(ISNUMBER(O268),P268-O268,"")</f>
        <v>2.98</v>
      </c>
      <c r="R268" s="13">
        <f>IF(ISNUMBER(O268),IF(C268="Ручная",IF($S$276&gt;0,$R$276*Q268/$S$276,IF($W$276=5,$R$276,0)),0),"")</f>
        <v>0.991761603375536</v>
      </c>
      <c r="S268" s="13">
        <f>IF(ISNUMBER(O268),O268+R268,"")</f>
        <v>30.7417616033755</v>
      </c>
      <c r="T268" s="13">
        <f>IF(ISNUMBER(S268),P268-S268,"")</f>
        <v>1.98823839662446</v>
      </c>
      <c r="U268" s="13">
        <f>IF(COUNT(AG268:AP268)&gt;0,AVERAGE(AG268:AP268),"")</f>
        <v>31.119</v>
      </c>
      <c r="AG268" s="13">
        <f>IF(ISNUMBER(E$276),E268,"")</f>
        <v>31.54</v>
      </c>
      <c r="AH268" s="13">
        <f>IF(ISNUMBER(F$276),F268,"")</f>
        <v>32.73</v>
      </c>
      <c r="AI268" s="13">
        <f>IF(ISNUMBER(G$276),G268,"")</f>
        <v>30.64</v>
      </c>
      <c r="AJ268" s="13">
        <f>IF(ISNUMBER(H$276),H268,"")</f>
        <v>31.83</v>
      </c>
      <c r="AK268" s="13">
        <f>IF(ISNUMBER(I$276),I268,"")</f>
        <v>30.05</v>
      </c>
      <c r="AL268" s="13">
        <f>IF(ISNUMBER(J$276),J268,"")</f>
        <v>31.24</v>
      </c>
      <c r="AM268" s="13">
        <f>IF(ISNUMBER(K$276),K268,"")</f>
        <v>29.75</v>
      </c>
      <c r="AN268" s="13">
        <f>IF(ISNUMBER(L$276),L268,"")</f>
        <v>30.94</v>
      </c>
      <c r="AO268" s="13">
        <f>IF(ISNUMBER(M$276),M268,"")</f>
        <v>32.13</v>
      </c>
      <c r="AP268" s="13">
        <f>IF(ISNUMBER(N$276),N268,"")</f>
        <v>30.34</v>
      </c>
      <c r="AQ268" s="13">
        <f>IF(C268="Ручная",O268,0)</f>
        <v>29.75</v>
      </c>
    </row>
    <row r="269" spans="1:43" ht="40" customHeight="1">
      <c r="A269" s="5" t="s">
        <v>189</v>
      </c>
      <c r="B269" s="5" t="s">
        <v>195</v>
      </c>
      <c r="C269" s="11" t="s">
        <v>196</v>
      </c>
      <c r="D269" s="7" t="s">
        <v>197</v>
      </c>
      <c r="E269" s="18">
        <f>'Ассортимент'!R20</f>
        <v>300</v>
      </c>
      <c r="F269" s="18">
        <f>'Ассортимент'!R20</f>
        <v>300</v>
      </c>
      <c r="G269" s="18">
        <f>'Ассортимент'!R20</f>
        <v>300</v>
      </c>
      <c r="H269" s="18">
        <f>'Ассортимент'!R20</f>
        <v>300</v>
      </c>
      <c r="I269" s="18">
        <f>'Ассортимент'!R20</f>
        <v>300</v>
      </c>
      <c r="J269" s="18">
        <f>'Ассортимент'!R20</f>
        <v>300</v>
      </c>
      <c r="K269" s="18">
        <f>'Ассортимент'!R20</f>
        <v>300</v>
      </c>
      <c r="L269" s="18">
        <f>'Ассортимент'!R20</f>
        <v>300</v>
      </c>
      <c r="M269" s="18">
        <f>'Ассортимент'!R20</f>
        <v>300</v>
      </c>
      <c r="N269" s="18">
        <f>'Ассортимент'!R20</f>
        <v>300</v>
      </c>
      <c r="O269" s="13">
        <f>IF(COUNT(AG269:AP269)&gt;0,MIN(AG269:AP269),"")</f>
        <v>300</v>
      </c>
      <c r="P269" s="13">
        <f>IF(COUNT(AG269:AP269)&gt;0,MAX(AG269:AP269),"")</f>
        <v>300</v>
      </c>
      <c r="Q269" s="13">
        <f>IF(ISNUMBER(O269),P269-O269,"")</f>
        <v>0</v>
      </c>
      <c r="R269" s="13">
        <f>IF(ISNUMBER(O269),IF(C269="Ручная",IF($S$276&gt;0,$R$276*Q269/$S$276,IF($W$276=6,$R$276,0)),0),"")</f>
        <v>0</v>
      </c>
      <c r="S269" s="13">
        <f>IF(ISNUMBER(O269),O269+R269,"")</f>
        <v>300</v>
      </c>
      <c r="T269" s="13">
        <f>IF(ISNUMBER(S269),P269-S269,"")</f>
        <v>0</v>
      </c>
      <c r="U269" s="13">
        <f>IF(COUNT(AG269:AP269)&gt;0,AVERAGE(AG269:AP269),"")</f>
        <v>300</v>
      </c>
      <c r="AG269" s="13">
        <f>IF(ISNUMBER(E$276),E269,"")</f>
        <v>300</v>
      </c>
      <c r="AH269" s="13">
        <f>IF(ISNUMBER(F$276),F269,"")</f>
        <v>300</v>
      </c>
      <c r="AI269" s="13">
        <f>IF(ISNUMBER(G$276),G269,"")</f>
        <v>300</v>
      </c>
      <c r="AJ269" s="13">
        <f>IF(ISNUMBER(H$276),H269,"")</f>
        <v>300</v>
      </c>
      <c r="AK269" s="13">
        <f>IF(ISNUMBER(I$276),I269,"")</f>
        <v>300</v>
      </c>
      <c r="AL269" s="13">
        <f>IF(ISNUMBER(J$276),J269,"")</f>
        <v>300</v>
      </c>
      <c r="AM269" s="13">
        <f>IF(ISNUMBER(K$276),K269,"")</f>
        <v>300</v>
      </c>
      <c r="AN269" s="13">
        <f>IF(ISNUMBER(L$276),L269,"")</f>
        <v>300</v>
      </c>
      <c r="AO269" s="13">
        <f>IF(ISNUMBER(M$276),M269,"")</f>
        <v>300</v>
      </c>
      <c r="AP269" s="13">
        <f>IF(ISNUMBER(N$276),N269,"")</f>
        <v>300</v>
      </c>
      <c r="AQ269" s="13">
        <f>IF(C269="Ручная",O269,0)</f>
        <v>0</v>
      </c>
    </row>
    <row r="270" spans="1:43" ht="40" customHeight="1">
      <c r="A270" s="5">
        <v>7</v>
      </c>
      <c r="B270" s="5" t="s">
        <v>198</v>
      </c>
      <c r="C270" s="11" t="s">
        <v>183</v>
      </c>
      <c r="D270" s="7" t="s">
        <v>199</v>
      </c>
      <c r="E270" s="12">
        <v>27</v>
      </c>
      <c r="F270" s="12">
        <v>28.08</v>
      </c>
      <c r="G270" s="12">
        <v>29.16</v>
      </c>
      <c r="H270" s="12">
        <v>27.54</v>
      </c>
      <c r="I270" s="12">
        <v>28.62</v>
      </c>
      <c r="J270" s="12">
        <v>29.7</v>
      </c>
      <c r="K270" s="12">
        <v>27.81</v>
      </c>
      <c r="L270" s="12">
        <v>28.89</v>
      </c>
      <c r="M270" s="12">
        <v>27.27</v>
      </c>
      <c r="N270" s="12">
        <v>28.35</v>
      </c>
      <c r="O270" s="13">
        <f>IF(COUNT(AG270:AP270)&gt;0,MIN(AG270:AP270),"")</f>
        <v>27</v>
      </c>
      <c r="P270" s="13">
        <f>IF(COUNT(AG270:AP270)&gt;0,MAX(AG270:AP270),"")</f>
        <v>29.7</v>
      </c>
      <c r="Q270" s="13">
        <f>IF(ISNUMBER(O270),P270-O270,"")</f>
        <v>2.7</v>
      </c>
      <c r="R270" s="13">
        <f>IF(ISNUMBER(O270),IF(C270="Ручная",IF($S$276&gt;0,$R$276*Q270/$S$276,IF($W$276=7,$R$276,0)),0),"")</f>
        <v>0.898575949367097</v>
      </c>
      <c r="S270" s="13">
        <f>IF(ISNUMBER(O270),O270+R270,"")</f>
        <v>27.8985759493671</v>
      </c>
      <c r="T270" s="13">
        <f>IF(ISNUMBER(S270),P270-S270,"")</f>
        <v>1.8014240506329</v>
      </c>
      <c r="U270" s="13">
        <f>IF(COUNT(AG270:AP270)&gt;0,AVERAGE(AG270:AP270),"")</f>
        <v>28.242</v>
      </c>
      <c r="AG270" s="13">
        <f>IF(ISNUMBER(E$276),E270,"")</f>
        <v>27</v>
      </c>
      <c r="AH270" s="13">
        <f>IF(ISNUMBER(F$276),F270,"")</f>
        <v>28.08</v>
      </c>
      <c r="AI270" s="13">
        <f>IF(ISNUMBER(G$276),G270,"")</f>
        <v>29.16</v>
      </c>
      <c r="AJ270" s="13">
        <f>IF(ISNUMBER(H$276),H270,"")</f>
        <v>27.54</v>
      </c>
      <c r="AK270" s="13">
        <f>IF(ISNUMBER(I$276),I270,"")</f>
        <v>28.62</v>
      </c>
      <c r="AL270" s="13">
        <f>IF(ISNUMBER(J$276),J270,"")</f>
        <v>29.7</v>
      </c>
      <c r="AM270" s="13">
        <f>IF(ISNUMBER(K$276),K270,"")</f>
        <v>27.81</v>
      </c>
      <c r="AN270" s="13">
        <f>IF(ISNUMBER(L$276),L270,"")</f>
        <v>28.89</v>
      </c>
      <c r="AO270" s="13">
        <f>IF(ISNUMBER(M$276),M270,"")</f>
        <v>27.27</v>
      </c>
      <c r="AP270" s="13">
        <f>IF(ISNUMBER(N$276),N270,"")</f>
        <v>28.35</v>
      </c>
      <c r="AQ270" s="13">
        <f>IF(C270="Ручная",O270,0)</f>
        <v>27</v>
      </c>
    </row>
    <row r="271" spans="1:43" ht="40" customHeight="1">
      <c r="A271" s="5">
        <v>8</v>
      </c>
      <c r="B271" s="5" t="s">
        <v>200</v>
      </c>
      <c r="C271" s="11" t="s">
        <v>183</v>
      </c>
      <c r="D271" s="7" t="s">
        <v>201</v>
      </c>
      <c r="E271" s="12">
        <v>18.36</v>
      </c>
      <c r="F271" s="12">
        <v>19.08</v>
      </c>
      <c r="G271" s="12">
        <v>19.8</v>
      </c>
      <c r="H271" s="12">
        <v>18.54</v>
      </c>
      <c r="I271" s="12">
        <v>19.26</v>
      </c>
      <c r="J271" s="12">
        <v>18.18</v>
      </c>
      <c r="K271" s="12">
        <v>18.9</v>
      </c>
      <c r="L271" s="12">
        <v>18</v>
      </c>
      <c r="M271" s="12">
        <v>18.72</v>
      </c>
      <c r="N271" s="12">
        <v>19.44</v>
      </c>
      <c r="O271" s="13">
        <f>IF(COUNT(AG271:AP271)&gt;0,MIN(AG271:AP271),"")</f>
        <v>18</v>
      </c>
      <c r="P271" s="13">
        <f>IF(COUNT(AG271:AP271)&gt;0,MAX(AG271:AP271),"")</f>
        <v>19.8</v>
      </c>
      <c r="Q271" s="13">
        <f>IF(ISNUMBER(O271),P271-O271,"")</f>
        <v>1.8</v>
      </c>
      <c r="R271" s="13">
        <f>IF(ISNUMBER(O271),IF(C271="Ручная",IF($S$276&gt;0,$R$276*Q271/$S$276,IF($W$276=8,$R$276,0)),0),"")</f>
        <v>0.599050632911398</v>
      </c>
      <c r="S271" s="13">
        <f>IF(ISNUMBER(O271),O271+R271,"")</f>
        <v>18.5990506329114</v>
      </c>
      <c r="T271" s="13">
        <f>IF(ISNUMBER(S271),P271-S271,"")</f>
        <v>1.2009493670886</v>
      </c>
      <c r="U271" s="13">
        <f>IF(COUNT(AG271:AP271)&gt;0,AVERAGE(AG271:AP271),"")</f>
        <v>18.828</v>
      </c>
      <c r="AG271" s="13">
        <f>IF(ISNUMBER(E$276),E271,"")</f>
        <v>18.36</v>
      </c>
      <c r="AH271" s="13">
        <f>IF(ISNUMBER(F$276),F271,"")</f>
        <v>19.08</v>
      </c>
      <c r="AI271" s="13">
        <f>IF(ISNUMBER(G$276),G271,"")</f>
        <v>19.8</v>
      </c>
      <c r="AJ271" s="13">
        <f>IF(ISNUMBER(H$276),H271,"")</f>
        <v>18.54</v>
      </c>
      <c r="AK271" s="13">
        <f>IF(ISNUMBER(I$276),I271,"")</f>
        <v>19.26</v>
      </c>
      <c r="AL271" s="13">
        <f>IF(ISNUMBER(J$276),J271,"")</f>
        <v>18.18</v>
      </c>
      <c r="AM271" s="13">
        <f>IF(ISNUMBER(K$276),K271,"")</f>
        <v>18.9</v>
      </c>
      <c r="AN271" s="13">
        <f>IF(ISNUMBER(L$276),L271,"")</f>
        <v>18</v>
      </c>
      <c r="AO271" s="13">
        <f>IF(ISNUMBER(M$276),M271,"")</f>
        <v>18.72</v>
      </c>
      <c r="AP271" s="13">
        <f>IF(ISNUMBER(N$276),N271,"")</f>
        <v>19.44</v>
      </c>
      <c r="AQ271" s="13">
        <f>IF(C271="Ручная",O271,0)</f>
        <v>18</v>
      </c>
    </row>
    <row r="272" spans="1:43" ht="40" customHeight="1">
      <c r="A272" s="5" t="s">
        <v>189</v>
      </c>
      <c r="B272" s="5" t="s">
        <v>202</v>
      </c>
      <c r="C272" s="11" t="s">
        <v>191</v>
      </c>
      <c r="D272" s="7" t="s">
        <v>203</v>
      </c>
      <c r="E272" s="12">
        <v>5.15</v>
      </c>
      <c r="F272" s="12">
        <v>5.35</v>
      </c>
      <c r="G272" s="12">
        <v>5.05</v>
      </c>
      <c r="H272" s="12">
        <v>5.25</v>
      </c>
      <c r="I272" s="12">
        <v>5</v>
      </c>
      <c r="J272" s="12">
        <v>5.2</v>
      </c>
      <c r="K272" s="12">
        <v>5.4</v>
      </c>
      <c r="L272" s="12">
        <v>5.1</v>
      </c>
      <c r="M272" s="12">
        <v>5.3</v>
      </c>
      <c r="N272" s="12">
        <v>5.5</v>
      </c>
      <c r="O272" s="13">
        <f>IF(COUNT(AG272:AP272)&gt;0,MIN(AG272:AP272),"")</f>
        <v>5</v>
      </c>
      <c r="P272" s="13">
        <f>IF(COUNT(AG272:AP272)&gt;0,MAX(AG272:AP272),"")</f>
        <v>5.5</v>
      </c>
      <c r="Q272" s="13">
        <f>IF(ISNUMBER(O272),P272-O272,"")</f>
        <v>0.5</v>
      </c>
      <c r="R272" s="13">
        <f>IF(ISNUMBER(O272),IF(C272="Ручная",IF($S$276&gt;0,$R$276*Q272/$S$276,IF($W$276=9,$R$276,0)),0),"")</f>
        <v>0</v>
      </c>
      <c r="S272" s="13">
        <f>IF(ISNUMBER(O272),O272+R272,"")</f>
        <v>5</v>
      </c>
      <c r="T272" s="13">
        <f>IF(ISNUMBER(S272),P272-S272,"")</f>
        <v>0.5</v>
      </c>
      <c r="U272" s="13">
        <f>IF(COUNT(AG272:AP272)&gt;0,AVERAGE(AG272:AP272),"")</f>
        <v>5.23</v>
      </c>
      <c r="AG272" s="13">
        <f>IF(ISNUMBER(E$276),E272,"")</f>
        <v>5.15</v>
      </c>
      <c r="AH272" s="13">
        <f>IF(ISNUMBER(F$276),F272,"")</f>
        <v>5.35</v>
      </c>
      <c r="AI272" s="13">
        <f>IF(ISNUMBER(G$276),G272,"")</f>
        <v>5.05</v>
      </c>
      <c r="AJ272" s="13">
        <f>IF(ISNUMBER(H$276),H272,"")</f>
        <v>5.25</v>
      </c>
      <c r="AK272" s="13">
        <f>IF(ISNUMBER(I$276),I272,"")</f>
        <v>5</v>
      </c>
      <c r="AL272" s="13">
        <f>IF(ISNUMBER(J$276),J272,"")</f>
        <v>5.2</v>
      </c>
      <c r="AM272" s="13">
        <f>IF(ISNUMBER(K$276),K272,"")</f>
        <v>5.4</v>
      </c>
      <c r="AN272" s="13">
        <f>IF(ISNUMBER(L$276),L272,"")</f>
        <v>5.1</v>
      </c>
      <c r="AO272" s="13">
        <f>IF(ISNUMBER(M$276),M272,"")</f>
        <v>5.3</v>
      </c>
      <c r="AP272" s="13">
        <f>IF(ISNUMBER(N$276),N272,"")</f>
        <v>5.5</v>
      </c>
      <c r="AQ272" s="13">
        <f>IF(C272="Ручная",O272,0)</f>
        <v>0</v>
      </c>
    </row>
    <row r="273" spans="1:43" ht="40" customHeight="1">
      <c r="A273" s="5" t="s">
        <v>189</v>
      </c>
      <c r="B273" s="5" t="s">
        <v>204</v>
      </c>
      <c r="C273" s="11" t="s">
        <v>191</v>
      </c>
      <c r="D273" s="7" t="s">
        <v>205</v>
      </c>
      <c r="E273" s="12">
        <v>5.25</v>
      </c>
      <c r="F273" s="12">
        <v>5</v>
      </c>
      <c r="G273" s="12">
        <v>5.2</v>
      </c>
      <c r="H273" s="12">
        <v>5.4</v>
      </c>
      <c r="I273" s="12">
        <v>5.1</v>
      </c>
      <c r="J273" s="12">
        <v>5.3</v>
      </c>
      <c r="K273" s="12">
        <v>5.5</v>
      </c>
      <c r="L273" s="12">
        <v>5.15</v>
      </c>
      <c r="M273" s="12">
        <v>5.35</v>
      </c>
      <c r="N273" s="12">
        <v>5.05</v>
      </c>
      <c r="O273" s="13">
        <f>IF(COUNT(AG273:AP273)&gt;0,MIN(AG273:AP273),"")</f>
        <v>5</v>
      </c>
      <c r="P273" s="13">
        <f>IF(COUNT(AG273:AP273)&gt;0,MAX(AG273:AP273),"")</f>
        <v>5.5</v>
      </c>
      <c r="Q273" s="13">
        <f>IF(ISNUMBER(O273),P273-O273,"")</f>
        <v>0.5</v>
      </c>
      <c r="R273" s="13">
        <f>IF(ISNUMBER(O273),IF(C273="Ручная",IF($S$276&gt;0,$R$276*Q273/$S$276,IF($W$276=10,$R$276,0)),0),"")</f>
        <v>0</v>
      </c>
      <c r="S273" s="13">
        <f>IF(ISNUMBER(O273),O273+R273,"")</f>
        <v>5</v>
      </c>
      <c r="T273" s="13">
        <f>IF(ISNUMBER(S273),P273-S273,"")</f>
        <v>0.5</v>
      </c>
      <c r="U273" s="13">
        <f>IF(COUNT(AG273:AP273)&gt;0,AVERAGE(AG273:AP273),"")</f>
        <v>5.23</v>
      </c>
      <c r="AG273" s="13">
        <f>IF(ISNUMBER(E$276),E273,"")</f>
        <v>5.25</v>
      </c>
      <c r="AH273" s="13">
        <f>IF(ISNUMBER(F$276),F273,"")</f>
        <v>5</v>
      </c>
      <c r="AI273" s="13">
        <f>IF(ISNUMBER(G$276),G273,"")</f>
        <v>5.2</v>
      </c>
      <c r="AJ273" s="13">
        <f>IF(ISNUMBER(H$276),H273,"")</f>
        <v>5.4</v>
      </c>
      <c r="AK273" s="13">
        <f>IF(ISNUMBER(I$276),I273,"")</f>
        <v>5.1</v>
      </c>
      <c r="AL273" s="13">
        <f>IF(ISNUMBER(J$276),J273,"")</f>
        <v>5.3</v>
      </c>
      <c r="AM273" s="13">
        <f>IF(ISNUMBER(K$276),K273,"")</f>
        <v>5.5</v>
      </c>
      <c r="AN273" s="13">
        <f>IF(ISNUMBER(L$276),L273,"")</f>
        <v>5.15</v>
      </c>
      <c r="AO273" s="13">
        <f>IF(ISNUMBER(M$276),M273,"")</f>
        <v>5.35</v>
      </c>
      <c r="AP273" s="13">
        <f>IF(ISNUMBER(N$276),N273,"")</f>
        <v>5.05</v>
      </c>
      <c r="AQ273" s="13">
        <f>IF(C273="Ручная",O273,0)</f>
        <v>0</v>
      </c>
    </row>
    <row r="274" spans="1:43" ht="40" customHeight="1">
      <c r="A274" s="5" t="s">
        <v>189</v>
      </c>
      <c r="B274" s="5" t="s">
        <v>206</v>
      </c>
      <c r="C274" s="11" t="s">
        <v>207</v>
      </c>
      <c r="D274" s="7" t="s">
        <v>208</v>
      </c>
      <c r="E274" s="12">
        <v>0</v>
      </c>
      <c r="F274" s="12">
        <v>0</v>
      </c>
      <c r="G274" s="12">
        <v>0</v>
      </c>
      <c r="H274" s="12">
        <v>0</v>
      </c>
      <c r="I274" s="12">
        <v>0</v>
      </c>
      <c r="J274" s="12">
        <v>0</v>
      </c>
      <c r="K274" s="12">
        <v>0</v>
      </c>
      <c r="L274" s="12">
        <v>0</v>
      </c>
      <c r="M274" s="12">
        <v>0</v>
      </c>
      <c r="N274" s="12">
        <v>0</v>
      </c>
      <c r="O274" s="13">
        <f>IF(COUNT(AG274:AP274)&gt;0,MIN(AG274:AP274),"")</f>
        <v>0</v>
      </c>
      <c r="P274" s="13">
        <f>IF(COUNT(AG274:AP274)&gt;0,MAX(AG274:AP274),"")</f>
        <v>0</v>
      </c>
      <c r="Q274" s="13">
        <f>IF(ISNUMBER(O274),P274-O274,"")</f>
        <v>0</v>
      </c>
      <c r="R274" s="13">
        <f>IF(ISNUMBER(O274),IF(C274="Ручная",IF($S$276&gt;0,$R$276*Q274/$S$276,IF($W$276=11,$R$276,0)),0),"")</f>
        <v>0</v>
      </c>
      <c r="S274" s="13">
        <f>IF(ISNUMBER(O274),O274+R274,"")</f>
        <v>0</v>
      </c>
      <c r="T274" s="13">
        <f>IF(ISNUMBER(S274),P274-S274,"")</f>
        <v>0</v>
      </c>
      <c r="U274" s="13">
        <f>IF(COUNT(AG274:AP274)&gt;0,AVERAGE(AG274:AP274),"")</f>
        <v>0</v>
      </c>
      <c r="AG274" s="13">
        <f>IF(ISNUMBER(E$276),E274,"")</f>
        <v>0</v>
      </c>
      <c r="AH274" s="13">
        <f>IF(ISNUMBER(F$276),F274,"")</f>
        <v>0</v>
      </c>
      <c r="AI274" s="13">
        <f>IF(ISNUMBER(G$276),G274,"")</f>
        <v>0</v>
      </c>
      <c r="AJ274" s="13">
        <f>IF(ISNUMBER(H$276),H274,"")</f>
        <v>0</v>
      </c>
      <c r="AK274" s="13">
        <f>IF(ISNUMBER(I$276),I274,"")</f>
        <v>0</v>
      </c>
      <c r="AL274" s="13">
        <f>IF(ISNUMBER(J$276),J274,"")</f>
        <v>0</v>
      </c>
      <c r="AM274" s="13">
        <f>IF(ISNUMBER(K$276),K274,"")</f>
        <v>0</v>
      </c>
      <c r="AN274" s="13">
        <f>IF(ISNUMBER(L$276),L274,"")</f>
        <v>0</v>
      </c>
      <c r="AO274" s="13">
        <f>IF(ISNUMBER(M$276),M274,"")</f>
        <v>0</v>
      </c>
      <c r="AP274" s="13">
        <f>IF(ISNUMBER(N$276),N274,"")</f>
        <v>0</v>
      </c>
      <c r="AQ274" s="13">
        <f>IF(C274="Ручная",O274,0)</f>
        <v>0</v>
      </c>
    </row>
    <row r="275" spans="1:43" ht="23" customHeight="1">
      <c r="B275" s="4" t="s">
        <v>209</v>
      </c>
      <c r="E275" s="6">
        <f>IF(COUNT(E264:E274)=11,SUM(E264:E274),"")</f>
        <v>517.54</v>
      </c>
      <c r="F275" s="6">
        <f>IF(COUNT(F264:F274)=11,SUM(F264:F274),"")</f>
        <v>515.11</v>
      </c>
      <c r="G275" s="6">
        <f>IF(COUNT(G264:G274)=11,SUM(G264:G274),"")</f>
        <v>517.17</v>
      </c>
      <c r="H275" s="6">
        <f>IF(COUNT(H264:H274)=11,SUM(H264:H274),"")</f>
        <v>513.71</v>
      </c>
      <c r="I275" s="6">
        <f>IF(COUNT(I264:I274)=11,SUM(I264:I274),"")</f>
        <v>515.26</v>
      </c>
      <c r="J275" s="6">
        <f>IF(COUNT(J264:J274)=11,SUM(J264:J274),"")</f>
        <v>512.75</v>
      </c>
      <c r="K275" s="6">
        <f>IF(COUNT(K264:K274)=11,SUM(K264:K274),"")</f>
        <v>512.82</v>
      </c>
      <c r="L275" s="6">
        <f>IF(COUNT(L264:L274)=11,SUM(L264:L274),"")</f>
        <v>517.77</v>
      </c>
      <c r="M275" s="6">
        <f>IF(COUNT(M264:M274)=11,SUM(M264:M274),"")</f>
        <v>511.86</v>
      </c>
      <c r="N275" s="6">
        <f>IF(COUNT(N264:N274)=11,SUM(N264:N274),"")</f>
        <v>516.07</v>
      </c>
      <c r="O275" s="6">
        <f>IF(COUNT(O264:O274)=11,SUM(O264:O274),"")</f>
        <v>505.55</v>
      </c>
      <c r="P275" s="6">
        <f>IF(COUNT(P264:P274)=11,SUM(P264:P274),"")</f>
        <v>526.11</v>
      </c>
      <c r="Q275" s="6">
        <f>IF(COUNT(Q264:Q274)=11,SUM(Q264:Q274),"")</f>
        <v>20.56</v>
      </c>
      <c r="R275" s="6">
        <f>IF(COUNT(R264:R274)=11,SUM(R264:R274),"")</f>
        <v>6.31000000000006</v>
      </c>
      <c r="S275" s="6">
        <f>IF(COUNT(S264:S274)=11,SUM(S264:S274),"")</f>
        <v>511.86</v>
      </c>
      <c r="T275" s="6">
        <f>IF(COUNT(T264:T274)=11,SUM(T264:T274),"")</f>
        <v>14.2499999999999</v>
      </c>
      <c r="U275" s="6">
        <f>IF(COUNT(U264:U274)=11,SUM(U264:U274),"")</f>
        <v>515.006</v>
      </c>
    </row>
    <row r="276" spans="1:43" ht="23" customHeight="1">
      <c r="B276" s="4" t="s">
        <v>210</v>
      </c>
      <c r="E276" s="6">
        <f>IF(AND(E262=1,COUNT(E264:E274)=11,MIN(E264:E274)&gt;=0),E275,"")</f>
        <v>517.54</v>
      </c>
      <c r="F276" s="6">
        <f>IF(AND(F262=1,COUNT(F264:F274)=11,MIN(F264:F274)&gt;=0),F275,"")</f>
        <v>515.11</v>
      </c>
      <c r="G276" s="6">
        <f>IF(AND(G262=1,COUNT(G264:G274)=11,MIN(G264:G274)&gt;=0),G275,"")</f>
        <v>517.17</v>
      </c>
      <c r="H276" s="6">
        <f>IF(AND(H262=1,COUNT(H264:H274)=11,MIN(H264:H274)&gt;=0),H275,"")</f>
        <v>513.71</v>
      </c>
      <c r="I276" s="6">
        <f>IF(AND(I262=1,COUNT(I264:I274)=11,MIN(I264:I274)&gt;=0),I275,"")</f>
        <v>515.26</v>
      </c>
      <c r="J276" s="6">
        <f>IF(AND(J262=1,COUNT(J264:J274)=11,MIN(J264:J274)&gt;=0),J275,"")</f>
        <v>512.75</v>
      </c>
      <c r="K276" s="6">
        <f>IF(AND(K262=1,COUNT(K264:K274)=11,MIN(K264:K274)&gt;=0),K275,"")</f>
        <v>512.82</v>
      </c>
      <c r="L276" s="6">
        <f>IF(AND(L262=1,COUNT(L264:L274)=11,MIN(L264:L274)&gt;=0),L275,"")</f>
        <v>517.77</v>
      </c>
      <c r="M276" s="6">
        <f>IF(AND(M262=1,COUNT(M264:M274)=11,MIN(M264:M274)&gt;=0),M275,"")</f>
        <v>511.86</v>
      </c>
      <c r="N276" s="6">
        <f>IF(AND(N262=1,COUNT(N264:N274)=11,MIN(N264:N274)&gt;=0),N275,"")</f>
        <v>516.07</v>
      </c>
      <c r="O276" s="6">
        <f>IF(COUNT(E276:N276)&gt;0,MIN(E276:N276),"")</f>
        <v>511.86</v>
      </c>
      <c r="P276" s="6">
        <f>IF(COUNT(E276:N276)&gt;0,MAX(E276:N276),"")</f>
        <v>517.77</v>
      </c>
      <c r="Q276" s="6">
        <f>IF(ISNUMBER(O276),P276-O276,"")</f>
        <v>5.90999999999991</v>
      </c>
      <c r="R276" s="6">
        <f>IF(ISNUMBER(O276),MAX(0,O276-O275),"")</f>
        <v>6.31000000000006</v>
      </c>
      <c r="S276" s="6">
        <f>SUMIF(C264:C274,"Ручная",Q264:Q274)</f>
        <v>18.96</v>
      </c>
      <c r="T276" s="6">
        <f>COUNT(E276:N276)</f>
        <v>10</v>
      </c>
      <c r="U276" s="6">
        <f>IF(COUNT(E276:N276)&gt;0,AVERAGE(E276:N276),"")</f>
        <v>515.006</v>
      </c>
      <c r="V276" s="6">
        <f>IF(ISNUMBER(O276),S275-O276,"")</f>
        <v>0</v>
      </c>
      <c r="W276" s="6">
        <f>MATCH(MAX(AQ264:AQ274),AQ264:AQ274,0)</f>
        <v>2</v>
      </c>
      <c r="X276" s="17" t="str">
        <f>IF(T276=0,"НЕТ ЗАМЕРОВ",IF(T276&lt;10,"МЕНЕЕ 10 ЦИКЛОВ",IF(ABS(V276)&lt;0.000001,"ОК","ОШИБКА РЕГУЛИРОВКИ")))</f>
        <v>ОК</v>
      </c>
    </row>
    <row r="277" spans="1:43" ht="23" customHeight="1">
      <c r="A277" s="7" t="s">
        <v>211</v>
      </c>
      <c r="B277" s="7"/>
      <c r="C277" s="7"/>
      <c r="D277" s="7"/>
      <c r="E277" s="7"/>
      <c r="F277" s="7"/>
      <c r="G277" s="7"/>
      <c r="H277" s="7"/>
      <c r="I277" s="7"/>
      <c r="J277" s="7"/>
      <c r="K277" s="7"/>
      <c r="L277" s="7"/>
      <c r="M277" s="7"/>
      <c r="N277" s="7"/>
      <c r="O277" s="7"/>
      <c r="P277" s="7"/>
      <c r="Q277" s="7"/>
      <c r="R277" s="7"/>
      <c r="S277" s="7"/>
      <c r="T277" s="7"/>
      <c r="U277" s="7"/>
      <c r="V277" s="7"/>
      <c r="W277" s="7"/>
      <c r="X277" s="7"/>
    </row>
    <row r="280" spans="1:43" ht="23" customHeight="1">
      <c r="A280" s="4" t="s">
        <v>243</v>
      </c>
      <c r="B280" s="4"/>
      <c r="C280" s="4"/>
      <c r="D280" s="4"/>
      <c r="E280" s="4"/>
      <c r="F280" s="4"/>
      <c r="G280" s="4"/>
      <c r="H280" s="4"/>
      <c r="I280" s="4"/>
      <c r="J280" s="4"/>
      <c r="K280" s="4"/>
      <c r="L280" s="4"/>
      <c r="M280" s="4"/>
      <c r="N280" s="4"/>
      <c r="O280" s="4"/>
      <c r="P280" s="4"/>
      <c r="Q280" s="4"/>
      <c r="R280" s="4"/>
      <c r="S280" s="4"/>
      <c r="T280" s="4"/>
      <c r="U280" s="4"/>
      <c r="V280" s="4"/>
      <c r="W280" s="4"/>
      <c r="X280" s="4"/>
    </row>
    <row r="281" spans="1:43" ht="23" customHeight="1">
      <c r="A281" s="7" t="str">
        <f>"Масса замера, кг: "&amp;'Ассортимент'!J21&amp;". Все замеры одной партии/исполнителя/условий. Основание: "&amp;'Ввод'!B15</f>
        <v>Масса замера, кг: 1.5. Все замеры одной партии/исполнителя/условий. Основание: ДЕМО: прогноз; улучшения не внедрены</v>
      </c>
      <c r="B281" s="7"/>
      <c r="C281" s="7"/>
      <c r="D281" s="7"/>
      <c r="E281" s="7"/>
      <c r="F281" s="7"/>
      <c r="G281" s="7"/>
      <c r="H281" s="7"/>
      <c r="I281" s="7"/>
      <c r="J281" s="7"/>
      <c r="K281" s="7"/>
      <c r="L281" s="7"/>
      <c r="M281" s="7"/>
      <c r="N281" s="7"/>
      <c r="O281" s="7"/>
      <c r="P281" s="7"/>
      <c r="Q281" s="7"/>
      <c r="R281" s="7"/>
      <c r="S281" s="7"/>
      <c r="T281" s="7"/>
      <c r="U281" s="7"/>
      <c r="V281" s="7"/>
      <c r="W281" s="7"/>
      <c r="X281" s="7"/>
    </row>
    <row r="282" spans="1:43" ht="44" customHeight="1">
      <c r="A282" s="8" t="s">
        <v>113</v>
      </c>
      <c r="B282" s="8" t="s">
        <v>156</v>
      </c>
      <c r="C282" s="8" t="s">
        <v>157</v>
      </c>
      <c r="D282" s="8" t="s">
        <v>158</v>
      </c>
      <c r="E282" s="8" t="s">
        <v>159</v>
      </c>
      <c r="F282" s="8" t="s">
        <v>160</v>
      </c>
      <c r="G282" s="8" t="s">
        <v>161</v>
      </c>
      <c r="H282" s="8" t="s">
        <v>162</v>
      </c>
      <c r="I282" s="8" t="s">
        <v>163</v>
      </c>
      <c r="J282" s="8" t="s">
        <v>164</v>
      </c>
      <c r="K282" s="8" t="s">
        <v>165</v>
      </c>
      <c r="L282" s="8" t="s">
        <v>166</v>
      </c>
      <c r="M282" s="8" t="s">
        <v>167</v>
      </c>
      <c r="N282" s="8" t="s">
        <v>168</v>
      </c>
      <c r="O282" s="8" t="s">
        <v>169</v>
      </c>
      <c r="P282" s="8" t="s">
        <v>170</v>
      </c>
      <c r="Q282" s="8" t="s">
        <v>171</v>
      </c>
      <c r="R282" s="8" t="s">
        <v>172</v>
      </c>
      <c r="S282" s="8" t="s">
        <v>173</v>
      </c>
      <c r="T282" s="8" t="s">
        <v>174</v>
      </c>
      <c r="U282" s="8" t="s">
        <v>175</v>
      </c>
      <c r="V282" s="8" t="s">
        <v>176</v>
      </c>
      <c r="W282" s="8" t="s">
        <v>177</v>
      </c>
      <c r="X282" s="8" t="s">
        <v>178</v>
      </c>
    </row>
    <row r="283" spans="1:43" ht="23" customHeight="1">
      <c r="B283" s="5" t="s">
        <v>179</v>
      </c>
      <c r="E283" s="12">
        <v>1</v>
      </c>
      <c r="F283" s="12">
        <v>1</v>
      </c>
      <c r="G283" s="12">
        <v>1</v>
      </c>
      <c r="H283" s="12">
        <v>1</v>
      </c>
      <c r="I283" s="12">
        <v>1</v>
      </c>
      <c r="J283" s="12">
        <v>1</v>
      </c>
      <c r="K283" s="12">
        <v>1</v>
      </c>
      <c r="L283" s="12">
        <v>1</v>
      </c>
      <c r="M283" s="12">
        <v>1</v>
      </c>
      <c r="N283" s="12">
        <v>1</v>
      </c>
    </row>
    <row r="284" spans="1:43" ht="33" customHeight="1">
      <c r="B284" s="5" t="s">
        <v>180</v>
      </c>
      <c r="E284" s="9" t="s">
        <v>181</v>
      </c>
      <c r="F284" s="9" t="s">
        <v>181</v>
      </c>
      <c r="G284" s="9" t="s">
        <v>181</v>
      </c>
      <c r="H284" s="9" t="s">
        <v>181</v>
      </c>
      <c r="I284" s="9" t="s">
        <v>181</v>
      </c>
      <c r="J284" s="9" t="s">
        <v>181</v>
      </c>
      <c r="K284" s="9" t="s">
        <v>181</v>
      </c>
      <c r="L284" s="9" t="s">
        <v>181</v>
      </c>
      <c r="M284" s="9" t="s">
        <v>181</v>
      </c>
      <c r="N284" s="9" t="s">
        <v>181</v>
      </c>
    </row>
    <row r="285" spans="1:43" ht="40" customHeight="1">
      <c r="A285" s="5">
        <v>1</v>
      </c>
      <c r="B285" s="5" t="s">
        <v>182</v>
      </c>
      <c r="C285" s="11" t="s">
        <v>183</v>
      </c>
      <c r="D285" s="7" t="s">
        <v>184</v>
      </c>
      <c r="E285" s="12">
        <v>25.5</v>
      </c>
      <c r="F285" s="12">
        <v>26.5</v>
      </c>
      <c r="G285" s="12">
        <v>27.5</v>
      </c>
      <c r="H285" s="12">
        <v>25.75</v>
      </c>
      <c r="I285" s="12">
        <v>26.75</v>
      </c>
      <c r="J285" s="12">
        <v>25.25</v>
      </c>
      <c r="K285" s="12">
        <v>26.25</v>
      </c>
      <c r="L285" s="12">
        <v>25</v>
      </c>
      <c r="M285" s="12">
        <v>26</v>
      </c>
      <c r="N285" s="12">
        <v>27</v>
      </c>
      <c r="O285" s="13">
        <f>IF(COUNT(AG285:AP285)&gt;0,MIN(AG285:AP285),"")</f>
        <v>25</v>
      </c>
      <c r="P285" s="13">
        <f>IF(COUNT(AG285:AP285)&gt;0,MAX(AG285:AP285),"")</f>
        <v>27.5</v>
      </c>
      <c r="Q285" s="13">
        <f>IF(ISNUMBER(O285),P285-O285,"")</f>
        <v>2.5</v>
      </c>
      <c r="R285" s="13">
        <f>IF(ISNUMBER(O285),IF(C285="Ручная",IF($S$297&gt;0,$R$297*Q285/$S$297,IF($W$297=1,$R$297,0)),0),"")</f>
        <v>0.841007583965335</v>
      </c>
      <c r="S285" s="13">
        <f>IF(ISNUMBER(O285),O285+R285,"")</f>
        <v>25.8410075839653</v>
      </c>
      <c r="T285" s="13">
        <f>IF(ISNUMBER(S285),P285-S285,"")</f>
        <v>1.65899241603466</v>
      </c>
      <c r="U285" s="13">
        <f>IF(COUNT(AG285:AP285)&gt;0,AVERAGE(AG285:AP285),"")</f>
        <v>26.15</v>
      </c>
      <c r="AG285" s="13">
        <f>IF(ISNUMBER(E$297),E285,"")</f>
        <v>25.5</v>
      </c>
      <c r="AH285" s="13">
        <f>IF(ISNUMBER(F$297),F285,"")</f>
        <v>26.5</v>
      </c>
      <c r="AI285" s="13">
        <f>IF(ISNUMBER(G$297),G285,"")</f>
        <v>27.5</v>
      </c>
      <c r="AJ285" s="13">
        <f>IF(ISNUMBER(H$297),H285,"")</f>
        <v>25.75</v>
      </c>
      <c r="AK285" s="13">
        <f>IF(ISNUMBER(I$297),I285,"")</f>
        <v>26.75</v>
      </c>
      <c r="AL285" s="13">
        <f>IF(ISNUMBER(J$297),J285,"")</f>
        <v>25.25</v>
      </c>
      <c r="AM285" s="13">
        <f>IF(ISNUMBER(K$297),K285,"")</f>
        <v>26.25</v>
      </c>
      <c r="AN285" s="13">
        <f>IF(ISNUMBER(L$297),L285,"")</f>
        <v>25</v>
      </c>
      <c r="AO285" s="13">
        <f>IF(ISNUMBER(M$297),M285,"")</f>
        <v>26</v>
      </c>
      <c r="AP285" s="13">
        <f>IF(ISNUMBER(N$297),N285,"")</f>
        <v>27</v>
      </c>
      <c r="AQ285" s="13">
        <f>IF(C285="Ручная",O285,0)</f>
        <v>25</v>
      </c>
    </row>
    <row r="286" spans="1:43" ht="40" customHeight="1">
      <c r="A286" s="5">
        <v>2</v>
      </c>
      <c r="B286" s="5" t="s">
        <v>185</v>
      </c>
      <c r="C286" s="11" t="s">
        <v>183</v>
      </c>
      <c r="D286" s="7" t="s">
        <v>186</v>
      </c>
      <c r="E286" s="12">
        <v>66.95</v>
      </c>
      <c r="F286" s="12">
        <v>69.55</v>
      </c>
      <c r="G286" s="12">
        <v>65.65000000000001</v>
      </c>
      <c r="H286" s="12">
        <v>68.25</v>
      </c>
      <c r="I286" s="12">
        <v>65</v>
      </c>
      <c r="J286" s="12">
        <v>67.59999999999999</v>
      </c>
      <c r="K286" s="12">
        <v>70.2</v>
      </c>
      <c r="L286" s="12">
        <v>66.3</v>
      </c>
      <c r="M286" s="12">
        <v>68.90000000000001</v>
      </c>
      <c r="N286" s="12">
        <v>71.5</v>
      </c>
      <c r="O286" s="13">
        <f>IF(COUNT(AG286:AP286)&gt;0,MIN(AG286:AP286),"")</f>
        <v>65</v>
      </c>
      <c r="P286" s="13">
        <f>IF(COUNT(AG286:AP286)&gt;0,MAX(AG286:AP286),"")</f>
        <v>71.5</v>
      </c>
      <c r="Q286" s="13">
        <f>IF(ISNUMBER(O286),P286-O286,"")</f>
        <v>6.5</v>
      </c>
      <c r="R286" s="13">
        <f>IF(ISNUMBER(O286),IF(C286="Ручная",IF($S$297&gt;0,$R$297*Q286/$S$297,IF($W$297=2,$R$297,0)),0),"")</f>
        <v>2.18661971830987</v>
      </c>
      <c r="S286" s="13">
        <f>IF(ISNUMBER(O286),O286+R286,"")</f>
        <v>67.1866197183099</v>
      </c>
      <c r="T286" s="13">
        <f>IF(ISNUMBER(S286),P286-S286,"")</f>
        <v>4.31338028169013</v>
      </c>
      <c r="U286" s="13">
        <f>IF(COUNT(AG286:AP286)&gt;0,AVERAGE(AG286:AP286),"")</f>
        <v>67.99</v>
      </c>
      <c r="AG286" s="13">
        <f>IF(ISNUMBER(E$297),E286,"")</f>
        <v>66.95</v>
      </c>
      <c r="AH286" s="13">
        <f>IF(ISNUMBER(F$297),F286,"")</f>
        <v>69.55</v>
      </c>
      <c r="AI286" s="13">
        <f>IF(ISNUMBER(G$297),G286,"")</f>
        <v>65.65</v>
      </c>
      <c r="AJ286" s="13">
        <f>IF(ISNUMBER(H$297),H286,"")</f>
        <v>68.25</v>
      </c>
      <c r="AK286" s="13">
        <f>IF(ISNUMBER(I$297),I286,"")</f>
        <v>65</v>
      </c>
      <c r="AL286" s="13">
        <f>IF(ISNUMBER(J$297),J286,"")</f>
        <v>67.6</v>
      </c>
      <c r="AM286" s="13">
        <f>IF(ISNUMBER(K$297),K286,"")</f>
        <v>70.2</v>
      </c>
      <c r="AN286" s="13">
        <f>IF(ISNUMBER(L$297),L286,"")</f>
        <v>66.3</v>
      </c>
      <c r="AO286" s="13">
        <f>IF(ISNUMBER(M$297),M286,"")</f>
        <v>68.9</v>
      </c>
      <c r="AP286" s="13">
        <f>IF(ISNUMBER(N$297),N286,"")</f>
        <v>71.5</v>
      </c>
      <c r="AQ286" s="13">
        <f>IF(C286="Ручная",O286,0)</f>
        <v>65</v>
      </c>
    </row>
    <row r="287" spans="1:43" ht="40" customHeight="1">
      <c r="A287" s="5">
        <v>3</v>
      </c>
      <c r="B287" s="5" t="s">
        <v>187</v>
      </c>
      <c r="C287" s="11" t="s">
        <v>183</v>
      </c>
      <c r="D287" s="7" t="s">
        <v>188</v>
      </c>
      <c r="E287" s="12">
        <v>20.79</v>
      </c>
      <c r="F287" s="12">
        <v>19.8</v>
      </c>
      <c r="G287" s="12">
        <v>20.59</v>
      </c>
      <c r="H287" s="12">
        <v>21.38</v>
      </c>
      <c r="I287" s="12">
        <v>20.2</v>
      </c>
      <c r="J287" s="12">
        <v>20.99</v>
      </c>
      <c r="K287" s="12">
        <v>21.78</v>
      </c>
      <c r="L287" s="12">
        <v>20.39</v>
      </c>
      <c r="M287" s="12">
        <v>21.19</v>
      </c>
      <c r="N287" s="12">
        <v>20</v>
      </c>
      <c r="O287" s="13">
        <f>IF(COUNT(AG287:AP287)&gt;0,MIN(AG287:AP287),"")</f>
        <v>19.8</v>
      </c>
      <c r="P287" s="13">
        <f>IF(COUNT(AG287:AP287)&gt;0,MAX(AG287:AP287),"")</f>
        <v>21.78</v>
      </c>
      <c r="Q287" s="13">
        <f>IF(ISNUMBER(O287),P287-O287,"")</f>
        <v>1.98</v>
      </c>
      <c r="R287" s="13">
        <f>IF(ISNUMBER(O287),IF(C287="Ручная",IF($S$297&gt;0,$R$297*Q287/$S$297,IF($W$297=3,$R$297,0)),0),"")</f>
        <v>0.666078006500546</v>
      </c>
      <c r="S287" s="13">
        <f>IF(ISNUMBER(O287),O287+R287,"")</f>
        <v>20.4660780065005</v>
      </c>
      <c r="T287" s="13">
        <f>IF(ISNUMBER(S287),P287-S287,"")</f>
        <v>1.31392199349946</v>
      </c>
      <c r="U287" s="13">
        <f>IF(COUNT(AG287:AP287)&gt;0,AVERAGE(AG287:AP287),"")</f>
        <v>20.711</v>
      </c>
      <c r="AG287" s="13">
        <f>IF(ISNUMBER(E$297),E287,"")</f>
        <v>20.79</v>
      </c>
      <c r="AH287" s="13">
        <f>IF(ISNUMBER(F$297),F287,"")</f>
        <v>19.8</v>
      </c>
      <c r="AI287" s="13">
        <f>IF(ISNUMBER(G$297),G287,"")</f>
        <v>20.59</v>
      </c>
      <c r="AJ287" s="13">
        <f>IF(ISNUMBER(H$297),H287,"")</f>
        <v>21.38</v>
      </c>
      <c r="AK287" s="13">
        <f>IF(ISNUMBER(I$297),I287,"")</f>
        <v>20.2</v>
      </c>
      <c r="AL287" s="13">
        <f>IF(ISNUMBER(J$297),J287,"")</f>
        <v>20.99</v>
      </c>
      <c r="AM287" s="13">
        <f>IF(ISNUMBER(K$297),K287,"")</f>
        <v>21.78</v>
      </c>
      <c r="AN287" s="13">
        <f>IF(ISNUMBER(L$297),L287,"")</f>
        <v>20.39</v>
      </c>
      <c r="AO287" s="13">
        <f>IF(ISNUMBER(M$297),M287,"")</f>
        <v>21.19</v>
      </c>
      <c r="AP287" s="13">
        <f>IF(ISNUMBER(N$297),N287,"")</f>
        <v>20</v>
      </c>
      <c r="AQ287" s="13">
        <f>IF(C287="Ручная",O287,0)</f>
        <v>19.8</v>
      </c>
    </row>
    <row r="288" spans="1:43" ht="40" customHeight="1">
      <c r="A288" s="5" t="s">
        <v>189</v>
      </c>
      <c r="B288" s="5" t="s">
        <v>190</v>
      </c>
      <c r="C288" s="11" t="s">
        <v>191</v>
      </c>
      <c r="D288" s="7" t="s">
        <v>192</v>
      </c>
      <c r="E288" s="12">
        <v>6.48</v>
      </c>
      <c r="F288" s="12">
        <v>6.12</v>
      </c>
      <c r="G288" s="12">
        <v>6.36</v>
      </c>
      <c r="H288" s="12">
        <v>6.6</v>
      </c>
      <c r="I288" s="12">
        <v>6.18</v>
      </c>
      <c r="J288" s="12">
        <v>6.42</v>
      </c>
      <c r="K288" s="12">
        <v>6.06</v>
      </c>
      <c r="L288" s="12">
        <v>6.3</v>
      </c>
      <c r="M288" s="12">
        <v>6</v>
      </c>
      <c r="N288" s="12">
        <v>6.24</v>
      </c>
      <c r="O288" s="13">
        <f>IF(COUNT(AG288:AP288)&gt;0,MIN(AG288:AP288),"")</f>
        <v>6</v>
      </c>
      <c r="P288" s="13">
        <f>IF(COUNT(AG288:AP288)&gt;0,MAX(AG288:AP288),"")</f>
        <v>6.6</v>
      </c>
      <c r="Q288" s="13">
        <f>IF(ISNUMBER(O288),P288-O288,"")</f>
        <v>0.6</v>
      </c>
      <c r="R288" s="13">
        <f>IF(ISNUMBER(O288),IF(C288="Ручная",IF($S$297&gt;0,$R$297*Q288/$S$297,IF($W$297=4,$R$297,0)),0),"")</f>
        <v>0</v>
      </c>
      <c r="S288" s="13">
        <f>IF(ISNUMBER(O288),O288+R288,"")</f>
        <v>6</v>
      </c>
      <c r="T288" s="13">
        <f>IF(ISNUMBER(S288),P288-S288,"")</f>
        <v>0.6</v>
      </c>
      <c r="U288" s="13">
        <f>IF(COUNT(AG288:AP288)&gt;0,AVERAGE(AG288:AP288),"")</f>
        <v>6.276</v>
      </c>
      <c r="AG288" s="13">
        <f>IF(ISNUMBER(E$297),E288,"")</f>
        <v>6.48</v>
      </c>
      <c r="AH288" s="13">
        <f>IF(ISNUMBER(F$297),F288,"")</f>
        <v>6.12</v>
      </c>
      <c r="AI288" s="13">
        <f>IF(ISNUMBER(G$297),G288,"")</f>
        <v>6.36</v>
      </c>
      <c r="AJ288" s="13">
        <f>IF(ISNUMBER(H$297),H288,"")</f>
        <v>6.6</v>
      </c>
      <c r="AK288" s="13">
        <f>IF(ISNUMBER(I$297),I288,"")</f>
        <v>6.18</v>
      </c>
      <c r="AL288" s="13">
        <f>IF(ISNUMBER(J$297),J288,"")</f>
        <v>6.42</v>
      </c>
      <c r="AM288" s="13">
        <f>IF(ISNUMBER(K$297),K288,"")</f>
        <v>6.06</v>
      </c>
      <c r="AN288" s="13">
        <f>IF(ISNUMBER(L$297),L288,"")</f>
        <v>6.3</v>
      </c>
      <c r="AO288" s="13">
        <f>IF(ISNUMBER(M$297),M288,"")</f>
        <v>6</v>
      </c>
      <c r="AP288" s="13">
        <f>IF(ISNUMBER(N$297),N288,"")</f>
        <v>6.24</v>
      </c>
      <c r="AQ288" s="13">
        <f>IF(C288="Ручная",O288,0)</f>
        <v>0</v>
      </c>
    </row>
    <row r="289" spans="1:43" ht="40" customHeight="1">
      <c r="A289" s="5">
        <v>5</v>
      </c>
      <c r="B289" s="5" t="s">
        <v>193</v>
      </c>
      <c r="C289" s="11" t="s">
        <v>183</v>
      </c>
      <c r="D289" s="7" t="s">
        <v>194</v>
      </c>
      <c r="E289" s="12">
        <v>32.73</v>
      </c>
      <c r="F289" s="12">
        <v>30.64</v>
      </c>
      <c r="G289" s="12">
        <v>31.83</v>
      </c>
      <c r="H289" s="12">
        <v>30.05</v>
      </c>
      <c r="I289" s="12">
        <v>31.24</v>
      </c>
      <c r="J289" s="12">
        <v>29.75</v>
      </c>
      <c r="K289" s="12">
        <v>30.94</v>
      </c>
      <c r="L289" s="12">
        <v>32.13</v>
      </c>
      <c r="M289" s="12">
        <v>30.34</v>
      </c>
      <c r="N289" s="12">
        <v>31.54</v>
      </c>
      <c r="O289" s="13">
        <f>IF(COUNT(AG289:AP289)&gt;0,MIN(AG289:AP289),"")</f>
        <v>29.75</v>
      </c>
      <c r="P289" s="13">
        <f>IF(COUNT(AG289:AP289)&gt;0,MAX(AG289:AP289),"")</f>
        <v>32.73</v>
      </c>
      <c r="Q289" s="13">
        <f>IF(ISNUMBER(O289),P289-O289,"")</f>
        <v>2.98</v>
      </c>
      <c r="R289" s="13">
        <f>IF(ISNUMBER(O289),IF(C289="Ручная",IF($S$297&gt;0,$R$297*Q289/$S$297,IF($W$297=5,$R$297,0)),0),"")</f>
        <v>1.00248104008668</v>
      </c>
      <c r="S289" s="13">
        <f>IF(ISNUMBER(O289),O289+R289,"")</f>
        <v>30.7524810400867</v>
      </c>
      <c r="T289" s="13">
        <f>IF(ISNUMBER(S289),P289-S289,"")</f>
        <v>1.97751895991332</v>
      </c>
      <c r="U289" s="13">
        <f>IF(COUNT(AG289:AP289)&gt;0,AVERAGE(AG289:AP289),"")</f>
        <v>31.119</v>
      </c>
      <c r="AG289" s="13">
        <f>IF(ISNUMBER(E$297),E289,"")</f>
        <v>32.73</v>
      </c>
      <c r="AH289" s="13">
        <f>IF(ISNUMBER(F$297),F289,"")</f>
        <v>30.64</v>
      </c>
      <c r="AI289" s="13">
        <f>IF(ISNUMBER(G$297),G289,"")</f>
        <v>31.83</v>
      </c>
      <c r="AJ289" s="13">
        <f>IF(ISNUMBER(H$297),H289,"")</f>
        <v>30.05</v>
      </c>
      <c r="AK289" s="13">
        <f>IF(ISNUMBER(I$297),I289,"")</f>
        <v>31.24</v>
      </c>
      <c r="AL289" s="13">
        <f>IF(ISNUMBER(J$297),J289,"")</f>
        <v>29.75</v>
      </c>
      <c r="AM289" s="13">
        <f>IF(ISNUMBER(K$297),K289,"")</f>
        <v>30.94</v>
      </c>
      <c r="AN289" s="13">
        <f>IF(ISNUMBER(L$297),L289,"")</f>
        <v>32.13</v>
      </c>
      <c r="AO289" s="13">
        <f>IF(ISNUMBER(M$297),M289,"")</f>
        <v>30.34</v>
      </c>
      <c r="AP289" s="13">
        <f>IF(ISNUMBER(N$297),N289,"")</f>
        <v>31.54</v>
      </c>
      <c r="AQ289" s="13">
        <f>IF(C289="Ручная",O289,0)</f>
        <v>29.75</v>
      </c>
    </row>
    <row r="290" spans="1:43" ht="40" customHeight="1">
      <c r="A290" s="5" t="s">
        <v>189</v>
      </c>
      <c r="B290" s="5" t="s">
        <v>195</v>
      </c>
      <c r="C290" s="11" t="s">
        <v>196</v>
      </c>
      <c r="D290" s="7" t="s">
        <v>197</v>
      </c>
      <c r="E290" s="18">
        <f>'Ассортимент'!R21</f>
        <v>300</v>
      </c>
      <c r="F290" s="18">
        <f>'Ассортимент'!R21</f>
        <v>300</v>
      </c>
      <c r="G290" s="18">
        <f>'Ассортимент'!R21</f>
        <v>300</v>
      </c>
      <c r="H290" s="18">
        <f>'Ассортимент'!R21</f>
        <v>300</v>
      </c>
      <c r="I290" s="18">
        <f>'Ассортимент'!R21</f>
        <v>300</v>
      </c>
      <c r="J290" s="18">
        <f>'Ассортимент'!R21</f>
        <v>300</v>
      </c>
      <c r="K290" s="18">
        <f>'Ассортимент'!R21</f>
        <v>300</v>
      </c>
      <c r="L290" s="18">
        <f>'Ассортимент'!R21</f>
        <v>300</v>
      </c>
      <c r="M290" s="18">
        <f>'Ассортимент'!R21</f>
        <v>300</v>
      </c>
      <c r="N290" s="18">
        <f>'Ассортимент'!R21</f>
        <v>300</v>
      </c>
      <c r="O290" s="13">
        <f>IF(COUNT(AG290:AP290)&gt;0,MIN(AG290:AP290),"")</f>
        <v>300</v>
      </c>
      <c r="P290" s="13">
        <f>IF(COUNT(AG290:AP290)&gt;0,MAX(AG290:AP290),"")</f>
        <v>300</v>
      </c>
      <c r="Q290" s="13">
        <f>IF(ISNUMBER(O290),P290-O290,"")</f>
        <v>0</v>
      </c>
      <c r="R290" s="13">
        <f>IF(ISNUMBER(O290),IF(C290="Ручная",IF($S$297&gt;0,$R$297*Q290/$S$297,IF($W$297=6,$R$297,0)),0),"")</f>
        <v>0</v>
      </c>
      <c r="S290" s="13">
        <f>IF(ISNUMBER(O290),O290+R290,"")</f>
        <v>300</v>
      </c>
      <c r="T290" s="13">
        <f>IF(ISNUMBER(S290),P290-S290,"")</f>
        <v>0</v>
      </c>
      <c r="U290" s="13">
        <f>IF(COUNT(AG290:AP290)&gt;0,AVERAGE(AG290:AP290),"")</f>
        <v>300</v>
      </c>
      <c r="AG290" s="13">
        <f>IF(ISNUMBER(E$297),E290,"")</f>
        <v>300</v>
      </c>
      <c r="AH290" s="13">
        <f>IF(ISNUMBER(F$297),F290,"")</f>
        <v>300</v>
      </c>
      <c r="AI290" s="13">
        <f>IF(ISNUMBER(G$297),G290,"")</f>
        <v>300</v>
      </c>
      <c r="AJ290" s="13">
        <f>IF(ISNUMBER(H$297),H290,"")</f>
        <v>300</v>
      </c>
      <c r="AK290" s="13">
        <f>IF(ISNUMBER(I$297),I290,"")</f>
        <v>300</v>
      </c>
      <c r="AL290" s="13">
        <f>IF(ISNUMBER(J$297),J290,"")</f>
        <v>300</v>
      </c>
      <c r="AM290" s="13">
        <f>IF(ISNUMBER(K$297),K290,"")</f>
        <v>300</v>
      </c>
      <c r="AN290" s="13">
        <f>IF(ISNUMBER(L$297),L290,"")</f>
        <v>300</v>
      </c>
      <c r="AO290" s="13">
        <f>IF(ISNUMBER(M$297),M290,"")</f>
        <v>300</v>
      </c>
      <c r="AP290" s="13">
        <f>IF(ISNUMBER(N$297),N290,"")</f>
        <v>300</v>
      </c>
      <c r="AQ290" s="13">
        <f>IF(C290="Ручная",O290,0)</f>
        <v>0</v>
      </c>
    </row>
    <row r="291" spans="1:43" ht="40" customHeight="1">
      <c r="A291" s="5">
        <v>7</v>
      </c>
      <c r="B291" s="5" t="s">
        <v>198</v>
      </c>
      <c r="C291" s="11" t="s">
        <v>183</v>
      </c>
      <c r="D291" s="7" t="s">
        <v>199</v>
      </c>
      <c r="E291" s="12">
        <v>28.08</v>
      </c>
      <c r="F291" s="12">
        <v>29.16</v>
      </c>
      <c r="G291" s="12">
        <v>27.54</v>
      </c>
      <c r="H291" s="12">
        <v>28.62</v>
      </c>
      <c r="I291" s="12">
        <v>29.7</v>
      </c>
      <c r="J291" s="12">
        <v>27.81</v>
      </c>
      <c r="K291" s="12">
        <v>28.89</v>
      </c>
      <c r="L291" s="12">
        <v>27.27</v>
      </c>
      <c r="M291" s="12">
        <v>28.35</v>
      </c>
      <c r="N291" s="12">
        <v>27</v>
      </c>
      <c r="O291" s="13">
        <f>IF(COUNT(AG291:AP291)&gt;0,MIN(AG291:AP291),"")</f>
        <v>27</v>
      </c>
      <c r="P291" s="13">
        <f>IF(COUNT(AG291:AP291)&gt;0,MAX(AG291:AP291),"")</f>
        <v>29.7</v>
      </c>
      <c r="Q291" s="13">
        <f>IF(ISNUMBER(O291),P291-O291,"")</f>
        <v>2.7</v>
      </c>
      <c r="R291" s="13">
        <f>IF(ISNUMBER(O291),IF(C291="Ручная",IF($S$297&gt;0,$R$297*Q291/$S$297,IF($W$297=7,$R$297,0)),0),"")</f>
        <v>0.908288190682562</v>
      </c>
      <c r="S291" s="13">
        <f>IF(ISNUMBER(O291),O291+R291,"")</f>
        <v>27.9082881906826</v>
      </c>
      <c r="T291" s="13">
        <f>IF(ISNUMBER(S291),P291-S291,"")</f>
        <v>1.79171180931744</v>
      </c>
      <c r="U291" s="13">
        <f>IF(COUNT(AG291:AP291)&gt;0,AVERAGE(AG291:AP291),"")</f>
        <v>28.242</v>
      </c>
      <c r="AG291" s="13">
        <f>IF(ISNUMBER(E$297),E291,"")</f>
        <v>28.08</v>
      </c>
      <c r="AH291" s="13">
        <f>IF(ISNUMBER(F$297),F291,"")</f>
        <v>29.16</v>
      </c>
      <c r="AI291" s="13">
        <f>IF(ISNUMBER(G$297),G291,"")</f>
        <v>27.54</v>
      </c>
      <c r="AJ291" s="13">
        <f>IF(ISNUMBER(H$297),H291,"")</f>
        <v>28.62</v>
      </c>
      <c r="AK291" s="13">
        <f>IF(ISNUMBER(I$297),I291,"")</f>
        <v>29.7</v>
      </c>
      <c r="AL291" s="13">
        <f>IF(ISNUMBER(J$297),J291,"")</f>
        <v>27.81</v>
      </c>
      <c r="AM291" s="13">
        <f>IF(ISNUMBER(K$297),K291,"")</f>
        <v>28.89</v>
      </c>
      <c r="AN291" s="13">
        <f>IF(ISNUMBER(L$297),L291,"")</f>
        <v>27.27</v>
      </c>
      <c r="AO291" s="13">
        <f>IF(ISNUMBER(M$297),M291,"")</f>
        <v>28.35</v>
      </c>
      <c r="AP291" s="13">
        <f>IF(ISNUMBER(N$297),N291,"")</f>
        <v>27</v>
      </c>
      <c r="AQ291" s="13">
        <f>IF(C291="Ручная",O291,0)</f>
        <v>27</v>
      </c>
    </row>
    <row r="292" spans="1:43" ht="40" customHeight="1">
      <c r="A292" s="5">
        <v>8</v>
      </c>
      <c r="B292" s="5" t="s">
        <v>200</v>
      </c>
      <c r="C292" s="11" t="s">
        <v>183</v>
      </c>
      <c r="D292" s="7" t="s">
        <v>201</v>
      </c>
      <c r="E292" s="12">
        <v>19.08</v>
      </c>
      <c r="F292" s="12">
        <v>19.8</v>
      </c>
      <c r="G292" s="12">
        <v>18.54</v>
      </c>
      <c r="H292" s="12">
        <v>19.26</v>
      </c>
      <c r="I292" s="12">
        <v>18.18</v>
      </c>
      <c r="J292" s="12">
        <v>18.9</v>
      </c>
      <c r="K292" s="12">
        <v>18</v>
      </c>
      <c r="L292" s="12">
        <v>18.72</v>
      </c>
      <c r="M292" s="12">
        <v>19.44</v>
      </c>
      <c r="N292" s="12">
        <v>18.36</v>
      </c>
      <c r="O292" s="13">
        <f>IF(COUNT(AG292:AP292)&gt;0,MIN(AG292:AP292),"")</f>
        <v>18</v>
      </c>
      <c r="P292" s="13">
        <f>IF(COUNT(AG292:AP292)&gt;0,MAX(AG292:AP292),"")</f>
        <v>19.8</v>
      </c>
      <c r="Q292" s="13">
        <f>IF(ISNUMBER(O292),P292-O292,"")</f>
        <v>1.8</v>
      </c>
      <c r="R292" s="13">
        <f>IF(ISNUMBER(O292),IF(C292="Ручная",IF($S$297&gt;0,$R$297*Q292/$S$297,IF($W$297=8,$R$297,0)),0),"")</f>
        <v>0.605525460455042</v>
      </c>
      <c r="S292" s="13">
        <f>IF(ISNUMBER(O292),O292+R292,"")</f>
        <v>18.605525460455</v>
      </c>
      <c r="T292" s="13">
        <f>IF(ISNUMBER(S292),P292-S292,"")</f>
        <v>1.19447453954496</v>
      </c>
      <c r="U292" s="13">
        <f>IF(COUNT(AG292:AP292)&gt;0,AVERAGE(AG292:AP292),"")</f>
        <v>18.828</v>
      </c>
      <c r="AG292" s="13">
        <f>IF(ISNUMBER(E$297),E292,"")</f>
        <v>19.08</v>
      </c>
      <c r="AH292" s="13">
        <f>IF(ISNUMBER(F$297),F292,"")</f>
        <v>19.8</v>
      </c>
      <c r="AI292" s="13">
        <f>IF(ISNUMBER(G$297),G292,"")</f>
        <v>18.54</v>
      </c>
      <c r="AJ292" s="13">
        <f>IF(ISNUMBER(H$297),H292,"")</f>
        <v>19.26</v>
      </c>
      <c r="AK292" s="13">
        <f>IF(ISNUMBER(I$297),I292,"")</f>
        <v>18.18</v>
      </c>
      <c r="AL292" s="13">
        <f>IF(ISNUMBER(J$297),J292,"")</f>
        <v>18.9</v>
      </c>
      <c r="AM292" s="13">
        <f>IF(ISNUMBER(K$297),K292,"")</f>
        <v>18</v>
      </c>
      <c r="AN292" s="13">
        <f>IF(ISNUMBER(L$297),L292,"")</f>
        <v>18.72</v>
      </c>
      <c r="AO292" s="13">
        <f>IF(ISNUMBER(M$297),M292,"")</f>
        <v>19.44</v>
      </c>
      <c r="AP292" s="13">
        <f>IF(ISNUMBER(N$297),N292,"")</f>
        <v>18.36</v>
      </c>
      <c r="AQ292" s="13">
        <f>IF(C292="Ручная",O292,0)</f>
        <v>18</v>
      </c>
    </row>
    <row r="293" spans="1:43" ht="40" customHeight="1">
      <c r="A293" s="5" t="s">
        <v>189</v>
      </c>
      <c r="B293" s="5" t="s">
        <v>202</v>
      </c>
      <c r="C293" s="11" t="s">
        <v>191</v>
      </c>
      <c r="D293" s="7" t="s">
        <v>203</v>
      </c>
      <c r="E293" s="12">
        <v>5.35</v>
      </c>
      <c r="F293" s="12">
        <v>5.05</v>
      </c>
      <c r="G293" s="12">
        <v>5.25</v>
      </c>
      <c r="H293" s="12">
        <v>5</v>
      </c>
      <c r="I293" s="12">
        <v>5.2</v>
      </c>
      <c r="J293" s="12">
        <v>5.4</v>
      </c>
      <c r="K293" s="12">
        <v>5.1</v>
      </c>
      <c r="L293" s="12">
        <v>5.3</v>
      </c>
      <c r="M293" s="12">
        <v>5.5</v>
      </c>
      <c r="N293" s="12">
        <v>5.15</v>
      </c>
      <c r="O293" s="13">
        <f>IF(COUNT(AG293:AP293)&gt;0,MIN(AG293:AP293),"")</f>
        <v>5</v>
      </c>
      <c r="P293" s="13">
        <f>IF(COUNT(AG293:AP293)&gt;0,MAX(AG293:AP293),"")</f>
        <v>5.5</v>
      </c>
      <c r="Q293" s="13">
        <f>IF(ISNUMBER(O293),P293-O293,"")</f>
        <v>0.5</v>
      </c>
      <c r="R293" s="13">
        <f>IF(ISNUMBER(O293),IF(C293="Ручная",IF($S$297&gt;0,$R$297*Q293/$S$297,IF($W$297=9,$R$297,0)),0),"")</f>
        <v>0</v>
      </c>
      <c r="S293" s="13">
        <f>IF(ISNUMBER(O293),O293+R293,"")</f>
        <v>5</v>
      </c>
      <c r="T293" s="13">
        <f>IF(ISNUMBER(S293),P293-S293,"")</f>
        <v>0.5</v>
      </c>
      <c r="U293" s="13">
        <f>IF(COUNT(AG293:AP293)&gt;0,AVERAGE(AG293:AP293),"")</f>
        <v>5.23</v>
      </c>
      <c r="AG293" s="13">
        <f>IF(ISNUMBER(E$297),E293,"")</f>
        <v>5.35</v>
      </c>
      <c r="AH293" s="13">
        <f>IF(ISNUMBER(F$297),F293,"")</f>
        <v>5.05</v>
      </c>
      <c r="AI293" s="13">
        <f>IF(ISNUMBER(G$297),G293,"")</f>
        <v>5.25</v>
      </c>
      <c r="AJ293" s="13">
        <f>IF(ISNUMBER(H$297),H293,"")</f>
        <v>5</v>
      </c>
      <c r="AK293" s="13">
        <f>IF(ISNUMBER(I$297),I293,"")</f>
        <v>5.2</v>
      </c>
      <c r="AL293" s="13">
        <f>IF(ISNUMBER(J$297),J293,"")</f>
        <v>5.4</v>
      </c>
      <c r="AM293" s="13">
        <f>IF(ISNUMBER(K$297),K293,"")</f>
        <v>5.1</v>
      </c>
      <c r="AN293" s="13">
        <f>IF(ISNUMBER(L$297),L293,"")</f>
        <v>5.3</v>
      </c>
      <c r="AO293" s="13">
        <f>IF(ISNUMBER(M$297),M293,"")</f>
        <v>5.5</v>
      </c>
      <c r="AP293" s="13">
        <f>IF(ISNUMBER(N$297),N293,"")</f>
        <v>5.15</v>
      </c>
      <c r="AQ293" s="13">
        <f>IF(C293="Ручная",O293,0)</f>
        <v>0</v>
      </c>
    </row>
    <row r="294" spans="1:43" ht="40" customHeight="1">
      <c r="A294" s="5" t="s">
        <v>189</v>
      </c>
      <c r="B294" s="5" t="s">
        <v>204</v>
      </c>
      <c r="C294" s="11" t="s">
        <v>191</v>
      </c>
      <c r="D294" s="7" t="s">
        <v>205</v>
      </c>
      <c r="E294" s="12">
        <v>5</v>
      </c>
      <c r="F294" s="12">
        <v>5.2</v>
      </c>
      <c r="G294" s="12">
        <v>5.4</v>
      </c>
      <c r="H294" s="12">
        <v>5.1</v>
      </c>
      <c r="I294" s="12">
        <v>5.3</v>
      </c>
      <c r="J294" s="12">
        <v>5.5</v>
      </c>
      <c r="K294" s="12">
        <v>5.15</v>
      </c>
      <c r="L294" s="12">
        <v>5.35</v>
      </c>
      <c r="M294" s="12">
        <v>5.05</v>
      </c>
      <c r="N294" s="12">
        <v>5.25</v>
      </c>
      <c r="O294" s="13">
        <f>IF(COUNT(AG294:AP294)&gt;0,MIN(AG294:AP294),"")</f>
        <v>5</v>
      </c>
      <c r="P294" s="13">
        <f>IF(COUNT(AG294:AP294)&gt;0,MAX(AG294:AP294),"")</f>
        <v>5.5</v>
      </c>
      <c r="Q294" s="13">
        <f>IF(ISNUMBER(O294),P294-O294,"")</f>
        <v>0.5</v>
      </c>
      <c r="R294" s="13">
        <f>IF(ISNUMBER(O294),IF(C294="Ручная",IF($S$297&gt;0,$R$297*Q294/$S$297,IF($W$297=10,$R$297,0)),0),"")</f>
        <v>0</v>
      </c>
      <c r="S294" s="13">
        <f>IF(ISNUMBER(O294),O294+R294,"")</f>
        <v>5</v>
      </c>
      <c r="T294" s="13">
        <f>IF(ISNUMBER(S294),P294-S294,"")</f>
        <v>0.5</v>
      </c>
      <c r="U294" s="13">
        <f>IF(COUNT(AG294:AP294)&gt;0,AVERAGE(AG294:AP294),"")</f>
        <v>5.23</v>
      </c>
      <c r="AG294" s="13">
        <f>IF(ISNUMBER(E$297),E294,"")</f>
        <v>5</v>
      </c>
      <c r="AH294" s="13">
        <f>IF(ISNUMBER(F$297),F294,"")</f>
        <v>5.2</v>
      </c>
      <c r="AI294" s="13">
        <f>IF(ISNUMBER(G$297),G294,"")</f>
        <v>5.4</v>
      </c>
      <c r="AJ294" s="13">
        <f>IF(ISNUMBER(H$297),H294,"")</f>
        <v>5.1</v>
      </c>
      <c r="AK294" s="13">
        <f>IF(ISNUMBER(I$297),I294,"")</f>
        <v>5.3</v>
      </c>
      <c r="AL294" s="13">
        <f>IF(ISNUMBER(J$297),J294,"")</f>
        <v>5.5</v>
      </c>
      <c r="AM294" s="13">
        <f>IF(ISNUMBER(K$297),K294,"")</f>
        <v>5.15</v>
      </c>
      <c r="AN294" s="13">
        <f>IF(ISNUMBER(L$297),L294,"")</f>
        <v>5.35</v>
      </c>
      <c r="AO294" s="13">
        <f>IF(ISNUMBER(M$297),M294,"")</f>
        <v>5.05</v>
      </c>
      <c r="AP294" s="13">
        <f>IF(ISNUMBER(N$297),N294,"")</f>
        <v>5.25</v>
      </c>
      <c r="AQ294" s="13">
        <f>IF(C294="Ручная",O294,0)</f>
        <v>0</v>
      </c>
    </row>
    <row r="295" spans="1:43" ht="40" customHeight="1">
      <c r="A295" s="5" t="s">
        <v>189</v>
      </c>
      <c r="B295" s="5" t="s">
        <v>206</v>
      </c>
      <c r="C295" s="11" t="s">
        <v>207</v>
      </c>
      <c r="D295" s="7" t="s">
        <v>208</v>
      </c>
      <c r="E295" s="12">
        <v>0</v>
      </c>
      <c r="F295" s="12">
        <v>0</v>
      </c>
      <c r="G295" s="12">
        <v>0</v>
      </c>
      <c r="H295" s="12">
        <v>0</v>
      </c>
      <c r="I295" s="12">
        <v>0</v>
      </c>
      <c r="J295" s="12">
        <v>0</v>
      </c>
      <c r="K295" s="12">
        <v>0</v>
      </c>
      <c r="L295" s="12">
        <v>0</v>
      </c>
      <c r="M295" s="12">
        <v>0</v>
      </c>
      <c r="N295" s="12">
        <v>0</v>
      </c>
      <c r="O295" s="13">
        <f>IF(COUNT(AG295:AP295)&gt;0,MIN(AG295:AP295),"")</f>
        <v>0</v>
      </c>
      <c r="P295" s="13">
        <f>IF(COUNT(AG295:AP295)&gt;0,MAX(AG295:AP295),"")</f>
        <v>0</v>
      </c>
      <c r="Q295" s="13">
        <f>IF(ISNUMBER(O295),P295-O295,"")</f>
        <v>0</v>
      </c>
      <c r="R295" s="13">
        <f>IF(ISNUMBER(O295),IF(C295="Ручная",IF($S$297&gt;0,$R$297*Q295/$S$297,IF($W$297=11,$R$297,0)),0),"")</f>
        <v>0</v>
      </c>
      <c r="S295" s="13">
        <f>IF(ISNUMBER(O295),O295+R295,"")</f>
        <v>0</v>
      </c>
      <c r="T295" s="13">
        <f>IF(ISNUMBER(S295),P295-S295,"")</f>
        <v>0</v>
      </c>
      <c r="U295" s="13">
        <f>IF(COUNT(AG295:AP295)&gt;0,AVERAGE(AG295:AP295),"")</f>
        <v>0</v>
      </c>
      <c r="AG295" s="13">
        <f>IF(ISNUMBER(E$297),E295,"")</f>
        <v>0</v>
      </c>
      <c r="AH295" s="13">
        <f>IF(ISNUMBER(F$297),F295,"")</f>
        <v>0</v>
      </c>
      <c r="AI295" s="13">
        <f>IF(ISNUMBER(G$297),G295,"")</f>
        <v>0</v>
      </c>
      <c r="AJ295" s="13">
        <f>IF(ISNUMBER(H$297),H295,"")</f>
        <v>0</v>
      </c>
      <c r="AK295" s="13">
        <f>IF(ISNUMBER(I$297),I295,"")</f>
        <v>0</v>
      </c>
      <c r="AL295" s="13">
        <f>IF(ISNUMBER(J$297),J295,"")</f>
        <v>0</v>
      </c>
      <c r="AM295" s="13">
        <f>IF(ISNUMBER(K$297),K295,"")</f>
        <v>0</v>
      </c>
      <c r="AN295" s="13">
        <f>IF(ISNUMBER(L$297),L295,"")</f>
        <v>0</v>
      </c>
      <c r="AO295" s="13">
        <f>IF(ISNUMBER(M$297),M295,"")</f>
        <v>0</v>
      </c>
      <c r="AP295" s="13">
        <f>IF(ISNUMBER(N$297),N295,"")</f>
        <v>0</v>
      </c>
      <c r="AQ295" s="13">
        <f>IF(C295="Ручная",O295,0)</f>
        <v>0</v>
      </c>
    </row>
    <row r="296" spans="1:43" ht="23" customHeight="1">
      <c r="B296" s="4" t="s">
        <v>209</v>
      </c>
      <c r="E296" s="6">
        <f>IF(COUNT(E285:E295)=11,SUM(E285:E295),"")</f>
        <v>509.96</v>
      </c>
      <c r="F296" s="6">
        <f>IF(COUNT(F285:F295)=11,SUM(F285:F295),"")</f>
        <v>511.82</v>
      </c>
      <c r="G296" s="6">
        <f>IF(COUNT(G285:G295)=11,SUM(G285:G295),"")</f>
        <v>508.66</v>
      </c>
      <c r="H296" s="6">
        <f>IF(COUNT(H285:H295)=11,SUM(H285:H295),"")</f>
        <v>510.01</v>
      </c>
      <c r="I296" s="6">
        <f>IF(COUNT(I285:I295)=11,SUM(I285:I295),"")</f>
        <v>507.75</v>
      </c>
      <c r="J296" s="6">
        <f>IF(COUNT(J285:J295)=11,SUM(J285:J295),"")</f>
        <v>507.62</v>
      </c>
      <c r="K296" s="6">
        <f>IF(COUNT(K285:K295)=11,SUM(K285:K295),"")</f>
        <v>512.37</v>
      </c>
      <c r="L296" s="6">
        <f>IF(COUNT(L285:L295)=11,SUM(L285:L295),"")</f>
        <v>506.76</v>
      </c>
      <c r="M296" s="6">
        <f>IF(COUNT(M285:M295)=11,SUM(M285:M295),"")</f>
        <v>510.77</v>
      </c>
      <c r="N296" s="6">
        <f>IF(COUNT(N285:N295)=11,SUM(N285:N295),"")</f>
        <v>512.04</v>
      </c>
      <c r="O296" s="6">
        <f>IF(COUNT(O285:O295)=11,SUM(O285:O295),"")</f>
        <v>500.55</v>
      </c>
      <c r="P296" s="6">
        <f>IF(COUNT(P285:P295)=11,SUM(P285:P295),"")</f>
        <v>520.61</v>
      </c>
      <c r="Q296" s="6">
        <f>IF(COUNT(Q285:Q295)=11,SUM(Q285:Q295),"")</f>
        <v>20.06</v>
      </c>
      <c r="R296" s="6">
        <f>IF(COUNT(R285:R295)=11,SUM(R285:R295),"")</f>
        <v>6.21000000000004</v>
      </c>
      <c r="S296" s="6">
        <f>IF(COUNT(S285:S295)=11,SUM(S285:S295),"")</f>
        <v>506.76</v>
      </c>
      <c r="T296" s="6">
        <f>IF(COUNT(T285:T295)=11,SUM(T285:T295),"")</f>
        <v>13.85</v>
      </c>
      <c r="U296" s="6">
        <f>IF(COUNT(U285:U295)=11,SUM(U285:U295),"")</f>
        <v>509.776</v>
      </c>
    </row>
    <row r="297" spans="1:43" ht="23" customHeight="1">
      <c r="B297" s="4" t="s">
        <v>210</v>
      </c>
      <c r="E297" s="6">
        <f>IF(AND(E283=1,COUNT(E285:E295)=11,MIN(E285:E295)&gt;=0),E296,"")</f>
        <v>509.96</v>
      </c>
      <c r="F297" s="6">
        <f>IF(AND(F283=1,COUNT(F285:F295)=11,MIN(F285:F295)&gt;=0),F296,"")</f>
        <v>511.82</v>
      </c>
      <c r="G297" s="6">
        <f>IF(AND(G283=1,COUNT(G285:G295)=11,MIN(G285:G295)&gt;=0),G296,"")</f>
        <v>508.66</v>
      </c>
      <c r="H297" s="6">
        <f>IF(AND(H283=1,COUNT(H285:H295)=11,MIN(H285:H295)&gt;=0),H296,"")</f>
        <v>510.01</v>
      </c>
      <c r="I297" s="6">
        <f>IF(AND(I283=1,COUNT(I285:I295)=11,MIN(I285:I295)&gt;=0),I296,"")</f>
        <v>507.75</v>
      </c>
      <c r="J297" s="6">
        <f>IF(AND(J283=1,COUNT(J285:J295)=11,MIN(J285:J295)&gt;=0),J296,"")</f>
        <v>507.62</v>
      </c>
      <c r="K297" s="6">
        <f>IF(AND(K283=1,COUNT(K285:K295)=11,MIN(K285:K295)&gt;=0),K296,"")</f>
        <v>512.37</v>
      </c>
      <c r="L297" s="6">
        <f>IF(AND(L283=1,COUNT(L285:L295)=11,MIN(L285:L295)&gt;=0),L296,"")</f>
        <v>506.76</v>
      </c>
      <c r="M297" s="6">
        <f>IF(AND(M283=1,COUNT(M285:M295)=11,MIN(M285:M295)&gt;=0),M296,"")</f>
        <v>510.77</v>
      </c>
      <c r="N297" s="6">
        <f>IF(AND(N283=1,COUNT(N285:N295)=11,MIN(N285:N295)&gt;=0),N296,"")</f>
        <v>512.04</v>
      </c>
      <c r="O297" s="6">
        <f>IF(COUNT(E297:N297)&gt;0,MIN(E297:N297),"")</f>
        <v>506.76</v>
      </c>
      <c r="P297" s="6">
        <f>IF(COUNT(E297:N297)&gt;0,MAX(E297:N297),"")</f>
        <v>512.37</v>
      </c>
      <c r="Q297" s="6">
        <f>IF(ISNUMBER(O297),P297-O297,"")</f>
        <v>5.60999999999996</v>
      </c>
      <c r="R297" s="6">
        <f>IF(ISNUMBER(O297),MAX(0,O297-O296),"")</f>
        <v>6.21000000000004</v>
      </c>
      <c r="S297" s="6">
        <f>SUMIF(C285:C295,"Ручная",Q285:Q295)</f>
        <v>18.46</v>
      </c>
      <c r="T297" s="6">
        <f>COUNT(E297:N297)</f>
        <v>10</v>
      </c>
      <c r="U297" s="6">
        <f>IF(COUNT(E297:N297)&gt;0,AVERAGE(E297:N297),"")</f>
        <v>509.776</v>
      </c>
      <c r="V297" s="6">
        <f>IF(ISNUMBER(O297),S296-O297,"")</f>
        <v>-5.6843418860808e-14</v>
      </c>
      <c r="W297" s="6">
        <f>MATCH(MAX(AQ285:AQ295),AQ285:AQ295,0)</f>
        <v>2</v>
      </c>
      <c r="X297" s="17" t="str">
        <f>IF(T297=0,"НЕТ ЗАМЕРОВ",IF(T297&lt;10,"МЕНЕЕ 10 ЦИКЛОВ",IF(ABS(V297)&lt;0.000001,"ОК","ОШИБКА РЕГУЛИРОВКИ")))</f>
        <v>ОК</v>
      </c>
    </row>
    <row r="298" spans="1:43" ht="23" customHeight="1">
      <c r="A298" s="7" t="s">
        <v>211</v>
      </c>
      <c r="B298" s="7"/>
      <c r="C298" s="7"/>
      <c r="D298" s="7"/>
      <c r="E298" s="7"/>
      <c r="F298" s="7"/>
      <c r="G298" s="7"/>
      <c r="H298" s="7"/>
      <c r="I298" s="7"/>
      <c r="J298" s="7"/>
      <c r="K298" s="7"/>
      <c r="L298" s="7"/>
      <c r="M298" s="7"/>
      <c r="N298" s="7"/>
      <c r="O298" s="7"/>
      <c r="P298" s="7"/>
      <c r="Q298" s="7"/>
      <c r="R298" s="7"/>
      <c r="S298" s="7"/>
      <c r="T298" s="7"/>
      <c r="U298" s="7"/>
      <c r="V298" s="7"/>
      <c r="W298" s="7"/>
      <c r="X298" s="7"/>
    </row>
    <row r="301" spans="1:43" ht="23" customHeight="1">
      <c r="A301" s="4" t="s">
        <v>244</v>
      </c>
      <c r="B301" s="4"/>
      <c r="C301" s="4"/>
      <c r="D301" s="4"/>
      <c r="E301" s="4"/>
      <c r="F301" s="4"/>
      <c r="G301" s="4"/>
      <c r="H301" s="4"/>
      <c r="I301" s="4"/>
      <c r="J301" s="4"/>
      <c r="K301" s="4"/>
      <c r="L301" s="4"/>
      <c r="M301" s="4"/>
      <c r="N301" s="4"/>
      <c r="O301" s="4"/>
      <c r="P301" s="4"/>
      <c r="Q301" s="4"/>
      <c r="R301" s="4"/>
      <c r="S301" s="4"/>
      <c r="T301" s="4"/>
      <c r="U301" s="4"/>
      <c r="V301" s="4"/>
      <c r="W301" s="4"/>
      <c r="X301" s="4"/>
    </row>
    <row r="302" spans="1:43" ht="23" customHeight="1">
      <c r="A302" s="7" t="str">
        <f>"Масса замера, кг: "&amp;'Ассортимент'!J22&amp;". Все замеры одной партии/исполнителя/условий. Основание: "&amp;'Ввод'!B15</f>
        <v>Масса замера, кг: 3. Все замеры одной партии/исполнителя/условий. Основание: ДЕМО: прогноз; улучшения не внедрены</v>
      </c>
      <c r="B302" s="7"/>
      <c r="C302" s="7"/>
      <c r="D302" s="7"/>
      <c r="E302" s="7"/>
      <c r="F302" s="7"/>
      <c r="G302" s="7"/>
      <c r="H302" s="7"/>
      <c r="I302" s="7"/>
      <c r="J302" s="7"/>
      <c r="K302" s="7"/>
      <c r="L302" s="7"/>
      <c r="M302" s="7"/>
      <c r="N302" s="7"/>
      <c r="O302" s="7"/>
      <c r="P302" s="7"/>
      <c r="Q302" s="7"/>
      <c r="R302" s="7"/>
      <c r="S302" s="7"/>
      <c r="T302" s="7"/>
      <c r="U302" s="7"/>
      <c r="V302" s="7"/>
      <c r="W302" s="7"/>
      <c r="X302" s="7"/>
    </row>
    <row r="303" spans="1:43" ht="44" customHeight="1">
      <c r="A303" s="8" t="s">
        <v>113</v>
      </c>
      <c r="B303" s="8" t="s">
        <v>156</v>
      </c>
      <c r="C303" s="8" t="s">
        <v>157</v>
      </c>
      <c r="D303" s="8" t="s">
        <v>158</v>
      </c>
      <c r="E303" s="8" t="s">
        <v>159</v>
      </c>
      <c r="F303" s="8" t="s">
        <v>160</v>
      </c>
      <c r="G303" s="8" t="s">
        <v>161</v>
      </c>
      <c r="H303" s="8" t="s">
        <v>162</v>
      </c>
      <c r="I303" s="8" t="s">
        <v>163</v>
      </c>
      <c r="J303" s="8" t="s">
        <v>164</v>
      </c>
      <c r="K303" s="8" t="s">
        <v>165</v>
      </c>
      <c r="L303" s="8" t="s">
        <v>166</v>
      </c>
      <c r="M303" s="8" t="s">
        <v>167</v>
      </c>
      <c r="N303" s="8" t="s">
        <v>168</v>
      </c>
      <c r="O303" s="8" t="s">
        <v>169</v>
      </c>
      <c r="P303" s="8" t="s">
        <v>170</v>
      </c>
      <c r="Q303" s="8" t="s">
        <v>171</v>
      </c>
      <c r="R303" s="8" t="s">
        <v>172</v>
      </c>
      <c r="S303" s="8" t="s">
        <v>173</v>
      </c>
      <c r="T303" s="8" t="s">
        <v>174</v>
      </c>
      <c r="U303" s="8" t="s">
        <v>175</v>
      </c>
      <c r="V303" s="8" t="s">
        <v>176</v>
      </c>
      <c r="W303" s="8" t="s">
        <v>177</v>
      </c>
      <c r="X303" s="8" t="s">
        <v>178</v>
      </c>
    </row>
    <row r="304" spans="1:43" ht="23" customHeight="1">
      <c r="B304" s="5" t="s">
        <v>179</v>
      </c>
      <c r="E304" s="12">
        <v>1</v>
      </c>
      <c r="F304" s="12">
        <v>1</v>
      </c>
      <c r="G304" s="12">
        <v>1</v>
      </c>
      <c r="H304" s="12">
        <v>1</v>
      </c>
      <c r="I304" s="12">
        <v>1</v>
      </c>
      <c r="J304" s="12">
        <v>1</v>
      </c>
      <c r="K304" s="12">
        <v>1</v>
      </c>
      <c r="L304" s="12">
        <v>1</v>
      </c>
      <c r="M304" s="12">
        <v>1</v>
      </c>
      <c r="N304" s="12">
        <v>1</v>
      </c>
    </row>
    <row r="305" spans="1:43" ht="33" customHeight="1">
      <c r="B305" s="5" t="s">
        <v>180</v>
      </c>
      <c r="E305" s="9" t="s">
        <v>181</v>
      </c>
      <c r="F305" s="9" t="s">
        <v>181</v>
      </c>
      <c r="G305" s="9" t="s">
        <v>181</v>
      </c>
      <c r="H305" s="9" t="s">
        <v>181</v>
      </c>
      <c r="I305" s="9" t="s">
        <v>181</v>
      </c>
      <c r="J305" s="9" t="s">
        <v>181</v>
      </c>
      <c r="K305" s="9" t="s">
        <v>181</v>
      </c>
      <c r="L305" s="9" t="s">
        <v>181</v>
      </c>
      <c r="M305" s="9" t="s">
        <v>181</v>
      </c>
      <c r="N305" s="9" t="s">
        <v>181</v>
      </c>
    </row>
    <row r="306" spans="1:43" ht="40" customHeight="1">
      <c r="A306" s="5">
        <v>1</v>
      </c>
      <c r="B306" s="5" t="s">
        <v>182</v>
      </c>
      <c r="C306" s="11" t="s">
        <v>183</v>
      </c>
      <c r="D306" s="7" t="s">
        <v>184</v>
      </c>
      <c r="E306" s="12">
        <v>26.5</v>
      </c>
      <c r="F306" s="12">
        <v>27.5</v>
      </c>
      <c r="G306" s="12">
        <v>25.75</v>
      </c>
      <c r="H306" s="12">
        <v>26.75</v>
      </c>
      <c r="I306" s="12">
        <v>25.25</v>
      </c>
      <c r="J306" s="12">
        <v>26.25</v>
      </c>
      <c r="K306" s="12">
        <v>25</v>
      </c>
      <c r="L306" s="12">
        <v>26</v>
      </c>
      <c r="M306" s="12">
        <v>27</v>
      </c>
      <c r="N306" s="12">
        <v>25.5</v>
      </c>
      <c r="O306" s="13">
        <f>IF(COUNT(AG306:AP306)&gt;0,MIN(AG306:AP306),"")</f>
        <v>25</v>
      </c>
      <c r="P306" s="13">
        <f>IF(COUNT(AG306:AP306)&gt;0,MAX(AG306:AP306),"")</f>
        <v>27.5</v>
      </c>
      <c r="Q306" s="13">
        <f>IF(ISNUMBER(O306),P306-O306,"")</f>
        <v>2.5</v>
      </c>
      <c r="R306" s="13">
        <f>IF(ISNUMBER(O306),IF(C306="Ручная",IF($S$318&gt;0,$R$318*Q306/$S$318,IF($W$318=1,$R$318,0)),0),"")</f>
        <v>0.882442284325647</v>
      </c>
      <c r="S306" s="13">
        <f>IF(ISNUMBER(O306),O306+R306,"")</f>
        <v>25.8824422843256</v>
      </c>
      <c r="T306" s="13">
        <f>IF(ISNUMBER(S306),P306-S306,"")</f>
        <v>1.61755771567435</v>
      </c>
      <c r="U306" s="13">
        <f>IF(COUNT(AG306:AP306)&gt;0,AVERAGE(AG306:AP306),"")</f>
        <v>26.15</v>
      </c>
      <c r="AG306" s="13">
        <f>IF(ISNUMBER(E$318),E306,"")</f>
        <v>26.5</v>
      </c>
      <c r="AH306" s="13">
        <f>IF(ISNUMBER(F$318),F306,"")</f>
        <v>27.5</v>
      </c>
      <c r="AI306" s="13">
        <f>IF(ISNUMBER(G$318),G306,"")</f>
        <v>25.75</v>
      </c>
      <c r="AJ306" s="13">
        <f>IF(ISNUMBER(H$318),H306,"")</f>
        <v>26.75</v>
      </c>
      <c r="AK306" s="13">
        <f>IF(ISNUMBER(I$318),I306,"")</f>
        <v>25.25</v>
      </c>
      <c r="AL306" s="13">
        <f>IF(ISNUMBER(J$318),J306,"")</f>
        <v>26.25</v>
      </c>
      <c r="AM306" s="13">
        <f>IF(ISNUMBER(K$318),K306,"")</f>
        <v>25</v>
      </c>
      <c r="AN306" s="13">
        <f>IF(ISNUMBER(L$318),L306,"")</f>
        <v>26</v>
      </c>
      <c r="AO306" s="13">
        <f>IF(ISNUMBER(M$318),M306,"")</f>
        <v>27</v>
      </c>
      <c r="AP306" s="13">
        <f>IF(ISNUMBER(N$318),N306,"")</f>
        <v>25.5</v>
      </c>
      <c r="AQ306" s="13">
        <f>IF(C306="Ручная",O306,0)</f>
        <v>25</v>
      </c>
    </row>
    <row r="307" spans="1:43" ht="40" customHeight="1">
      <c r="A307" s="5">
        <v>2</v>
      </c>
      <c r="B307" s="5" t="s">
        <v>185</v>
      </c>
      <c r="C307" s="11" t="s">
        <v>183</v>
      </c>
      <c r="D307" s="7" t="s">
        <v>186</v>
      </c>
      <c r="E307" s="12">
        <v>48.15</v>
      </c>
      <c r="F307" s="12">
        <v>45.45</v>
      </c>
      <c r="G307" s="12">
        <v>47.25</v>
      </c>
      <c r="H307" s="12">
        <v>45</v>
      </c>
      <c r="I307" s="12">
        <v>46.8</v>
      </c>
      <c r="J307" s="12">
        <v>48.6</v>
      </c>
      <c r="K307" s="12">
        <v>45.9</v>
      </c>
      <c r="L307" s="12">
        <v>47.7</v>
      </c>
      <c r="M307" s="12">
        <v>49.5</v>
      </c>
      <c r="N307" s="12">
        <v>46.35</v>
      </c>
      <c r="O307" s="13">
        <f>IF(COUNT(AG307:AP307)&gt;0,MIN(AG307:AP307),"")</f>
        <v>45</v>
      </c>
      <c r="P307" s="13">
        <f>IF(COUNT(AG307:AP307)&gt;0,MAX(AG307:AP307),"")</f>
        <v>49.5</v>
      </c>
      <c r="Q307" s="13">
        <f>IF(ISNUMBER(O307),P307-O307,"")</f>
        <v>4.5</v>
      </c>
      <c r="R307" s="13">
        <f>IF(ISNUMBER(O307),IF(C307="Ручная",IF($S$318&gt;0,$R$318*Q307/$S$318,IF($W$318=2,$R$318,0)),0),"")</f>
        <v>1.58839611178616</v>
      </c>
      <c r="S307" s="13">
        <f>IF(ISNUMBER(O307),O307+R307,"")</f>
        <v>46.5883961117862</v>
      </c>
      <c r="T307" s="13">
        <f>IF(ISNUMBER(S307),P307-S307,"")</f>
        <v>2.91160388821383</v>
      </c>
      <c r="U307" s="13">
        <f>IF(COUNT(AG307:AP307)&gt;0,AVERAGE(AG307:AP307),"")</f>
        <v>47.07</v>
      </c>
      <c r="AG307" s="13">
        <f>IF(ISNUMBER(E$318),E307,"")</f>
        <v>48.15</v>
      </c>
      <c r="AH307" s="13">
        <f>IF(ISNUMBER(F$318),F307,"")</f>
        <v>45.45</v>
      </c>
      <c r="AI307" s="13">
        <f>IF(ISNUMBER(G$318),G307,"")</f>
        <v>47.25</v>
      </c>
      <c r="AJ307" s="13">
        <f>IF(ISNUMBER(H$318),H307,"")</f>
        <v>45</v>
      </c>
      <c r="AK307" s="13">
        <f>IF(ISNUMBER(I$318),I307,"")</f>
        <v>46.8</v>
      </c>
      <c r="AL307" s="13">
        <f>IF(ISNUMBER(J$318),J307,"")</f>
        <v>48.6</v>
      </c>
      <c r="AM307" s="13">
        <f>IF(ISNUMBER(K$318),K307,"")</f>
        <v>45.9</v>
      </c>
      <c r="AN307" s="13">
        <f>IF(ISNUMBER(L$318),L307,"")</f>
        <v>47.7</v>
      </c>
      <c r="AO307" s="13">
        <f>IF(ISNUMBER(M$318),M307,"")</f>
        <v>49.5</v>
      </c>
      <c r="AP307" s="13">
        <f>IF(ISNUMBER(N$318),N307,"")</f>
        <v>46.35</v>
      </c>
      <c r="AQ307" s="13">
        <f>IF(C307="Ручная",O307,0)</f>
        <v>45</v>
      </c>
    </row>
    <row r="308" spans="1:43" ht="40" customHeight="1">
      <c r="A308" s="5">
        <v>3</v>
      </c>
      <c r="B308" s="5" t="s">
        <v>187</v>
      </c>
      <c r="C308" s="11" t="s">
        <v>183</v>
      </c>
      <c r="D308" s="7" t="s">
        <v>188</v>
      </c>
      <c r="E308" s="12">
        <v>19.8</v>
      </c>
      <c r="F308" s="12">
        <v>20.59</v>
      </c>
      <c r="G308" s="12">
        <v>21.38</v>
      </c>
      <c r="H308" s="12">
        <v>20.2</v>
      </c>
      <c r="I308" s="12">
        <v>20.99</v>
      </c>
      <c r="J308" s="12">
        <v>21.78</v>
      </c>
      <c r="K308" s="12">
        <v>20.39</v>
      </c>
      <c r="L308" s="12">
        <v>21.19</v>
      </c>
      <c r="M308" s="12">
        <v>20</v>
      </c>
      <c r="N308" s="12">
        <v>20.79</v>
      </c>
      <c r="O308" s="13">
        <f>IF(COUNT(AG308:AP308)&gt;0,MIN(AG308:AP308),"")</f>
        <v>19.8</v>
      </c>
      <c r="P308" s="13">
        <f>IF(COUNT(AG308:AP308)&gt;0,MAX(AG308:AP308),"")</f>
        <v>21.78</v>
      </c>
      <c r="Q308" s="13">
        <f>IF(ISNUMBER(O308),P308-O308,"")</f>
        <v>1.98</v>
      </c>
      <c r="R308" s="13">
        <f>IF(ISNUMBER(O308),IF(C308="Ручная",IF($S$318&gt;0,$R$318*Q308/$S$318,IF($W$318=3,$R$318,0)),0),"")</f>
        <v>0.698894289185913</v>
      </c>
      <c r="S308" s="13">
        <f>IF(ISNUMBER(O308),O308+R308,"")</f>
        <v>20.4988942891859</v>
      </c>
      <c r="T308" s="13">
        <f>IF(ISNUMBER(S308),P308-S308,"")</f>
        <v>1.28110571081409</v>
      </c>
      <c r="U308" s="13">
        <f>IF(COUNT(AG308:AP308)&gt;0,AVERAGE(AG308:AP308),"")</f>
        <v>20.711</v>
      </c>
      <c r="AG308" s="13">
        <f>IF(ISNUMBER(E$318),E308,"")</f>
        <v>19.8</v>
      </c>
      <c r="AH308" s="13">
        <f>IF(ISNUMBER(F$318),F308,"")</f>
        <v>20.59</v>
      </c>
      <c r="AI308" s="13">
        <f>IF(ISNUMBER(G$318),G308,"")</f>
        <v>21.38</v>
      </c>
      <c r="AJ308" s="13">
        <f>IF(ISNUMBER(H$318),H308,"")</f>
        <v>20.2</v>
      </c>
      <c r="AK308" s="13">
        <f>IF(ISNUMBER(I$318),I308,"")</f>
        <v>20.99</v>
      </c>
      <c r="AL308" s="13">
        <f>IF(ISNUMBER(J$318),J308,"")</f>
        <v>21.78</v>
      </c>
      <c r="AM308" s="13">
        <f>IF(ISNUMBER(K$318),K308,"")</f>
        <v>20.39</v>
      </c>
      <c r="AN308" s="13">
        <f>IF(ISNUMBER(L$318),L308,"")</f>
        <v>21.19</v>
      </c>
      <c r="AO308" s="13">
        <f>IF(ISNUMBER(M$318),M308,"")</f>
        <v>20</v>
      </c>
      <c r="AP308" s="13">
        <f>IF(ISNUMBER(N$318),N308,"")</f>
        <v>20.79</v>
      </c>
      <c r="AQ308" s="13">
        <f>IF(C308="Ручная",O308,0)</f>
        <v>19.8</v>
      </c>
    </row>
    <row r="309" spans="1:43" ht="40" customHeight="1">
      <c r="A309" s="5" t="s">
        <v>189</v>
      </c>
      <c r="B309" s="5" t="s">
        <v>190</v>
      </c>
      <c r="C309" s="11" t="s">
        <v>191</v>
      </c>
      <c r="D309" s="7" t="s">
        <v>192</v>
      </c>
      <c r="E309" s="12">
        <v>6.12</v>
      </c>
      <c r="F309" s="12">
        <v>6.36</v>
      </c>
      <c r="G309" s="12">
        <v>6.6</v>
      </c>
      <c r="H309" s="12">
        <v>6.18</v>
      </c>
      <c r="I309" s="12">
        <v>6.42</v>
      </c>
      <c r="J309" s="12">
        <v>6.06</v>
      </c>
      <c r="K309" s="12">
        <v>6.3</v>
      </c>
      <c r="L309" s="12">
        <v>6</v>
      </c>
      <c r="M309" s="12">
        <v>6.24</v>
      </c>
      <c r="N309" s="12">
        <v>6.48</v>
      </c>
      <c r="O309" s="13">
        <f>IF(COUNT(AG309:AP309)&gt;0,MIN(AG309:AP309),"")</f>
        <v>6</v>
      </c>
      <c r="P309" s="13">
        <f>IF(COUNT(AG309:AP309)&gt;0,MAX(AG309:AP309),"")</f>
        <v>6.6</v>
      </c>
      <c r="Q309" s="13">
        <f>IF(ISNUMBER(O309),P309-O309,"")</f>
        <v>0.6</v>
      </c>
      <c r="R309" s="13">
        <f>IF(ISNUMBER(O309),IF(C309="Ручная",IF($S$318&gt;0,$R$318*Q309/$S$318,IF($W$318=4,$R$318,0)),0),"")</f>
        <v>0</v>
      </c>
      <c r="S309" s="13">
        <f>IF(ISNUMBER(O309),O309+R309,"")</f>
        <v>6</v>
      </c>
      <c r="T309" s="13">
        <f>IF(ISNUMBER(S309),P309-S309,"")</f>
        <v>0.6</v>
      </c>
      <c r="U309" s="13">
        <f>IF(COUNT(AG309:AP309)&gt;0,AVERAGE(AG309:AP309),"")</f>
        <v>6.276</v>
      </c>
      <c r="AG309" s="13">
        <f>IF(ISNUMBER(E$318),E309,"")</f>
        <v>6.12</v>
      </c>
      <c r="AH309" s="13">
        <f>IF(ISNUMBER(F$318),F309,"")</f>
        <v>6.36</v>
      </c>
      <c r="AI309" s="13">
        <f>IF(ISNUMBER(G$318),G309,"")</f>
        <v>6.6</v>
      </c>
      <c r="AJ309" s="13">
        <f>IF(ISNUMBER(H$318),H309,"")</f>
        <v>6.18</v>
      </c>
      <c r="AK309" s="13">
        <f>IF(ISNUMBER(I$318),I309,"")</f>
        <v>6.42</v>
      </c>
      <c r="AL309" s="13">
        <f>IF(ISNUMBER(J$318),J309,"")</f>
        <v>6.06</v>
      </c>
      <c r="AM309" s="13">
        <f>IF(ISNUMBER(K$318),K309,"")</f>
        <v>6.3</v>
      </c>
      <c r="AN309" s="13">
        <f>IF(ISNUMBER(L$318),L309,"")</f>
        <v>6</v>
      </c>
      <c r="AO309" s="13">
        <f>IF(ISNUMBER(M$318),M309,"")</f>
        <v>6.24</v>
      </c>
      <c r="AP309" s="13">
        <f>IF(ISNUMBER(N$318),N309,"")</f>
        <v>6.48</v>
      </c>
      <c r="AQ309" s="13">
        <f>IF(C309="Ручная",O309,0)</f>
        <v>0</v>
      </c>
    </row>
    <row r="310" spans="1:43" ht="40" customHeight="1">
      <c r="A310" s="5">
        <v>5</v>
      </c>
      <c r="B310" s="5" t="s">
        <v>193</v>
      </c>
      <c r="C310" s="11" t="s">
        <v>183</v>
      </c>
      <c r="D310" s="7" t="s">
        <v>194</v>
      </c>
      <c r="E310" s="12">
        <v>30.64</v>
      </c>
      <c r="F310" s="12">
        <v>31.83</v>
      </c>
      <c r="G310" s="12">
        <v>30.05</v>
      </c>
      <c r="H310" s="12">
        <v>31.24</v>
      </c>
      <c r="I310" s="12">
        <v>29.75</v>
      </c>
      <c r="J310" s="12">
        <v>30.94</v>
      </c>
      <c r="K310" s="12">
        <v>32.13</v>
      </c>
      <c r="L310" s="12">
        <v>30.34</v>
      </c>
      <c r="M310" s="12">
        <v>31.54</v>
      </c>
      <c r="N310" s="12">
        <v>32.73</v>
      </c>
      <c r="O310" s="13">
        <f>IF(COUNT(AG310:AP310)&gt;0,MIN(AG310:AP310),"")</f>
        <v>29.75</v>
      </c>
      <c r="P310" s="13">
        <f>IF(COUNT(AG310:AP310)&gt;0,MAX(AG310:AP310),"")</f>
        <v>32.73</v>
      </c>
      <c r="Q310" s="13">
        <f>IF(ISNUMBER(O310),P310-O310,"")</f>
        <v>2.98</v>
      </c>
      <c r="R310" s="13">
        <f>IF(ISNUMBER(O310),IF(C310="Ручная",IF($S$318&gt;0,$R$318*Q310/$S$318,IF($W$318=5,$R$318,0)),0),"")</f>
        <v>1.05187120291617</v>
      </c>
      <c r="S310" s="13">
        <f>IF(ISNUMBER(O310),O310+R310,"")</f>
        <v>30.8018712029162</v>
      </c>
      <c r="T310" s="13">
        <f>IF(ISNUMBER(S310),P310-S310,"")</f>
        <v>1.92812879708383</v>
      </c>
      <c r="U310" s="13">
        <f>IF(COUNT(AG310:AP310)&gt;0,AVERAGE(AG310:AP310),"")</f>
        <v>31.119</v>
      </c>
      <c r="AG310" s="13">
        <f>IF(ISNUMBER(E$318),E310,"")</f>
        <v>30.64</v>
      </c>
      <c r="AH310" s="13">
        <f>IF(ISNUMBER(F$318),F310,"")</f>
        <v>31.83</v>
      </c>
      <c r="AI310" s="13">
        <f>IF(ISNUMBER(G$318),G310,"")</f>
        <v>30.05</v>
      </c>
      <c r="AJ310" s="13">
        <f>IF(ISNUMBER(H$318),H310,"")</f>
        <v>31.24</v>
      </c>
      <c r="AK310" s="13">
        <f>IF(ISNUMBER(I$318),I310,"")</f>
        <v>29.75</v>
      </c>
      <c r="AL310" s="13">
        <f>IF(ISNUMBER(J$318),J310,"")</f>
        <v>30.94</v>
      </c>
      <c r="AM310" s="13">
        <f>IF(ISNUMBER(K$318),K310,"")</f>
        <v>32.13</v>
      </c>
      <c r="AN310" s="13">
        <f>IF(ISNUMBER(L$318),L310,"")</f>
        <v>30.34</v>
      </c>
      <c r="AO310" s="13">
        <f>IF(ISNUMBER(M$318),M310,"")</f>
        <v>31.54</v>
      </c>
      <c r="AP310" s="13">
        <f>IF(ISNUMBER(N$318),N310,"")</f>
        <v>32.73</v>
      </c>
      <c r="AQ310" s="13">
        <f>IF(C310="Ручная",O310,0)</f>
        <v>29.75</v>
      </c>
    </row>
    <row r="311" spans="1:43" ht="40" customHeight="1">
      <c r="A311" s="5" t="s">
        <v>189</v>
      </c>
      <c r="B311" s="5" t="s">
        <v>195</v>
      </c>
      <c r="C311" s="11" t="s">
        <v>196</v>
      </c>
      <c r="D311" s="7" t="s">
        <v>197</v>
      </c>
      <c r="E311" s="18">
        <f>'Ассортимент'!R22</f>
        <v>300</v>
      </c>
      <c r="F311" s="18">
        <f>'Ассортимент'!R22</f>
        <v>300</v>
      </c>
      <c r="G311" s="18">
        <f>'Ассортимент'!R22</f>
        <v>300</v>
      </c>
      <c r="H311" s="18">
        <f>'Ассортимент'!R22</f>
        <v>300</v>
      </c>
      <c r="I311" s="18">
        <f>'Ассортимент'!R22</f>
        <v>300</v>
      </c>
      <c r="J311" s="18">
        <f>'Ассортимент'!R22</f>
        <v>300</v>
      </c>
      <c r="K311" s="18">
        <f>'Ассортимент'!R22</f>
        <v>300</v>
      </c>
      <c r="L311" s="18">
        <f>'Ассортимент'!R22</f>
        <v>300</v>
      </c>
      <c r="M311" s="18">
        <f>'Ассортимент'!R22</f>
        <v>300</v>
      </c>
      <c r="N311" s="18">
        <f>'Ассортимент'!R22</f>
        <v>300</v>
      </c>
      <c r="O311" s="13">
        <f>IF(COUNT(AG311:AP311)&gt;0,MIN(AG311:AP311),"")</f>
        <v>300</v>
      </c>
      <c r="P311" s="13">
        <f>IF(COUNT(AG311:AP311)&gt;0,MAX(AG311:AP311),"")</f>
        <v>300</v>
      </c>
      <c r="Q311" s="13">
        <f>IF(ISNUMBER(O311),P311-O311,"")</f>
        <v>0</v>
      </c>
      <c r="R311" s="13">
        <f>IF(ISNUMBER(O311),IF(C311="Ручная",IF($S$318&gt;0,$R$318*Q311/$S$318,IF($W$318=6,$R$318,0)),0),"")</f>
        <v>0</v>
      </c>
      <c r="S311" s="13">
        <f>IF(ISNUMBER(O311),O311+R311,"")</f>
        <v>300</v>
      </c>
      <c r="T311" s="13">
        <f>IF(ISNUMBER(S311),P311-S311,"")</f>
        <v>0</v>
      </c>
      <c r="U311" s="13">
        <f>IF(COUNT(AG311:AP311)&gt;0,AVERAGE(AG311:AP311),"")</f>
        <v>300</v>
      </c>
      <c r="AG311" s="13">
        <f>IF(ISNUMBER(E$318),E311,"")</f>
        <v>300</v>
      </c>
      <c r="AH311" s="13">
        <f>IF(ISNUMBER(F$318),F311,"")</f>
        <v>300</v>
      </c>
      <c r="AI311" s="13">
        <f>IF(ISNUMBER(G$318),G311,"")</f>
        <v>300</v>
      </c>
      <c r="AJ311" s="13">
        <f>IF(ISNUMBER(H$318),H311,"")</f>
        <v>300</v>
      </c>
      <c r="AK311" s="13">
        <f>IF(ISNUMBER(I$318),I311,"")</f>
        <v>300</v>
      </c>
      <c r="AL311" s="13">
        <f>IF(ISNUMBER(J$318),J311,"")</f>
        <v>300</v>
      </c>
      <c r="AM311" s="13">
        <f>IF(ISNUMBER(K$318),K311,"")</f>
        <v>300</v>
      </c>
      <c r="AN311" s="13">
        <f>IF(ISNUMBER(L$318),L311,"")</f>
        <v>300</v>
      </c>
      <c r="AO311" s="13">
        <f>IF(ISNUMBER(M$318),M311,"")</f>
        <v>300</v>
      </c>
      <c r="AP311" s="13">
        <f>IF(ISNUMBER(N$318),N311,"")</f>
        <v>300</v>
      </c>
      <c r="AQ311" s="13">
        <f>IF(C311="Ручная",O311,0)</f>
        <v>0</v>
      </c>
    </row>
    <row r="312" spans="1:43" ht="40" customHeight="1">
      <c r="A312" s="5">
        <v>7</v>
      </c>
      <c r="B312" s="5" t="s">
        <v>198</v>
      </c>
      <c r="C312" s="11" t="s">
        <v>183</v>
      </c>
      <c r="D312" s="7" t="s">
        <v>199</v>
      </c>
      <c r="E312" s="12">
        <v>29.16</v>
      </c>
      <c r="F312" s="12">
        <v>27.54</v>
      </c>
      <c r="G312" s="12">
        <v>28.62</v>
      </c>
      <c r="H312" s="12">
        <v>29.7</v>
      </c>
      <c r="I312" s="12">
        <v>27.81</v>
      </c>
      <c r="J312" s="12">
        <v>28.89</v>
      </c>
      <c r="K312" s="12">
        <v>27.27</v>
      </c>
      <c r="L312" s="12">
        <v>28.35</v>
      </c>
      <c r="M312" s="12">
        <v>27</v>
      </c>
      <c r="N312" s="12">
        <v>28.08</v>
      </c>
      <c r="O312" s="13">
        <f>IF(COUNT(AG312:AP312)&gt;0,MIN(AG312:AP312),"")</f>
        <v>27</v>
      </c>
      <c r="P312" s="13">
        <f>IF(COUNT(AG312:AP312)&gt;0,MAX(AG312:AP312),"")</f>
        <v>29.7</v>
      </c>
      <c r="Q312" s="13">
        <f>IF(ISNUMBER(O312),P312-O312,"")</f>
        <v>2.7</v>
      </c>
      <c r="R312" s="13">
        <f>IF(ISNUMBER(O312),IF(C312="Ручная",IF($S$318&gt;0,$R$318*Q312/$S$318,IF($W$318=7,$R$318,0)),0),"")</f>
        <v>0.953037667071699</v>
      </c>
      <c r="S312" s="13">
        <f>IF(ISNUMBER(O312),O312+R312,"")</f>
        <v>27.9530376670717</v>
      </c>
      <c r="T312" s="13">
        <f>IF(ISNUMBER(S312),P312-S312,"")</f>
        <v>1.7469623329283</v>
      </c>
      <c r="U312" s="13">
        <f>IF(COUNT(AG312:AP312)&gt;0,AVERAGE(AG312:AP312),"")</f>
        <v>28.242</v>
      </c>
      <c r="AG312" s="13">
        <f>IF(ISNUMBER(E$318),E312,"")</f>
        <v>29.16</v>
      </c>
      <c r="AH312" s="13">
        <f>IF(ISNUMBER(F$318),F312,"")</f>
        <v>27.54</v>
      </c>
      <c r="AI312" s="13">
        <f>IF(ISNUMBER(G$318),G312,"")</f>
        <v>28.62</v>
      </c>
      <c r="AJ312" s="13">
        <f>IF(ISNUMBER(H$318),H312,"")</f>
        <v>29.7</v>
      </c>
      <c r="AK312" s="13">
        <f>IF(ISNUMBER(I$318),I312,"")</f>
        <v>27.81</v>
      </c>
      <c r="AL312" s="13">
        <f>IF(ISNUMBER(J$318),J312,"")</f>
        <v>28.89</v>
      </c>
      <c r="AM312" s="13">
        <f>IF(ISNUMBER(K$318),K312,"")</f>
        <v>27.27</v>
      </c>
      <c r="AN312" s="13">
        <f>IF(ISNUMBER(L$318),L312,"")</f>
        <v>28.35</v>
      </c>
      <c r="AO312" s="13">
        <f>IF(ISNUMBER(M$318),M312,"")</f>
        <v>27</v>
      </c>
      <c r="AP312" s="13">
        <f>IF(ISNUMBER(N$318),N312,"")</f>
        <v>28.08</v>
      </c>
      <c r="AQ312" s="13">
        <f>IF(C312="Ручная",O312,0)</f>
        <v>27</v>
      </c>
    </row>
    <row r="313" spans="1:43" ht="40" customHeight="1">
      <c r="A313" s="5">
        <v>8</v>
      </c>
      <c r="B313" s="5" t="s">
        <v>200</v>
      </c>
      <c r="C313" s="11" t="s">
        <v>183</v>
      </c>
      <c r="D313" s="7" t="s">
        <v>201</v>
      </c>
      <c r="E313" s="12">
        <v>19.8</v>
      </c>
      <c r="F313" s="12">
        <v>18.54</v>
      </c>
      <c r="G313" s="12">
        <v>19.26</v>
      </c>
      <c r="H313" s="12">
        <v>18.18</v>
      </c>
      <c r="I313" s="12">
        <v>18.9</v>
      </c>
      <c r="J313" s="12">
        <v>18</v>
      </c>
      <c r="K313" s="12">
        <v>18.72</v>
      </c>
      <c r="L313" s="12">
        <v>19.44</v>
      </c>
      <c r="M313" s="12">
        <v>18.36</v>
      </c>
      <c r="N313" s="12">
        <v>19.08</v>
      </c>
      <c r="O313" s="13">
        <f>IF(COUNT(AG313:AP313)&gt;0,MIN(AG313:AP313),"")</f>
        <v>18</v>
      </c>
      <c r="P313" s="13">
        <f>IF(COUNT(AG313:AP313)&gt;0,MAX(AG313:AP313),"")</f>
        <v>19.8</v>
      </c>
      <c r="Q313" s="13">
        <f>IF(ISNUMBER(O313),P313-O313,"")</f>
        <v>1.8</v>
      </c>
      <c r="R313" s="13">
        <f>IF(ISNUMBER(O313),IF(C313="Ручная",IF($S$318&gt;0,$R$318*Q313/$S$318,IF($W$318=8,$R$318,0)),0),"")</f>
        <v>0.635358444714466</v>
      </c>
      <c r="S313" s="13">
        <f>IF(ISNUMBER(O313),O313+R313,"")</f>
        <v>18.6353584447145</v>
      </c>
      <c r="T313" s="13">
        <f>IF(ISNUMBER(S313),P313-S313,"")</f>
        <v>1.16464155528553</v>
      </c>
      <c r="U313" s="13">
        <f>IF(COUNT(AG313:AP313)&gt;0,AVERAGE(AG313:AP313),"")</f>
        <v>18.828</v>
      </c>
      <c r="AG313" s="13">
        <f>IF(ISNUMBER(E$318),E313,"")</f>
        <v>19.8</v>
      </c>
      <c r="AH313" s="13">
        <f>IF(ISNUMBER(F$318),F313,"")</f>
        <v>18.54</v>
      </c>
      <c r="AI313" s="13">
        <f>IF(ISNUMBER(G$318),G313,"")</f>
        <v>19.26</v>
      </c>
      <c r="AJ313" s="13">
        <f>IF(ISNUMBER(H$318),H313,"")</f>
        <v>18.18</v>
      </c>
      <c r="AK313" s="13">
        <f>IF(ISNUMBER(I$318),I313,"")</f>
        <v>18.9</v>
      </c>
      <c r="AL313" s="13">
        <f>IF(ISNUMBER(J$318),J313,"")</f>
        <v>18</v>
      </c>
      <c r="AM313" s="13">
        <f>IF(ISNUMBER(K$318),K313,"")</f>
        <v>18.72</v>
      </c>
      <c r="AN313" s="13">
        <f>IF(ISNUMBER(L$318),L313,"")</f>
        <v>19.44</v>
      </c>
      <c r="AO313" s="13">
        <f>IF(ISNUMBER(M$318),M313,"")</f>
        <v>18.36</v>
      </c>
      <c r="AP313" s="13">
        <f>IF(ISNUMBER(N$318),N313,"")</f>
        <v>19.08</v>
      </c>
      <c r="AQ313" s="13">
        <f>IF(C313="Ручная",O313,0)</f>
        <v>18</v>
      </c>
    </row>
    <row r="314" spans="1:43" ht="40" customHeight="1">
      <c r="A314" s="5" t="s">
        <v>189</v>
      </c>
      <c r="B314" s="5" t="s">
        <v>202</v>
      </c>
      <c r="C314" s="11" t="s">
        <v>191</v>
      </c>
      <c r="D314" s="7" t="s">
        <v>203</v>
      </c>
      <c r="E314" s="12">
        <v>5.05</v>
      </c>
      <c r="F314" s="12">
        <v>5.25</v>
      </c>
      <c r="G314" s="12">
        <v>5</v>
      </c>
      <c r="H314" s="12">
        <v>5.2</v>
      </c>
      <c r="I314" s="12">
        <v>5.4</v>
      </c>
      <c r="J314" s="12">
        <v>5.1</v>
      </c>
      <c r="K314" s="12">
        <v>5.3</v>
      </c>
      <c r="L314" s="12">
        <v>5.5</v>
      </c>
      <c r="M314" s="12">
        <v>5.15</v>
      </c>
      <c r="N314" s="12">
        <v>5.35</v>
      </c>
      <c r="O314" s="13">
        <f>IF(COUNT(AG314:AP314)&gt;0,MIN(AG314:AP314),"")</f>
        <v>5</v>
      </c>
      <c r="P314" s="13">
        <f>IF(COUNT(AG314:AP314)&gt;0,MAX(AG314:AP314),"")</f>
        <v>5.5</v>
      </c>
      <c r="Q314" s="13">
        <f>IF(ISNUMBER(O314),P314-O314,"")</f>
        <v>0.5</v>
      </c>
      <c r="R314" s="13">
        <f>IF(ISNUMBER(O314),IF(C314="Ручная",IF($S$318&gt;0,$R$318*Q314/$S$318,IF($W$318=9,$R$318,0)),0),"")</f>
        <v>0</v>
      </c>
      <c r="S314" s="13">
        <f>IF(ISNUMBER(O314),O314+R314,"")</f>
        <v>5</v>
      </c>
      <c r="T314" s="13">
        <f>IF(ISNUMBER(S314),P314-S314,"")</f>
        <v>0.5</v>
      </c>
      <c r="U314" s="13">
        <f>IF(COUNT(AG314:AP314)&gt;0,AVERAGE(AG314:AP314),"")</f>
        <v>5.23</v>
      </c>
      <c r="AG314" s="13">
        <f>IF(ISNUMBER(E$318),E314,"")</f>
        <v>5.05</v>
      </c>
      <c r="AH314" s="13">
        <f>IF(ISNUMBER(F$318),F314,"")</f>
        <v>5.25</v>
      </c>
      <c r="AI314" s="13">
        <f>IF(ISNUMBER(G$318),G314,"")</f>
        <v>5</v>
      </c>
      <c r="AJ314" s="13">
        <f>IF(ISNUMBER(H$318),H314,"")</f>
        <v>5.2</v>
      </c>
      <c r="AK314" s="13">
        <f>IF(ISNUMBER(I$318),I314,"")</f>
        <v>5.4</v>
      </c>
      <c r="AL314" s="13">
        <f>IF(ISNUMBER(J$318),J314,"")</f>
        <v>5.1</v>
      </c>
      <c r="AM314" s="13">
        <f>IF(ISNUMBER(K$318),K314,"")</f>
        <v>5.3</v>
      </c>
      <c r="AN314" s="13">
        <f>IF(ISNUMBER(L$318),L314,"")</f>
        <v>5.5</v>
      </c>
      <c r="AO314" s="13">
        <f>IF(ISNUMBER(M$318),M314,"")</f>
        <v>5.15</v>
      </c>
      <c r="AP314" s="13">
        <f>IF(ISNUMBER(N$318),N314,"")</f>
        <v>5.35</v>
      </c>
      <c r="AQ314" s="13">
        <f>IF(C314="Ручная",O314,0)</f>
        <v>0</v>
      </c>
    </row>
    <row r="315" spans="1:43" ht="40" customHeight="1">
      <c r="A315" s="5" t="s">
        <v>189</v>
      </c>
      <c r="B315" s="5" t="s">
        <v>204</v>
      </c>
      <c r="C315" s="11" t="s">
        <v>191</v>
      </c>
      <c r="D315" s="7" t="s">
        <v>205</v>
      </c>
      <c r="E315" s="12">
        <v>5.2</v>
      </c>
      <c r="F315" s="12">
        <v>5.4</v>
      </c>
      <c r="G315" s="12">
        <v>5.1</v>
      </c>
      <c r="H315" s="12">
        <v>5.3</v>
      </c>
      <c r="I315" s="12">
        <v>5.5</v>
      </c>
      <c r="J315" s="12">
        <v>5.15</v>
      </c>
      <c r="K315" s="12">
        <v>5.35</v>
      </c>
      <c r="L315" s="12">
        <v>5.05</v>
      </c>
      <c r="M315" s="12">
        <v>5.25</v>
      </c>
      <c r="N315" s="12">
        <v>5</v>
      </c>
      <c r="O315" s="13">
        <f>IF(COUNT(AG315:AP315)&gt;0,MIN(AG315:AP315),"")</f>
        <v>5</v>
      </c>
      <c r="P315" s="13">
        <f>IF(COUNT(AG315:AP315)&gt;0,MAX(AG315:AP315),"")</f>
        <v>5.5</v>
      </c>
      <c r="Q315" s="13">
        <f>IF(ISNUMBER(O315),P315-O315,"")</f>
        <v>0.5</v>
      </c>
      <c r="R315" s="13">
        <f>IF(ISNUMBER(O315),IF(C315="Ручная",IF($S$318&gt;0,$R$318*Q315/$S$318,IF($W$318=10,$R$318,0)),0),"")</f>
        <v>0</v>
      </c>
      <c r="S315" s="13">
        <f>IF(ISNUMBER(O315),O315+R315,"")</f>
        <v>5</v>
      </c>
      <c r="T315" s="13">
        <f>IF(ISNUMBER(S315),P315-S315,"")</f>
        <v>0.5</v>
      </c>
      <c r="U315" s="13">
        <f>IF(COUNT(AG315:AP315)&gt;0,AVERAGE(AG315:AP315),"")</f>
        <v>5.23</v>
      </c>
      <c r="AG315" s="13">
        <f>IF(ISNUMBER(E$318),E315,"")</f>
        <v>5.2</v>
      </c>
      <c r="AH315" s="13">
        <f>IF(ISNUMBER(F$318),F315,"")</f>
        <v>5.4</v>
      </c>
      <c r="AI315" s="13">
        <f>IF(ISNUMBER(G$318),G315,"")</f>
        <v>5.1</v>
      </c>
      <c r="AJ315" s="13">
        <f>IF(ISNUMBER(H$318),H315,"")</f>
        <v>5.3</v>
      </c>
      <c r="AK315" s="13">
        <f>IF(ISNUMBER(I$318),I315,"")</f>
        <v>5.5</v>
      </c>
      <c r="AL315" s="13">
        <f>IF(ISNUMBER(J$318),J315,"")</f>
        <v>5.15</v>
      </c>
      <c r="AM315" s="13">
        <f>IF(ISNUMBER(K$318),K315,"")</f>
        <v>5.35</v>
      </c>
      <c r="AN315" s="13">
        <f>IF(ISNUMBER(L$318),L315,"")</f>
        <v>5.05</v>
      </c>
      <c r="AO315" s="13">
        <f>IF(ISNUMBER(M$318),M315,"")</f>
        <v>5.25</v>
      </c>
      <c r="AP315" s="13">
        <f>IF(ISNUMBER(N$318),N315,"")</f>
        <v>5</v>
      </c>
      <c r="AQ315" s="13">
        <f>IF(C315="Ручная",O315,0)</f>
        <v>0</v>
      </c>
    </row>
    <row r="316" spans="1:43" ht="40" customHeight="1">
      <c r="A316" s="5" t="s">
        <v>189</v>
      </c>
      <c r="B316" s="5" t="s">
        <v>206</v>
      </c>
      <c r="C316" s="11" t="s">
        <v>207</v>
      </c>
      <c r="D316" s="7" t="s">
        <v>208</v>
      </c>
      <c r="E316" s="12">
        <v>0</v>
      </c>
      <c r="F316" s="12">
        <v>0</v>
      </c>
      <c r="G316" s="12">
        <v>0</v>
      </c>
      <c r="H316" s="12">
        <v>0</v>
      </c>
      <c r="I316" s="12">
        <v>0</v>
      </c>
      <c r="J316" s="12">
        <v>0</v>
      </c>
      <c r="K316" s="12">
        <v>0</v>
      </c>
      <c r="L316" s="12">
        <v>0</v>
      </c>
      <c r="M316" s="12">
        <v>0</v>
      </c>
      <c r="N316" s="12">
        <v>0</v>
      </c>
      <c r="O316" s="13">
        <f>IF(COUNT(AG316:AP316)&gt;0,MIN(AG316:AP316),"")</f>
        <v>0</v>
      </c>
      <c r="P316" s="13">
        <f>IF(COUNT(AG316:AP316)&gt;0,MAX(AG316:AP316),"")</f>
        <v>0</v>
      </c>
      <c r="Q316" s="13">
        <f>IF(ISNUMBER(O316),P316-O316,"")</f>
        <v>0</v>
      </c>
      <c r="R316" s="13">
        <f>IF(ISNUMBER(O316),IF(C316="Ручная",IF($S$318&gt;0,$R$318*Q316/$S$318,IF($W$318=11,$R$318,0)),0),"")</f>
        <v>0</v>
      </c>
      <c r="S316" s="13">
        <f>IF(ISNUMBER(O316),O316+R316,"")</f>
        <v>0</v>
      </c>
      <c r="T316" s="13">
        <f>IF(ISNUMBER(S316),P316-S316,"")</f>
        <v>0</v>
      </c>
      <c r="U316" s="13">
        <f>IF(COUNT(AG316:AP316)&gt;0,AVERAGE(AG316:AP316),"")</f>
        <v>0</v>
      </c>
      <c r="AG316" s="13">
        <f>IF(ISNUMBER(E$318),E316,"")</f>
        <v>0</v>
      </c>
      <c r="AH316" s="13">
        <f>IF(ISNUMBER(F$318),F316,"")</f>
        <v>0</v>
      </c>
      <c r="AI316" s="13">
        <f>IF(ISNUMBER(G$318),G316,"")</f>
        <v>0</v>
      </c>
      <c r="AJ316" s="13">
        <f>IF(ISNUMBER(H$318),H316,"")</f>
        <v>0</v>
      </c>
      <c r="AK316" s="13">
        <f>IF(ISNUMBER(I$318),I316,"")</f>
        <v>0</v>
      </c>
      <c r="AL316" s="13">
        <f>IF(ISNUMBER(J$318),J316,"")</f>
        <v>0</v>
      </c>
      <c r="AM316" s="13">
        <f>IF(ISNUMBER(K$318),K316,"")</f>
        <v>0</v>
      </c>
      <c r="AN316" s="13">
        <f>IF(ISNUMBER(L$318),L316,"")</f>
        <v>0</v>
      </c>
      <c r="AO316" s="13">
        <f>IF(ISNUMBER(M$318),M316,"")</f>
        <v>0</v>
      </c>
      <c r="AP316" s="13">
        <f>IF(ISNUMBER(N$318),N316,"")</f>
        <v>0</v>
      </c>
      <c r="AQ316" s="13">
        <f>IF(C316="Ручная",O316,0)</f>
        <v>0</v>
      </c>
    </row>
    <row r="317" spans="1:43" ht="23" customHeight="1">
      <c r="B317" s="4" t="s">
        <v>209</v>
      </c>
      <c r="E317" s="6">
        <f>IF(COUNT(E306:E316)=11,SUM(E306:E316),"")</f>
        <v>490.42</v>
      </c>
      <c r="F317" s="6">
        <f>IF(COUNT(F306:F316)=11,SUM(F306:F316),"")</f>
        <v>488.46</v>
      </c>
      <c r="G317" s="6">
        <f>IF(COUNT(G306:G316)=11,SUM(G306:G316),"")</f>
        <v>489.01</v>
      </c>
      <c r="H317" s="6">
        <f>IF(COUNT(H306:H316)=11,SUM(H306:H316),"")</f>
        <v>487.75</v>
      </c>
      <c r="I317" s="6">
        <f>IF(COUNT(I306:I316)=11,SUM(I306:I316),"")</f>
        <v>486.82</v>
      </c>
      <c r="J317" s="6">
        <f>IF(COUNT(J306:J316)=11,SUM(J306:J316),"")</f>
        <v>490.77</v>
      </c>
      <c r="K317" s="6">
        <f>IF(COUNT(K306:K316)=11,SUM(K306:K316),"")</f>
        <v>486.36</v>
      </c>
      <c r="L317" s="6">
        <f>IF(COUNT(L306:L316)=11,SUM(L306:L316),"")</f>
        <v>489.57</v>
      </c>
      <c r="M317" s="6">
        <f>IF(COUNT(M306:M316)=11,SUM(M306:M316),"")</f>
        <v>490.04</v>
      </c>
      <c r="N317" s="6">
        <f>IF(COUNT(N306:N316)=11,SUM(N306:N316),"")</f>
        <v>489.36</v>
      </c>
      <c r="O317" s="6">
        <f>IF(COUNT(O306:O316)=11,SUM(O306:O316),"")</f>
        <v>480.55</v>
      </c>
      <c r="P317" s="6">
        <f>IF(COUNT(P306:P316)=11,SUM(P306:P316),"")</f>
        <v>498.61</v>
      </c>
      <c r="Q317" s="6">
        <f>IF(COUNT(Q306:Q316)=11,SUM(Q306:Q316),"")</f>
        <v>18.06</v>
      </c>
      <c r="R317" s="6">
        <f>IF(COUNT(R306:R316)=11,SUM(R306:R316),"")</f>
        <v>5.81000000000006</v>
      </c>
      <c r="S317" s="6">
        <f>IF(COUNT(S306:S316)=11,SUM(S306:S316),"")</f>
        <v>486.36</v>
      </c>
      <c r="T317" s="6">
        <f>IF(COUNT(T306:T316)=11,SUM(T306:T316),"")</f>
        <v>12.2499999999999</v>
      </c>
      <c r="U317" s="6">
        <f>IF(COUNT(U306:U316)=11,SUM(U306:U316),"")</f>
        <v>488.856</v>
      </c>
    </row>
    <row r="318" spans="1:43" ht="23" customHeight="1">
      <c r="B318" s="4" t="s">
        <v>210</v>
      </c>
      <c r="E318" s="6">
        <f>IF(AND(E304=1,COUNT(E306:E316)=11,MIN(E306:E316)&gt;=0),E317,"")</f>
        <v>490.42</v>
      </c>
      <c r="F318" s="6">
        <f>IF(AND(F304=1,COUNT(F306:F316)=11,MIN(F306:F316)&gt;=0),F317,"")</f>
        <v>488.46</v>
      </c>
      <c r="G318" s="6">
        <f>IF(AND(G304=1,COUNT(G306:G316)=11,MIN(G306:G316)&gt;=0),G317,"")</f>
        <v>489.01</v>
      </c>
      <c r="H318" s="6">
        <f>IF(AND(H304=1,COUNT(H306:H316)=11,MIN(H306:H316)&gt;=0),H317,"")</f>
        <v>487.75</v>
      </c>
      <c r="I318" s="6">
        <f>IF(AND(I304=1,COUNT(I306:I316)=11,MIN(I306:I316)&gt;=0),I317,"")</f>
        <v>486.82</v>
      </c>
      <c r="J318" s="6">
        <f>IF(AND(J304=1,COUNT(J306:J316)=11,MIN(J306:J316)&gt;=0),J317,"")</f>
        <v>490.77</v>
      </c>
      <c r="K318" s="6">
        <f>IF(AND(K304=1,COUNT(K306:K316)=11,MIN(K306:K316)&gt;=0),K317,"")</f>
        <v>486.36</v>
      </c>
      <c r="L318" s="6">
        <f>IF(AND(L304=1,COUNT(L306:L316)=11,MIN(L306:L316)&gt;=0),L317,"")</f>
        <v>489.57</v>
      </c>
      <c r="M318" s="6">
        <f>IF(AND(M304=1,COUNT(M306:M316)=11,MIN(M306:M316)&gt;=0),M317,"")</f>
        <v>490.04</v>
      </c>
      <c r="N318" s="6">
        <f>IF(AND(N304=1,COUNT(N306:N316)=11,MIN(N306:N316)&gt;=0),N317,"")</f>
        <v>489.36</v>
      </c>
      <c r="O318" s="6">
        <f>IF(COUNT(E318:N318)&gt;0,MIN(E318:N318),"")</f>
        <v>486.36</v>
      </c>
      <c r="P318" s="6">
        <f>IF(COUNT(E318:N318)&gt;0,MAX(E318:N318),"")</f>
        <v>490.77</v>
      </c>
      <c r="Q318" s="6">
        <f>IF(ISNUMBER(O318),P318-O318,"")</f>
        <v>4.40999999999991</v>
      </c>
      <c r="R318" s="6">
        <f>IF(ISNUMBER(O318),MAX(0,O318-O317),"")</f>
        <v>5.81000000000006</v>
      </c>
      <c r="S318" s="6">
        <f>SUMIF(C306:C316,"Ручная",Q306:Q316)</f>
        <v>16.46</v>
      </c>
      <c r="T318" s="6">
        <f>COUNT(E318:N318)</f>
        <v>10</v>
      </c>
      <c r="U318" s="6">
        <f>IF(COUNT(E318:N318)&gt;0,AVERAGE(E318:N318),"")</f>
        <v>488.856</v>
      </c>
      <c r="V318" s="6">
        <f>IF(ISNUMBER(O318),S317-O318,"")</f>
        <v>0</v>
      </c>
      <c r="W318" s="6">
        <f>MATCH(MAX(AQ306:AQ316),AQ306:AQ316,0)</f>
        <v>2</v>
      </c>
      <c r="X318" s="17" t="str">
        <f>IF(T318=0,"НЕТ ЗАМЕРОВ",IF(T318&lt;10,"МЕНЕЕ 10 ЦИКЛОВ",IF(ABS(V318)&lt;0.000001,"ОК","ОШИБКА РЕГУЛИРОВКИ")))</f>
        <v>ОК</v>
      </c>
    </row>
    <row r="319" spans="1:43" ht="23" customHeight="1">
      <c r="A319" s="7" t="s">
        <v>211</v>
      </c>
      <c r="B319" s="7"/>
      <c r="C319" s="7"/>
      <c r="D319" s="7"/>
      <c r="E319" s="7"/>
      <c r="F319" s="7"/>
      <c r="G319" s="7"/>
      <c r="H319" s="7"/>
      <c r="I319" s="7"/>
      <c r="J319" s="7"/>
      <c r="K319" s="7"/>
      <c r="L319" s="7"/>
      <c r="M319" s="7"/>
      <c r="N319" s="7"/>
      <c r="O319" s="7"/>
      <c r="P319" s="7"/>
      <c r="Q319" s="7"/>
      <c r="R319" s="7"/>
      <c r="S319" s="7"/>
      <c r="T319" s="7"/>
      <c r="U319" s="7"/>
      <c r="V319" s="7"/>
      <c r="W319" s="7"/>
      <c r="X319" s="7"/>
    </row>
    <row r="322" spans="1:43" ht="23" customHeight="1">
      <c r="A322" s="4" t="s">
        <v>245</v>
      </c>
      <c r="B322" s="4"/>
      <c r="C322" s="4"/>
      <c r="D322" s="4"/>
      <c r="E322" s="4"/>
      <c r="F322" s="4"/>
      <c r="G322" s="4"/>
      <c r="H322" s="4"/>
      <c r="I322" s="4"/>
      <c r="J322" s="4"/>
      <c r="K322" s="4"/>
      <c r="L322" s="4"/>
      <c r="M322" s="4"/>
      <c r="N322" s="4"/>
      <c r="O322" s="4"/>
      <c r="P322" s="4"/>
      <c r="Q322" s="4"/>
      <c r="R322" s="4"/>
      <c r="S322" s="4"/>
      <c r="T322" s="4"/>
      <c r="U322" s="4"/>
      <c r="V322" s="4"/>
      <c r="W322" s="4"/>
      <c r="X322" s="4"/>
    </row>
    <row r="323" spans="1:43" ht="23" customHeight="1">
      <c r="A323" s="7" t="str">
        <f>"Масса замера, кг: "&amp;'Ассортимент'!J23&amp;". Все замеры одной партии/исполнителя/условий. Основание: "&amp;'Ввод'!B15</f>
        <v>Масса замера, кг: 3. Все замеры одной партии/исполнителя/условий. Основание: ДЕМО: прогноз; улучшения не внедрены</v>
      </c>
      <c r="B323" s="7"/>
      <c r="C323" s="7"/>
      <c r="D323" s="7"/>
      <c r="E323" s="7"/>
      <c r="F323" s="7"/>
      <c r="G323" s="7"/>
      <c r="H323" s="7"/>
      <c r="I323" s="7"/>
      <c r="J323" s="7"/>
      <c r="K323" s="7"/>
      <c r="L323" s="7"/>
      <c r="M323" s="7"/>
      <c r="N323" s="7"/>
      <c r="O323" s="7"/>
      <c r="P323" s="7"/>
      <c r="Q323" s="7"/>
      <c r="R323" s="7"/>
      <c r="S323" s="7"/>
      <c r="T323" s="7"/>
      <c r="U323" s="7"/>
      <c r="V323" s="7"/>
      <c r="W323" s="7"/>
      <c r="X323" s="7"/>
    </row>
    <row r="324" spans="1:43" ht="44" customHeight="1">
      <c r="A324" s="8" t="s">
        <v>113</v>
      </c>
      <c r="B324" s="8" t="s">
        <v>156</v>
      </c>
      <c r="C324" s="8" t="s">
        <v>157</v>
      </c>
      <c r="D324" s="8" t="s">
        <v>158</v>
      </c>
      <c r="E324" s="8" t="s">
        <v>159</v>
      </c>
      <c r="F324" s="8" t="s">
        <v>160</v>
      </c>
      <c r="G324" s="8" t="s">
        <v>161</v>
      </c>
      <c r="H324" s="8" t="s">
        <v>162</v>
      </c>
      <c r="I324" s="8" t="s">
        <v>163</v>
      </c>
      <c r="J324" s="8" t="s">
        <v>164</v>
      </c>
      <c r="K324" s="8" t="s">
        <v>165</v>
      </c>
      <c r="L324" s="8" t="s">
        <v>166</v>
      </c>
      <c r="M324" s="8" t="s">
        <v>167</v>
      </c>
      <c r="N324" s="8" t="s">
        <v>168</v>
      </c>
      <c r="O324" s="8" t="s">
        <v>169</v>
      </c>
      <c r="P324" s="8" t="s">
        <v>170</v>
      </c>
      <c r="Q324" s="8" t="s">
        <v>171</v>
      </c>
      <c r="R324" s="8" t="s">
        <v>172</v>
      </c>
      <c r="S324" s="8" t="s">
        <v>173</v>
      </c>
      <c r="T324" s="8" t="s">
        <v>174</v>
      </c>
      <c r="U324" s="8" t="s">
        <v>175</v>
      </c>
      <c r="V324" s="8" t="s">
        <v>176</v>
      </c>
      <c r="W324" s="8" t="s">
        <v>177</v>
      </c>
      <c r="X324" s="8" t="s">
        <v>178</v>
      </c>
    </row>
    <row r="325" spans="1:43" ht="23" customHeight="1">
      <c r="B325" s="5" t="s">
        <v>179</v>
      </c>
      <c r="E325" s="12">
        <v>1</v>
      </c>
      <c r="F325" s="12">
        <v>1</v>
      </c>
      <c r="G325" s="12">
        <v>1</v>
      </c>
      <c r="H325" s="12">
        <v>1</v>
      </c>
      <c r="I325" s="12">
        <v>1</v>
      </c>
      <c r="J325" s="12">
        <v>1</v>
      </c>
      <c r="K325" s="12">
        <v>1</v>
      </c>
      <c r="L325" s="12">
        <v>1</v>
      </c>
      <c r="M325" s="12">
        <v>1</v>
      </c>
      <c r="N325" s="12">
        <v>1</v>
      </c>
    </row>
    <row r="326" spans="1:43" ht="33" customHeight="1">
      <c r="B326" s="5" t="s">
        <v>180</v>
      </c>
      <c r="E326" s="9" t="s">
        <v>181</v>
      </c>
      <c r="F326" s="9" t="s">
        <v>181</v>
      </c>
      <c r="G326" s="9" t="s">
        <v>181</v>
      </c>
      <c r="H326" s="9" t="s">
        <v>181</v>
      </c>
      <c r="I326" s="9" t="s">
        <v>181</v>
      </c>
      <c r="J326" s="9" t="s">
        <v>181</v>
      </c>
      <c r="K326" s="9" t="s">
        <v>181</v>
      </c>
      <c r="L326" s="9" t="s">
        <v>181</v>
      </c>
      <c r="M326" s="9" t="s">
        <v>181</v>
      </c>
      <c r="N326" s="9" t="s">
        <v>181</v>
      </c>
    </row>
    <row r="327" spans="1:43" ht="40" customHeight="1">
      <c r="A327" s="5">
        <v>1</v>
      </c>
      <c r="B327" s="5" t="s">
        <v>182</v>
      </c>
      <c r="C327" s="11" t="s">
        <v>183</v>
      </c>
      <c r="D327" s="7" t="s">
        <v>184</v>
      </c>
      <c r="E327" s="12">
        <v>27.5</v>
      </c>
      <c r="F327" s="12">
        <v>25.75</v>
      </c>
      <c r="G327" s="12">
        <v>26.75</v>
      </c>
      <c r="H327" s="12">
        <v>25.25</v>
      </c>
      <c r="I327" s="12">
        <v>26.25</v>
      </c>
      <c r="J327" s="12">
        <v>25</v>
      </c>
      <c r="K327" s="12">
        <v>26</v>
      </c>
      <c r="L327" s="12">
        <v>27</v>
      </c>
      <c r="M327" s="12">
        <v>25.5</v>
      </c>
      <c r="N327" s="12">
        <v>26.5</v>
      </c>
      <c r="O327" s="13">
        <f>IF(COUNT(AG327:AP327)&gt;0,MIN(AG327:AP327),"")</f>
        <v>25</v>
      </c>
      <c r="P327" s="13">
        <f>IF(COUNT(AG327:AP327)&gt;0,MAX(AG327:AP327),"")</f>
        <v>27.5</v>
      </c>
      <c r="Q327" s="13">
        <f>IF(ISNUMBER(O327),P327-O327,"")</f>
        <v>2.5</v>
      </c>
      <c r="R327" s="13">
        <f>IF(ISNUMBER(O327),IF(C327="Ручная",IF($S$339&gt;0,$R$339*Q327/$S$339,IF($W$339=1,$R$339,0)),0),"")</f>
        <v>0.86053837342497</v>
      </c>
      <c r="S327" s="13">
        <f>IF(ISNUMBER(O327),O327+R327,"")</f>
        <v>25.860538373425</v>
      </c>
      <c r="T327" s="13">
        <f>IF(ISNUMBER(S327),P327-S327,"")</f>
        <v>1.63946162657503</v>
      </c>
      <c r="U327" s="13">
        <f>IF(COUNT(AG327:AP327)&gt;0,AVERAGE(AG327:AP327),"")</f>
        <v>26.15</v>
      </c>
      <c r="AG327" s="13">
        <f>IF(ISNUMBER(E$339),E327,"")</f>
        <v>27.5</v>
      </c>
      <c r="AH327" s="13">
        <f>IF(ISNUMBER(F$339),F327,"")</f>
        <v>25.75</v>
      </c>
      <c r="AI327" s="13">
        <f>IF(ISNUMBER(G$339),G327,"")</f>
        <v>26.75</v>
      </c>
      <c r="AJ327" s="13">
        <f>IF(ISNUMBER(H$339),H327,"")</f>
        <v>25.25</v>
      </c>
      <c r="AK327" s="13">
        <f>IF(ISNUMBER(I$339),I327,"")</f>
        <v>26.25</v>
      </c>
      <c r="AL327" s="13">
        <f>IF(ISNUMBER(J$339),J327,"")</f>
        <v>25</v>
      </c>
      <c r="AM327" s="13">
        <f>IF(ISNUMBER(K$339),K327,"")</f>
        <v>26</v>
      </c>
      <c r="AN327" s="13">
        <f>IF(ISNUMBER(L$339),L327,"")</f>
        <v>27</v>
      </c>
      <c r="AO327" s="13">
        <f>IF(ISNUMBER(M$339),M327,"")</f>
        <v>25.5</v>
      </c>
      <c r="AP327" s="13">
        <f>IF(ISNUMBER(N$339),N327,"")</f>
        <v>26.5</v>
      </c>
      <c r="AQ327" s="13">
        <f>IF(C327="Ручная",O327,0)</f>
        <v>25</v>
      </c>
    </row>
    <row r="328" spans="1:43" ht="40" customHeight="1">
      <c r="A328" s="5">
        <v>2</v>
      </c>
      <c r="B328" s="5" t="s">
        <v>185</v>
      </c>
      <c r="C328" s="11" t="s">
        <v>183</v>
      </c>
      <c r="D328" s="7" t="s">
        <v>186</v>
      </c>
      <c r="E328" s="12">
        <v>55.55</v>
      </c>
      <c r="F328" s="12">
        <v>57.75</v>
      </c>
      <c r="G328" s="12">
        <v>55</v>
      </c>
      <c r="H328" s="12">
        <v>57.2</v>
      </c>
      <c r="I328" s="12">
        <v>59.4</v>
      </c>
      <c r="J328" s="12">
        <v>56.1</v>
      </c>
      <c r="K328" s="12">
        <v>58.3</v>
      </c>
      <c r="L328" s="12">
        <v>60.5</v>
      </c>
      <c r="M328" s="12">
        <v>56.65</v>
      </c>
      <c r="N328" s="12">
        <v>58.85</v>
      </c>
      <c r="O328" s="13">
        <f>IF(COUNT(AG328:AP328)&gt;0,MIN(AG328:AP328),"")</f>
        <v>55</v>
      </c>
      <c r="P328" s="13">
        <f>IF(COUNT(AG328:AP328)&gt;0,MAX(AG328:AP328),"")</f>
        <v>60.5</v>
      </c>
      <c r="Q328" s="13">
        <f>IF(ISNUMBER(O328),P328-O328,"")</f>
        <v>5.5</v>
      </c>
      <c r="R328" s="13">
        <f>IF(ISNUMBER(O328),IF(C328="Ручная",IF($S$339&gt;0,$R$339*Q328/$S$339,IF($W$339=2,$R$339,0)),0),"")</f>
        <v>1.89318442153493</v>
      </c>
      <c r="S328" s="13">
        <f>IF(ISNUMBER(O328),O328+R328,"")</f>
        <v>56.8931844215349</v>
      </c>
      <c r="T328" s="13">
        <f>IF(ISNUMBER(S328),P328-S328,"")</f>
        <v>3.60681557846507</v>
      </c>
      <c r="U328" s="13">
        <f>IF(COUNT(AG328:AP328)&gt;0,AVERAGE(AG328:AP328),"")</f>
        <v>57.53</v>
      </c>
      <c r="AG328" s="13">
        <f>IF(ISNUMBER(E$339),E328,"")</f>
        <v>55.55</v>
      </c>
      <c r="AH328" s="13">
        <f>IF(ISNUMBER(F$339),F328,"")</f>
        <v>57.75</v>
      </c>
      <c r="AI328" s="13">
        <f>IF(ISNUMBER(G$339),G328,"")</f>
        <v>55</v>
      </c>
      <c r="AJ328" s="13">
        <f>IF(ISNUMBER(H$339),H328,"")</f>
        <v>57.2</v>
      </c>
      <c r="AK328" s="13">
        <f>IF(ISNUMBER(I$339),I328,"")</f>
        <v>59.4</v>
      </c>
      <c r="AL328" s="13">
        <f>IF(ISNUMBER(J$339),J328,"")</f>
        <v>56.1</v>
      </c>
      <c r="AM328" s="13">
        <f>IF(ISNUMBER(K$339),K328,"")</f>
        <v>58.3</v>
      </c>
      <c r="AN328" s="13">
        <f>IF(ISNUMBER(L$339),L328,"")</f>
        <v>60.5</v>
      </c>
      <c r="AO328" s="13">
        <f>IF(ISNUMBER(M$339),M328,"")</f>
        <v>56.65</v>
      </c>
      <c r="AP328" s="13">
        <f>IF(ISNUMBER(N$339),N328,"")</f>
        <v>58.85</v>
      </c>
      <c r="AQ328" s="13">
        <f>IF(C328="Ручная",O328,0)</f>
        <v>55</v>
      </c>
    </row>
    <row r="329" spans="1:43" ht="40" customHeight="1">
      <c r="A329" s="5">
        <v>3</v>
      </c>
      <c r="B329" s="5" t="s">
        <v>187</v>
      </c>
      <c r="C329" s="11" t="s">
        <v>183</v>
      </c>
      <c r="D329" s="7" t="s">
        <v>188</v>
      </c>
      <c r="E329" s="12">
        <v>20.59</v>
      </c>
      <c r="F329" s="12">
        <v>21.38</v>
      </c>
      <c r="G329" s="12">
        <v>20.2</v>
      </c>
      <c r="H329" s="12">
        <v>20.99</v>
      </c>
      <c r="I329" s="12">
        <v>21.78</v>
      </c>
      <c r="J329" s="12">
        <v>20.39</v>
      </c>
      <c r="K329" s="12">
        <v>21.19</v>
      </c>
      <c r="L329" s="12">
        <v>20</v>
      </c>
      <c r="M329" s="12">
        <v>20.79</v>
      </c>
      <c r="N329" s="12">
        <v>19.8</v>
      </c>
      <c r="O329" s="13">
        <f>IF(COUNT(AG329:AP329)&gt;0,MIN(AG329:AP329),"")</f>
        <v>19.8</v>
      </c>
      <c r="P329" s="13">
        <f>IF(COUNT(AG329:AP329)&gt;0,MAX(AG329:AP329),"")</f>
        <v>21.78</v>
      </c>
      <c r="Q329" s="13">
        <f>IF(ISNUMBER(O329),P329-O329,"")</f>
        <v>1.98</v>
      </c>
      <c r="R329" s="13">
        <f>IF(ISNUMBER(O329),IF(C329="Ручная",IF($S$339&gt;0,$R$339*Q329/$S$339,IF($W$339=3,$R$339,0)),0),"")</f>
        <v>0.681546391752577</v>
      </c>
      <c r="S329" s="13">
        <f>IF(ISNUMBER(O329),O329+R329,"")</f>
        <v>20.4815463917526</v>
      </c>
      <c r="T329" s="13">
        <f>IF(ISNUMBER(S329),P329-S329,"")</f>
        <v>1.29845360824742</v>
      </c>
      <c r="U329" s="13">
        <f>IF(COUNT(AG329:AP329)&gt;0,AVERAGE(AG329:AP329),"")</f>
        <v>20.711</v>
      </c>
      <c r="AG329" s="13">
        <f>IF(ISNUMBER(E$339),E329,"")</f>
        <v>20.59</v>
      </c>
      <c r="AH329" s="13">
        <f>IF(ISNUMBER(F$339),F329,"")</f>
        <v>21.38</v>
      </c>
      <c r="AI329" s="13">
        <f>IF(ISNUMBER(G$339),G329,"")</f>
        <v>20.2</v>
      </c>
      <c r="AJ329" s="13">
        <f>IF(ISNUMBER(H$339),H329,"")</f>
        <v>20.99</v>
      </c>
      <c r="AK329" s="13">
        <f>IF(ISNUMBER(I$339),I329,"")</f>
        <v>21.78</v>
      </c>
      <c r="AL329" s="13">
        <f>IF(ISNUMBER(J$339),J329,"")</f>
        <v>20.39</v>
      </c>
      <c r="AM329" s="13">
        <f>IF(ISNUMBER(K$339),K329,"")</f>
        <v>21.19</v>
      </c>
      <c r="AN329" s="13">
        <f>IF(ISNUMBER(L$339),L329,"")</f>
        <v>20</v>
      </c>
      <c r="AO329" s="13">
        <f>IF(ISNUMBER(M$339),M329,"")</f>
        <v>20.79</v>
      </c>
      <c r="AP329" s="13">
        <f>IF(ISNUMBER(N$339),N329,"")</f>
        <v>19.8</v>
      </c>
      <c r="AQ329" s="13">
        <f>IF(C329="Ручная",O329,0)</f>
        <v>19.8</v>
      </c>
    </row>
    <row r="330" spans="1:43" ht="40" customHeight="1">
      <c r="A330" s="5" t="s">
        <v>189</v>
      </c>
      <c r="B330" s="5" t="s">
        <v>190</v>
      </c>
      <c r="C330" s="11" t="s">
        <v>191</v>
      </c>
      <c r="D330" s="7" t="s">
        <v>192</v>
      </c>
      <c r="E330" s="12">
        <v>6.36</v>
      </c>
      <c r="F330" s="12">
        <v>6.6</v>
      </c>
      <c r="G330" s="12">
        <v>6.18</v>
      </c>
      <c r="H330" s="12">
        <v>6.42</v>
      </c>
      <c r="I330" s="12">
        <v>6.06</v>
      </c>
      <c r="J330" s="12">
        <v>6.3</v>
      </c>
      <c r="K330" s="12">
        <v>6</v>
      </c>
      <c r="L330" s="12">
        <v>6.24</v>
      </c>
      <c r="M330" s="12">
        <v>6.48</v>
      </c>
      <c r="N330" s="12">
        <v>6.12</v>
      </c>
      <c r="O330" s="13">
        <f>IF(COUNT(AG330:AP330)&gt;0,MIN(AG330:AP330),"")</f>
        <v>6</v>
      </c>
      <c r="P330" s="13">
        <f>IF(COUNT(AG330:AP330)&gt;0,MAX(AG330:AP330),"")</f>
        <v>6.6</v>
      </c>
      <c r="Q330" s="13">
        <f>IF(ISNUMBER(O330),P330-O330,"")</f>
        <v>0.6</v>
      </c>
      <c r="R330" s="13">
        <f>IF(ISNUMBER(O330),IF(C330="Ручная",IF($S$339&gt;0,$R$339*Q330/$S$339,IF($W$339=4,$R$339,0)),0),"")</f>
        <v>0</v>
      </c>
      <c r="S330" s="13">
        <f>IF(ISNUMBER(O330),O330+R330,"")</f>
        <v>6</v>
      </c>
      <c r="T330" s="13">
        <f>IF(ISNUMBER(S330),P330-S330,"")</f>
        <v>0.6</v>
      </c>
      <c r="U330" s="13">
        <f>IF(COUNT(AG330:AP330)&gt;0,AVERAGE(AG330:AP330),"")</f>
        <v>6.276</v>
      </c>
      <c r="AG330" s="13">
        <f>IF(ISNUMBER(E$339),E330,"")</f>
        <v>6.36</v>
      </c>
      <c r="AH330" s="13">
        <f>IF(ISNUMBER(F$339),F330,"")</f>
        <v>6.6</v>
      </c>
      <c r="AI330" s="13">
        <f>IF(ISNUMBER(G$339),G330,"")</f>
        <v>6.18</v>
      </c>
      <c r="AJ330" s="13">
        <f>IF(ISNUMBER(H$339),H330,"")</f>
        <v>6.42</v>
      </c>
      <c r="AK330" s="13">
        <f>IF(ISNUMBER(I$339),I330,"")</f>
        <v>6.06</v>
      </c>
      <c r="AL330" s="13">
        <f>IF(ISNUMBER(J$339),J330,"")</f>
        <v>6.3</v>
      </c>
      <c r="AM330" s="13">
        <f>IF(ISNUMBER(K$339),K330,"")</f>
        <v>6</v>
      </c>
      <c r="AN330" s="13">
        <f>IF(ISNUMBER(L$339),L330,"")</f>
        <v>6.24</v>
      </c>
      <c r="AO330" s="13">
        <f>IF(ISNUMBER(M$339),M330,"")</f>
        <v>6.48</v>
      </c>
      <c r="AP330" s="13">
        <f>IF(ISNUMBER(N$339),N330,"")</f>
        <v>6.12</v>
      </c>
      <c r="AQ330" s="13">
        <f>IF(C330="Ручная",O330,0)</f>
        <v>0</v>
      </c>
    </row>
    <row r="331" spans="1:43" ht="40" customHeight="1">
      <c r="A331" s="5">
        <v>5</v>
      </c>
      <c r="B331" s="5" t="s">
        <v>193</v>
      </c>
      <c r="C331" s="11" t="s">
        <v>183</v>
      </c>
      <c r="D331" s="7" t="s">
        <v>194</v>
      </c>
      <c r="E331" s="12">
        <v>31.83</v>
      </c>
      <c r="F331" s="12">
        <v>30.05</v>
      </c>
      <c r="G331" s="12">
        <v>31.24</v>
      </c>
      <c r="H331" s="12">
        <v>29.75</v>
      </c>
      <c r="I331" s="12">
        <v>30.94</v>
      </c>
      <c r="J331" s="12">
        <v>32.13</v>
      </c>
      <c r="K331" s="12">
        <v>30.34</v>
      </c>
      <c r="L331" s="12">
        <v>31.54</v>
      </c>
      <c r="M331" s="12">
        <v>32.73</v>
      </c>
      <c r="N331" s="12">
        <v>30.64</v>
      </c>
      <c r="O331" s="13">
        <f>IF(COUNT(AG331:AP331)&gt;0,MIN(AG331:AP331),"")</f>
        <v>29.75</v>
      </c>
      <c r="P331" s="13">
        <f>IF(COUNT(AG331:AP331)&gt;0,MAX(AG331:AP331),"")</f>
        <v>32.73</v>
      </c>
      <c r="Q331" s="13">
        <f>IF(ISNUMBER(O331),P331-O331,"")</f>
        <v>2.98</v>
      </c>
      <c r="R331" s="13">
        <f>IF(ISNUMBER(O331),IF(C331="Ручная",IF($S$339&gt;0,$R$339*Q331/$S$339,IF($W$339=5,$R$339,0)),0),"")</f>
        <v>1.02576174112256</v>
      </c>
      <c r="S331" s="13">
        <f>IF(ISNUMBER(O331),O331+R331,"")</f>
        <v>30.7757617411226</v>
      </c>
      <c r="T331" s="13">
        <f>IF(ISNUMBER(S331),P331-S331,"")</f>
        <v>1.95423825887743</v>
      </c>
      <c r="U331" s="13">
        <f>IF(COUNT(AG331:AP331)&gt;0,AVERAGE(AG331:AP331),"")</f>
        <v>31.119</v>
      </c>
      <c r="AG331" s="13">
        <f>IF(ISNUMBER(E$339),E331,"")</f>
        <v>31.83</v>
      </c>
      <c r="AH331" s="13">
        <f>IF(ISNUMBER(F$339),F331,"")</f>
        <v>30.05</v>
      </c>
      <c r="AI331" s="13">
        <f>IF(ISNUMBER(G$339),G331,"")</f>
        <v>31.24</v>
      </c>
      <c r="AJ331" s="13">
        <f>IF(ISNUMBER(H$339),H331,"")</f>
        <v>29.75</v>
      </c>
      <c r="AK331" s="13">
        <f>IF(ISNUMBER(I$339),I331,"")</f>
        <v>30.94</v>
      </c>
      <c r="AL331" s="13">
        <f>IF(ISNUMBER(J$339),J331,"")</f>
        <v>32.13</v>
      </c>
      <c r="AM331" s="13">
        <f>IF(ISNUMBER(K$339),K331,"")</f>
        <v>30.34</v>
      </c>
      <c r="AN331" s="13">
        <f>IF(ISNUMBER(L$339),L331,"")</f>
        <v>31.54</v>
      </c>
      <c r="AO331" s="13">
        <f>IF(ISNUMBER(M$339),M331,"")</f>
        <v>32.73</v>
      </c>
      <c r="AP331" s="13">
        <f>IF(ISNUMBER(N$339),N331,"")</f>
        <v>30.64</v>
      </c>
      <c r="AQ331" s="13">
        <f>IF(C331="Ручная",O331,0)</f>
        <v>29.75</v>
      </c>
    </row>
    <row r="332" spans="1:43" ht="40" customHeight="1">
      <c r="A332" s="5" t="s">
        <v>189</v>
      </c>
      <c r="B332" s="5" t="s">
        <v>195</v>
      </c>
      <c r="C332" s="11" t="s">
        <v>196</v>
      </c>
      <c r="D332" s="7" t="s">
        <v>197</v>
      </c>
      <c r="E332" s="18">
        <f>'Ассортимент'!R23</f>
        <v>300</v>
      </c>
      <c r="F332" s="18">
        <f>'Ассортимент'!R23</f>
        <v>300</v>
      </c>
      <c r="G332" s="18">
        <f>'Ассортимент'!R23</f>
        <v>300</v>
      </c>
      <c r="H332" s="18">
        <f>'Ассортимент'!R23</f>
        <v>300</v>
      </c>
      <c r="I332" s="18">
        <f>'Ассортимент'!R23</f>
        <v>300</v>
      </c>
      <c r="J332" s="18">
        <f>'Ассортимент'!R23</f>
        <v>300</v>
      </c>
      <c r="K332" s="18">
        <f>'Ассортимент'!R23</f>
        <v>300</v>
      </c>
      <c r="L332" s="18">
        <f>'Ассортимент'!R23</f>
        <v>300</v>
      </c>
      <c r="M332" s="18">
        <f>'Ассортимент'!R23</f>
        <v>300</v>
      </c>
      <c r="N332" s="18">
        <f>'Ассортимент'!R23</f>
        <v>300</v>
      </c>
      <c r="O332" s="13">
        <f>IF(COUNT(AG332:AP332)&gt;0,MIN(AG332:AP332),"")</f>
        <v>300</v>
      </c>
      <c r="P332" s="13">
        <f>IF(COUNT(AG332:AP332)&gt;0,MAX(AG332:AP332),"")</f>
        <v>300</v>
      </c>
      <c r="Q332" s="13">
        <f>IF(ISNUMBER(O332),P332-O332,"")</f>
        <v>0</v>
      </c>
      <c r="R332" s="13">
        <f>IF(ISNUMBER(O332),IF(C332="Ручная",IF($S$339&gt;0,$R$339*Q332/$S$339,IF($W$339=6,$R$339,0)),0),"")</f>
        <v>0</v>
      </c>
      <c r="S332" s="13">
        <f>IF(ISNUMBER(O332),O332+R332,"")</f>
        <v>300</v>
      </c>
      <c r="T332" s="13">
        <f>IF(ISNUMBER(S332),P332-S332,"")</f>
        <v>0</v>
      </c>
      <c r="U332" s="13">
        <f>IF(COUNT(AG332:AP332)&gt;0,AVERAGE(AG332:AP332),"")</f>
        <v>300</v>
      </c>
      <c r="AG332" s="13">
        <f>IF(ISNUMBER(E$339),E332,"")</f>
        <v>300</v>
      </c>
      <c r="AH332" s="13">
        <f>IF(ISNUMBER(F$339),F332,"")</f>
        <v>300</v>
      </c>
      <c r="AI332" s="13">
        <f>IF(ISNUMBER(G$339),G332,"")</f>
        <v>300</v>
      </c>
      <c r="AJ332" s="13">
        <f>IF(ISNUMBER(H$339),H332,"")</f>
        <v>300</v>
      </c>
      <c r="AK332" s="13">
        <f>IF(ISNUMBER(I$339),I332,"")</f>
        <v>300</v>
      </c>
      <c r="AL332" s="13">
        <f>IF(ISNUMBER(J$339),J332,"")</f>
        <v>300</v>
      </c>
      <c r="AM332" s="13">
        <f>IF(ISNUMBER(K$339),K332,"")</f>
        <v>300</v>
      </c>
      <c r="AN332" s="13">
        <f>IF(ISNUMBER(L$339),L332,"")</f>
        <v>300</v>
      </c>
      <c r="AO332" s="13">
        <f>IF(ISNUMBER(M$339),M332,"")</f>
        <v>300</v>
      </c>
      <c r="AP332" s="13">
        <f>IF(ISNUMBER(N$339),N332,"")</f>
        <v>300</v>
      </c>
      <c r="AQ332" s="13">
        <f>IF(C332="Ручная",O332,0)</f>
        <v>0</v>
      </c>
    </row>
    <row r="333" spans="1:43" ht="40" customHeight="1">
      <c r="A333" s="5">
        <v>7</v>
      </c>
      <c r="B333" s="5" t="s">
        <v>198</v>
      </c>
      <c r="C333" s="11" t="s">
        <v>183</v>
      </c>
      <c r="D333" s="7" t="s">
        <v>199</v>
      </c>
      <c r="E333" s="12">
        <v>27.54</v>
      </c>
      <c r="F333" s="12">
        <v>28.62</v>
      </c>
      <c r="G333" s="12">
        <v>29.7</v>
      </c>
      <c r="H333" s="12">
        <v>27.81</v>
      </c>
      <c r="I333" s="12">
        <v>28.89</v>
      </c>
      <c r="J333" s="12">
        <v>27.27</v>
      </c>
      <c r="K333" s="12">
        <v>28.35</v>
      </c>
      <c r="L333" s="12">
        <v>27</v>
      </c>
      <c r="M333" s="12">
        <v>28.08</v>
      </c>
      <c r="N333" s="12">
        <v>29.16</v>
      </c>
      <c r="O333" s="13">
        <f>IF(COUNT(AG333:AP333)&gt;0,MIN(AG333:AP333),"")</f>
        <v>27</v>
      </c>
      <c r="P333" s="13">
        <f>IF(COUNT(AG333:AP333)&gt;0,MAX(AG333:AP333),"")</f>
        <v>29.7</v>
      </c>
      <c r="Q333" s="13">
        <f>IF(ISNUMBER(O333),P333-O333,"")</f>
        <v>2.7</v>
      </c>
      <c r="R333" s="13">
        <f>IF(ISNUMBER(O333),IF(C333="Ручная",IF($S$339&gt;0,$R$339*Q333/$S$339,IF($W$339=7,$R$339,0)),0),"")</f>
        <v>0.929381443298968</v>
      </c>
      <c r="S333" s="13">
        <f>IF(ISNUMBER(O333),O333+R333,"")</f>
        <v>27.929381443299</v>
      </c>
      <c r="T333" s="13">
        <f>IF(ISNUMBER(S333),P333-S333,"")</f>
        <v>1.77061855670103</v>
      </c>
      <c r="U333" s="13">
        <f>IF(COUNT(AG333:AP333)&gt;0,AVERAGE(AG333:AP333),"")</f>
        <v>28.242</v>
      </c>
      <c r="AG333" s="13">
        <f>IF(ISNUMBER(E$339),E333,"")</f>
        <v>27.54</v>
      </c>
      <c r="AH333" s="13">
        <f>IF(ISNUMBER(F$339),F333,"")</f>
        <v>28.62</v>
      </c>
      <c r="AI333" s="13">
        <f>IF(ISNUMBER(G$339),G333,"")</f>
        <v>29.7</v>
      </c>
      <c r="AJ333" s="13">
        <f>IF(ISNUMBER(H$339),H333,"")</f>
        <v>27.81</v>
      </c>
      <c r="AK333" s="13">
        <f>IF(ISNUMBER(I$339),I333,"")</f>
        <v>28.89</v>
      </c>
      <c r="AL333" s="13">
        <f>IF(ISNUMBER(J$339),J333,"")</f>
        <v>27.27</v>
      </c>
      <c r="AM333" s="13">
        <f>IF(ISNUMBER(K$339),K333,"")</f>
        <v>28.35</v>
      </c>
      <c r="AN333" s="13">
        <f>IF(ISNUMBER(L$339),L333,"")</f>
        <v>27</v>
      </c>
      <c r="AO333" s="13">
        <f>IF(ISNUMBER(M$339),M333,"")</f>
        <v>28.08</v>
      </c>
      <c r="AP333" s="13">
        <f>IF(ISNUMBER(N$339),N333,"")</f>
        <v>29.16</v>
      </c>
      <c r="AQ333" s="13">
        <f>IF(C333="Ручная",O333,0)</f>
        <v>27</v>
      </c>
    </row>
    <row r="334" spans="1:43" ht="40" customHeight="1">
      <c r="A334" s="5">
        <v>8</v>
      </c>
      <c r="B334" s="5" t="s">
        <v>200</v>
      </c>
      <c r="C334" s="11" t="s">
        <v>183</v>
      </c>
      <c r="D334" s="7" t="s">
        <v>201</v>
      </c>
      <c r="E334" s="12">
        <v>18.54</v>
      </c>
      <c r="F334" s="12">
        <v>19.26</v>
      </c>
      <c r="G334" s="12">
        <v>18.18</v>
      </c>
      <c r="H334" s="12">
        <v>18.9</v>
      </c>
      <c r="I334" s="12">
        <v>18</v>
      </c>
      <c r="J334" s="12">
        <v>18.72</v>
      </c>
      <c r="K334" s="12">
        <v>19.44</v>
      </c>
      <c r="L334" s="12">
        <v>18.36</v>
      </c>
      <c r="M334" s="12">
        <v>19.08</v>
      </c>
      <c r="N334" s="12">
        <v>19.8</v>
      </c>
      <c r="O334" s="13">
        <f>IF(COUNT(AG334:AP334)&gt;0,MIN(AG334:AP334),"")</f>
        <v>18</v>
      </c>
      <c r="P334" s="13">
        <f>IF(COUNT(AG334:AP334)&gt;0,MAX(AG334:AP334),"")</f>
        <v>19.8</v>
      </c>
      <c r="Q334" s="13">
        <f>IF(ISNUMBER(O334),P334-O334,"")</f>
        <v>1.8</v>
      </c>
      <c r="R334" s="13">
        <f>IF(ISNUMBER(O334),IF(C334="Ручная",IF($S$339&gt;0,$R$339*Q334/$S$339,IF($W$339=8,$R$339,0)),0),"")</f>
        <v>0.619587628865979</v>
      </c>
      <c r="S334" s="13">
        <f>IF(ISNUMBER(O334),O334+R334,"")</f>
        <v>18.619587628866</v>
      </c>
      <c r="T334" s="13">
        <f>IF(ISNUMBER(S334),P334-S334,"")</f>
        <v>1.18041237113402</v>
      </c>
      <c r="U334" s="13">
        <f>IF(COUNT(AG334:AP334)&gt;0,AVERAGE(AG334:AP334),"")</f>
        <v>18.828</v>
      </c>
      <c r="AG334" s="13">
        <f>IF(ISNUMBER(E$339),E334,"")</f>
        <v>18.54</v>
      </c>
      <c r="AH334" s="13">
        <f>IF(ISNUMBER(F$339),F334,"")</f>
        <v>19.26</v>
      </c>
      <c r="AI334" s="13">
        <f>IF(ISNUMBER(G$339),G334,"")</f>
        <v>18.18</v>
      </c>
      <c r="AJ334" s="13">
        <f>IF(ISNUMBER(H$339),H334,"")</f>
        <v>18.9</v>
      </c>
      <c r="AK334" s="13">
        <f>IF(ISNUMBER(I$339),I334,"")</f>
        <v>18</v>
      </c>
      <c r="AL334" s="13">
        <f>IF(ISNUMBER(J$339),J334,"")</f>
        <v>18.72</v>
      </c>
      <c r="AM334" s="13">
        <f>IF(ISNUMBER(K$339),K334,"")</f>
        <v>19.44</v>
      </c>
      <c r="AN334" s="13">
        <f>IF(ISNUMBER(L$339),L334,"")</f>
        <v>18.36</v>
      </c>
      <c r="AO334" s="13">
        <f>IF(ISNUMBER(M$339),M334,"")</f>
        <v>19.08</v>
      </c>
      <c r="AP334" s="13">
        <f>IF(ISNUMBER(N$339),N334,"")</f>
        <v>19.8</v>
      </c>
      <c r="AQ334" s="13">
        <f>IF(C334="Ручная",O334,0)</f>
        <v>18</v>
      </c>
    </row>
    <row r="335" spans="1:43" ht="40" customHeight="1">
      <c r="A335" s="5" t="s">
        <v>189</v>
      </c>
      <c r="B335" s="5" t="s">
        <v>202</v>
      </c>
      <c r="C335" s="11" t="s">
        <v>191</v>
      </c>
      <c r="D335" s="7" t="s">
        <v>203</v>
      </c>
      <c r="E335" s="12">
        <v>5.25</v>
      </c>
      <c r="F335" s="12">
        <v>5</v>
      </c>
      <c r="G335" s="12">
        <v>5.2</v>
      </c>
      <c r="H335" s="12">
        <v>5.4</v>
      </c>
      <c r="I335" s="12">
        <v>5.1</v>
      </c>
      <c r="J335" s="12">
        <v>5.3</v>
      </c>
      <c r="K335" s="12">
        <v>5.5</v>
      </c>
      <c r="L335" s="12">
        <v>5.15</v>
      </c>
      <c r="M335" s="12">
        <v>5.35</v>
      </c>
      <c r="N335" s="12">
        <v>5.05</v>
      </c>
      <c r="O335" s="13">
        <f>IF(COUNT(AG335:AP335)&gt;0,MIN(AG335:AP335),"")</f>
        <v>5</v>
      </c>
      <c r="P335" s="13">
        <f>IF(COUNT(AG335:AP335)&gt;0,MAX(AG335:AP335),"")</f>
        <v>5.5</v>
      </c>
      <c r="Q335" s="13">
        <f>IF(ISNUMBER(O335),P335-O335,"")</f>
        <v>0.5</v>
      </c>
      <c r="R335" s="13">
        <f>IF(ISNUMBER(O335),IF(C335="Ручная",IF($S$339&gt;0,$R$339*Q335/$S$339,IF($W$339=9,$R$339,0)),0),"")</f>
        <v>0</v>
      </c>
      <c r="S335" s="13">
        <f>IF(ISNUMBER(O335),O335+R335,"")</f>
        <v>5</v>
      </c>
      <c r="T335" s="13">
        <f>IF(ISNUMBER(S335),P335-S335,"")</f>
        <v>0.5</v>
      </c>
      <c r="U335" s="13">
        <f>IF(COUNT(AG335:AP335)&gt;0,AVERAGE(AG335:AP335),"")</f>
        <v>5.23</v>
      </c>
      <c r="AG335" s="13">
        <f>IF(ISNUMBER(E$339),E335,"")</f>
        <v>5.25</v>
      </c>
      <c r="AH335" s="13">
        <f>IF(ISNUMBER(F$339),F335,"")</f>
        <v>5</v>
      </c>
      <c r="AI335" s="13">
        <f>IF(ISNUMBER(G$339),G335,"")</f>
        <v>5.2</v>
      </c>
      <c r="AJ335" s="13">
        <f>IF(ISNUMBER(H$339),H335,"")</f>
        <v>5.4</v>
      </c>
      <c r="AK335" s="13">
        <f>IF(ISNUMBER(I$339),I335,"")</f>
        <v>5.1</v>
      </c>
      <c r="AL335" s="13">
        <f>IF(ISNUMBER(J$339),J335,"")</f>
        <v>5.3</v>
      </c>
      <c r="AM335" s="13">
        <f>IF(ISNUMBER(K$339),K335,"")</f>
        <v>5.5</v>
      </c>
      <c r="AN335" s="13">
        <f>IF(ISNUMBER(L$339),L335,"")</f>
        <v>5.15</v>
      </c>
      <c r="AO335" s="13">
        <f>IF(ISNUMBER(M$339),M335,"")</f>
        <v>5.35</v>
      </c>
      <c r="AP335" s="13">
        <f>IF(ISNUMBER(N$339),N335,"")</f>
        <v>5.05</v>
      </c>
      <c r="AQ335" s="13">
        <f>IF(C335="Ручная",O335,0)</f>
        <v>0</v>
      </c>
    </row>
    <row r="336" spans="1:43" ht="40" customHeight="1">
      <c r="A336" s="5" t="s">
        <v>189</v>
      </c>
      <c r="B336" s="5" t="s">
        <v>204</v>
      </c>
      <c r="C336" s="11" t="s">
        <v>191</v>
      </c>
      <c r="D336" s="7" t="s">
        <v>205</v>
      </c>
      <c r="E336" s="12">
        <v>5.4</v>
      </c>
      <c r="F336" s="12">
        <v>5.1</v>
      </c>
      <c r="G336" s="12">
        <v>5.3</v>
      </c>
      <c r="H336" s="12">
        <v>5.5</v>
      </c>
      <c r="I336" s="12">
        <v>5.15</v>
      </c>
      <c r="J336" s="12">
        <v>5.35</v>
      </c>
      <c r="K336" s="12">
        <v>5.05</v>
      </c>
      <c r="L336" s="12">
        <v>5.25</v>
      </c>
      <c r="M336" s="12">
        <v>5</v>
      </c>
      <c r="N336" s="12">
        <v>5.2</v>
      </c>
      <c r="O336" s="13">
        <f>IF(COUNT(AG336:AP336)&gt;0,MIN(AG336:AP336),"")</f>
        <v>5</v>
      </c>
      <c r="P336" s="13">
        <f>IF(COUNT(AG336:AP336)&gt;0,MAX(AG336:AP336),"")</f>
        <v>5.5</v>
      </c>
      <c r="Q336" s="13">
        <f>IF(ISNUMBER(O336),P336-O336,"")</f>
        <v>0.5</v>
      </c>
      <c r="R336" s="13">
        <f>IF(ISNUMBER(O336),IF(C336="Ручная",IF($S$339&gt;0,$R$339*Q336/$S$339,IF($W$339=10,$R$339,0)),0),"")</f>
        <v>0</v>
      </c>
      <c r="S336" s="13">
        <f>IF(ISNUMBER(O336),O336+R336,"")</f>
        <v>5</v>
      </c>
      <c r="T336" s="13">
        <f>IF(ISNUMBER(S336),P336-S336,"")</f>
        <v>0.5</v>
      </c>
      <c r="U336" s="13">
        <f>IF(COUNT(AG336:AP336)&gt;0,AVERAGE(AG336:AP336),"")</f>
        <v>5.23</v>
      </c>
      <c r="AG336" s="13">
        <f>IF(ISNUMBER(E$339),E336,"")</f>
        <v>5.4</v>
      </c>
      <c r="AH336" s="13">
        <f>IF(ISNUMBER(F$339),F336,"")</f>
        <v>5.1</v>
      </c>
      <c r="AI336" s="13">
        <f>IF(ISNUMBER(G$339),G336,"")</f>
        <v>5.3</v>
      </c>
      <c r="AJ336" s="13">
        <f>IF(ISNUMBER(H$339),H336,"")</f>
        <v>5.5</v>
      </c>
      <c r="AK336" s="13">
        <f>IF(ISNUMBER(I$339),I336,"")</f>
        <v>5.15</v>
      </c>
      <c r="AL336" s="13">
        <f>IF(ISNUMBER(J$339),J336,"")</f>
        <v>5.35</v>
      </c>
      <c r="AM336" s="13">
        <f>IF(ISNUMBER(K$339),K336,"")</f>
        <v>5.05</v>
      </c>
      <c r="AN336" s="13">
        <f>IF(ISNUMBER(L$339),L336,"")</f>
        <v>5.25</v>
      </c>
      <c r="AO336" s="13">
        <f>IF(ISNUMBER(M$339),M336,"")</f>
        <v>5</v>
      </c>
      <c r="AP336" s="13">
        <f>IF(ISNUMBER(N$339),N336,"")</f>
        <v>5.2</v>
      </c>
      <c r="AQ336" s="13">
        <f>IF(C336="Ручная",O336,0)</f>
        <v>0</v>
      </c>
    </row>
    <row r="337" spans="1:43" ht="40" customHeight="1">
      <c r="A337" s="5" t="s">
        <v>189</v>
      </c>
      <c r="B337" s="5" t="s">
        <v>206</v>
      </c>
      <c r="C337" s="11" t="s">
        <v>207</v>
      </c>
      <c r="D337" s="7" t="s">
        <v>208</v>
      </c>
      <c r="E337" s="12">
        <v>0</v>
      </c>
      <c r="F337" s="12">
        <v>0</v>
      </c>
      <c r="G337" s="12">
        <v>0</v>
      </c>
      <c r="H337" s="12">
        <v>0</v>
      </c>
      <c r="I337" s="12">
        <v>0</v>
      </c>
      <c r="J337" s="12">
        <v>0</v>
      </c>
      <c r="K337" s="12">
        <v>0</v>
      </c>
      <c r="L337" s="12">
        <v>0</v>
      </c>
      <c r="M337" s="12">
        <v>0</v>
      </c>
      <c r="N337" s="12">
        <v>0</v>
      </c>
      <c r="O337" s="13">
        <f>IF(COUNT(AG337:AP337)&gt;0,MIN(AG337:AP337),"")</f>
        <v>0</v>
      </c>
      <c r="P337" s="13">
        <f>IF(COUNT(AG337:AP337)&gt;0,MAX(AG337:AP337),"")</f>
        <v>0</v>
      </c>
      <c r="Q337" s="13">
        <f>IF(ISNUMBER(O337),P337-O337,"")</f>
        <v>0</v>
      </c>
      <c r="R337" s="13">
        <f>IF(ISNUMBER(O337),IF(C337="Ручная",IF($S$339&gt;0,$R$339*Q337/$S$339,IF($W$339=11,$R$339,0)),0),"")</f>
        <v>0</v>
      </c>
      <c r="S337" s="13">
        <f>IF(ISNUMBER(O337),O337+R337,"")</f>
        <v>0</v>
      </c>
      <c r="T337" s="13">
        <f>IF(ISNUMBER(S337),P337-S337,"")</f>
        <v>0</v>
      </c>
      <c r="U337" s="13">
        <f>IF(COUNT(AG337:AP337)&gt;0,AVERAGE(AG337:AP337),"")</f>
        <v>0</v>
      </c>
      <c r="AG337" s="13">
        <f>IF(ISNUMBER(E$339),E337,"")</f>
        <v>0</v>
      </c>
      <c r="AH337" s="13">
        <f>IF(ISNUMBER(F$339),F337,"")</f>
        <v>0</v>
      </c>
      <c r="AI337" s="13">
        <f>IF(ISNUMBER(G$339),G337,"")</f>
        <v>0</v>
      </c>
      <c r="AJ337" s="13">
        <f>IF(ISNUMBER(H$339),H337,"")</f>
        <v>0</v>
      </c>
      <c r="AK337" s="13">
        <f>IF(ISNUMBER(I$339),I337,"")</f>
        <v>0</v>
      </c>
      <c r="AL337" s="13">
        <f>IF(ISNUMBER(J$339),J337,"")</f>
        <v>0</v>
      </c>
      <c r="AM337" s="13">
        <f>IF(ISNUMBER(K$339),K337,"")</f>
        <v>0</v>
      </c>
      <c r="AN337" s="13">
        <f>IF(ISNUMBER(L$339),L337,"")</f>
        <v>0</v>
      </c>
      <c r="AO337" s="13">
        <f>IF(ISNUMBER(M$339),M337,"")</f>
        <v>0</v>
      </c>
      <c r="AP337" s="13">
        <f>IF(ISNUMBER(N$339),N337,"")</f>
        <v>0</v>
      </c>
      <c r="AQ337" s="13">
        <f>IF(C337="Ручная",O337,0)</f>
        <v>0</v>
      </c>
    </row>
    <row r="338" spans="1:43" ht="23" customHeight="1">
      <c r="B338" s="4" t="s">
        <v>209</v>
      </c>
      <c r="E338" s="6">
        <f>IF(COUNT(E327:E337)=11,SUM(E327:E337),"")</f>
        <v>498.56</v>
      </c>
      <c r="F338" s="6">
        <f>IF(COUNT(F327:F337)=11,SUM(F327:F337),"")</f>
        <v>499.51</v>
      </c>
      <c r="G338" s="6">
        <f>IF(COUNT(G327:G337)=11,SUM(G327:G337),"")</f>
        <v>497.75</v>
      </c>
      <c r="H338" s="6">
        <f>IF(COUNT(H327:H337)=11,SUM(H327:H337),"")</f>
        <v>497.22</v>
      </c>
      <c r="I338" s="6">
        <f>IF(COUNT(I327:I337)=11,SUM(I327:I337),"")</f>
        <v>501.57</v>
      </c>
      <c r="J338" s="6">
        <f>IF(COUNT(J327:J337)=11,SUM(J327:J337),"")</f>
        <v>496.56</v>
      </c>
      <c r="K338" s="6">
        <f>IF(COUNT(K327:K337)=11,SUM(K327:K337),"")</f>
        <v>500.17</v>
      </c>
      <c r="L338" s="6">
        <f>IF(COUNT(L327:L337)=11,SUM(L327:L337),"")</f>
        <v>501.04</v>
      </c>
      <c r="M338" s="6">
        <f>IF(COUNT(M327:M337)=11,SUM(M327:M337),"")</f>
        <v>499.66</v>
      </c>
      <c r="N338" s="6">
        <f>IF(COUNT(N327:N337)=11,SUM(N327:N337),"")</f>
        <v>501.12</v>
      </c>
      <c r="O338" s="6">
        <f>IF(COUNT(O327:O337)=11,SUM(O327:O337),"")</f>
        <v>490.55</v>
      </c>
      <c r="P338" s="6">
        <f>IF(COUNT(P327:P337)=11,SUM(P327:P337),"")</f>
        <v>509.61</v>
      </c>
      <c r="Q338" s="6">
        <f>IF(COUNT(Q327:Q337)=11,SUM(Q327:Q337),"")</f>
        <v>19.06</v>
      </c>
      <c r="R338" s="6">
        <f>IF(COUNT(R327:R337)=11,SUM(R327:R337),"")</f>
        <v>6.00999999999999</v>
      </c>
      <c r="S338" s="6">
        <f>IF(COUNT(S327:S337)=11,SUM(S327:S337),"")</f>
        <v>496.56</v>
      </c>
      <c r="T338" s="6">
        <f>IF(COUNT(T327:T337)=11,SUM(T327:T337),"")</f>
        <v>13.05</v>
      </c>
      <c r="U338" s="6">
        <f>IF(COUNT(U327:U337)=11,SUM(U327:U337),"")</f>
        <v>499.316</v>
      </c>
    </row>
    <row r="339" spans="1:43" ht="23" customHeight="1">
      <c r="B339" s="4" t="s">
        <v>210</v>
      </c>
      <c r="E339" s="6">
        <f>IF(AND(E325=1,COUNT(E327:E337)=11,MIN(E327:E337)&gt;=0),E338,"")</f>
        <v>498.56</v>
      </c>
      <c r="F339" s="6">
        <f>IF(AND(F325=1,COUNT(F327:F337)=11,MIN(F327:F337)&gt;=0),F338,"")</f>
        <v>499.51</v>
      </c>
      <c r="G339" s="6">
        <f>IF(AND(G325=1,COUNT(G327:G337)=11,MIN(G327:G337)&gt;=0),G338,"")</f>
        <v>497.75</v>
      </c>
      <c r="H339" s="6">
        <f>IF(AND(H325=1,COUNT(H327:H337)=11,MIN(H327:H337)&gt;=0),H338,"")</f>
        <v>497.22</v>
      </c>
      <c r="I339" s="6">
        <f>IF(AND(I325=1,COUNT(I327:I337)=11,MIN(I327:I337)&gt;=0),I338,"")</f>
        <v>501.57</v>
      </c>
      <c r="J339" s="6">
        <f>IF(AND(J325=1,COUNT(J327:J337)=11,MIN(J327:J337)&gt;=0),J338,"")</f>
        <v>496.56</v>
      </c>
      <c r="K339" s="6">
        <f>IF(AND(K325=1,COUNT(K327:K337)=11,MIN(K327:K337)&gt;=0),K338,"")</f>
        <v>500.17</v>
      </c>
      <c r="L339" s="6">
        <f>IF(AND(L325=1,COUNT(L327:L337)=11,MIN(L327:L337)&gt;=0),L338,"")</f>
        <v>501.04</v>
      </c>
      <c r="M339" s="6">
        <f>IF(AND(M325=1,COUNT(M327:M337)=11,MIN(M327:M337)&gt;=0),M338,"")</f>
        <v>499.66</v>
      </c>
      <c r="N339" s="6">
        <f>IF(AND(N325=1,COUNT(N327:N337)=11,MIN(N327:N337)&gt;=0),N338,"")</f>
        <v>501.12</v>
      </c>
      <c r="O339" s="6">
        <f>IF(COUNT(E339:N339)&gt;0,MIN(E339:N339),"")</f>
        <v>496.56</v>
      </c>
      <c r="P339" s="6">
        <f>IF(COUNT(E339:N339)&gt;0,MAX(E339:N339),"")</f>
        <v>501.57</v>
      </c>
      <c r="Q339" s="6">
        <f>IF(ISNUMBER(O339),P339-O339,"")</f>
        <v>5.00999999999999</v>
      </c>
      <c r="R339" s="6">
        <f>IF(ISNUMBER(O339),MAX(0,O339-O338),"")</f>
        <v>6.00999999999999</v>
      </c>
      <c r="S339" s="6">
        <f>SUMIF(C327:C337,"Ручная",Q327:Q337)</f>
        <v>17.46</v>
      </c>
      <c r="T339" s="6">
        <f>COUNT(E339:N339)</f>
        <v>10</v>
      </c>
      <c r="U339" s="6">
        <f>IF(COUNT(E339:N339)&gt;0,AVERAGE(E339:N339),"")</f>
        <v>499.316</v>
      </c>
      <c r="V339" s="6">
        <f>IF(ISNUMBER(O339),S338-O339,"")</f>
        <v>-5.6843418860808e-14</v>
      </c>
      <c r="W339" s="6">
        <f>MATCH(MAX(AQ327:AQ337),AQ327:AQ337,0)</f>
        <v>2</v>
      </c>
      <c r="X339" s="17" t="str">
        <f>IF(T339=0,"НЕТ ЗАМЕРОВ",IF(T339&lt;10,"МЕНЕЕ 10 ЦИКЛОВ",IF(ABS(V339)&lt;0.000001,"ОК","ОШИБКА РЕГУЛИРОВКИ")))</f>
        <v>ОК</v>
      </c>
    </row>
    <row r="340" spans="1:43" ht="23" customHeight="1">
      <c r="A340" s="7" t="s">
        <v>211</v>
      </c>
      <c r="B340" s="7"/>
      <c r="C340" s="7"/>
      <c r="D340" s="7"/>
      <c r="E340" s="7"/>
      <c r="F340" s="7"/>
      <c r="G340" s="7"/>
      <c r="H340" s="7"/>
      <c r="I340" s="7"/>
      <c r="J340" s="7"/>
      <c r="K340" s="7"/>
      <c r="L340" s="7"/>
      <c r="M340" s="7"/>
      <c r="N340" s="7"/>
      <c r="O340" s="7"/>
      <c r="P340" s="7"/>
      <c r="Q340" s="7"/>
      <c r="R340" s="7"/>
      <c r="S340" s="7"/>
      <c r="T340" s="7"/>
      <c r="U340" s="7"/>
      <c r="V340" s="7"/>
      <c r="W340" s="7"/>
      <c r="X340" s="7"/>
    </row>
    <row r="343" spans="1:43" ht="23" customHeight="1">
      <c r="A343" s="4" t="s">
        <v>246</v>
      </c>
      <c r="B343" s="4"/>
      <c r="C343" s="4"/>
      <c r="D343" s="4"/>
      <c r="E343" s="4"/>
      <c r="F343" s="4"/>
      <c r="G343" s="4"/>
      <c r="H343" s="4"/>
      <c r="I343" s="4"/>
      <c r="J343" s="4"/>
      <c r="K343" s="4"/>
      <c r="L343" s="4"/>
      <c r="M343" s="4"/>
      <c r="N343" s="4"/>
      <c r="O343" s="4"/>
      <c r="P343" s="4"/>
      <c r="Q343" s="4"/>
      <c r="R343" s="4"/>
      <c r="S343" s="4"/>
      <c r="T343" s="4"/>
      <c r="U343" s="4"/>
      <c r="V343" s="4"/>
      <c r="W343" s="4"/>
      <c r="X343" s="4"/>
    </row>
    <row r="344" spans="1:43" ht="23" customHeight="1">
      <c r="A344" s="7" t="str">
        <f>"Масса замера, кг: "&amp;'Ассортимент'!J24&amp;". Все замеры одной партии/исполнителя/условий. Основание: "&amp;'Ввод'!B15</f>
        <v>Масса замера, кг: 2. Все замеры одной партии/исполнителя/условий. Основание: ДЕМО: прогноз; улучшения не внедрены</v>
      </c>
      <c r="B344" s="7"/>
      <c r="C344" s="7"/>
      <c r="D344" s="7"/>
      <c r="E344" s="7"/>
      <c r="F344" s="7"/>
      <c r="G344" s="7"/>
      <c r="H344" s="7"/>
      <c r="I344" s="7"/>
      <c r="J344" s="7"/>
      <c r="K344" s="7"/>
      <c r="L344" s="7"/>
      <c r="M344" s="7"/>
      <c r="N344" s="7"/>
      <c r="O344" s="7"/>
      <c r="P344" s="7"/>
      <c r="Q344" s="7"/>
      <c r="R344" s="7"/>
      <c r="S344" s="7"/>
      <c r="T344" s="7"/>
      <c r="U344" s="7"/>
      <c r="V344" s="7"/>
      <c r="W344" s="7"/>
      <c r="X344" s="7"/>
    </row>
    <row r="345" spans="1:43" ht="44" customHeight="1">
      <c r="A345" s="8" t="s">
        <v>113</v>
      </c>
      <c r="B345" s="8" t="s">
        <v>156</v>
      </c>
      <c r="C345" s="8" t="s">
        <v>157</v>
      </c>
      <c r="D345" s="8" t="s">
        <v>158</v>
      </c>
      <c r="E345" s="8" t="s">
        <v>159</v>
      </c>
      <c r="F345" s="8" t="s">
        <v>160</v>
      </c>
      <c r="G345" s="8" t="s">
        <v>161</v>
      </c>
      <c r="H345" s="8" t="s">
        <v>162</v>
      </c>
      <c r="I345" s="8" t="s">
        <v>163</v>
      </c>
      <c r="J345" s="8" t="s">
        <v>164</v>
      </c>
      <c r="K345" s="8" t="s">
        <v>165</v>
      </c>
      <c r="L345" s="8" t="s">
        <v>166</v>
      </c>
      <c r="M345" s="8" t="s">
        <v>167</v>
      </c>
      <c r="N345" s="8" t="s">
        <v>168</v>
      </c>
      <c r="O345" s="8" t="s">
        <v>169</v>
      </c>
      <c r="P345" s="8" t="s">
        <v>170</v>
      </c>
      <c r="Q345" s="8" t="s">
        <v>171</v>
      </c>
      <c r="R345" s="8" t="s">
        <v>172</v>
      </c>
      <c r="S345" s="8" t="s">
        <v>173</v>
      </c>
      <c r="T345" s="8" t="s">
        <v>174</v>
      </c>
      <c r="U345" s="8" t="s">
        <v>175</v>
      </c>
      <c r="V345" s="8" t="s">
        <v>176</v>
      </c>
      <c r="W345" s="8" t="s">
        <v>177</v>
      </c>
      <c r="X345" s="8" t="s">
        <v>178</v>
      </c>
    </row>
    <row r="346" spans="1:43" ht="23" customHeight="1">
      <c r="B346" s="5" t="s">
        <v>179</v>
      </c>
      <c r="E346" s="12">
        <v>1</v>
      </c>
      <c r="F346" s="12">
        <v>1</v>
      </c>
      <c r="G346" s="12">
        <v>1</v>
      </c>
      <c r="H346" s="12">
        <v>1</v>
      </c>
      <c r="I346" s="12">
        <v>1</v>
      </c>
      <c r="J346" s="12">
        <v>1</v>
      </c>
      <c r="K346" s="12">
        <v>1</v>
      </c>
      <c r="L346" s="12">
        <v>1</v>
      </c>
      <c r="M346" s="12">
        <v>1</v>
      </c>
      <c r="N346" s="12">
        <v>1</v>
      </c>
    </row>
    <row r="347" spans="1:43" ht="33" customHeight="1">
      <c r="B347" s="5" t="s">
        <v>180</v>
      </c>
      <c r="E347" s="9" t="s">
        <v>181</v>
      </c>
      <c r="F347" s="9" t="s">
        <v>181</v>
      </c>
      <c r="G347" s="9" t="s">
        <v>181</v>
      </c>
      <c r="H347" s="9" t="s">
        <v>181</v>
      </c>
      <c r="I347" s="9" t="s">
        <v>181</v>
      </c>
      <c r="J347" s="9" t="s">
        <v>181</v>
      </c>
      <c r="K347" s="9" t="s">
        <v>181</v>
      </c>
      <c r="L347" s="9" t="s">
        <v>181</v>
      </c>
      <c r="M347" s="9" t="s">
        <v>181</v>
      </c>
      <c r="N347" s="9" t="s">
        <v>181</v>
      </c>
    </row>
    <row r="348" spans="1:43" ht="40" customHeight="1">
      <c r="A348" s="5">
        <v>1</v>
      </c>
      <c r="B348" s="5" t="s">
        <v>182</v>
      </c>
      <c r="C348" s="11" t="s">
        <v>183</v>
      </c>
      <c r="D348" s="7" t="s">
        <v>184</v>
      </c>
      <c r="E348" s="12">
        <v>25.75</v>
      </c>
      <c r="F348" s="12">
        <v>26.75</v>
      </c>
      <c r="G348" s="12">
        <v>25.25</v>
      </c>
      <c r="H348" s="12">
        <v>26.25</v>
      </c>
      <c r="I348" s="12">
        <v>25</v>
      </c>
      <c r="J348" s="12">
        <v>26</v>
      </c>
      <c r="K348" s="12">
        <v>27</v>
      </c>
      <c r="L348" s="12">
        <v>25.5</v>
      </c>
      <c r="M348" s="12">
        <v>26.5</v>
      </c>
      <c r="N348" s="12">
        <v>27.5</v>
      </c>
      <c r="O348" s="13">
        <f>IF(COUNT(AG348:AP348)&gt;0,MIN(AG348:AP348),"")</f>
        <v>25</v>
      </c>
      <c r="P348" s="13">
        <f>IF(COUNT(AG348:AP348)&gt;0,MAX(AG348:AP348),"")</f>
        <v>27.5</v>
      </c>
      <c r="Q348" s="13">
        <f>IF(ISNUMBER(O348),P348-O348,"")</f>
        <v>2.5</v>
      </c>
      <c r="R348" s="13">
        <f>IF(ISNUMBER(O348),IF(C348="Ручная",IF($S$360&gt;0,$R$360*Q348/$S$360,IF($W$360=1,$R$360,0)),0),"")</f>
        <v>0.920788770053484</v>
      </c>
      <c r="S348" s="13">
        <f>IF(ISNUMBER(O348),O348+R348,"")</f>
        <v>25.9207887700535</v>
      </c>
      <c r="T348" s="13">
        <f>IF(ISNUMBER(S348),P348-S348,"")</f>
        <v>1.57921122994652</v>
      </c>
      <c r="U348" s="13">
        <f>IF(COUNT(AG348:AP348)&gt;0,AVERAGE(AG348:AP348),"")</f>
        <v>26.15</v>
      </c>
      <c r="AG348" s="13">
        <f>IF(ISNUMBER(E$360),E348,"")</f>
        <v>25.75</v>
      </c>
      <c r="AH348" s="13">
        <f>IF(ISNUMBER(F$360),F348,"")</f>
        <v>26.75</v>
      </c>
      <c r="AI348" s="13">
        <f>IF(ISNUMBER(G$360),G348,"")</f>
        <v>25.25</v>
      </c>
      <c r="AJ348" s="13">
        <f>IF(ISNUMBER(H$360),H348,"")</f>
        <v>26.25</v>
      </c>
      <c r="AK348" s="13">
        <f>IF(ISNUMBER(I$360),I348,"")</f>
        <v>25</v>
      </c>
      <c r="AL348" s="13">
        <f>IF(ISNUMBER(J$360),J348,"")</f>
        <v>26</v>
      </c>
      <c r="AM348" s="13">
        <f>IF(ISNUMBER(K$360),K348,"")</f>
        <v>27</v>
      </c>
      <c r="AN348" s="13">
        <f>IF(ISNUMBER(L$360),L348,"")</f>
        <v>25.5</v>
      </c>
      <c r="AO348" s="13">
        <f>IF(ISNUMBER(M$360),M348,"")</f>
        <v>26.5</v>
      </c>
      <c r="AP348" s="13">
        <f>IF(ISNUMBER(N$360),N348,"")</f>
        <v>27.5</v>
      </c>
      <c r="AQ348" s="13">
        <f>IF(C348="Ручная",O348,0)</f>
        <v>25</v>
      </c>
    </row>
    <row r="349" spans="1:43" ht="40" customHeight="1">
      <c r="A349" s="5">
        <v>2</v>
      </c>
      <c r="B349" s="5" t="s">
        <v>185</v>
      </c>
      <c r="C349" s="11" t="s">
        <v>183</v>
      </c>
      <c r="D349" s="7" t="s">
        <v>186</v>
      </c>
      <c r="E349" s="12">
        <v>31.5</v>
      </c>
      <c r="F349" s="12">
        <v>30</v>
      </c>
      <c r="G349" s="12">
        <v>31.2</v>
      </c>
      <c r="H349" s="12">
        <v>32.4</v>
      </c>
      <c r="I349" s="12">
        <v>30.6</v>
      </c>
      <c r="J349" s="12">
        <v>31.8</v>
      </c>
      <c r="K349" s="12">
        <v>33</v>
      </c>
      <c r="L349" s="12">
        <v>30.9</v>
      </c>
      <c r="M349" s="12">
        <v>32.1</v>
      </c>
      <c r="N349" s="12">
        <v>30.3</v>
      </c>
      <c r="O349" s="13">
        <f>IF(COUNT(AG349:AP349)&gt;0,MIN(AG349:AP349),"")</f>
        <v>30</v>
      </c>
      <c r="P349" s="13">
        <f>IF(COUNT(AG349:AP349)&gt;0,MAX(AG349:AP349),"")</f>
        <v>33</v>
      </c>
      <c r="Q349" s="13">
        <f>IF(ISNUMBER(O349),P349-O349,"")</f>
        <v>3</v>
      </c>
      <c r="R349" s="13">
        <f>IF(ISNUMBER(O349),IF(C349="Ручная",IF($S$360&gt;0,$R$360*Q349/$S$360,IF($W$360=2,$R$360,0)),0),"")</f>
        <v>1.10494652406418</v>
      </c>
      <c r="S349" s="13">
        <f>IF(ISNUMBER(O349),O349+R349,"")</f>
        <v>31.1049465240642</v>
      </c>
      <c r="T349" s="13">
        <f>IF(ISNUMBER(S349),P349-S349,"")</f>
        <v>1.89505347593582</v>
      </c>
      <c r="U349" s="13">
        <f>IF(COUNT(AG349:AP349)&gt;0,AVERAGE(AG349:AP349),"")</f>
        <v>31.38</v>
      </c>
      <c r="AG349" s="13">
        <f>IF(ISNUMBER(E$360),E349,"")</f>
        <v>31.5</v>
      </c>
      <c r="AH349" s="13">
        <f>IF(ISNUMBER(F$360),F349,"")</f>
        <v>30</v>
      </c>
      <c r="AI349" s="13">
        <f>IF(ISNUMBER(G$360),G349,"")</f>
        <v>31.2</v>
      </c>
      <c r="AJ349" s="13">
        <f>IF(ISNUMBER(H$360),H349,"")</f>
        <v>32.4</v>
      </c>
      <c r="AK349" s="13">
        <f>IF(ISNUMBER(I$360),I349,"")</f>
        <v>30.6</v>
      </c>
      <c r="AL349" s="13">
        <f>IF(ISNUMBER(J$360),J349,"")</f>
        <v>31.8</v>
      </c>
      <c r="AM349" s="13">
        <f>IF(ISNUMBER(K$360),K349,"")</f>
        <v>33</v>
      </c>
      <c r="AN349" s="13">
        <f>IF(ISNUMBER(L$360),L349,"")</f>
        <v>30.9</v>
      </c>
      <c r="AO349" s="13">
        <f>IF(ISNUMBER(M$360),M349,"")</f>
        <v>32.1</v>
      </c>
      <c r="AP349" s="13">
        <f>IF(ISNUMBER(N$360),N349,"")</f>
        <v>30.3</v>
      </c>
      <c r="AQ349" s="13">
        <f>IF(C349="Ручная",O349,0)</f>
        <v>30</v>
      </c>
    </row>
    <row r="350" spans="1:43" ht="40" customHeight="1">
      <c r="A350" s="5">
        <v>3</v>
      </c>
      <c r="B350" s="5" t="s">
        <v>187</v>
      </c>
      <c r="C350" s="11" t="s">
        <v>183</v>
      </c>
      <c r="D350" s="7" t="s">
        <v>188</v>
      </c>
      <c r="E350" s="12">
        <v>21.38</v>
      </c>
      <c r="F350" s="12">
        <v>20.2</v>
      </c>
      <c r="G350" s="12">
        <v>20.99</v>
      </c>
      <c r="H350" s="12">
        <v>21.78</v>
      </c>
      <c r="I350" s="12">
        <v>20.39</v>
      </c>
      <c r="J350" s="12">
        <v>21.19</v>
      </c>
      <c r="K350" s="12">
        <v>20</v>
      </c>
      <c r="L350" s="12">
        <v>20.79</v>
      </c>
      <c r="M350" s="12">
        <v>19.8</v>
      </c>
      <c r="N350" s="12">
        <v>20.59</v>
      </c>
      <c r="O350" s="13">
        <f>IF(COUNT(AG350:AP350)&gt;0,MIN(AG350:AP350),"")</f>
        <v>19.8</v>
      </c>
      <c r="P350" s="13">
        <f>IF(COUNT(AG350:AP350)&gt;0,MAX(AG350:AP350),"")</f>
        <v>21.78</v>
      </c>
      <c r="Q350" s="13">
        <f>IF(ISNUMBER(O350),P350-O350,"")</f>
        <v>1.98</v>
      </c>
      <c r="R350" s="13">
        <f>IF(ISNUMBER(O350),IF(C350="Ручная",IF($S$360&gt;0,$R$360*Q350/$S$360,IF($W$360=3,$R$360,0)),0),"")</f>
        <v>0.729264705882359</v>
      </c>
      <c r="S350" s="13">
        <f>IF(ISNUMBER(O350),O350+R350,"")</f>
        <v>20.5292647058824</v>
      </c>
      <c r="T350" s="13">
        <f>IF(ISNUMBER(S350),P350-S350,"")</f>
        <v>1.25073529411764</v>
      </c>
      <c r="U350" s="13">
        <f>IF(COUNT(AG350:AP350)&gt;0,AVERAGE(AG350:AP350),"")</f>
        <v>20.711</v>
      </c>
      <c r="AG350" s="13">
        <f>IF(ISNUMBER(E$360),E350,"")</f>
        <v>21.38</v>
      </c>
      <c r="AH350" s="13">
        <f>IF(ISNUMBER(F$360),F350,"")</f>
        <v>20.2</v>
      </c>
      <c r="AI350" s="13">
        <f>IF(ISNUMBER(G$360),G350,"")</f>
        <v>20.99</v>
      </c>
      <c r="AJ350" s="13">
        <f>IF(ISNUMBER(H$360),H350,"")</f>
        <v>21.78</v>
      </c>
      <c r="AK350" s="13">
        <f>IF(ISNUMBER(I$360),I350,"")</f>
        <v>20.39</v>
      </c>
      <c r="AL350" s="13">
        <f>IF(ISNUMBER(J$360),J350,"")</f>
        <v>21.19</v>
      </c>
      <c r="AM350" s="13">
        <f>IF(ISNUMBER(K$360),K350,"")</f>
        <v>20</v>
      </c>
      <c r="AN350" s="13">
        <f>IF(ISNUMBER(L$360),L350,"")</f>
        <v>20.79</v>
      </c>
      <c r="AO350" s="13">
        <f>IF(ISNUMBER(M$360),M350,"")</f>
        <v>19.8</v>
      </c>
      <c r="AP350" s="13">
        <f>IF(ISNUMBER(N$360),N350,"")</f>
        <v>20.59</v>
      </c>
      <c r="AQ350" s="13">
        <f>IF(C350="Ручная",O350,0)</f>
        <v>19.8</v>
      </c>
    </row>
    <row r="351" spans="1:43" ht="40" customHeight="1">
      <c r="A351" s="5" t="s">
        <v>189</v>
      </c>
      <c r="B351" s="5" t="s">
        <v>190</v>
      </c>
      <c r="C351" s="11" t="s">
        <v>191</v>
      </c>
      <c r="D351" s="7" t="s">
        <v>192</v>
      </c>
      <c r="E351" s="12">
        <v>6.6</v>
      </c>
      <c r="F351" s="12">
        <v>6.18</v>
      </c>
      <c r="G351" s="12">
        <v>6.42</v>
      </c>
      <c r="H351" s="12">
        <v>6.06</v>
      </c>
      <c r="I351" s="12">
        <v>6.3</v>
      </c>
      <c r="J351" s="12">
        <v>6</v>
      </c>
      <c r="K351" s="12">
        <v>6.24</v>
      </c>
      <c r="L351" s="12">
        <v>6.48</v>
      </c>
      <c r="M351" s="12">
        <v>6.12</v>
      </c>
      <c r="N351" s="12">
        <v>6.36</v>
      </c>
      <c r="O351" s="13">
        <f>IF(COUNT(AG351:AP351)&gt;0,MIN(AG351:AP351),"")</f>
        <v>6</v>
      </c>
      <c r="P351" s="13">
        <f>IF(COUNT(AG351:AP351)&gt;0,MAX(AG351:AP351),"")</f>
        <v>6.6</v>
      </c>
      <c r="Q351" s="13">
        <f>IF(ISNUMBER(O351),P351-O351,"")</f>
        <v>0.6</v>
      </c>
      <c r="R351" s="13">
        <f>IF(ISNUMBER(O351),IF(C351="Ручная",IF($S$360&gt;0,$R$360*Q351/$S$360,IF($W$360=4,$R$360,0)),0),"")</f>
        <v>0</v>
      </c>
      <c r="S351" s="13">
        <f>IF(ISNUMBER(O351),O351+R351,"")</f>
        <v>6</v>
      </c>
      <c r="T351" s="13">
        <f>IF(ISNUMBER(S351),P351-S351,"")</f>
        <v>0.6</v>
      </c>
      <c r="U351" s="13">
        <f>IF(COUNT(AG351:AP351)&gt;0,AVERAGE(AG351:AP351),"")</f>
        <v>6.276</v>
      </c>
      <c r="AG351" s="13">
        <f>IF(ISNUMBER(E$360),E351,"")</f>
        <v>6.6</v>
      </c>
      <c r="AH351" s="13">
        <f>IF(ISNUMBER(F$360),F351,"")</f>
        <v>6.18</v>
      </c>
      <c r="AI351" s="13">
        <f>IF(ISNUMBER(G$360),G351,"")</f>
        <v>6.42</v>
      </c>
      <c r="AJ351" s="13">
        <f>IF(ISNUMBER(H$360),H351,"")</f>
        <v>6.06</v>
      </c>
      <c r="AK351" s="13">
        <f>IF(ISNUMBER(I$360),I351,"")</f>
        <v>6.3</v>
      </c>
      <c r="AL351" s="13">
        <f>IF(ISNUMBER(J$360),J351,"")</f>
        <v>6</v>
      </c>
      <c r="AM351" s="13">
        <f>IF(ISNUMBER(K$360),K351,"")</f>
        <v>6.24</v>
      </c>
      <c r="AN351" s="13">
        <f>IF(ISNUMBER(L$360),L351,"")</f>
        <v>6.48</v>
      </c>
      <c r="AO351" s="13">
        <f>IF(ISNUMBER(M$360),M351,"")</f>
        <v>6.12</v>
      </c>
      <c r="AP351" s="13">
        <f>IF(ISNUMBER(N$360),N351,"")</f>
        <v>6.36</v>
      </c>
      <c r="AQ351" s="13">
        <f>IF(C351="Ручная",O351,0)</f>
        <v>0</v>
      </c>
    </row>
    <row r="352" spans="1:43" ht="40" customHeight="1">
      <c r="A352" s="5">
        <v>5</v>
      </c>
      <c r="B352" s="5" t="s">
        <v>193</v>
      </c>
      <c r="C352" s="11" t="s">
        <v>183</v>
      </c>
      <c r="D352" s="7" t="s">
        <v>194</v>
      </c>
      <c r="E352" s="12">
        <v>30.05</v>
      </c>
      <c r="F352" s="12">
        <v>31.24</v>
      </c>
      <c r="G352" s="12">
        <v>29.75</v>
      </c>
      <c r="H352" s="12">
        <v>30.94</v>
      </c>
      <c r="I352" s="12">
        <v>32.13</v>
      </c>
      <c r="J352" s="12">
        <v>30.34</v>
      </c>
      <c r="K352" s="12">
        <v>31.54</v>
      </c>
      <c r="L352" s="12">
        <v>32.73</v>
      </c>
      <c r="M352" s="12">
        <v>30.64</v>
      </c>
      <c r="N352" s="12">
        <v>31.83</v>
      </c>
      <c r="O352" s="13">
        <f>IF(COUNT(AG352:AP352)&gt;0,MIN(AG352:AP352),"")</f>
        <v>29.75</v>
      </c>
      <c r="P352" s="13">
        <f>IF(COUNT(AG352:AP352)&gt;0,MAX(AG352:AP352),"")</f>
        <v>32.73</v>
      </c>
      <c r="Q352" s="13">
        <f>IF(ISNUMBER(O352),P352-O352,"")</f>
        <v>2.98</v>
      </c>
      <c r="R352" s="13">
        <f>IF(ISNUMBER(O352),IF(C352="Ручная",IF($S$360&gt;0,$R$360*Q352/$S$360,IF($W$360=5,$R$360,0)),0),"")</f>
        <v>1.09758021390375</v>
      </c>
      <c r="S352" s="13">
        <f>IF(ISNUMBER(O352),O352+R352,"")</f>
        <v>30.8475802139038</v>
      </c>
      <c r="T352" s="13">
        <f>IF(ISNUMBER(S352),P352-S352,"")</f>
        <v>1.88241978609625</v>
      </c>
      <c r="U352" s="13">
        <f>IF(COUNT(AG352:AP352)&gt;0,AVERAGE(AG352:AP352),"")</f>
        <v>31.119</v>
      </c>
      <c r="AG352" s="13">
        <f>IF(ISNUMBER(E$360),E352,"")</f>
        <v>30.05</v>
      </c>
      <c r="AH352" s="13">
        <f>IF(ISNUMBER(F$360),F352,"")</f>
        <v>31.24</v>
      </c>
      <c r="AI352" s="13">
        <f>IF(ISNUMBER(G$360),G352,"")</f>
        <v>29.75</v>
      </c>
      <c r="AJ352" s="13">
        <f>IF(ISNUMBER(H$360),H352,"")</f>
        <v>30.94</v>
      </c>
      <c r="AK352" s="13">
        <f>IF(ISNUMBER(I$360),I352,"")</f>
        <v>32.13</v>
      </c>
      <c r="AL352" s="13">
        <f>IF(ISNUMBER(J$360),J352,"")</f>
        <v>30.34</v>
      </c>
      <c r="AM352" s="13">
        <f>IF(ISNUMBER(K$360),K352,"")</f>
        <v>31.54</v>
      </c>
      <c r="AN352" s="13">
        <f>IF(ISNUMBER(L$360),L352,"")</f>
        <v>32.73</v>
      </c>
      <c r="AO352" s="13">
        <f>IF(ISNUMBER(M$360),M352,"")</f>
        <v>30.64</v>
      </c>
      <c r="AP352" s="13">
        <f>IF(ISNUMBER(N$360),N352,"")</f>
        <v>31.83</v>
      </c>
      <c r="AQ352" s="13">
        <f>IF(C352="Ручная",O352,0)</f>
        <v>29.75</v>
      </c>
    </row>
    <row r="353" spans="1:43" ht="40" customHeight="1">
      <c r="A353" s="5" t="s">
        <v>189</v>
      </c>
      <c r="B353" s="5" t="s">
        <v>195</v>
      </c>
      <c r="C353" s="11" t="s">
        <v>196</v>
      </c>
      <c r="D353" s="7" t="s">
        <v>197</v>
      </c>
      <c r="E353" s="18">
        <f>'Ассортимент'!R24</f>
        <v>300</v>
      </c>
      <c r="F353" s="18">
        <f>'Ассортимент'!R24</f>
        <v>300</v>
      </c>
      <c r="G353" s="18">
        <f>'Ассортимент'!R24</f>
        <v>300</v>
      </c>
      <c r="H353" s="18">
        <f>'Ассортимент'!R24</f>
        <v>300</v>
      </c>
      <c r="I353" s="18">
        <f>'Ассортимент'!R24</f>
        <v>300</v>
      </c>
      <c r="J353" s="18">
        <f>'Ассортимент'!R24</f>
        <v>300</v>
      </c>
      <c r="K353" s="18">
        <f>'Ассортимент'!R24</f>
        <v>300</v>
      </c>
      <c r="L353" s="18">
        <f>'Ассортимент'!R24</f>
        <v>300</v>
      </c>
      <c r="M353" s="18">
        <f>'Ассортимент'!R24</f>
        <v>300</v>
      </c>
      <c r="N353" s="18">
        <f>'Ассортимент'!R24</f>
        <v>300</v>
      </c>
      <c r="O353" s="13">
        <f>IF(COUNT(AG353:AP353)&gt;0,MIN(AG353:AP353),"")</f>
        <v>300</v>
      </c>
      <c r="P353" s="13">
        <f>IF(COUNT(AG353:AP353)&gt;0,MAX(AG353:AP353),"")</f>
        <v>300</v>
      </c>
      <c r="Q353" s="13">
        <f>IF(ISNUMBER(O353),P353-O353,"")</f>
        <v>0</v>
      </c>
      <c r="R353" s="13">
        <f>IF(ISNUMBER(O353),IF(C353="Ручная",IF($S$360&gt;0,$R$360*Q353/$S$360,IF($W$360=6,$R$360,0)),0),"")</f>
        <v>0</v>
      </c>
      <c r="S353" s="13">
        <f>IF(ISNUMBER(O353),O353+R353,"")</f>
        <v>300</v>
      </c>
      <c r="T353" s="13">
        <f>IF(ISNUMBER(S353),P353-S353,"")</f>
        <v>0</v>
      </c>
      <c r="U353" s="13">
        <f>IF(COUNT(AG353:AP353)&gt;0,AVERAGE(AG353:AP353),"")</f>
        <v>300</v>
      </c>
      <c r="AG353" s="13">
        <f>IF(ISNUMBER(E$360),E353,"")</f>
        <v>300</v>
      </c>
      <c r="AH353" s="13">
        <f>IF(ISNUMBER(F$360),F353,"")</f>
        <v>300</v>
      </c>
      <c r="AI353" s="13">
        <f>IF(ISNUMBER(G$360),G353,"")</f>
        <v>300</v>
      </c>
      <c r="AJ353" s="13">
        <f>IF(ISNUMBER(H$360),H353,"")</f>
        <v>300</v>
      </c>
      <c r="AK353" s="13">
        <f>IF(ISNUMBER(I$360),I353,"")</f>
        <v>300</v>
      </c>
      <c r="AL353" s="13">
        <f>IF(ISNUMBER(J$360),J353,"")</f>
        <v>300</v>
      </c>
      <c r="AM353" s="13">
        <f>IF(ISNUMBER(K$360),K353,"")</f>
        <v>300</v>
      </c>
      <c r="AN353" s="13">
        <f>IF(ISNUMBER(L$360),L353,"")</f>
        <v>300</v>
      </c>
      <c r="AO353" s="13">
        <f>IF(ISNUMBER(M$360),M353,"")</f>
        <v>300</v>
      </c>
      <c r="AP353" s="13">
        <f>IF(ISNUMBER(N$360),N353,"")</f>
        <v>300</v>
      </c>
      <c r="AQ353" s="13">
        <f>IF(C353="Ручная",O353,0)</f>
        <v>0</v>
      </c>
    </row>
    <row r="354" spans="1:43" ht="40" customHeight="1">
      <c r="A354" s="5">
        <v>7</v>
      </c>
      <c r="B354" s="5" t="s">
        <v>198</v>
      </c>
      <c r="C354" s="11" t="s">
        <v>183</v>
      </c>
      <c r="D354" s="7" t="s">
        <v>199</v>
      </c>
      <c r="E354" s="12">
        <v>28.62</v>
      </c>
      <c r="F354" s="12">
        <v>29.7</v>
      </c>
      <c r="G354" s="12">
        <v>27.81</v>
      </c>
      <c r="H354" s="12">
        <v>28.89</v>
      </c>
      <c r="I354" s="12">
        <v>27.27</v>
      </c>
      <c r="J354" s="12">
        <v>28.35</v>
      </c>
      <c r="K354" s="12">
        <v>27</v>
      </c>
      <c r="L354" s="12">
        <v>28.08</v>
      </c>
      <c r="M354" s="12">
        <v>29.16</v>
      </c>
      <c r="N354" s="12">
        <v>27.54</v>
      </c>
      <c r="O354" s="13">
        <f>IF(COUNT(AG354:AP354)&gt;0,MIN(AG354:AP354),"")</f>
        <v>27</v>
      </c>
      <c r="P354" s="13">
        <f>IF(COUNT(AG354:AP354)&gt;0,MAX(AG354:AP354),"")</f>
        <v>29.7</v>
      </c>
      <c r="Q354" s="13">
        <f>IF(ISNUMBER(O354),P354-O354,"")</f>
        <v>2.7</v>
      </c>
      <c r="R354" s="13">
        <f>IF(ISNUMBER(O354),IF(C354="Ручная",IF($S$360&gt;0,$R$360*Q354/$S$360,IF($W$360=7,$R$360,0)),0),"")</f>
        <v>0.994451871657762</v>
      </c>
      <c r="S354" s="13">
        <f>IF(ISNUMBER(O354),O354+R354,"")</f>
        <v>27.9944518716578</v>
      </c>
      <c r="T354" s="13">
        <f>IF(ISNUMBER(S354),P354-S354,"")</f>
        <v>1.70554812834224</v>
      </c>
      <c r="U354" s="13">
        <f>IF(COUNT(AG354:AP354)&gt;0,AVERAGE(AG354:AP354),"")</f>
        <v>28.242</v>
      </c>
      <c r="AG354" s="13">
        <f>IF(ISNUMBER(E$360),E354,"")</f>
        <v>28.62</v>
      </c>
      <c r="AH354" s="13">
        <f>IF(ISNUMBER(F$360),F354,"")</f>
        <v>29.7</v>
      </c>
      <c r="AI354" s="13">
        <f>IF(ISNUMBER(G$360),G354,"")</f>
        <v>27.81</v>
      </c>
      <c r="AJ354" s="13">
        <f>IF(ISNUMBER(H$360),H354,"")</f>
        <v>28.89</v>
      </c>
      <c r="AK354" s="13">
        <f>IF(ISNUMBER(I$360),I354,"")</f>
        <v>27.27</v>
      </c>
      <c r="AL354" s="13">
        <f>IF(ISNUMBER(J$360),J354,"")</f>
        <v>28.35</v>
      </c>
      <c r="AM354" s="13">
        <f>IF(ISNUMBER(K$360),K354,"")</f>
        <v>27</v>
      </c>
      <c r="AN354" s="13">
        <f>IF(ISNUMBER(L$360),L354,"")</f>
        <v>28.08</v>
      </c>
      <c r="AO354" s="13">
        <f>IF(ISNUMBER(M$360),M354,"")</f>
        <v>29.16</v>
      </c>
      <c r="AP354" s="13">
        <f>IF(ISNUMBER(N$360),N354,"")</f>
        <v>27.54</v>
      </c>
      <c r="AQ354" s="13">
        <f>IF(C354="Ручная",O354,0)</f>
        <v>27</v>
      </c>
    </row>
    <row r="355" spans="1:43" ht="40" customHeight="1">
      <c r="A355" s="5">
        <v>8</v>
      </c>
      <c r="B355" s="5" t="s">
        <v>200</v>
      </c>
      <c r="C355" s="11" t="s">
        <v>183</v>
      </c>
      <c r="D355" s="7" t="s">
        <v>201</v>
      </c>
      <c r="E355" s="12">
        <v>19.26</v>
      </c>
      <c r="F355" s="12">
        <v>18.18</v>
      </c>
      <c r="G355" s="12">
        <v>18.9</v>
      </c>
      <c r="H355" s="12">
        <v>18</v>
      </c>
      <c r="I355" s="12">
        <v>18.72</v>
      </c>
      <c r="J355" s="12">
        <v>19.44</v>
      </c>
      <c r="K355" s="12">
        <v>18.36</v>
      </c>
      <c r="L355" s="12">
        <v>19.08</v>
      </c>
      <c r="M355" s="12">
        <v>19.8</v>
      </c>
      <c r="N355" s="12">
        <v>18.54</v>
      </c>
      <c r="O355" s="13">
        <f>IF(COUNT(AG355:AP355)&gt;0,MIN(AG355:AP355),"")</f>
        <v>18</v>
      </c>
      <c r="P355" s="13">
        <f>IF(COUNT(AG355:AP355)&gt;0,MAX(AG355:AP355),"")</f>
        <v>19.8</v>
      </c>
      <c r="Q355" s="13">
        <f>IF(ISNUMBER(O355),P355-O355,"")</f>
        <v>1.8</v>
      </c>
      <c r="R355" s="13">
        <f>IF(ISNUMBER(O355),IF(C355="Ручная",IF($S$360&gt;0,$R$360*Q355/$S$360,IF($W$360=8,$R$360,0)),0),"")</f>
        <v>0.662967914438509</v>
      </c>
      <c r="S355" s="13">
        <f>IF(ISNUMBER(O355),O355+R355,"")</f>
        <v>18.6629679144385</v>
      </c>
      <c r="T355" s="13">
        <f>IF(ISNUMBER(S355),P355-S355,"")</f>
        <v>1.13703208556149</v>
      </c>
      <c r="U355" s="13">
        <f>IF(COUNT(AG355:AP355)&gt;0,AVERAGE(AG355:AP355),"")</f>
        <v>18.828</v>
      </c>
      <c r="AG355" s="13">
        <f>IF(ISNUMBER(E$360),E355,"")</f>
        <v>19.26</v>
      </c>
      <c r="AH355" s="13">
        <f>IF(ISNUMBER(F$360),F355,"")</f>
        <v>18.18</v>
      </c>
      <c r="AI355" s="13">
        <f>IF(ISNUMBER(G$360),G355,"")</f>
        <v>18.9</v>
      </c>
      <c r="AJ355" s="13">
        <f>IF(ISNUMBER(H$360),H355,"")</f>
        <v>18</v>
      </c>
      <c r="AK355" s="13">
        <f>IF(ISNUMBER(I$360),I355,"")</f>
        <v>18.72</v>
      </c>
      <c r="AL355" s="13">
        <f>IF(ISNUMBER(J$360),J355,"")</f>
        <v>19.44</v>
      </c>
      <c r="AM355" s="13">
        <f>IF(ISNUMBER(K$360),K355,"")</f>
        <v>18.36</v>
      </c>
      <c r="AN355" s="13">
        <f>IF(ISNUMBER(L$360),L355,"")</f>
        <v>19.08</v>
      </c>
      <c r="AO355" s="13">
        <f>IF(ISNUMBER(M$360),M355,"")</f>
        <v>19.8</v>
      </c>
      <c r="AP355" s="13">
        <f>IF(ISNUMBER(N$360),N355,"")</f>
        <v>18.54</v>
      </c>
      <c r="AQ355" s="13">
        <f>IF(C355="Ручная",O355,0)</f>
        <v>18</v>
      </c>
    </row>
    <row r="356" spans="1:43" ht="40" customHeight="1">
      <c r="A356" s="5" t="s">
        <v>189</v>
      </c>
      <c r="B356" s="5" t="s">
        <v>202</v>
      </c>
      <c r="C356" s="11" t="s">
        <v>191</v>
      </c>
      <c r="D356" s="7" t="s">
        <v>203</v>
      </c>
      <c r="E356" s="12">
        <v>5</v>
      </c>
      <c r="F356" s="12">
        <v>5.2</v>
      </c>
      <c r="G356" s="12">
        <v>5.4</v>
      </c>
      <c r="H356" s="12">
        <v>5.1</v>
      </c>
      <c r="I356" s="12">
        <v>5.3</v>
      </c>
      <c r="J356" s="12">
        <v>5.5</v>
      </c>
      <c r="K356" s="12">
        <v>5.15</v>
      </c>
      <c r="L356" s="12">
        <v>5.35</v>
      </c>
      <c r="M356" s="12">
        <v>5.05</v>
      </c>
      <c r="N356" s="12">
        <v>5.25</v>
      </c>
      <c r="O356" s="13">
        <f>IF(COUNT(AG356:AP356)&gt;0,MIN(AG356:AP356),"")</f>
        <v>5</v>
      </c>
      <c r="P356" s="13">
        <f>IF(COUNT(AG356:AP356)&gt;0,MAX(AG356:AP356),"")</f>
        <v>5.5</v>
      </c>
      <c r="Q356" s="13">
        <f>IF(ISNUMBER(O356),P356-O356,"")</f>
        <v>0.5</v>
      </c>
      <c r="R356" s="13">
        <f>IF(ISNUMBER(O356),IF(C356="Ручная",IF($S$360&gt;0,$R$360*Q356/$S$360,IF($W$360=9,$R$360,0)),0),"")</f>
        <v>0</v>
      </c>
      <c r="S356" s="13">
        <f>IF(ISNUMBER(O356),O356+R356,"")</f>
        <v>5</v>
      </c>
      <c r="T356" s="13">
        <f>IF(ISNUMBER(S356),P356-S356,"")</f>
        <v>0.5</v>
      </c>
      <c r="U356" s="13">
        <f>IF(COUNT(AG356:AP356)&gt;0,AVERAGE(AG356:AP356),"")</f>
        <v>5.23</v>
      </c>
      <c r="AG356" s="13">
        <f>IF(ISNUMBER(E$360),E356,"")</f>
        <v>5</v>
      </c>
      <c r="AH356" s="13">
        <f>IF(ISNUMBER(F$360),F356,"")</f>
        <v>5.2</v>
      </c>
      <c r="AI356" s="13">
        <f>IF(ISNUMBER(G$360),G356,"")</f>
        <v>5.4</v>
      </c>
      <c r="AJ356" s="13">
        <f>IF(ISNUMBER(H$360),H356,"")</f>
        <v>5.1</v>
      </c>
      <c r="AK356" s="13">
        <f>IF(ISNUMBER(I$360),I356,"")</f>
        <v>5.3</v>
      </c>
      <c r="AL356" s="13">
        <f>IF(ISNUMBER(J$360),J356,"")</f>
        <v>5.5</v>
      </c>
      <c r="AM356" s="13">
        <f>IF(ISNUMBER(K$360),K356,"")</f>
        <v>5.15</v>
      </c>
      <c r="AN356" s="13">
        <f>IF(ISNUMBER(L$360),L356,"")</f>
        <v>5.35</v>
      </c>
      <c r="AO356" s="13">
        <f>IF(ISNUMBER(M$360),M356,"")</f>
        <v>5.05</v>
      </c>
      <c r="AP356" s="13">
        <f>IF(ISNUMBER(N$360),N356,"")</f>
        <v>5.25</v>
      </c>
      <c r="AQ356" s="13">
        <f>IF(C356="Ручная",O356,0)</f>
        <v>0</v>
      </c>
    </row>
    <row r="357" spans="1:43" ht="40" customHeight="1">
      <c r="A357" s="5" t="s">
        <v>189</v>
      </c>
      <c r="B357" s="5" t="s">
        <v>204</v>
      </c>
      <c r="C357" s="11" t="s">
        <v>191</v>
      </c>
      <c r="D357" s="7" t="s">
        <v>205</v>
      </c>
      <c r="E357" s="12">
        <v>5.1</v>
      </c>
      <c r="F357" s="12">
        <v>5.3</v>
      </c>
      <c r="G357" s="12">
        <v>5.5</v>
      </c>
      <c r="H357" s="12">
        <v>5.15</v>
      </c>
      <c r="I357" s="12">
        <v>5.35</v>
      </c>
      <c r="J357" s="12">
        <v>5.05</v>
      </c>
      <c r="K357" s="12">
        <v>5.25</v>
      </c>
      <c r="L357" s="12">
        <v>5</v>
      </c>
      <c r="M357" s="12">
        <v>5.2</v>
      </c>
      <c r="N357" s="12">
        <v>5.4</v>
      </c>
      <c r="O357" s="13">
        <f>IF(COUNT(AG357:AP357)&gt;0,MIN(AG357:AP357),"")</f>
        <v>5</v>
      </c>
      <c r="P357" s="13">
        <f>IF(COUNT(AG357:AP357)&gt;0,MAX(AG357:AP357),"")</f>
        <v>5.5</v>
      </c>
      <c r="Q357" s="13">
        <f>IF(ISNUMBER(O357),P357-O357,"")</f>
        <v>0.5</v>
      </c>
      <c r="R357" s="13">
        <f>IF(ISNUMBER(O357),IF(C357="Ручная",IF($S$360&gt;0,$R$360*Q357/$S$360,IF($W$360=10,$R$360,0)),0),"")</f>
        <v>0</v>
      </c>
      <c r="S357" s="13">
        <f>IF(ISNUMBER(O357),O357+R357,"")</f>
        <v>5</v>
      </c>
      <c r="T357" s="13">
        <f>IF(ISNUMBER(S357),P357-S357,"")</f>
        <v>0.5</v>
      </c>
      <c r="U357" s="13">
        <f>IF(COUNT(AG357:AP357)&gt;0,AVERAGE(AG357:AP357),"")</f>
        <v>5.23</v>
      </c>
      <c r="AG357" s="13">
        <f>IF(ISNUMBER(E$360),E357,"")</f>
        <v>5.1</v>
      </c>
      <c r="AH357" s="13">
        <f>IF(ISNUMBER(F$360),F357,"")</f>
        <v>5.3</v>
      </c>
      <c r="AI357" s="13">
        <f>IF(ISNUMBER(G$360),G357,"")</f>
        <v>5.5</v>
      </c>
      <c r="AJ357" s="13">
        <f>IF(ISNUMBER(H$360),H357,"")</f>
        <v>5.15</v>
      </c>
      <c r="AK357" s="13">
        <f>IF(ISNUMBER(I$360),I357,"")</f>
        <v>5.35</v>
      </c>
      <c r="AL357" s="13">
        <f>IF(ISNUMBER(J$360),J357,"")</f>
        <v>5.05</v>
      </c>
      <c r="AM357" s="13">
        <f>IF(ISNUMBER(K$360),K357,"")</f>
        <v>5.25</v>
      </c>
      <c r="AN357" s="13">
        <f>IF(ISNUMBER(L$360),L357,"")</f>
        <v>5</v>
      </c>
      <c r="AO357" s="13">
        <f>IF(ISNUMBER(M$360),M357,"")</f>
        <v>5.2</v>
      </c>
      <c r="AP357" s="13">
        <f>IF(ISNUMBER(N$360),N357,"")</f>
        <v>5.4</v>
      </c>
      <c r="AQ357" s="13">
        <f>IF(C357="Ручная",O357,0)</f>
        <v>0</v>
      </c>
    </row>
    <row r="358" spans="1:43" ht="40" customHeight="1">
      <c r="A358" s="5" t="s">
        <v>189</v>
      </c>
      <c r="B358" s="5" t="s">
        <v>206</v>
      </c>
      <c r="C358" s="11" t="s">
        <v>207</v>
      </c>
      <c r="D358" s="7" t="s">
        <v>208</v>
      </c>
      <c r="E358" s="12">
        <v>0</v>
      </c>
      <c r="F358" s="12">
        <v>0</v>
      </c>
      <c r="G358" s="12">
        <v>0</v>
      </c>
      <c r="H358" s="12">
        <v>0</v>
      </c>
      <c r="I358" s="12">
        <v>0</v>
      </c>
      <c r="J358" s="12">
        <v>0</v>
      </c>
      <c r="K358" s="12">
        <v>0</v>
      </c>
      <c r="L358" s="12">
        <v>0</v>
      </c>
      <c r="M358" s="12">
        <v>0</v>
      </c>
      <c r="N358" s="12">
        <v>0</v>
      </c>
      <c r="O358" s="13">
        <f>IF(COUNT(AG358:AP358)&gt;0,MIN(AG358:AP358),"")</f>
        <v>0</v>
      </c>
      <c r="P358" s="13">
        <f>IF(COUNT(AG358:AP358)&gt;0,MAX(AG358:AP358),"")</f>
        <v>0</v>
      </c>
      <c r="Q358" s="13">
        <f>IF(ISNUMBER(O358),P358-O358,"")</f>
        <v>0</v>
      </c>
      <c r="R358" s="13">
        <f>IF(ISNUMBER(O358),IF(C358="Ручная",IF($S$360&gt;0,$R$360*Q358/$S$360,IF($W$360=11,$R$360,0)),0),"")</f>
        <v>0</v>
      </c>
      <c r="S358" s="13">
        <f>IF(ISNUMBER(O358),O358+R358,"")</f>
        <v>0</v>
      </c>
      <c r="T358" s="13">
        <f>IF(ISNUMBER(S358),P358-S358,"")</f>
        <v>0</v>
      </c>
      <c r="U358" s="13">
        <f>IF(COUNT(AG358:AP358)&gt;0,AVERAGE(AG358:AP358),"")</f>
        <v>0</v>
      </c>
      <c r="AG358" s="13">
        <f>IF(ISNUMBER(E$360),E358,"")</f>
        <v>0</v>
      </c>
      <c r="AH358" s="13">
        <f>IF(ISNUMBER(F$360),F358,"")</f>
        <v>0</v>
      </c>
      <c r="AI358" s="13">
        <f>IF(ISNUMBER(G$360),G358,"")</f>
        <v>0</v>
      </c>
      <c r="AJ358" s="13">
        <f>IF(ISNUMBER(H$360),H358,"")</f>
        <v>0</v>
      </c>
      <c r="AK358" s="13">
        <f>IF(ISNUMBER(I$360),I358,"")</f>
        <v>0</v>
      </c>
      <c r="AL358" s="13">
        <f>IF(ISNUMBER(J$360),J358,"")</f>
        <v>0</v>
      </c>
      <c r="AM358" s="13">
        <f>IF(ISNUMBER(K$360),K358,"")</f>
        <v>0</v>
      </c>
      <c r="AN358" s="13">
        <f>IF(ISNUMBER(L$360),L358,"")</f>
        <v>0</v>
      </c>
      <c r="AO358" s="13">
        <f>IF(ISNUMBER(M$360),M358,"")</f>
        <v>0</v>
      </c>
      <c r="AP358" s="13">
        <f>IF(ISNUMBER(N$360),N358,"")</f>
        <v>0</v>
      </c>
      <c r="AQ358" s="13">
        <f>IF(C358="Ручная",O358,0)</f>
        <v>0</v>
      </c>
    </row>
    <row r="359" spans="1:43" ht="23" customHeight="1">
      <c r="B359" s="4" t="s">
        <v>209</v>
      </c>
      <c r="E359" s="6">
        <f>IF(COUNT(E348:E358)=11,SUM(E348:E358),"")</f>
        <v>473.26</v>
      </c>
      <c r="F359" s="6">
        <f>IF(COUNT(F348:F358)=11,SUM(F348:F358),"")</f>
        <v>472.75</v>
      </c>
      <c r="G359" s="6">
        <f>IF(COUNT(G348:G358)=11,SUM(G348:G358),"")</f>
        <v>471.22</v>
      </c>
      <c r="H359" s="6">
        <f>IF(COUNT(H348:H358)=11,SUM(H348:H358),"")</f>
        <v>474.57</v>
      </c>
      <c r="I359" s="6">
        <f>IF(COUNT(I348:I358)=11,SUM(I348:I358),"")</f>
        <v>471.06</v>
      </c>
      <c r="J359" s="6">
        <f>IF(COUNT(J348:J358)=11,SUM(J348:J358),"")</f>
        <v>473.67</v>
      </c>
      <c r="K359" s="6">
        <f>IF(COUNT(K348:K358)=11,SUM(K348:K358),"")</f>
        <v>473.54</v>
      </c>
      <c r="L359" s="6">
        <f>IF(COUNT(L348:L358)=11,SUM(L348:L358),"")</f>
        <v>473.91</v>
      </c>
      <c r="M359" s="6">
        <f>IF(COUNT(M348:M358)=11,SUM(M348:M358),"")</f>
        <v>474.37</v>
      </c>
      <c r="N359" s="6">
        <f>IF(COUNT(N348:N358)=11,SUM(N348:N358),"")</f>
        <v>473.31</v>
      </c>
      <c r="O359" s="6">
        <f>IF(COUNT(O348:O358)=11,SUM(O348:O358),"")</f>
        <v>465.55</v>
      </c>
      <c r="P359" s="6">
        <f>IF(COUNT(P348:P358)=11,SUM(P348:P358),"")</f>
        <v>482.11</v>
      </c>
      <c r="Q359" s="6">
        <f>IF(COUNT(Q348:Q358)=11,SUM(Q348:Q358),"")</f>
        <v>16.56</v>
      </c>
      <c r="R359" s="6">
        <f>IF(COUNT(R348:R358)=11,SUM(R348:R358),"")</f>
        <v>5.51000000000005</v>
      </c>
      <c r="S359" s="6">
        <f>IF(COUNT(S348:S358)=11,SUM(S348:S358),"")</f>
        <v>471.06</v>
      </c>
      <c r="T359" s="6">
        <f>IF(COUNT(T348:T358)=11,SUM(T348:T358),"")</f>
        <v>11.0499999999999</v>
      </c>
      <c r="U359" s="6">
        <f>IF(COUNT(U348:U358)=11,SUM(U348:U358),"")</f>
        <v>473.166</v>
      </c>
    </row>
    <row r="360" spans="1:43" ht="23" customHeight="1">
      <c r="B360" s="4" t="s">
        <v>210</v>
      </c>
      <c r="E360" s="6">
        <f>IF(AND(E346=1,COUNT(E348:E358)=11,MIN(E348:E358)&gt;=0),E359,"")</f>
        <v>473.26</v>
      </c>
      <c r="F360" s="6">
        <f>IF(AND(F346=1,COUNT(F348:F358)=11,MIN(F348:F358)&gt;=0),F359,"")</f>
        <v>472.75</v>
      </c>
      <c r="G360" s="6">
        <f>IF(AND(G346=1,COUNT(G348:G358)=11,MIN(G348:G358)&gt;=0),G359,"")</f>
        <v>471.22</v>
      </c>
      <c r="H360" s="6">
        <f>IF(AND(H346=1,COUNT(H348:H358)=11,MIN(H348:H358)&gt;=0),H359,"")</f>
        <v>474.57</v>
      </c>
      <c r="I360" s="6">
        <f>IF(AND(I346=1,COUNT(I348:I358)=11,MIN(I348:I358)&gt;=0),I359,"")</f>
        <v>471.06</v>
      </c>
      <c r="J360" s="6">
        <f>IF(AND(J346=1,COUNT(J348:J358)=11,MIN(J348:J358)&gt;=0),J359,"")</f>
        <v>473.67</v>
      </c>
      <c r="K360" s="6">
        <f>IF(AND(K346=1,COUNT(K348:K358)=11,MIN(K348:K358)&gt;=0),K359,"")</f>
        <v>473.54</v>
      </c>
      <c r="L360" s="6">
        <f>IF(AND(L346=1,COUNT(L348:L358)=11,MIN(L348:L358)&gt;=0),L359,"")</f>
        <v>473.91</v>
      </c>
      <c r="M360" s="6">
        <f>IF(AND(M346=1,COUNT(M348:M358)=11,MIN(M348:M358)&gt;=0),M359,"")</f>
        <v>474.37</v>
      </c>
      <c r="N360" s="6">
        <f>IF(AND(N346=1,COUNT(N348:N358)=11,MIN(N348:N358)&gt;=0),N359,"")</f>
        <v>473.31</v>
      </c>
      <c r="O360" s="6">
        <f>IF(COUNT(E360:N360)&gt;0,MIN(E360:N360),"")</f>
        <v>471.06</v>
      </c>
      <c r="P360" s="6">
        <f>IF(COUNT(E360:N360)&gt;0,MAX(E360:N360),"")</f>
        <v>474.57</v>
      </c>
      <c r="Q360" s="6">
        <f>IF(ISNUMBER(O360),P360-O360,"")</f>
        <v>3.50999999999993</v>
      </c>
      <c r="R360" s="6">
        <f>IF(ISNUMBER(O360),MAX(0,O360-O359),"")</f>
        <v>5.51000000000005</v>
      </c>
      <c r="S360" s="6">
        <f>SUMIF(C348:C358,"Ручная",Q348:Q358)</f>
        <v>14.96</v>
      </c>
      <c r="T360" s="6">
        <f>COUNT(E360:N360)</f>
        <v>10</v>
      </c>
      <c r="U360" s="6">
        <f>IF(COUNT(E360:N360)&gt;0,AVERAGE(E360:N360),"")</f>
        <v>473.166</v>
      </c>
      <c r="V360" s="6">
        <f>IF(ISNUMBER(O360),S359-O360,"")</f>
        <v>0</v>
      </c>
      <c r="W360" s="6">
        <f>MATCH(MAX(AQ348:AQ358),AQ348:AQ358,0)</f>
        <v>2</v>
      </c>
      <c r="X360" s="17" t="str">
        <f>IF(T360=0,"НЕТ ЗАМЕРОВ",IF(T360&lt;10,"МЕНЕЕ 10 ЦИКЛОВ",IF(ABS(V360)&lt;0.000001,"ОК","ОШИБКА РЕГУЛИРОВКИ")))</f>
        <v>ОК</v>
      </c>
    </row>
    <row r="361" spans="1:43" ht="23" customHeight="1">
      <c r="A361" s="7" t="s">
        <v>211</v>
      </c>
      <c r="B361" s="7"/>
      <c r="C361" s="7"/>
      <c r="D361" s="7"/>
      <c r="E361" s="7"/>
      <c r="F361" s="7"/>
      <c r="G361" s="7"/>
      <c r="H361" s="7"/>
      <c r="I361" s="7"/>
      <c r="J361" s="7"/>
      <c r="K361" s="7"/>
      <c r="L361" s="7"/>
      <c r="M361" s="7"/>
      <c r="N361" s="7"/>
      <c r="O361" s="7"/>
      <c r="P361" s="7"/>
      <c r="Q361" s="7"/>
      <c r="R361" s="7"/>
      <c r="S361" s="7"/>
      <c r="T361" s="7"/>
      <c r="U361" s="7"/>
      <c r="V361" s="7"/>
      <c r="W361" s="7"/>
      <c r="X361" s="7"/>
    </row>
    <row r="364" spans="1:43" ht="23" customHeight="1">
      <c r="A364" s="4" t="s">
        <v>247</v>
      </c>
      <c r="B364" s="4"/>
      <c r="C364" s="4"/>
      <c r="D364" s="4"/>
      <c r="E364" s="4"/>
      <c r="F364" s="4"/>
      <c r="G364" s="4"/>
      <c r="H364" s="4"/>
      <c r="I364" s="4"/>
      <c r="J364" s="4"/>
      <c r="K364" s="4"/>
      <c r="L364" s="4"/>
      <c r="M364" s="4"/>
      <c r="N364" s="4"/>
      <c r="O364" s="4"/>
      <c r="P364" s="4"/>
      <c r="Q364" s="4"/>
      <c r="R364" s="4"/>
      <c r="S364" s="4"/>
      <c r="T364" s="4"/>
      <c r="U364" s="4"/>
      <c r="V364" s="4"/>
      <c r="W364" s="4"/>
      <c r="X364" s="4"/>
    </row>
    <row r="365" spans="1:43" ht="23" customHeight="1">
      <c r="A365" s="7" t="str">
        <f>"Масса замера, кг: "&amp;'Ассортимент'!J25&amp;". Все замеры одной партии/исполнителя/условий. Основание: "&amp;'Ввод'!B15</f>
        <v>Масса замера, кг: 2. Все замеры одной партии/исполнителя/условий. Основание: ДЕМО: прогноз; улучшения не внедрены</v>
      </c>
      <c r="B365" s="7"/>
      <c r="C365" s="7"/>
      <c r="D365" s="7"/>
      <c r="E365" s="7"/>
      <c r="F365" s="7"/>
      <c r="G365" s="7"/>
      <c r="H365" s="7"/>
      <c r="I365" s="7"/>
      <c r="J365" s="7"/>
      <c r="K365" s="7"/>
      <c r="L365" s="7"/>
      <c r="M365" s="7"/>
      <c r="N365" s="7"/>
      <c r="O365" s="7"/>
      <c r="P365" s="7"/>
      <c r="Q365" s="7"/>
      <c r="R365" s="7"/>
      <c r="S365" s="7"/>
      <c r="T365" s="7"/>
      <c r="U365" s="7"/>
      <c r="V365" s="7"/>
      <c r="W365" s="7"/>
      <c r="X365" s="7"/>
    </row>
    <row r="366" spans="1:43" ht="44" customHeight="1">
      <c r="A366" s="8" t="s">
        <v>113</v>
      </c>
      <c r="B366" s="8" t="s">
        <v>156</v>
      </c>
      <c r="C366" s="8" t="s">
        <v>157</v>
      </c>
      <c r="D366" s="8" t="s">
        <v>158</v>
      </c>
      <c r="E366" s="8" t="s">
        <v>159</v>
      </c>
      <c r="F366" s="8" t="s">
        <v>160</v>
      </c>
      <c r="G366" s="8" t="s">
        <v>161</v>
      </c>
      <c r="H366" s="8" t="s">
        <v>162</v>
      </c>
      <c r="I366" s="8" t="s">
        <v>163</v>
      </c>
      <c r="J366" s="8" t="s">
        <v>164</v>
      </c>
      <c r="K366" s="8" t="s">
        <v>165</v>
      </c>
      <c r="L366" s="8" t="s">
        <v>166</v>
      </c>
      <c r="M366" s="8" t="s">
        <v>167</v>
      </c>
      <c r="N366" s="8" t="s">
        <v>168</v>
      </c>
      <c r="O366" s="8" t="s">
        <v>169</v>
      </c>
      <c r="P366" s="8" t="s">
        <v>170</v>
      </c>
      <c r="Q366" s="8" t="s">
        <v>171</v>
      </c>
      <c r="R366" s="8" t="s">
        <v>172</v>
      </c>
      <c r="S366" s="8" t="s">
        <v>173</v>
      </c>
      <c r="T366" s="8" t="s">
        <v>174</v>
      </c>
      <c r="U366" s="8" t="s">
        <v>175</v>
      </c>
      <c r="V366" s="8" t="s">
        <v>176</v>
      </c>
      <c r="W366" s="8" t="s">
        <v>177</v>
      </c>
      <c r="X366" s="8" t="s">
        <v>178</v>
      </c>
    </row>
    <row r="367" spans="1:43" ht="23" customHeight="1">
      <c r="B367" s="5" t="s">
        <v>179</v>
      </c>
      <c r="E367" s="12">
        <v>1</v>
      </c>
      <c r="F367" s="12">
        <v>1</v>
      </c>
      <c r="G367" s="12">
        <v>1</v>
      </c>
      <c r="H367" s="12">
        <v>1</v>
      </c>
      <c r="I367" s="12">
        <v>1</v>
      </c>
      <c r="J367" s="12">
        <v>1</v>
      </c>
      <c r="K367" s="12">
        <v>1</v>
      </c>
      <c r="L367" s="12">
        <v>1</v>
      </c>
      <c r="M367" s="12">
        <v>1</v>
      </c>
      <c r="N367" s="12">
        <v>1</v>
      </c>
    </row>
    <row r="368" spans="1:43" ht="33" customHeight="1">
      <c r="B368" s="5" t="s">
        <v>180</v>
      </c>
      <c r="E368" s="9" t="s">
        <v>181</v>
      </c>
      <c r="F368" s="9" t="s">
        <v>181</v>
      </c>
      <c r="G368" s="9" t="s">
        <v>181</v>
      </c>
      <c r="H368" s="9" t="s">
        <v>181</v>
      </c>
      <c r="I368" s="9" t="s">
        <v>181</v>
      </c>
      <c r="J368" s="9" t="s">
        <v>181</v>
      </c>
      <c r="K368" s="9" t="s">
        <v>181</v>
      </c>
      <c r="L368" s="9" t="s">
        <v>181</v>
      </c>
      <c r="M368" s="9" t="s">
        <v>181</v>
      </c>
      <c r="N368" s="9" t="s">
        <v>181</v>
      </c>
    </row>
    <row r="369" spans="1:43" ht="40" customHeight="1">
      <c r="A369" s="5">
        <v>1</v>
      </c>
      <c r="B369" s="5" t="s">
        <v>182</v>
      </c>
      <c r="C369" s="11" t="s">
        <v>183</v>
      </c>
      <c r="D369" s="7" t="s">
        <v>184</v>
      </c>
      <c r="E369" s="12">
        <v>26.75</v>
      </c>
      <c r="F369" s="12">
        <v>25.25</v>
      </c>
      <c r="G369" s="12">
        <v>26.25</v>
      </c>
      <c r="H369" s="12">
        <v>25</v>
      </c>
      <c r="I369" s="12">
        <v>26</v>
      </c>
      <c r="J369" s="12">
        <v>27</v>
      </c>
      <c r="K369" s="12">
        <v>25.5</v>
      </c>
      <c r="L369" s="12">
        <v>26.5</v>
      </c>
      <c r="M369" s="12">
        <v>27.5</v>
      </c>
      <c r="N369" s="12">
        <v>25.75</v>
      </c>
      <c r="O369" s="13">
        <f>IF(COUNT(AG369:AP369)&gt;0,MIN(AG369:AP369),"")</f>
        <v>25</v>
      </c>
      <c r="P369" s="13">
        <f>IF(COUNT(AG369:AP369)&gt;0,MAX(AG369:AP369),"")</f>
        <v>27.5</v>
      </c>
      <c r="Q369" s="13">
        <f>IF(ISNUMBER(O369),P369-O369,"")</f>
        <v>2.5</v>
      </c>
      <c r="R369" s="13">
        <f>IF(ISNUMBER(O369),IF(C369="Ручная",IF($S$381&gt;0,$R$381*Q369/$S$381,IF($W$381=1,$R$381,0)),0),"")</f>
        <v>0.920788770053484</v>
      </c>
      <c r="S369" s="13">
        <f>IF(ISNUMBER(O369),O369+R369,"")</f>
        <v>25.9207887700535</v>
      </c>
      <c r="T369" s="13">
        <f>IF(ISNUMBER(S369),P369-S369,"")</f>
        <v>1.57921122994652</v>
      </c>
      <c r="U369" s="13">
        <f>IF(COUNT(AG369:AP369)&gt;0,AVERAGE(AG369:AP369),"")</f>
        <v>26.15</v>
      </c>
      <c r="AG369" s="13">
        <f>IF(ISNUMBER(E$381),E369,"")</f>
        <v>26.75</v>
      </c>
      <c r="AH369" s="13">
        <f>IF(ISNUMBER(F$381),F369,"")</f>
        <v>25.25</v>
      </c>
      <c r="AI369" s="13">
        <f>IF(ISNUMBER(G$381),G369,"")</f>
        <v>26.25</v>
      </c>
      <c r="AJ369" s="13">
        <f>IF(ISNUMBER(H$381),H369,"")</f>
        <v>25</v>
      </c>
      <c r="AK369" s="13">
        <f>IF(ISNUMBER(I$381),I369,"")</f>
        <v>26</v>
      </c>
      <c r="AL369" s="13">
        <f>IF(ISNUMBER(J$381),J369,"")</f>
        <v>27</v>
      </c>
      <c r="AM369" s="13">
        <f>IF(ISNUMBER(K$381),K369,"")</f>
        <v>25.5</v>
      </c>
      <c r="AN369" s="13">
        <f>IF(ISNUMBER(L$381),L369,"")</f>
        <v>26.5</v>
      </c>
      <c r="AO369" s="13">
        <f>IF(ISNUMBER(M$381),M369,"")</f>
        <v>27.5</v>
      </c>
      <c r="AP369" s="13">
        <f>IF(ISNUMBER(N$381),N369,"")</f>
        <v>25.75</v>
      </c>
      <c r="AQ369" s="13">
        <f>IF(C369="Ручная",O369,0)</f>
        <v>25</v>
      </c>
    </row>
    <row r="370" spans="1:43" ht="40" customHeight="1">
      <c r="A370" s="5">
        <v>2</v>
      </c>
      <c r="B370" s="5" t="s">
        <v>185</v>
      </c>
      <c r="C370" s="11" t="s">
        <v>183</v>
      </c>
      <c r="D370" s="7" t="s">
        <v>186</v>
      </c>
      <c r="E370" s="12">
        <v>30</v>
      </c>
      <c r="F370" s="12">
        <v>31.2</v>
      </c>
      <c r="G370" s="12">
        <v>32.4</v>
      </c>
      <c r="H370" s="12">
        <v>30.6</v>
      </c>
      <c r="I370" s="12">
        <v>31.8</v>
      </c>
      <c r="J370" s="12">
        <v>33</v>
      </c>
      <c r="K370" s="12">
        <v>30.9</v>
      </c>
      <c r="L370" s="12">
        <v>32.1</v>
      </c>
      <c r="M370" s="12">
        <v>30.3</v>
      </c>
      <c r="N370" s="12">
        <v>31.5</v>
      </c>
      <c r="O370" s="13">
        <f>IF(COUNT(AG370:AP370)&gt;0,MIN(AG370:AP370),"")</f>
        <v>30</v>
      </c>
      <c r="P370" s="13">
        <f>IF(COUNT(AG370:AP370)&gt;0,MAX(AG370:AP370),"")</f>
        <v>33</v>
      </c>
      <c r="Q370" s="13">
        <f>IF(ISNUMBER(O370),P370-O370,"")</f>
        <v>3</v>
      </c>
      <c r="R370" s="13">
        <f>IF(ISNUMBER(O370),IF(C370="Ручная",IF($S$381&gt;0,$R$381*Q370/$S$381,IF($W$381=2,$R$381,0)),0),"")</f>
        <v>1.10494652406418</v>
      </c>
      <c r="S370" s="13">
        <f>IF(ISNUMBER(O370),O370+R370,"")</f>
        <v>31.1049465240642</v>
      </c>
      <c r="T370" s="13">
        <f>IF(ISNUMBER(S370),P370-S370,"")</f>
        <v>1.89505347593582</v>
      </c>
      <c r="U370" s="13">
        <f>IF(COUNT(AG370:AP370)&gt;0,AVERAGE(AG370:AP370),"")</f>
        <v>31.38</v>
      </c>
      <c r="AG370" s="13">
        <f>IF(ISNUMBER(E$381),E370,"")</f>
        <v>30</v>
      </c>
      <c r="AH370" s="13">
        <f>IF(ISNUMBER(F$381),F370,"")</f>
        <v>31.2</v>
      </c>
      <c r="AI370" s="13">
        <f>IF(ISNUMBER(G$381),G370,"")</f>
        <v>32.4</v>
      </c>
      <c r="AJ370" s="13">
        <f>IF(ISNUMBER(H$381),H370,"")</f>
        <v>30.6</v>
      </c>
      <c r="AK370" s="13">
        <f>IF(ISNUMBER(I$381),I370,"")</f>
        <v>31.8</v>
      </c>
      <c r="AL370" s="13">
        <f>IF(ISNUMBER(J$381),J370,"")</f>
        <v>33</v>
      </c>
      <c r="AM370" s="13">
        <f>IF(ISNUMBER(K$381),K370,"")</f>
        <v>30.9</v>
      </c>
      <c r="AN370" s="13">
        <f>IF(ISNUMBER(L$381),L370,"")</f>
        <v>32.1</v>
      </c>
      <c r="AO370" s="13">
        <f>IF(ISNUMBER(M$381),M370,"")</f>
        <v>30.3</v>
      </c>
      <c r="AP370" s="13">
        <f>IF(ISNUMBER(N$381),N370,"")</f>
        <v>31.5</v>
      </c>
      <c r="AQ370" s="13">
        <f>IF(C370="Ручная",O370,0)</f>
        <v>30</v>
      </c>
    </row>
    <row r="371" spans="1:43" ht="40" customHeight="1">
      <c r="A371" s="5">
        <v>3</v>
      </c>
      <c r="B371" s="5" t="s">
        <v>187</v>
      </c>
      <c r="C371" s="11" t="s">
        <v>183</v>
      </c>
      <c r="D371" s="7" t="s">
        <v>188</v>
      </c>
      <c r="E371" s="12">
        <v>20.2</v>
      </c>
      <c r="F371" s="12">
        <v>20.99</v>
      </c>
      <c r="G371" s="12">
        <v>21.78</v>
      </c>
      <c r="H371" s="12">
        <v>20.39</v>
      </c>
      <c r="I371" s="12">
        <v>21.19</v>
      </c>
      <c r="J371" s="12">
        <v>20</v>
      </c>
      <c r="K371" s="12">
        <v>20.79</v>
      </c>
      <c r="L371" s="12">
        <v>19.8</v>
      </c>
      <c r="M371" s="12">
        <v>20.59</v>
      </c>
      <c r="N371" s="12">
        <v>21.38</v>
      </c>
      <c r="O371" s="13">
        <f>IF(COUNT(AG371:AP371)&gt;0,MIN(AG371:AP371),"")</f>
        <v>19.8</v>
      </c>
      <c r="P371" s="13">
        <f>IF(COUNT(AG371:AP371)&gt;0,MAX(AG371:AP371),"")</f>
        <v>21.78</v>
      </c>
      <c r="Q371" s="13">
        <f>IF(ISNUMBER(O371),P371-O371,"")</f>
        <v>1.98</v>
      </c>
      <c r="R371" s="13">
        <f>IF(ISNUMBER(O371),IF(C371="Ручная",IF($S$381&gt;0,$R$381*Q371/$S$381,IF($W$381=3,$R$381,0)),0),"")</f>
        <v>0.729264705882359</v>
      </c>
      <c r="S371" s="13">
        <f>IF(ISNUMBER(O371),O371+R371,"")</f>
        <v>20.5292647058824</v>
      </c>
      <c r="T371" s="13">
        <f>IF(ISNUMBER(S371),P371-S371,"")</f>
        <v>1.25073529411764</v>
      </c>
      <c r="U371" s="13">
        <f>IF(COUNT(AG371:AP371)&gt;0,AVERAGE(AG371:AP371),"")</f>
        <v>20.711</v>
      </c>
      <c r="AG371" s="13">
        <f>IF(ISNUMBER(E$381),E371,"")</f>
        <v>20.2</v>
      </c>
      <c r="AH371" s="13">
        <f>IF(ISNUMBER(F$381),F371,"")</f>
        <v>20.99</v>
      </c>
      <c r="AI371" s="13">
        <f>IF(ISNUMBER(G$381),G371,"")</f>
        <v>21.78</v>
      </c>
      <c r="AJ371" s="13">
        <f>IF(ISNUMBER(H$381),H371,"")</f>
        <v>20.39</v>
      </c>
      <c r="AK371" s="13">
        <f>IF(ISNUMBER(I$381),I371,"")</f>
        <v>21.19</v>
      </c>
      <c r="AL371" s="13">
        <f>IF(ISNUMBER(J$381),J371,"")</f>
        <v>20</v>
      </c>
      <c r="AM371" s="13">
        <f>IF(ISNUMBER(K$381),K371,"")</f>
        <v>20.79</v>
      </c>
      <c r="AN371" s="13">
        <f>IF(ISNUMBER(L$381),L371,"")</f>
        <v>19.8</v>
      </c>
      <c r="AO371" s="13">
        <f>IF(ISNUMBER(M$381),M371,"")</f>
        <v>20.59</v>
      </c>
      <c r="AP371" s="13">
        <f>IF(ISNUMBER(N$381),N371,"")</f>
        <v>21.38</v>
      </c>
      <c r="AQ371" s="13">
        <f>IF(C371="Ручная",O371,0)</f>
        <v>19.8</v>
      </c>
    </row>
    <row r="372" spans="1:43" ht="40" customHeight="1">
      <c r="A372" s="5" t="s">
        <v>189</v>
      </c>
      <c r="B372" s="5" t="s">
        <v>190</v>
      </c>
      <c r="C372" s="11" t="s">
        <v>191</v>
      </c>
      <c r="D372" s="7" t="s">
        <v>192</v>
      </c>
      <c r="E372" s="12">
        <v>6.18</v>
      </c>
      <c r="F372" s="12">
        <v>6.42</v>
      </c>
      <c r="G372" s="12">
        <v>6.06</v>
      </c>
      <c r="H372" s="12">
        <v>6.3</v>
      </c>
      <c r="I372" s="12">
        <v>6</v>
      </c>
      <c r="J372" s="12">
        <v>6.24</v>
      </c>
      <c r="K372" s="12">
        <v>6.48</v>
      </c>
      <c r="L372" s="12">
        <v>6.12</v>
      </c>
      <c r="M372" s="12">
        <v>6.36</v>
      </c>
      <c r="N372" s="12">
        <v>6.6</v>
      </c>
      <c r="O372" s="13">
        <f>IF(COUNT(AG372:AP372)&gt;0,MIN(AG372:AP372),"")</f>
        <v>6</v>
      </c>
      <c r="P372" s="13">
        <f>IF(COUNT(AG372:AP372)&gt;0,MAX(AG372:AP372),"")</f>
        <v>6.6</v>
      </c>
      <c r="Q372" s="13">
        <f>IF(ISNUMBER(O372),P372-O372,"")</f>
        <v>0.6</v>
      </c>
      <c r="R372" s="13">
        <f>IF(ISNUMBER(O372),IF(C372="Ручная",IF($S$381&gt;0,$R$381*Q372/$S$381,IF($W$381=4,$R$381,0)),0),"")</f>
        <v>0</v>
      </c>
      <c r="S372" s="13">
        <f>IF(ISNUMBER(O372),O372+R372,"")</f>
        <v>6</v>
      </c>
      <c r="T372" s="13">
        <f>IF(ISNUMBER(S372),P372-S372,"")</f>
        <v>0.6</v>
      </c>
      <c r="U372" s="13">
        <f>IF(COUNT(AG372:AP372)&gt;0,AVERAGE(AG372:AP372),"")</f>
        <v>6.276</v>
      </c>
      <c r="AG372" s="13">
        <f>IF(ISNUMBER(E$381),E372,"")</f>
        <v>6.18</v>
      </c>
      <c r="AH372" s="13">
        <f>IF(ISNUMBER(F$381),F372,"")</f>
        <v>6.42</v>
      </c>
      <c r="AI372" s="13">
        <f>IF(ISNUMBER(G$381),G372,"")</f>
        <v>6.06</v>
      </c>
      <c r="AJ372" s="13">
        <f>IF(ISNUMBER(H$381),H372,"")</f>
        <v>6.3</v>
      </c>
      <c r="AK372" s="13">
        <f>IF(ISNUMBER(I$381),I372,"")</f>
        <v>6</v>
      </c>
      <c r="AL372" s="13">
        <f>IF(ISNUMBER(J$381),J372,"")</f>
        <v>6.24</v>
      </c>
      <c r="AM372" s="13">
        <f>IF(ISNUMBER(K$381),K372,"")</f>
        <v>6.48</v>
      </c>
      <c r="AN372" s="13">
        <f>IF(ISNUMBER(L$381),L372,"")</f>
        <v>6.12</v>
      </c>
      <c r="AO372" s="13">
        <f>IF(ISNUMBER(M$381),M372,"")</f>
        <v>6.36</v>
      </c>
      <c r="AP372" s="13">
        <f>IF(ISNUMBER(N$381),N372,"")</f>
        <v>6.6</v>
      </c>
      <c r="AQ372" s="13">
        <f>IF(C372="Ручная",O372,0)</f>
        <v>0</v>
      </c>
    </row>
    <row r="373" spans="1:43" ht="40" customHeight="1">
      <c r="A373" s="5">
        <v>5</v>
      </c>
      <c r="B373" s="5" t="s">
        <v>193</v>
      </c>
      <c r="C373" s="11" t="s">
        <v>183</v>
      </c>
      <c r="D373" s="7" t="s">
        <v>194</v>
      </c>
      <c r="E373" s="12">
        <v>31.24</v>
      </c>
      <c r="F373" s="12">
        <v>29.75</v>
      </c>
      <c r="G373" s="12">
        <v>30.94</v>
      </c>
      <c r="H373" s="12">
        <v>32.13</v>
      </c>
      <c r="I373" s="12">
        <v>30.34</v>
      </c>
      <c r="J373" s="12">
        <v>31.54</v>
      </c>
      <c r="K373" s="12">
        <v>32.73</v>
      </c>
      <c r="L373" s="12">
        <v>30.64</v>
      </c>
      <c r="M373" s="12">
        <v>31.83</v>
      </c>
      <c r="N373" s="12">
        <v>30.05</v>
      </c>
      <c r="O373" s="13">
        <f>IF(COUNT(AG373:AP373)&gt;0,MIN(AG373:AP373),"")</f>
        <v>29.75</v>
      </c>
      <c r="P373" s="13">
        <f>IF(COUNT(AG373:AP373)&gt;0,MAX(AG373:AP373),"")</f>
        <v>32.73</v>
      </c>
      <c r="Q373" s="13">
        <f>IF(ISNUMBER(O373),P373-O373,"")</f>
        <v>2.98</v>
      </c>
      <c r="R373" s="13">
        <f>IF(ISNUMBER(O373),IF(C373="Ручная",IF($S$381&gt;0,$R$381*Q373/$S$381,IF($W$381=5,$R$381,0)),0),"")</f>
        <v>1.09758021390375</v>
      </c>
      <c r="S373" s="13">
        <f>IF(ISNUMBER(O373),O373+R373,"")</f>
        <v>30.8475802139038</v>
      </c>
      <c r="T373" s="13">
        <f>IF(ISNUMBER(S373),P373-S373,"")</f>
        <v>1.88241978609625</v>
      </c>
      <c r="U373" s="13">
        <f>IF(COUNT(AG373:AP373)&gt;0,AVERAGE(AG373:AP373),"")</f>
        <v>31.119</v>
      </c>
      <c r="AG373" s="13">
        <f>IF(ISNUMBER(E$381),E373,"")</f>
        <v>31.24</v>
      </c>
      <c r="AH373" s="13">
        <f>IF(ISNUMBER(F$381),F373,"")</f>
        <v>29.75</v>
      </c>
      <c r="AI373" s="13">
        <f>IF(ISNUMBER(G$381),G373,"")</f>
        <v>30.94</v>
      </c>
      <c r="AJ373" s="13">
        <f>IF(ISNUMBER(H$381),H373,"")</f>
        <v>32.13</v>
      </c>
      <c r="AK373" s="13">
        <f>IF(ISNUMBER(I$381),I373,"")</f>
        <v>30.34</v>
      </c>
      <c r="AL373" s="13">
        <f>IF(ISNUMBER(J$381),J373,"")</f>
        <v>31.54</v>
      </c>
      <c r="AM373" s="13">
        <f>IF(ISNUMBER(K$381),K373,"")</f>
        <v>32.73</v>
      </c>
      <c r="AN373" s="13">
        <f>IF(ISNUMBER(L$381),L373,"")</f>
        <v>30.64</v>
      </c>
      <c r="AO373" s="13">
        <f>IF(ISNUMBER(M$381),M373,"")</f>
        <v>31.83</v>
      </c>
      <c r="AP373" s="13">
        <f>IF(ISNUMBER(N$381),N373,"")</f>
        <v>30.05</v>
      </c>
      <c r="AQ373" s="13">
        <f>IF(C373="Ручная",O373,0)</f>
        <v>29.75</v>
      </c>
    </row>
    <row r="374" spans="1:43" ht="40" customHeight="1">
      <c r="A374" s="5" t="s">
        <v>189</v>
      </c>
      <c r="B374" s="5" t="s">
        <v>195</v>
      </c>
      <c r="C374" s="11" t="s">
        <v>196</v>
      </c>
      <c r="D374" s="7" t="s">
        <v>197</v>
      </c>
      <c r="E374" s="18">
        <f>'Ассортимент'!R25</f>
        <v>300</v>
      </c>
      <c r="F374" s="18">
        <f>'Ассортимент'!R25</f>
        <v>300</v>
      </c>
      <c r="G374" s="18">
        <f>'Ассортимент'!R25</f>
        <v>300</v>
      </c>
      <c r="H374" s="18">
        <f>'Ассортимент'!R25</f>
        <v>300</v>
      </c>
      <c r="I374" s="18">
        <f>'Ассортимент'!R25</f>
        <v>300</v>
      </c>
      <c r="J374" s="18">
        <f>'Ассортимент'!R25</f>
        <v>300</v>
      </c>
      <c r="K374" s="18">
        <f>'Ассортимент'!R25</f>
        <v>300</v>
      </c>
      <c r="L374" s="18">
        <f>'Ассортимент'!R25</f>
        <v>300</v>
      </c>
      <c r="M374" s="18">
        <f>'Ассортимент'!R25</f>
        <v>300</v>
      </c>
      <c r="N374" s="18">
        <f>'Ассортимент'!R25</f>
        <v>300</v>
      </c>
      <c r="O374" s="13">
        <f>IF(COUNT(AG374:AP374)&gt;0,MIN(AG374:AP374),"")</f>
        <v>300</v>
      </c>
      <c r="P374" s="13">
        <f>IF(COUNT(AG374:AP374)&gt;0,MAX(AG374:AP374),"")</f>
        <v>300</v>
      </c>
      <c r="Q374" s="13">
        <f>IF(ISNUMBER(O374),P374-O374,"")</f>
        <v>0</v>
      </c>
      <c r="R374" s="13">
        <f>IF(ISNUMBER(O374),IF(C374="Ручная",IF($S$381&gt;0,$R$381*Q374/$S$381,IF($W$381=6,$R$381,0)),0),"")</f>
        <v>0</v>
      </c>
      <c r="S374" s="13">
        <f>IF(ISNUMBER(O374),O374+R374,"")</f>
        <v>300</v>
      </c>
      <c r="T374" s="13">
        <f>IF(ISNUMBER(S374),P374-S374,"")</f>
        <v>0</v>
      </c>
      <c r="U374" s="13">
        <f>IF(COUNT(AG374:AP374)&gt;0,AVERAGE(AG374:AP374),"")</f>
        <v>300</v>
      </c>
      <c r="AG374" s="13">
        <f>IF(ISNUMBER(E$381),E374,"")</f>
        <v>300</v>
      </c>
      <c r="AH374" s="13">
        <f>IF(ISNUMBER(F$381),F374,"")</f>
        <v>300</v>
      </c>
      <c r="AI374" s="13">
        <f>IF(ISNUMBER(G$381),G374,"")</f>
        <v>300</v>
      </c>
      <c r="AJ374" s="13">
        <f>IF(ISNUMBER(H$381),H374,"")</f>
        <v>300</v>
      </c>
      <c r="AK374" s="13">
        <f>IF(ISNUMBER(I$381),I374,"")</f>
        <v>300</v>
      </c>
      <c r="AL374" s="13">
        <f>IF(ISNUMBER(J$381),J374,"")</f>
        <v>300</v>
      </c>
      <c r="AM374" s="13">
        <f>IF(ISNUMBER(K$381),K374,"")</f>
        <v>300</v>
      </c>
      <c r="AN374" s="13">
        <f>IF(ISNUMBER(L$381),L374,"")</f>
        <v>300</v>
      </c>
      <c r="AO374" s="13">
        <f>IF(ISNUMBER(M$381),M374,"")</f>
        <v>300</v>
      </c>
      <c r="AP374" s="13">
        <f>IF(ISNUMBER(N$381),N374,"")</f>
        <v>300</v>
      </c>
      <c r="AQ374" s="13">
        <f>IF(C374="Ручная",O374,0)</f>
        <v>0</v>
      </c>
    </row>
    <row r="375" spans="1:43" ht="40" customHeight="1">
      <c r="A375" s="5">
        <v>7</v>
      </c>
      <c r="B375" s="5" t="s">
        <v>198</v>
      </c>
      <c r="C375" s="11" t="s">
        <v>183</v>
      </c>
      <c r="D375" s="7" t="s">
        <v>199</v>
      </c>
      <c r="E375" s="12">
        <v>29.7</v>
      </c>
      <c r="F375" s="12">
        <v>27.81</v>
      </c>
      <c r="G375" s="12">
        <v>28.89</v>
      </c>
      <c r="H375" s="12">
        <v>27.27</v>
      </c>
      <c r="I375" s="12">
        <v>28.35</v>
      </c>
      <c r="J375" s="12">
        <v>27</v>
      </c>
      <c r="K375" s="12">
        <v>28.08</v>
      </c>
      <c r="L375" s="12">
        <v>29.16</v>
      </c>
      <c r="M375" s="12">
        <v>27.54</v>
      </c>
      <c r="N375" s="12">
        <v>28.62</v>
      </c>
      <c r="O375" s="13">
        <f>IF(COUNT(AG375:AP375)&gt;0,MIN(AG375:AP375),"")</f>
        <v>27</v>
      </c>
      <c r="P375" s="13">
        <f>IF(COUNT(AG375:AP375)&gt;0,MAX(AG375:AP375),"")</f>
        <v>29.7</v>
      </c>
      <c r="Q375" s="13">
        <f>IF(ISNUMBER(O375),P375-O375,"")</f>
        <v>2.7</v>
      </c>
      <c r="R375" s="13">
        <f>IF(ISNUMBER(O375),IF(C375="Ручная",IF($S$381&gt;0,$R$381*Q375/$S$381,IF($W$381=7,$R$381,0)),0),"")</f>
        <v>0.994451871657762</v>
      </c>
      <c r="S375" s="13">
        <f>IF(ISNUMBER(O375),O375+R375,"")</f>
        <v>27.9944518716578</v>
      </c>
      <c r="T375" s="13">
        <f>IF(ISNUMBER(S375),P375-S375,"")</f>
        <v>1.70554812834224</v>
      </c>
      <c r="U375" s="13">
        <f>IF(COUNT(AG375:AP375)&gt;0,AVERAGE(AG375:AP375),"")</f>
        <v>28.242</v>
      </c>
      <c r="AG375" s="13">
        <f>IF(ISNUMBER(E$381),E375,"")</f>
        <v>29.7</v>
      </c>
      <c r="AH375" s="13">
        <f>IF(ISNUMBER(F$381),F375,"")</f>
        <v>27.81</v>
      </c>
      <c r="AI375" s="13">
        <f>IF(ISNUMBER(G$381),G375,"")</f>
        <v>28.89</v>
      </c>
      <c r="AJ375" s="13">
        <f>IF(ISNUMBER(H$381),H375,"")</f>
        <v>27.27</v>
      </c>
      <c r="AK375" s="13">
        <f>IF(ISNUMBER(I$381),I375,"")</f>
        <v>28.35</v>
      </c>
      <c r="AL375" s="13">
        <f>IF(ISNUMBER(J$381),J375,"")</f>
        <v>27</v>
      </c>
      <c r="AM375" s="13">
        <f>IF(ISNUMBER(K$381),K375,"")</f>
        <v>28.08</v>
      </c>
      <c r="AN375" s="13">
        <f>IF(ISNUMBER(L$381),L375,"")</f>
        <v>29.16</v>
      </c>
      <c r="AO375" s="13">
        <f>IF(ISNUMBER(M$381),M375,"")</f>
        <v>27.54</v>
      </c>
      <c r="AP375" s="13">
        <f>IF(ISNUMBER(N$381),N375,"")</f>
        <v>28.62</v>
      </c>
      <c r="AQ375" s="13">
        <f>IF(C375="Ручная",O375,0)</f>
        <v>27</v>
      </c>
    </row>
    <row r="376" spans="1:43" ht="40" customHeight="1">
      <c r="A376" s="5">
        <v>8</v>
      </c>
      <c r="B376" s="5" t="s">
        <v>200</v>
      </c>
      <c r="C376" s="11" t="s">
        <v>183</v>
      </c>
      <c r="D376" s="7" t="s">
        <v>201</v>
      </c>
      <c r="E376" s="12">
        <v>18.18</v>
      </c>
      <c r="F376" s="12">
        <v>18.9</v>
      </c>
      <c r="G376" s="12">
        <v>18</v>
      </c>
      <c r="H376" s="12">
        <v>18.72</v>
      </c>
      <c r="I376" s="12">
        <v>19.44</v>
      </c>
      <c r="J376" s="12">
        <v>18.36</v>
      </c>
      <c r="K376" s="12">
        <v>19.08</v>
      </c>
      <c r="L376" s="12">
        <v>19.8</v>
      </c>
      <c r="M376" s="12">
        <v>18.54</v>
      </c>
      <c r="N376" s="12">
        <v>19.26</v>
      </c>
      <c r="O376" s="13">
        <f>IF(COUNT(AG376:AP376)&gt;0,MIN(AG376:AP376),"")</f>
        <v>18</v>
      </c>
      <c r="P376" s="13">
        <f>IF(COUNT(AG376:AP376)&gt;0,MAX(AG376:AP376),"")</f>
        <v>19.8</v>
      </c>
      <c r="Q376" s="13">
        <f>IF(ISNUMBER(O376),P376-O376,"")</f>
        <v>1.8</v>
      </c>
      <c r="R376" s="13">
        <f>IF(ISNUMBER(O376),IF(C376="Ручная",IF($S$381&gt;0,$R$381*Q376/$S$381,IF($W$381=8,$R$381,0)),0),"")</f>
        <v>0.662967914438509</v>
      </c>
      <c r="S376" s="13">
        <f>IF(ISNUMBER(O376),O376+R376,"")</f>
        <v>18.6629679144385</v>
      </c>
      <c r="T376" s="13">
        <f>IF(ISNUMBER(S376),P376-S376,"")</f>
        <v>1.13703208556149</v>
      </c>
      <c r="U376" s="13">
        <f>IF(COUNT(AG376:AP376)&gt;0,AVERAGE(AG376:AP376),"")</f>
        <v>18.828</v>
      </c>
      <c r="AG376" s="13">
        <f>IF(ISNUMBER(E$381),E376,"")</f>
        <v>18.18</v>
      </c>
      <c r="AH376" s="13">
        <f>IF(ISNUMBER(F$381),F376,"")</f>
        <v>18.9</v>
      </c>
      <c r="AI376" s="13">
        <f>IF(ISNUMBER(G$381),G376,"")</f>
        <v>18</v>
      </c>
      <c r="AJ376" s="13">
        <f>IF(ISNUMBER(H$381),H376,"")</f>
        <v>18.72</v>
      </c>
      <c r="AK376" s="13">
        <f>IF(ISNUMBER(I$381),I376,"")</f>
        <v>19.44</v>
      </c>
      <c r="AL376" s="13">
        <f>IF(ISNUMBER(J$381),J376,"")</f>
        <v>18.36</v>
      </c>
      <c r="AM376" s="13">
        <f>IF(ISNUMBER(K$381),K376,"")</f>
        <v>19.08</v>
      </c>
      <c r="AN376" s="13">
        <f>IF(ISNUMBER(L$381),L376,"")</f>
        <v>19.8</v>
      </c>
      <c r="AO376" s="13">
        <f>IF(ISNUMBER(M$381),M376,"")</f>
        <v>18.54</v>
      </c>
      <c r="AP376" s="13">
        <f>IF(ISNUMBER(N$381),N376,"")</f>
        <v>19.26</v>
      </c>
      <c r="AQ376" s="13">
        <f>IF(C376="Ручная",O376,0)</f>
        <v>18</v>
      </c>
    </row>
    <row r="377" spans="1:43" ht="40" customHeight="1">
      <c r="A377" s="5" t="s">
        <v>189</v>
      </c>
      <c r="B377" s="5" t="s">
        <v>202</v>
      </c>
      <c r="C377" s="11" t="s">
        <v>191</v>
      </c>
      <c r="D377" s="7" t="s">
        <v>203</v>
      </c>
      <c r="E377" s="12">
        <v>5.2</v>
      </c>
      <c r="F377" s="12">
        <v>5.4</v>
      </c>
      <c r="G377" s="12">
        <v>5.1</v>
      </c>
      <c r="H377" s="12">
        <v>5.3</v>
      </c>
      <c r="I377" s="12">
        <v>5.5</v>
      </c>
      <c r="J377" s="12">
        <v>5.15</v>
      </c>
      <c r="K377" s="12">
        <v>5.35</v>
      </c>
      <c r="L377" s="12">
        <v>5.05</v>
      </c>
      <c r="M377" s="12">
        <v>5.25</v>
      </c>
      <c r="N377" s="12">
        <v>5</v>
      </c>
      <c r="O377" s="13">
        <f>IF(COUNT(AG377:AP377)&gt;0,MIN(AG377:AP377),"")</f>
        <v>5</v>
      </c>
      <c r="P377" s="13">
        <f>IF(COUNT(AG377:AP377)&gt;0,MAX(AG377:AP377),"")</f>
        <v>5.5</v>
      </c>
      <c r="Q377" s="13">
        <f>IF(ISNUMBER(O377),P377-O377,"")</f>
        <v>0.5</v>
      </c>
      <c r="R377" s="13">
        <f>IF(ISNUMBER(O377),IF(C377="Ручная",IF($S$381&gt;0,$R$381*Q377/$S$381,IF($W$381=9,$R$381,0)),0),"")</f>
        <v>0</v>
      </c>
      <c r="S377" s="13">
        <f>IF(ISNUMBER(O377),O377+R377,"")</f>
        <v>5</v>
      </c>
      <c r="T377" s="13">
        <f>IF(ISNUMBER(S377),P377-S377,"")</f>
        <v>0.5</v>
      </c>
      <c r="U377" s="13">
        <f>IF(COUNT(AG377:AP377)&gt;0,AVERAGE(AG377:AP377),"")</f>
        <v>5.23</v>
      </c>
      <c r="AG377" s="13">
        <f>IF(ISNUMBER(E$381),E377,"")</f>
        <v>5.2</v>
      </c>
      <c r="AH377" s="13">
        <f>IF(ISNUMBER(F$381),F377,"")</f>
        <v>5.4</v>
      </c>
      <c r="AI377" s="13">
        <f>IF(ISNUMBER(G$381),G377,"")</f>
        <v>5.1</v>
      </c>
      <c r="AJ377" s="13">
        <f>IF(ISNUMBER(H$381),H377,"")</f>
        <v>5.3</v>
      </c>
      <c r="AK377" s="13">
        <f>IF(ISNUMBER(I$381),I377,"")</f>
        <v>5.5</v>
      </c>
      <c r="AL377" s="13">
        <f>IF(ISNUMBER(J$381),J377,"")</f>
        <v>5.15</v>
      </c>
      <c r="AM377" s="13">
        <f>IF(ISNUMBER(K$381),K377,"")</f>
        <v>5.35</v>
      </c>
      <c r="AN377" s="13">
        <f>IF(ISNUMBER(L$381),L377,"")</f>
        <v>5.05</v>
      </c>
      <c r="AO377" s="13">
        <f>IF(ISNUMBER(M$381),M377,"")</f>
        <v>5.25</v>
      </c>
      <c r="AP377" s="13">
        <f>IF(ISNUMBER(N$381),N377,"")</f>
        <v>5</v>
      </c>
      <c r="AQ377" s="13">
        <f>IF(C377="Ручная",O377,0)</f>
        <v>0</v>
      </c>
    </row>
    <row r="378" spans="1:43" ht="40" customHeight="1">
      <c r="A378" s="5" t="s">
        <v>189</v>
      </c>
      <c r="B378" s="5" t="s">
        <v>204</v>
      </c>
      <c r="C378" s="11" t="s">
        <v>191</v>
      </c>
      <c r="D378" s="7" t="s">
        <v>205</v>
      </c>
      <c r="E378" s="12">
        <v>5.3</v>
      </c>
      <c r="F378" s="12">
        <v>5.5</v>
      </c>
      <c r="G378" s="12">
        <v>5.15</v>
      </c>
      <c r="H378" s="12">
        <v>5.35</v>
      </c>
      <c r="I378" s="12">
        <v>5.05</v>
      </c>
      <c r="J378" s="12">
        <v>5.25</v>
      </c>
      <c r="K378" s="12">
        <v>5</v>
      </c>
      <c r="L378" s="12">
        <v>5.2</v>
      </c>
      <c r="M378" s="12">
        <v>5.4</v>
      </c>
      <c r="N378" s="12">
        <v>5.1</v>
      </c>
      <c r="O378" s="13">
        <f>IF(COUNT(AG378:AP378)&gt;0,MIN(AG378:AP378),"")</f>
        <v>5</v>
      </c>
      <c r="P378" s="13">
        <f>IF(COUNT(AG378:AP378)&gt;0,MAX(AG378:AP378),"")</f>
        <v>5.5</v>
      </c>
      <c r="Q378" s="13">
        <f>IF(ISNUMBER(O378),P378-O378,"")</f>
        <v>0.5</v>
      </c>
      <c r="R378" s="13">
        <f>IF(ISNUMBER(O378),IF(C378="Ручная",IF($S$381&gt;0,$R$381*Q378/$S$381,IF($W$381=10,$R$381,0)),0),"")</f>
        <v>0</v>
      </c>
      <c r="S378" s="13">
        <f>IF(ISNUMBER(O378),O378+R378,"")</f>
        <v>5</v>
      </c>
      <c r="T378" s="13">
        <f>IF(ISNUMBER(S378),P378-S378,"")</f>
        <v>0.5</v>
      </c>
      <c r="U378" s="13">
        <f>IF(COUNT(AG378:AP378)&gt;0,AVERAGE(AG378:AP378),"")</f>
        <v>5.23</v>
      </c>
      <c r="AG378" s="13">
        <f>IF(ISNUMBER(E$381),E378,"")</f>
        <v>5.3</v>
      </c>
      <c r="AH378" s="13">
        <f>IF(ISNUMBER(F$381),F378,"")</f>
        <v>5.5</v>
      </c>
      <c r="AI378" s="13">
        <f>IF(ISNUMBER(G$381),G378,"")</f>
        <v>5.15</v>
      </c>
      <c r="AJ378" s="13">
        <f>IF(ISNUMBER(H$381),H378,"")</f>
        <v>5.35</v>
      </c>
      <c r="AK378" s="13">
        <f>IF(ISNUMBER(I$381),I378,"")</f>
        <v>5.05</v>
      </c>
      <c r="AL378" s="13">
        <f>IF(ISNUMBER(J$381),J378,"")</f>
        <v>5.25</v>
      </c>
      <c r="AM378" s="13">
        <f>IF(ISNUMBER(K$381),K378,"")</f>
        <v>5</v>
      </c>
      <c r="AN378" s="13">
        <f>IF(ISNUMBER(L$381),L378,"")</f>
        <v>5.2</v>
      </c>
      <c r="AO378" s="13">
        <f>IF(ISNUMBER(M$381),M378,"")</f>
        <v>5.4</v>
      </c>
      <c r="AP378" s="13">
        <f>IF(ISNUMBER(N$381),N378,"")</f>
        <v>5.1</v>
      </c>
      <c r="AQ378" s="13">
        <f>IF(C378="Ручная",O378,0)</f>
        <v>0</v>
      </c>
    </row>
    <row r="379" spans="1:43" ht="40" customHeight="1">
      <c r="A379" s="5" t="s">
        <v>189</v>
      </c>
      <c r="B379" s="5" t="s">
        <v>206</v>
      </c>
      <c r="C379" s="11" t="s">
        <v>207</v>
      </c>
      <c r="D379" s="7" t="s">
        <v>208</v>
      </c>
      <c r="E379" s="12">
        <v>0</v>
      </c>
      <c r="F379" s="12">
        <v>0</v>
      </c>
      <c r="G379" s="12">
        <v>0</v>
      </c>
      <c r="H379" s="12">
        <v>0</v>
      </c>
      <c r="I379" s="12">
        <v>0</v>
      </c>
      <c r="J379" s="12">
        <v>0</v>
      </c>
      <c r="K379" s="12">
        <v>0</v>
      </c>
      <c r="L379" s="12">
        <v>0</v>
      </c>
      <c r="M379" s="12">
        <v>0</v>
      </c>
      <c r="N379" s="12">
        <v>0</v>
      </c>
      <c r="O379" s="13">
        <f>IF(COUNT(AG379:AP379)&gt;0,MIN(AG379:AP379),"")</f>
        <v>0</v>
      </c>
      <c r="P379" s="13">
        <f>IF(COUNT(AG379:AP379)&gt;0,MAX(AG379:AP379),"")</f>
        <v>0</v>
      </c>
      <c r="Q379" s="13">
        <f>IF(ISNUMBER(O379),P379-O379,"")</f>
        <v>0</v>
      </c>
      <c r="R379" s="13">
        <f>IF(ISNUMBER(O379),IF(C379="Ручная",IF($S$381&gt;0,$R$381*Q379/$S$381,IF($W$381=11,$R$381,0)),0),"")</f>
        <v>0</v>
      </c>
      <c r="S379" s="13">
        <f>IF(ISNUMBER(O379),O379+R379,"")</f>
        <v>0</v>
      </c>
      <c r="T379" s="13">
        <f>IF(ISNUMBER(S379),P379-S379,"")</f>
        <v>0</v>
      </c>
      <c r="U379" s="13">
        <f>IF(COUNT(AG379:AP379)&gt;0,AVERAGE(AG379:AP379),"")</f>
        <v>0</v>
      </c>
      <c r="AG379" s="13">
        <f>IF(ISNUMBER(E$381),E379,"")</f>
        <v>0</v>
      </c>
      <c r="AH379" s="13">
        <f>IF(ISNUMBER(F$381),F379,"")</f>
        <v>0</v>
      </c>
      <c r="AI379" s="13">
        <f>IF(ISNUMBER(G$381),G379,"")</f>
        <v>0</v>
      </c>
      <c r="AJ379" s="13">
        <f>IF(ISNUMBER(H$381),H379,"")</f>
        <v>0</v>
      </c>
      <c r="AK379" s="13">
        <f>IF(ISNUMBER(I$381),I379,"")</f>
        <v>0</v>
      </c>
      <c r="AL379" s="13">
        <f>IF(ISNUMBER(J$381),J379,"")</f>
        <v>0</v>
      </c>
      <c r="AM379" s="13">
        <f>IF(ISNUMBER(K$381),K379,"")</f>
        <v>0</v>
      </c>
      <c r="AN379" s="13">
        <f>IF(ISNUMBER(L$381),L379,"")</f>
        <v>0</v>
      </c>
      <c r="AO379" s="13">
        <f>IF(ISNUMBER(M$381),M379,"")</f>
        <v>0</v>
      </c>
      <c r="AP379" s="13">
        <f>IF(ISNUMBER(N$381),N379,"")</f>
        <v>0</v>
      </c>
      <c r="AQ379" s="13">
        <f>IF(C379="Ручная",O379,0)</f>
        <v>0</v>
      </c>
    </row>
    <row r="380" spans="1:43" ht="23" customHeight="1">
      <c r="B380" s="4" t="s">
        <v>209</v>
      </c>
      <c r="E380" s="6">
        <f>IF(COUNT(E369:E379)=11,SUM(E369:E379),"")</f>
        <v>472.75</v>
      </c>
      <c r="F380" s="6">
        <f>IF(COUNT(F369:F379)=11,SUM(F369:F379),"")</f>
        <v>471.22</v>
      </c>
      <c r="G380" s="6">
        <f>IF(COUNT(G369:G379)=11,SUM(G369:G379),"")</f>
        <v>474.57</v>
      </c>
      <c r="H380" s="6">
        <f>IF(COUNT(H369:H379)=11,SUM(H369:H379),"")</f>
        <v>471.06</v>
      </c>
      <c r="I380" s="6">
        <f>IF(COUNT(I369:I379)=11,SUM(I369:I379),"")</f>
        <v>473.67</v>
      </c>
      <c r="J380" s="6">
        <f>IF(COUNT(J369:J379)=11,SUM(J369:J379),"")</f>
        <v>473.54</v>
      </c>
      <c r="K380" s="6">
        <f>IF(COUNT(K369:K379)=11,SUM(K369:K379),"")</f>
        <v>473.91</v>
      </c>
      <c r="L380" s="6">
        <f>IF(COUNT(L369:L379)=11,SUM(L369:L379),"")</f>
        <v>474.37</v>
      </c>
      <c r="M380" s="6">
        <f>IF(COUNT(M369:M379)=11,SUM(M369:M379),"")</f>
        <v>473.31</v>
      </c>
      <c r="N380" s="6">
        <f>IF(COUNT(N369:N379)=11,SUM(N369:N379),"")</f>
        <v>473.26</v>
      </c>
      <c r="O380" s="6">
        <f>IF(COUNT(O369:O379)=11,SUM(O369:O379),"")</f>
        <v>465.55</v>
      </c>
      <c r="P380" s="6">
        <f>IF(COUNT(P369:P379)=11,SUM(P369:P379),"")</f>
        <v>482.11</v>
      </c>
      <c r="Q380" s="6">
        <f>IF(COUNT(Q369:Q379)=11,SUM(Q369:Q379),"")</f>
        <v>16.56</v>
      </c>
      <c r="R380" s="6">
        <f>IF(COUNT(R369:R379)=11,SUM(R369:R379),"")</f>
        <v>5.51000000000005</v>
      </c>
      <c r="S380" s="6">
        <f>IF(COUNT(S369:S379)=11,SUM(S369:S379),"")</f>
        <v>471.06</v>
      </c>
      <c r="T380" s="6">
        <f>IF(COUNT(T369:T379)=11,SUM(T369:T379),"")</f>
        <v>11.0499999999999</v>
      </c>
      <c r="U380" s="6">
        <f>IF(COUNT(U369:U379)=11,SUM(U369:U379),"")</f>
        <v>473.166</v>
      </c>
    </row>
    <row r="381" spans="1:43" ht="23" customHeight="1">
      <c r="B381" s="4" t="s">
        <v>210</v>
      </c>
      <c r="E381" s="6">
        <f>IF(AND(E367=1,COUNT(E369:E379)=11,MIN(E369:E379)&gt;=0),E380,"")</f>
        <v>472.75</v>
      </c>
      <c r="F381" s="6">
        <f>IF(AND(F367=1,COUNT(F369:F379)=11,MIN(F369:F379)&gt;=0),F380,"")</f>
        <v>471.22</v>
      </c>
      <c r="G381" s="6">
        <f>IF(AND(G367=1,COUNT(G369:G379)=11,MIN(G369:G379)&gt;=0),G380,"")</f>
        <v>474.57</v>
      </c>
      <c r="H381" s="6">
        <f>IF(AND(H367=1,COUNT(H369:H379)=11,MIN(H369:H379)&gt;=0),H380,"")</f>
        <v>471.06</v>
      </c>
      <c r="I381" s="6">
        <f>IF(AND(I367=1,COUNT(I369:I379)=11,MIN(I369:I379)&gt;=0),I380,"")</f>
        <v>473.67</v>
      </c>
      <c r="J381" s="6">
        <f>IF(AND(J367=1,COUNT(J369:J379)=11,MIN(J369:J379)&gt;=0),J380,"")</f>
        <v>473.54</v>
      </c>
      <c r="K381" s="6">
        <f>IF(AND(K367=1,COUNT(K369:K379)=11,MIN(K369:K379)&gt;=0),K380,"")</f>
        <v>473.91</v>
      </c>
      <c r="L381" s="6">
        <f>IF(AND(L367=1,COUNT(L369:L379)=11,MIN(L369:L379)&gt;=0),L380,"")</f>
        <v>474.37</v>
      </c>
      <c r="M381" s="6">
        <f>IF(AND(M367=1,COUNT(M369:M379)=11,MIN(M369:M379)&gt;=0),M380,"")</f>
        <v>473.31</v>
      </c>
      <c r="N381" s="6">
        <f>IF(AND(N367=1,COUNT(N369:N379)=11,MIN(N369:N379)&gt;=0),N380,"")</f>
        <v>473.26</v>
      </c>
      <c r="O381" s="6">
        <f>IF(COUNT(E381:N381)&gt;0,MIN(E381:N381),"")</f>
        <v>471.06</v>
      </c>
      <c r="P381" s="6">
        <f>IF(COUNT(E381:N381)&gt;0,MAX(E381:N381),"")</f>
        <v>474.57</v>
      </c>
      <c r="Q381" s="6">
        <f>IF(ISNUMBER(O381),P381-O381,"")</f>
        <v>3.50999999999993</v>
      </c>
      <c r="R381" s="6">
        <f>IF(ISNUMBER(O381),MAX(0,O381-O380),"")</f>
        <v>5.51000000000005</v>
      </c>
      <c r="S381" s="6">
        <f>SUMIF(C369:C379,"Ручная",Q369:Q379)</f>
        <v>14.96</v>
      </c>
      <c r="T381" s="6">
        <f>COUNT(E381:N381)</f>
        <v>10</v>
      </c>
      <c r="U381" s="6">
        <f>IF(COUNT(E381:N381)&gt;0,AVERAGE(E381:N381),"")</f>
        <v>473.166</v>
      </c>
      <c r="V381" s="6">
        <f>IF(ISNUMBER(O381),S380-O381,"")</f>
        <v>0</v>
      </c>
      <c r="W381" s="6">
        <f>MATCH(MAX(AQ369:AQ379),AQ369:AQ379,0)</f>
        <v>2</v>
      </c>
      <c r="X381" s="17" t="str">
        <f>IF(T381=0,"НЕТ ЗАМЕРОВ",IF(T381&lt;10,"МЕНЕЕ 10 ЦИКЛОВ",IF(ABS(V381)&lt;0.000001,"ОК","ОШИБКА РЕГУЛИРОВКИ")))</f>
        <v>ОК</v>
      </c>
    </row>
    <row r="382" spans="1:43" ht="23" customHeight="1">
      <c r="A382" s="7" t="s">
        <v>211</v>
      </c>
      <c r="B382" s="7"/>
      <c r="C382" s="7"/>
      <c r="D382" s="7"/>
      <c r="E382" s="7"/>
      <c r="F382" s="7"/>
      <c r="G382" s="7"/>
      <c r="H382" s="7"/>
      <c r="I382" s="7"/>
      <c r="J382" s="7"/>
      <c r="K382" s="7"/>
      <c r="L382" s="7"/>
      <c r="M382" s="7"/>
      <c r="N382" s="7"/>
      <c r="O382" s="7"/>
      <c r="P382" s="7"/>
      <c r="Q382" s="7"/>
      <c r="R382" s="7"/>
      <c r="S382" s="7"/>
      <c r="T382" s="7"/>
      <c r="U382" s="7"/>
      <c r="V382" s="7"/>
      <c r="W382" s="7"/>
      <c r="X382" s="7"/>
    </row>
  </sheetData>
  <sheetProtection sheet="1" objects="1" scenarios="1" sort="0" autoFilter="0"/>
  <mergeCells count="58">
    <mergeCell ref="A1:X1"/>
    <mergeCell ref="A2:X2"/>
    <mergeCell ref="B3:X3"/>
    <mergeCell ref="A5:X5"/>
    <mergeCell ref="A7:X7"/>
    <mergeCell ref="A8:X8"/>
    <mergeCell ref="A25:X25"/>
    <mergeCell ref="A28:X28"/>
    <mergeCell ref="A29:X29"/>
    <mergeCell ref="A46:X46"/>
    <mergeCell ref="A49:X49"/>
    <mergeCell ref="A50:X50"/>
    <mergeCell ref="A67:X67"/>
    <mergeCell ref="A70:X70"/>
    <mergeCell ref="A71:X71"/>
    <mergeCell ref="A88:X88"/>
    <mergeCell ref="A91:X91"/>
    <mergeCell ref="A92:X92"/>
    <mergeCell ref="A109:X109"/>
    <mergeCell ref="A112:X112"/>
    <mergeCell ref="A113:X113"/>
    <mergeCell ref="A130:X130"/>
    <mergeCell ref="A133:X133"/>
    <mergeCell ref="A134:X134"/>
    <mergeCell ref="A151:X151"/>
    <mergeCell ref="A154:X154"/>
    <mergeCell ref="A155:X155"/>
    <mergeCell ref="A172:X172"/>
    <mergeCell ref="A175:X175"/>
    <mergeCell ref="A176:X176"/>
    <mergeCell ref="A193:X193"/>
    <mergeCell ref="A196:X196"/>
    <mergeCell ref="A197:X197"/>
    <mergeCell ref="A214:X214"/>
    <mergeCell ref="A217:X217"/>
    <mergeCell ref="A218:X218"/>
    <mergeCell ref="A235:X235"/>
    <mergeCell ref="A238:X238"/>
    <mergeCell ref="A239:X239"/>
    <mergeCell ref="A256:X256"/>
    <mergeCell ref="A259:X259"/>
    <mergeCell ref="A260:X260"/>
    <mergeCell ref="A277:X277"/>
    <mergeCell ref="A280:X280"/>
    <mergeCell ref="A281:X281"/>
    <mergeCell ref="A298:X298"/>
    <mergeCell ref="A301:X301"/>
    <mergeCell ref="A302:X302"/>
    <mergeCell ref="A319:X319"/>
    <mergeCell ref="A322:X322"/>
    <mergeCell ref="A323:X323"/>
    <mergeCell ref="A340:X340"/>
    <mergeCell ref="A343:X343"/>
    <mergeCell ref="A344:X344"/>
    <mergeCell ref="A361:X361"/>
    <mergeCell ref="A364:X364"/>
    <mergeCell ref="A365:X365"/>
    <mergeCell ref="A382:X382"/>
  </mergeCells>
  <conditionalFormatting sqref="E117:E127">
    <cfRule type="expression" dxfId="1" priority="61">
      <formula>E$115=0</formula>
    </cfRule>
  </conditionalFormatting>
  <conditionalFormatting sqref="E117:N127">
    <cfRule type="expression" dxfId="2" priority="71">
      <formula>AND(E117=$O117,ISNUMBER(E$129))</formula>
    </cfRule>
    <cfRule type="expression" dxfId="3" priority="72">
      <formula>AND(E117=$P117,ISNUMBER(E$129),$P117&gt;$O117)</formula>
    </cfRule>
  </conditionalFormatting>
  <conditionalFormatting sqref="E12:E22">
    <cfRule type="expression" dxfId="1" priority="1">
      <formula>E$10=0</formula>
    </cfRule>
  </conditionalFormatting>
  <conditionalFormatting sqref="E12:N22">
    <cfRule type="expression" dxfId="2" priority="11">
      <formula>AND(E12=$O12,ISNUMBER(E$24))</formula>
    </cfRule>
    <cfRule type="expression" dxfId="3" priority="12">
      <formula>AND(E12=$P12,ISNUMBER(E$24),$P12&gt;$O12)</formula>
    </cfRule>
  </conditionalFormatting>
  <conditionalFormatting sqref="E138:E148">
    <cfRule type="expression" dxfId="1" priority="73">
      <formula>E$136=0</formula>
    </cfRule>
  </conditionalFormatting>
  <conditionalFormatting sqref="E138:N148">
    <cfRule type="expression" dxfId="2" priority="83">
      <formula>AND(E138=$O138,ISNUMBER(E$150))</formula>
    </cfRule>
    <cfRule type="expression" dxfId="3" priority="84">
      <formula>AND(E138=$P138,ISNUMBER(E$150),$P138&gt;$O138)</formula>
    </cfRule>
  </conditionalFormatting>
  <conditionalFormatting sqref="E159:E169">
    <cfRule type="expression" dxfId="1" priority="85">
      <formula>E$157=0</formula>
    </cfRule>
  </conditionalFormatting>
  <conditionalFormatting sqref="E159:N169">
    <cfRule type="expression" dxfId="2" priority="95">
      <formula>AND(E159=$O159,ISNUMBER(E$171))</formula>
    </cfRule>
    <cfRule type="expression" dxfId="3" priority="96">
      <formula>AND(E159=$P159,ISNUMBER(E$171),$P159&gt;$O159)</formula>
    </cfRule>
  </conditionalFormatting>
  <conditionalFormatting sqref="E180:E190">
    <cfRule type="expression" dxfId="1" priority="97">
      <formula>E$178=0</formula>
    </cfRule>
  </conditionalFormatting>
  <conditionalFormatting sqref="E180:N190">
    <cfRule type="expression" dxfId="2" priority="107">
      <formula>AND(E180=$O180,ISNUMBER(E$192))</formula>
    </cfRule>
    <cfRule type="expression" dxfId="3" priority="108">
      <formula>AND(E180=$P180,ISNUMBER(E$192),$P180&gt;$O180)</formula>
    </cfRule>
  </conditionalFormatting>
  <conditionalFormatting sqref="E201:E211">
    <cfRule type="expression" dxfId="1" priority="109">
      <formula>E$199=0</formula>
    </cfRule>
  </conditionalFormatting>
  <conditionalFormatting sqref="E201:N211">
    <cfRule type="expression" dxfId="2" priority="119">
      <formula>AND(E201=$O201,ISNUMBER(E$213))</formula>
    </cfRule>
    <cfRule type="expression" dxfId="3" priority="120">
      <formula>AND(E201=$P201,ISNUMBER(E$213),$P201&gt;$O201)</formula>
    </cfRule>
  </conditionalFormatting>
  <conditionalFormatting sqref="E222:E232">
    <cfRule type="expression" dxfId="1" priority="121">
      <formula>E$220=0</formula>
    </cfRule>
  </conditionalFormatting>
  <conditionalFormatting sqref="E222:N232">
    <cfRule type="expression" dxfId="2" priority="131">
      <formula>AND(E222=$O222,ISNUMBER(E$234))</formula>
    </cfRule>
    <cfRule type="expression" dxfId="3" priority="132">
      <formula>AND(E222=$P222,ISNUMBER(E$234),$P222&gt;$O222)</formula>
    </cfRule>
  </conditionalFormatting>
  <conditionalFormatting sqref="E243:E253">
    <cfRule type="expression" dxfId="1" priority="133">
      <formula>E$241=0</formula>
    </cfRule>
  </conditionalFormatting>
  <conditionalFormatting sqref="E243:N253">
    <cfRule type="expression" dxfId="2" priority="143">
      <formula>AND(E243=$O243,ISNUMBER(E$255))</formula>
    </cfRule>
    <cfRule type="expression" dxfId="3" priority="144">
      <formula>AND(E243=$P243,ISNUMBER(E$255),$P243&gt;$O243)</formula>
    </cfRule>
  </conditionalFormatting>
  <conditionalFormatting sqref="E264:E274">
    <cfRule type="expression" dxfId="1" priority="145">
      <formula>E$262=0</formula>
    </cfRule>
  </conditionalFormatting>
  <conditionalFormatting sqref="E264:N274">
    <cfRule type="expression" dxfId="2" priority="155">
      <formula>AND(E264=$O264,ISNUMBER(E$276))</formula>
    </cfRule>
    <cfRule type="expression" dxfId="3" priority="156">
      <formula>AND(E264=$P264,ISNUMBER(E$276),$P264&gt;$O264)</formula>
    </cfRule>
  </conditionalFormatting>
  <conditionalFormatting sqref="E285:E295">
    <cfRule type="expression" dxfId="1" priority="157">
      <formula>E$283=0</formula>
    </cfRule>
  </conditionalFormatting>
  <conditionalFormatting sqref="E285:N295">
    <cfRule type="expression" dxfId="2" priority="167">
      <formula>AND(E285=$O285,ISNUMBER(E$297))</formula>
    </cfRule>
    <cfRule type="expression" dxfId="3" priority="168">
      <formula>AND(E285=$P285,ISNUMBER(E$297),$P285&gt;$O285)</formula>
    </cfRule>
  </conditionalFormatting>
  <conditionalFormatting sqref="E306:E316">
    <cfRule type="expression" dxfId="1" priority="169">
      <formula>E$304=0</formula>
    </cfRule>
  </conditionalFormatting>
  <conditionalFormatting sqref="E306:N316">
    <cfRule type="expression" dxfId="2" priority="179">
      <formula>AND(E306=$O306,ISNUMBER(E$318))</formula>
    </cfRule>
    <cfRule type="expression" dxfId="3" priority="180">
      <formula>AND(E306=$P306,ISNUMBER(E$318),$P306&gt;$O306)</formula>
    </cfRule>
  </conditionalFormatting>
  <conditionalFormatting sqref="E327:E337">
    <cfRule type="expression" dxfId="1" priority="181">
      <formula>E$325=0</formula>
    </cfRule>
  </conditionalFormatting>
  <conditionalFormatting sqref="E327:N337">
    <cfRule type="expression" dxfId="2" priority="191">
      <formula>AND(E327=$O327,ISNUMBER(E$339))</formula>
    </cfRule>
    <cfRule type="expression" dxfId="3" priority="192">
      <formula>AND(E327=$P327,ISNUMBER(E$339),$P327&gt;$O327)</formula>
    </cfRule>
  </conditionalFormatting>
  <conditionalFormatting sqref="E33:E43">
    <cfRule type="expression" dxfId="1" priority="13">
      <formula>E$31=0</formula>
    </cfRule>
  </conditionalFormatting>
  <conditionalFormatting sqref="E33:N43">
    <cfRule type="expression" dxfId="2" priority="23">
      <formula>AND(E33=$O33,ISNUMBER(E$45))</formula>
    </cfRule>
    <cfRule type="expression" dxfId="3" priority="24">
      <formula>AND(E33=$P33,ISNUMBER(E$45),$P33&gt;$O33)</formula>
    </cfRule>
  </conditionalFormatting>
  <conditionalFormatting sqref="E348:E358">
    <cfRule type="expression" dxfId="1" priority="193">
      <formula>E$346=0</formula>
    </cfRule>
  </conditionalFormatting>
  <conditionalFormatting sqref="E348:N358">
    <cfRule type="expression" dxfId="2" priority="203">
      <formula>AND(E348=$O348,ISNUMBER(E$360))</formula>
    </cfRule>
    <cfRule type="expression" dxfId="3" priority="204">
      <formula>AND(E348=$P348,ISNUMBER(E$360),$P348&gt;$O348)</formula>
    </cfRule>
  </conditionalFormatting>
  <conditionalFormatting sqref="E369:E379">
    <cfRule type="expression" dxfId="1" priority="205">
      <formula>E$367=0</formula>
    </cfRule>
  </conditionalFormatting>
  <conditionalFormatting sqref="E369:N379">
    <cfRule type="expression" dxfId="2" priority="215">
      <formula>AND(E369=$O369,ISNUMBER(E$381))</formula>
    </cfRule>
    <cfRule type="expression" dxfId="3" priority="216">
      <formula>AND(E369=$P369,ISNUMBER(E$381),$P369&gt;$O369)</formula>
    </cfRule>
  </conditionalFormatting>
  <conditionalFormatting sqref="E54:E64">
    <cfRule type="expression" dxfId="1" priority="25">
      <formula>E$52=0</formula>
    </cfRule>
  </conditionalFormatting>
  <conditionalFormatting sqref="E54:N64">
    <cfRule type="expression" dxfId="2" priority="35">
      <formula>AND(E54=$O54,ISNUMBER(E$66))</formula>
    </cfRule>
    <cfRule type="expression" dxfId="3" priority="36">
      <formula>AND(E54=$P54,ISNUMBER(E$66),$P54&gt;$O54)</formula>
    </cfRule>
  </conditionalFormatting>
  <conditionalFormatting sqref="E75:E85">
    <cfRule type="expression" dxfId="1" priority="37">
      <formula>E$73=0</formula>
    </cfRule>
  </conditionalFormatting>
  <conditionalFormatting sqref="E75:N85">
    <cfRule type="expression" dxfId="2" priority="47">
      <formula>AND(E75=$O75,ISNUMBER(E$87))</formula>
    </cfRule>
    <cfRule type="expression" dxfId="3" priority="48">
      <formula>AND(E75=$P75,ISNUMBER(E$87),$P75&gt;$O75)</formula>
    </cfRule>
  </conditionalFormatting>
  <conditionalFormatting sqref="E96:E106">
    <cfRule type="expression" dxfId="1" priority="49">
      <formula>E$94=0</formula>
    </cfRule>
  </conditionalFormatting>
  <conditionalFormatting sqref="E96:N106">
    <cfRule type="expression" dxfId="2" priority="59">
      <formula>AND(E96=$O96,ISNUMBER(E$108))</formula>
    </cfRule>
    <cfRule type="expression" dxfId="3" priority="60">
      <formula>AND(E96=$P96,ISNUMBER(E$108),$P96&gt;$O96)</formula>
    </cfRule>
  </conditionalFormatting>
  <conditionalFormatting sqref="F117:F127">
    <cfRule type="expression" dxfId="1" priority="62">
      <formula>F$115=0</formula>
    </cfRule>
  </conditionalFormatting>
  <conditionalFormatting sqref="F12:F22">
    <cfRule type="expression" dxfId="1" priority="2">
      <formula>F$10=0</formula>
    </cfRule>
  </conditionalFormatting>
  <conditionalFormatting sqref="F138:F148">
    <cfRule type="expression" dxfId="1" priority="74">
      <formula>F$136=0</formula>
    </cfRule>
  </conditionalFormatting>
  <conditionalFormatting sqref="F159:F169">
    <cfRule type="expression" dxfId="1" priority="86">
      <formula>F$157=0</formula>
    </cfRule>
  </conditionalFormatting>
  <conditionalFormatting sqref="F180:F190">
    <cfRule type="expression" dxfId="1" priority="98">
      <formula>F$178=0</formula>
    </cfRule>
  </conditionalFormatting>
  <conditionalFormatting sqref="F201:F211">
    <cfRule type="expression" dxfId="1" priority="110">
      <formula>F$199=0</formula>
    </cfRule>
  </conditionalFormatting>
  <conditionalFormatting sqref="F222:F232">
    <cfRule type="expression" dxfId="1" priority="122">
      <formula>F$220=0</formula>
    </cfRule>
  </conditionalFormatting>
  <conditionalFormatting sqref="F243:F253">
    <cfRule type="expression" dxfId="1" priority="134">
      <formula>F$241=0</formula>
    </cfRule>
  </conditionalFormatting>
  <conditionalFormatting sqref="F264:F274">
    <cfRule type="expression" dxfId="1" priority="146">
      <formula>F$262=0</formula>
    </cfRule>
  </conditionalFormatting>
  <conditionalFormatting sqref="F285:F295">
    <cfRule type="expression" dxfId="1" priority="158">
      <formula>F$283=0</formula>
    </cfRule>
  </conditionalFormatting>
  <conditionalFormatting sqref="F306:F316">
    <cfRule type="expression" dxfId="1" priority="170">
      <formula>F$304=0</formula>
    </cfRule>
  </conditionalFormatting>
  <conditionalFormatting sqref="F327:F337">
    <cfRule type="expression" dxfId="1" priority="182">
      <formula>F$325=0</formula>
    </cfRule>
  </conditionalFormatting>
  <conditionalFormatting sqref="F33:F43">
    <cfRule type="expression" dxfId="1" priority="14">
      <formula>F$31=0</formula>
    </cfRule>
  </conditionalFormatting>
  <conditionalFormatting sqref="F348:F358">
    <cfRule type="expression" dxfId="1" priority="194">
      <formula>F$346=0</formula>
    </cfRule>
  </conditionalFormatting>
  <conditionalFormatting sqref="F369:F379">
    <cfRule type="expression" dxfId="1" priority="206">
      <formula>F$367=0</formula>
    </cfRule>
  </conditionalFormatting>
  <conditionalFormatting sqref="F54:F64">
    <cfRule type="expression" dxfId="1" priority="26">
      <formula>F$52=0</formula>
    </cfRule>
  </conditionalFormatting>
  <conditionalFormatting sqref="F75:F85">
    <cfRule type="expression" dxfId="1" priority="38">
      <formula>F$73=0</formula>
    </cfRule>
  </conditionalFormatting>
  <conditionalFormatting sqref="F96:F106">
    <cfRule type="expression" dxfId="1" priority="50">
      <formula>F$94=0</formula>
    </cfRule>
  </conditionalFormatting>
  <conditionalFormatting sqref="G117:G127">
    <cfRule type="expression" dxfId="1" priority="63">
      <formula>G$115=0</formula>
    </cfRule>
  </conditionalFormatting>
  <conditionalFormatting sqref="G12:G22">
    <cfRule type="expression" dxfId="1" priority="3">
      <formula>G$10=0</formula>
    </cfRule>
  </conditionalFormatting>
  <conditionalFormatting sqref="G138:G148">
    <cfRule type="expression" dxfId="1" priority="75">
      <formula>G$136=0</formula>
    </cfRule>
  </conditionalFormatting>
  <conditionalFormatting sqref="G159:G169">
    <cfRule type="expression" dxfId="1" priority="87">
      <formula>G$157=0</formula>
    </cfRule>
  </conditionalFormatting>
  <conditionalFormatting sqref="G180:G190">
    <cfRule type="expression" dxfId="1" priority="99">
      <formula>G$178=0</formula>
    </cfRule>
  </conditionalFormatting>
  <conditionalFormatting sqref="G201:G211">
    <cfRule type="expression" dxfId="1" priority="111">
      <formula>G$199=0</formula>
    </cfRule>
  </conditionalFormatting>
  <conditionalFormatting sqref="G222:G232">
    <cfRule type="expression" dxfId="1" priority="123">
      <formula>G$220=0</formula>
    </cfRule>
  </conditionalFormatting>
  <conditionalFormatting sqref="G243:G253">
    <cfRule type="expression" dxfId="1" priority="135">
      <formula>G$241=0</formula>
    </cfRule>
  </conditionalFormatting>
  <conditionalFormatting sqref="G264:G274">
    <cfRule type="expression" dxfId="1" priority="147">
      <formula>G$262=0</formula>
    </cfRule>
  </conditionalFormatting>
  <conditionalFormatting sqref="G285:G295">
    <cfRule type="expression" dxfId="1" priority="159">
      <formula>G$283=0</formula>
    </cfRule>
  </conditionalFormatting>
  <conditionalFormatting sqref="G306:G316">
    <cfRule type="expression" dxfId="1" priority="171">
      <formula>G$304=0</formula>
    </cfRule>
  </conditionalFormatting>
  <conditionalFormatting sqref="G327:G337">
    <cfRule type="expression" dxfId="1" priority="183">
      <formula>G$325=0</formula>
    </cfRule>
  </conditionalFormatting>
  <conditionalFormatting sqref="G33:G43">
    <cfRule type="expression" dxfId="1" priority="15">
      <formula>G$31=0</formula>
    </cfRule>
  </conditionalFormatting>
  <conditionalFormatting sqref="G348:G358">
    <cfRule type="expression" dxfId="1" priority="195">
      <formula>G$346=0</formula>
    </cfRule>
  </conditionalFormatting>
  <conditionalFormatting sqref="G369:G379">
    <cfRule type="expression" dxfId="1" priority="207">
      <formula>G$367=0</formula>
    </cfRule>
  </conditionalFormatting>
  <conditionalFormatting sqref="G54:G64">
    <cfRule type="expression" dxfId="1" priority="27">
      <formula>G$52=0</formula>
    </cfRule>
  </conditionalFormatting>
  <conditionalFormatting sqref="G75:G85">
    <cfRule type="expression" dxfId="1" priority="39">
      <formula>G$73=0</formula>
    </cfRule>
  </conditionalFormatting>
  <conditionalFormatting sqref="G96:G106">
    <cfRule type="expression" dxfId="1" priority="51">
      <formula>G$94=0</formula>
    </cfRule>
  </conditionalFormatting>
  <conditionalFormatting sqref="H117:H127">
    <cfRule type="expression" dxfId="1" priority="64">
      <formula>H$115=0</formula>
    </cfRule>
  </conditionalFormatting>
  <conditionalFormatting sqref="H12:H22">
    <cfRule type="expression" dxfId="1" priority="4">
      <formula>H$10=0</formula>
    </cfRule>
  </conditionalFormatting>
  <conditionalFormatting sqref="H138:H148">
    <cfRule type="expression" dxfId="1" priority="76">
      <formula>H$136=0</formula>
    </cfRule>
  </conditionalFormatting>
  <conditionalFormatting sqref="H159:H169">
    <cfRule type="expression" dxfId="1" priority="88">
      <formula>H$157=0</formula>
    </cfRule>
  </conditionalFormatting>
  <conditionalFormatting sqref="H180:H190">
    <cfRule type="expression" dxfId="1" priority="100">
      <formula>H$178=0</formula>
    </cfRule>
  </conditionalFormatting>
  <conditionalFormatting sqref="H201:H211">
    <cfRule type="expression" dxfId="1" priority="112">
      <formula>H$199=0</formula>
    </cfRule>
  </conditionalFormatting>
  <conditionalFormatting sqref="H222:H232">
    <cfRule type="expression" dxfId="1" priority="124">
      <formula>H$220=0</formula>
    </cfRule>
  </conditionalFormatting>
  <conditionalFormatting sqref="H243:H253">
    <cfRule type="expression" dxfId="1" priority="136">
      <formula>H$241=0</formula>
    </cfRule>
  </conditionalFormatting>
  <conditionalFormatting sqref="H264:H274">
    <cfRule type="expression" dxfId="1" priority="148">
      <formula>H$262=0</formula>
    </cfRule>
  </conditionalFormatting>
  <conditionalFormatting sqref="H285:H295">
    <cfRule type="expression" dxfId="1" priority="160">
      <formula>H$283=0</formula>
    </cfRule>
  </conditionalFormatting>
  <conditionalFormatting sqref="H306:H316">
    <cfRule type="expression" dxfId="1" priority="172">
      <formula>H$304=0</formula>
    </cfRule>
  </conditionalFormatting>
  <conditionalFormatting sqref="H327:H337">
    <cfRule type="expression" dxfId="1" priority="184">
      <formula>H$325=0</formula>
    </cfRule>
  </conditionalFormatting>
  <conditionalFormatting sqref="H33:H43">
    <cfRule type="expression" dxfId="1" priority="16">
      <formula>H$31=0</formula>
    </cfRule>
  </conditionalFormatting>
  <conditionalFormatting sqref="H348:H358">
    <cfRule type="expression" dxfId="1" priority="196">
      <formula>H$346=0</formula>
    </cfRule>
  </conditionalFormatting>
  <conditionalFormatting sqref="H369:H379">
    <cfRule type="expression" dxfId="1" priority="208">
      <formula>H$367=0</formula>
    </cfRule>
  </conditionalFormatting>
  <conditionalFormatting sqref="H54:H64">
    <cfRule type="expression" dxfId="1" priority="28">
      <formula>H$52=0</formula>
    </cfRule>
  </conditionalFormatting>
  <conditionalFormatting sqref="H75:H85">
    <cfRule type="expression" dxfId="1" priority="40">
      <formula>H$73=0</formula>
    </cfRule>
  </conditionalFormatting>
  <conditionalFormatting sqref="H96:H106">
    <cfRule type="expression" dxfId="1" priority="52">
      <formula>H$94=0</formula>
    </cfRule>
  </conditionalFormatting>
  <conditionalFormatting sqref="I117:I127">
    <cfRule type="expression" dxfId="1" priority="65">
      <formula>I$115=0</formula>
    </cfRule>
  </conditionalFormatting>
  <conditionalFormatting sqref="I12:I22">
    <cfRule type="expression" dxfId="1" priority="5">
      <formula>I$10=0</formula>
    </cfRule>
  </conditionalFormatting>
  <conditionalFormatting sqref="I138:I148">
    <cfRule type="expression" dxfId="1" priority="77">
      <formula>I$136=0</formula>
    </cfRule>
  </conditionalFormatting>
  <conditionalFormatting sqref="I159:I169">
    <cfRule type="expression" dxfId="1" priority="89">
      <formula>I$157=0</formula>
    </cfRule>
  </conditionalFormatting>
  <conditionalFormatting sqref="I180:I190">
    <cfRule type="expression" dxfId="1" priority="101">
      <formula>I$178=0</formula>
    </cfRule>
  </conditionalFormatting>
  <conditionalFormatting sqref="I201:I211">
    <cfRule type="expression" dxfId="1" priority="113">
      <formula>I$199=0</formula>
    </cfRule>
  </conditionalFormatting>
  <conditionalFormatting sqref="I222:I232">
    <cfRule type="expression" dxfId="1" priority="125">
      <formula>I$220=0</formula>
    </cfRule>
  </conditionalFormatting>
  <conditionalFormatting sqref="I243:I253">
    <cfRule type="expression" dxfId="1" priority="137">
      <formula>I$241=0</formula>
    </cfRule>
  </conditionalFormatting>
  <conditionalFormatting sqref="I264:I274">
    <cfRule type="expression" dxfId="1" priority="149">
      <formula>I$262=0</formula>
    </cfRule>
  </conditionalFormatting>
  <conditionalFormatting sqref="I285:I295">
    <cfRule type="expression" dxfId="1" priority="161">
      <formula>I$283=0</formula>
    </cfRule>
  </conditionalFormatting>
  <conditionalFormatting sqref="I306:I316">
    <cfRule type="expression" dxfId="1" priority="173">
      <formula>I$304=0</formula>
    </cfRule>
  </conditionalFormatting>
  <conditionalFormatting sqref="I327:I337">
    <cfRule type="expression" dxfId="1" priority="185">
      <formula>I$325=0</formula>
    </cfRule>
  </conditionalFormatting>
  <conditionalFormatting sqref="I33:I43">
    <cfRule type="expression" dxfId="1" priority="17">
      <formula>I$31=0</formula>
    </cfRule>
  </conditionalFormatting>
  <conditionalFormatting sqref="I348:I358">
    <cfRule type="expression" dxfId="1" priority="197">
      <formula>I$346=0</formula>
    </cfRule>
  </conditionalFormatting>
  <conditionalFormatting sqref="I369:I379">
    <cfRule type="expression" dxfId="1" priority="209">
      <formula>I$367=0</formula>
    </cfRule>
  </conditionalFormatting>
  <conditionalFormatting sqref="I54:I64">
    <cfRule type="expression" dxfId="1" priority="29">
      <formula>I$52=0</formula>
    </cfRule>
  </conditionalFormatting>
  <conditionalFormatting sqref="I75:I85">
    <cfRule type="expression" dxfId="1" priority="41">
      <formula>I$73=0</formula>
    </cfRule>
  </conditionalFormatting>
  <conditionalFormatting sqref="I96:I106">
    <cfRule type="expression" dxfId="1" priority="53">
      <formula>I$94=0</formula>
    </cfRule>
  </conditionalFormatting>
  <conditionalFormatting sqref="J117:J127">
    <cfRule type="expression" dxfId="1" priority="66">
      <formula>J$115=0</formula>
    </cfRule>
  </conditionalFormatting>
  <conditionalFormatting sqref="J12:J22">
    <cfRule type="expression" dxfId="1" priority="6">
      <formula>J$10=0</formula>
    </cfRule>
  </conditionalFormatting>
  <conditionalFormatting sqref="J138:J148">
    <cfRule type="expression" dxfId="1" priority="78">
      <formula>J$136=0</formula>
    </cfRule>
  </conditionalFormatting>
  <conditionalFormatting sqref="J159:J169">
    <cfRule type="expression" dxfId="1" priority="90">
      <formula>J$157=0</formula>
    </cfRule>
  </conditionalFormatting>
  <conditionalFormatting sqref="J180:J190">
    <cfRule type="expression" dxfId="1" priority="102">
      <formula>J$178=0</formula>
    </cfRule>
  </conditionalFormatting>
  <conditionalFormatting sqref="J201:J211">
    <cfRule type="expression" dxfId="1" priority="114">
      <formula>J$199=0</formula>
    </cfRule>
  </conditionalFormatting>
  <conditionalFormatting sqref="J222:J232">
    <cfRule type="expression" dxfId="1" priority="126">
      <formula>J$220=0</formula>
    </cfRule>
  </conditionalFormatting>
  <conditionalFormatting sqref="J243:J253">
    <cfRule type="expression" dxfId="1" priority="138">
      <formula>J$241=0</formula>
    </cfRule>
  </conditionalFormatting>
  <conditionalFormatting sqref="J264:J274">
    <cfRule type="expression" dxfId="1" priority="150">
      <formula>J$262=0</formula>
    </cfRule>
  </conditionalFormatting>
  <conditionalFormatting sqref="J285:J295">
    <cfRule type="expression" dxfId="1" priority="162">
      <formula>J$283=0</formula>
    </cfRule>
  </conditionalFormatting>
  <conditionalFormatting sqref="J306:J316">
    <cfRule type="expression" dxfId="1" priority="174">
      <formula>J$304=0</formula>
    </cfRule>
  </conditionalFormatting>
  <conditionalFormatting sqref="J327:J337">
    <cfRule type="expression" dxfId="1" priority="186">
      <formula>J$325=0</formula>
    </cfRule>
  </conditionalFormatting>
  <conditionalFormatting sqref="J33:J43">
    <cfRule type="expression" dxfId="1" priority="18">
      <formula>J$31=0</formula>
    </cfRule>
  </conditionalFormatting>
  <conditionalFormatting sqref="J348:J358">
    <cfRule type="expression" dxfId="1" priority="198">
      <formula>J$346=0</formula>
    </cfRule>
  </conditionalFormatting>
  <conditionalFormatting sqref="J369:J379">
    <cfRule type="expression" dxfId="1" priority="210">
      <formula>J$367=0</formula>
    </cfRule>
  </conditionalFormatting>
  <conditionalFormatting sqref="J54:J64">
    <cfRule type="expression" dxfId="1" priority="30">
      <formula>J$52=0</formula>
    </cfRule>
  </conditionalFormatting>
  <conditionalFormatting sqref="J75:J85">
    <cfRule type="expression" dxfId="1" priority="42">
      <formula>J$73=0</formula>
    </cfRule>
  </conditionalFormatting>
  <conditionalFormatting sqref="J96:J106">
    <cfRule type="expression" dxfId="1" priority="54">
      <formula>J$94=0</formula>
    </cfRule>
  </conditionalFormatting>
  <conditionalFormatting sqref="K117:K127">
    <cfRule type="expression" dxfId="1" priority="67">
      <formula>K$115=0</formula>
    </cfRule>
  </conditionalFormatting>
  <conditionalFormatting sqref="K12:K22">
    <cfRule type="expression" dxfId="1" priority="7">
      <formula>K$10=0</formula>
    </cfRule>
  </conditionalFormatting>
  <conditionalFormatting sqref="K138:K148">
    <cfRule type="expression" dxfId="1" priority="79">
      <formula>K$136=0</formula>
    </cfRule>
  </conditionalFormatting>
  <conditionalFormatting sqref="K159:K169">
    <cfRule type="expression" dxfId="1" priority="91">
      <formula>K$157=0</formula>
    </cfRule>
  </conditionalFormatting>
  <conditionalFormatting sqref="K180:K190">
    <cfRule type="expression" dxfId="1" priority="103">
      <formula>K$178=0</formula>
    </cfRule>
  </conditionalFormatting>
  <conditionalFormatting sqref="K201:K211">
    <cfRule type="expression" dxfId="1" priority="115">
      <formula>K$199=0</formula>
    </cfRule>
  </conditionalFormatting>
  <conditionalFormatting sqref="K222:K232">
    <cfRule type="expression" dxfId="1" priority="127">
      <formula>K$220=0</formula>
    </cfRule>
  </conditionalFormatting>
  <conditionalFormatting sqref="K243:K253">
    <cfRule type="expression" dxfId="1" priority="139">
      <formula>K$241=0</formula>
    </cfRule>
  </conditionalFormatting>
  <conditionalFormatting sqref="K264:K274">
    <cfRule type="expression" dxfId="1" priority="151">
      <formula>K$262=0</formula>
    </cfRule>
  </conditionalFormatting>
  <conditionalFormatting sqref="K285:K295">
    <cfRule type="expression" dxfId="1" priority="163">
      <formula>K$283=0</formula>
    </cfRule>
  </conditionalFormatting>
  <conditionalFormatting sqref="K306:K316">
    <cfRule type="expression" dxfId="1" priority="175">
      <formula>K$304=0</formula>
    </cfRule>
  </conditionalFormatting>
  <conditionalFormatting sqref="K327:K337">
    <cfRule type="expression" dxfId="1" priority="187">
      <formula>K$325=0</formula>
    </cfRule>
  </conditionalFormatting>
  <conditionalFormatting sqref="K33:K43">
    <cfRule type="expression" dxfId="1" priority="19">
      <formula>K$31=0</formula>
    </cfRule>
  </conditionalFormatting>
  <conditionalFormatting sqref="K348:K358">
    <cfRule type="expression" dxfId="1" priority="199">
      <formula>K$346=0</formula>
    </cfRule>
  </conditionalFormatting>
  <conditionalFormatting sqref="K369:K379">
    <cfRule type="expression" dxfId="1" priority="211">
      <formula>K$367=0</formula>
    </cfRule>
  </conditionalFormatting>
  <conditionalFormatting sqref="K54:K64">
    <cfRule type="expression" dxfId="1" priority="31">
      <formula>K$52=0</formula>
    </cfRule>
  </conditionalFormatting>
  <conditionalFormatting sqref="K75:K85">
    <cfRule type="expression" dxfId="1" priority="43">
      <formula>K$73=0</formula>
    </cfRule>
  </conditionalFormatting>
  <conditionalFormatting sqref="K96:K106">
    <cfRule type="expression" dxfId="1" priority="55">
      <formula>K$94=0</formula>
    </cfRule>
  </conditionalFormatting>
  <conditionalFormatting sqref="L117:L127">
    <cfRule type="expression" dxfId="1" priority="68">
      <formula>L$115=0</formula>
    </cfRule>
  </conditionalFormatting>
  <conditionalFormatting sqref="L12:L22">
    <cfRule type="expression" dxfId="1" priority="8">
      <formula>L$10=0</formula>
    </cfRule>
  </conditionalFormatting>
  <conditionalFormatting sqref="L138:L148">
    <cfRule type="expression" dxfId="1" priority="80">
      <formula>L$136=0</formula>
    </cfRule>
  </conditionalFormatting>
  <conditionalFormatting sqref="L159:L169">
    <cfRule type="expression" dxfId="1" priority="92">
      <formula>L$157=0</formula>
    </cfRule>
  </conditionalFormatting>
  <conditionalFormatting sqref="L180:L190">
    <cfRule type="expression" dxfId="1" priority="104">
      <formula>L$178=0</formula>
    </cfRule>
  </conditionalFormatting>
  <conditionalFormatting sqref="L201:L211">
    <cfRule type="expression" dxfId="1" priority="116">
      <formula>L$199=0</formula>
    </cfRule>
  </conditionalFormatting>
  <conditionalFormatting sqref="L222:L232">
    <cfRule type="expression" dxfId="1" priority="128">
      <formula>L$220=0</formula>
    </cfRule>
  </conditionalFormatting>
  <conditionalFormatting sqref="L243:L253">
    <cfRule type="expression" dxfId="1" priority="140">
      <formula>L$241=0</formula>
    </cfRule>
  </conditionalFormatting>
  <conditionalFormatting sqref="L264:L274">
    <cfRule type="expression" dxfId="1" priority="152">
      <formula>L$262=0</formula>
    </cfRule>
  </conditionalFormatting>
  <conditionalFormatting sqref="L285:L295">
    <cfRule type="expression" dxfId="1" priority="164">
      <formula>L$283=0</formula>
    </cfRule>
  </conditionalFormatting>
  <conditionalFormatting sqref="L306:L316">
    <cfRule type="expression" dxfId="1" priority="176">
      <formula>L$304=0</formula>
    </cfRule>
  </conditionalFormatting>
  <conditionalFormatting sqref="L327:L337">
    <cfRule type="expression" dxfId="1" priority="188">
      <formula>L$325=0</formula>
    </cfRule>
  </conditionalFormatting>
  <conditionalFormatting sqref="L33:L43">
    <cfRule type="expression" dxfId="1" priority="20">
      <formula>L$31=0</formula>
    </cfRule>
  </conditionalFormatting>
  <conditionalFormatting sqref="L348:L358">
    <cfRule type="expression" dxfId="1" priority="200">
      <formula>L$346=0</formula>
    </cfRule>
  </conditionalFormatting>
  <conditionalFormatting sqref="L369:L379">
    <cfRule type="expression" dxfId="1" priority="212">
      <formula>L$367=0</formula>
    </cfRule>
  </conditionalFormatting>
  <conditionalFormatting sqref="L54:L64">
    <cfRule type="expression" dxfId="1" priority="32">
      <formula>L$52=0</formula>
    </cfRule>
  </conditionalFormatting>
  <conditionalFormatting sqref="L75:L85">
    <cfRule type="expression" dxfId="1" priority="44">
      <formula>L$73=0</formula>
    </cfRule>
  </conditionalFormatting>
  <conditionalFormatting sqref="L96:L106">
    <cfRule type="expression" dxfId="1" priority="56">
      <formula>L$94=0</formula>
    </cfRule>
  </conditionalFormatting>
  <conditionalFormatting sqref="M117:M127">
    <cfRule type="expression" dxfId="1" priority="69">
      <formula>M$115=0</formula>
    </cfRule>
  </conditionalFormatting>
  <conditionalFormatting sqref="M12:M22">
    <cfRule type="expression" dxfId="1" priority="9">
      <formula>M$10=0</formula>
    </cfRule>
  </conditionalFormatting>
  <conditionalFormatting sqref="M138:M148">
    <cfRule type="expression" dxfId="1" priority="81">
      <formula>M$136=0</formula>
    </cfRule>
  </conditionalFormatting>
  <conditionalFormatting sqref="M159:M169">
    <cfRule type="expression" dxfId="1" priority="93">
      <formula>M$157=0</formula>
    </cfRule>
  </conditionalFormatting>
  <conditionalFormatting sqref="M180:M190">
    <cfRule type="expression" dxfId="1" priority="105">
      <formula>M$178=0</formula>
    </cfRule>
  </conditionalFormatting>
  <conditionalFormatting sqref="M201:M211">
    <cfRule type="expression" dxfId="1" priority="117">
      <formula>M$199=0</formula>
    </cfRule>
  </conditionalFormatting>
  <conditionalFormatting sqref="M222:M232">
    <cfRule type="expression" dxfId="1" priority="129">
      <formula>M$220=0</formula>
    </cfRule>
  </conditionalFormatting>
  <conditionalFormatting sqref="M243:M253">
    <cfRule type="expression" dxfId="1" priority="141">
      <formula>M$241=0</formula>
    </cfRule>
  </conditionalFormatting>
  <conditionalFormatting sqref="M264:M274">
    <cfRule type="expression" dxfId="1" priority="153">
      <formula>M$262=0</formula>
    </cfRule>
  </conditionalFormatting>
  <conditionalFormatting sqref="M285:M295">
    <cfRule type="expression" dxfId="1" priority="165">
      <formula>M$283=0</formula>
    </cfRule>
  </conditionalFormatting>
  <conditionalFormatting sqref="M306:M316">
    <cfRule type="expression" dxfId="1" priority="177">
      <formula>M$304=0</formula>
    </cfRule>
  </conditionalFormatting>
  <conditionalFormatting sqref="M327:M337">
    <cfRule type="expression" dxfId="1" priority="189">
      <formula>M$325=0</formula>
    </cfRule>
  </conditionalFormatting>
  <conditionalFormatting sqref="M33:M43">
    <cfRule type="expression" dxfId="1" priority="21">
      <formula>M$31=0</formula>
    </cfRule>
  </conditionalFormatting>
  <conditionalFormatting sqref="M348:M358">
    <cfRule type="expression" dxfId="1" priority="201">
      <formula>M$346=0</formula>
    </cfRule>
  </conditionalFormatting>
  <conditionalFormatting sqref="M369:M379">
    <cfRule type="expression" dxfId="1" priority="213">
      <formula>M$367=0</formula>
    </cfRule>
  </conditionalFormatting>
  <conditionalFormatting sqref="M54:M64">
    <cfRule type="expression" dxfId="1" priority="33">
      <formula>M$52=0</formula>
    </cfRule>
  </conditionalFormatting>
  <conditionalFormatting sqref="M75:M85">
    <cfRule type="expression" dxfId="1" priority="45">
      <formula>M$73=0</formula>
    </cfRule>
  </conditionalFormatting>
  <conditionalFormatting sqref="M96:M106">
    <cfRule type="expression" dxfId="1" priority="57">
      <formula>M$94=0</formula>
    </cfRule>
  </conditionalFormatting>
  <conditionalFormatting sqref="N117:N127">
    <cfRule type="expression" dxfId="1" priority="70">
      <formula>N$115=0</formula>
    </cfRule>
  </conditionalFormatting>
  <conditionalFormatting sqref="N12:N22">
    <cfRule type="expression" dxfId="1" priority="10">
      <formula>N$10=0</formula>
    </cfRule>
  </conditionalFormatting>
  <conditionalFormatting sqref="N138:N148">
    <cfRule type="expression" dxfId="1" priority="82">
      <formula>N$136=0</formula>
    </cfRule>
  </conditionalFormatting>
  <conditionalFormatting sqref="N159:N169">
    <cfRule type="expression" dxfId="1" priority="94">
      <formula>N$157=0</formula>
    </cfRule>
  </conditionalFormatting>
  <conditionalFormatting sqref="N180:N190">
    <cfRule type="expression" dxfId="1" priority="106">
      <formula>N$178=0</formula>
    </cfRule>
  </conditionalFormatting>
  <conditionalFormatting sqref="N201:N211">
    <cfRule type="expression" dxfId="1" priority="118">
      <formula>N$199=0</formula>
    </cfRule>
  </conditionalFormatting>
  <conditionalFormatting sqref="N222:N232">
    <cfRule type="expression" dxfId="1" priority="130">
      <formula>N$220=0</formula>
    </cfRule>
  </conditionalFormatting>
  <conditionalFormatting sqref="N243:N253">
    <cfRule type="expression" dxfId="1" priority="142">
      <formula>N$241=0</formula>
    </cfRule>
  </conditionalFormatting>
  <conditionalFormatting sqref="N264:N274">
    <cfRule type="expression" dxfId="1" priority="154">
      <formula>N$262=0</formula>
    </cfRule>
  </conditionalFormatting>
  <conditionalFormatting sqref="N285:N295">
    <cfRule type="expression" dxfId="1" priority="166">
      <formula>N$283=0</formula>
    </cfRule>
  </conditionalFormatting>
  <conditionalFormatting sqref="N306:N316">
    <cfRule type="expression" dxfId="1" priority="178">
      <formula>N$304=0</formula>
    </cfRule>
  </conditionalFormatting>
  <conditionalFormatting sqref="N327:N337">
    <cfRule type="expression" dxfId="1" priority="190">
      <formula>N$325=0</formula>
    </cfRule>
  </conditionalFormatting>
  <conditionalFormatting sqref="N33:N43">
    <cfRule type="expression" dxfId="1" priority="22">
      <formula>N$31=0</formula>
    </cfRule>
  </conditionalFormatting>
  <conditionalFormatting sqref="N348:N358">
    <cfRule type="expression" dxfId="1" priority="202">
      <formula>N$346=0</formula>
    </cfRule>
  </conditionalFormatting>
  <conditionalFormatting sqref="N369:N379">
    <cfRule type="expression" dxfId="1" priority="214">
      <formula>N$367=0</formula>
    </cfRule>
  </conditionalFormatting>
  <conditionalFormatting sqref="N54:N64">
    <cfRule type="expression" dxfId="1" priority="34">
      <formula>N$52=0</formula>
    </cfRule>
  </conditionalFormatting>
  <conditionalFormatting sqref="N75:N85">
    <cfRule type="expression" dxfId="1" priority="46">
      <formula>N$73=0</formula>
    </cfRule>
  </conditionalFormatting>
  <conditionalFormatting sqref="N96:N106">
    <cfRule type="expression" dxfId="1" priority="58">
      <formula>N$94=0</formula>
    </cfRule>
  </conditionalFormatting>
  <dataValidations count="1980">
    <dataValidation type="whole" allowBlank="1" showInputMessage="1" showErrorMessage="1" errorTitle="Проверьте ввод" error="Введите значение в допустимых пределах. См. примечание к ячейке." sqref="E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0">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1">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43">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5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52">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64">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7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73">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85">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9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94">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9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06">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1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15">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1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27">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3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36">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3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48">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5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57">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5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69">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78">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78">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19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190">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199">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199">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1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11">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20">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20">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3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32">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41">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41">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5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53">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62">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62">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6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7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74">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283">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283">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8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29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295">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04">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04">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0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1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16">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25">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25">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2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3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37">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46">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46">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4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4">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5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58">
      <formula1>0</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E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F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G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H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I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J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K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L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M367">
      <formula1>0</formula1>
      <formula2>1</formula2>
    </dataValidation>
    <dataValidation type="whole" allowBlank="1" showInputMessage="1" showErrorMessage="1" errorTitle="Проверьте ввод" error="Введите значение в допустимых пределах. См. примечание к ячейке." sqref="N367">
      <formula1>0</formula1>
      <formula2>1</formula2>
    </dataValidation>
    <dataValidation type="decimal" allowBlank="1" showInputMessage="1" showErrorMessage="1" errorTitle="Проверьте ввод" error="Введите значение в допустимых пределах. См. примечание к ячейке." sqref="E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6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0">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1">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2">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3">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5">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6">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7">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8">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H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I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M379">
      <formula1>0</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N379">
      <formula1>0</formula1>
      <formula2>86400</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&amp;LЗамеры ЦЕЛЬ&amp;RСтр. &amp;P / &amp;N</oddFooter>
  </headerFooter>
  <rowBreaks count="17" manualBreakCount="17">
    <brk id="27" max="16383" man="1"/>
    <brk id="48" max="16383" man="1"/>
    <brk id="69" max="16383" man="1"/>
    <brk id="90" max="16383" man="1"/>
    <brk id="111" max="16383" man="1"/>
    <brk id="132" max="16383" man="1"/>
    <brk id="153" max="16383" man="1"/>
    <brk id="174" max="16383" man="1"/>
    <brk id="195" max="16383" man="1"/>
    <brk id="216" max="16383" man="1"/>
    <brk id="237" max="16383" man="1"/>
    <brk id="258" max="16383" man="1"/>
    <brk id="279" max="16383" man="1"/>
    <brk id="300" max="16383" man="1"/>
    <brk id="321" max="16383" man="1"/>
    <brk id="342" max="16383" man="1"/>
    <brk id="363" max="16383" man="1"/>
  </rowBreaks>
  <legacyDrawing r:id="rId1"/>
</worksheet>
</file>

<file path=xl/worksheets/sheet7.xml><?xml version="1.0" encoding="utf-8"?>
<worksheet xmlns="http://schemas.openxmlformats.org/spreadsheetml/2006/main" xmlns:r="http://schemas.openxmlformats.org/officeDocument/2006/relationships">
  <sheetPr>
    <tabColor rgb="FFE9B949"/>
    <pageSetUpPr fitToPage="1"/>
  </sheetPr>
  <dimension ref="A1:R28"/>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53.7109375" customWidth="1"/>
    <col min="3" max="3" width="18.7109375" customWidth="1"/>
    <col min="4" max="17" width="12.7109375" customWidth="1"/>
    <col min="18" max="18" width="48.7109375" customWidth="1"/>
  </cols>
  <sheetData>
    <row r="1" spans="1:18" ht="35" customHeight="1">
      <c r="A1" s="1" t="s">
        <v>248</v>
      </c>
      <c r="B1" s="1"/>
      <c r="C1" s="1"/>
      <c r="D1" s="1"/>
      <c r="E1" s="1"/>
      <c r="F1" s="1"/>
      <c r="G1" s="1"/>
      <c r="H1" s="1"/>
      <c r="I1" s="1"/>
      <c r="J1" s="1"/>
      <c r="K1" s="1"/>
      <c r="L1" s="1"/>
      <c r="M1" s="1"/>
      <c r="N1" s="1"/>
      <c r="O1" s="1"/>
      <c r="P1" s="1"/>
      <c r="Q1" s="1"/>
      <c r="R1" s="1"/>
    </row>
    <row r="2" spans="1:18" ht="31" customHeight="1">
      <c r="A2" s="2" t="s">
        <v>1</v>
      </c>
      <c r="B2" s="2"/>
      <c r="C2" s="2"/>
      <c r="D2" s="2"/>
      <c r="E2" s="2"/>
      <c r="F2" s="2"/>
      <c r="G2" s="2"/>
      <c r="H2" s="2"/>
      <c r="I2" s="2"/>
      <c r="J2" s="2"/>
      <c r="K2" s="2"/>
      <c r="L2" s="2"/>
      <c r="M2" s="2"/>
      <c r="N2" s="2"/>
      <c r="O2" s="2"/>
      <c r="P2" s="2"/>
      <c r="Q2" s="2"/>
      <c r="R2" s="2"/>
    </row>
    <row r="3" spans="1:18" ht="23" customHeight="1">
      <c r="A3" s="3" t="s">
        <v>2</v>
      </c>
      <c r="B3" s="7" t="s">
        <v>3</v>
      </c>
      <c r="C3" s="7"/>
      <c r="D3" s="7"/>
      <c r="E3" s="7"/>
      <c r="F3" s="7"/>
      <c r="G3" s="7"/>
      <c r="H3" s="7"/>
      <c r="I3" s="7"/>
      <c r="J3" s="7"/>
      <c r="K3" s="7"/>
      <c r="L3" s="7"/>
      <c r="M3" s="7"/>
      <c r="N3" s="7"/>
      <c r="O3" s="7"/>
      <c r="P3" s="7"/>
      <c r="Q3" s="7"/>
      <c r="R3" s="7"/>
    </row>
    <row r="5" spans="1:18" ht="23" customHeight="1">
      <c r="A5" s="4" t="s">
        <v>249</v>
      </c>
      <c r="B5" s="4"/>
      <c r="C5" s="4"/>
      <c r="D5" s="4"/>
      <c r="E5" s="4"/>
      <c r="F5" s="4"/>
      <c r="G5" s="4"/>
      <c r="H5" s="4"/>
      <c r="I5" s="4"/>
      <c r="J5" s="4"/>
      <c r="K5" s="4"/>
      <c r="L5" s="4"/>
      <c r="M5" s="4"/>
      <c r="N5" s="4"/>
      <c r="O5" s="4"/>
      <c r="P5" s="4"/>
      <c r="Q5" s="4"/>
      <c r="R5" s="4"/>
    </row>
    <row r="7" spans="1:18" ht="44" customHeight="1">
      <c r="A7" s="8" t="s">
        <v>113</v>
      </c>
      <c r="B7" s="8" t="s">
        <v>156</v>
      </c>
      <c r="C7" s="8" t="s">
        <v>250</v>
      </c>
      <c r="D7" s="8" t="s">
        <v>251</v>
      </c>
      <c r="E7" s="8" t="s">
        <v>252</v>
      </c>
      <c r="F7" s="8" t="s">
        <v>253</v>
      </c>
      <c r="G7" s="8" t="s">
        <v>254</v>
      </c>
      <c r="H7" s="8" t="s">
        <v>255</v>
      </c>
      <c r="I7" s="8" t="s">
        <v>256</v>
      </c>
      <c r="J7" s="8" t="s">
        <v>257</v>
      </c>
      <c r="K7" s="8" t="s">
        <v>258</v>
      </c>
      <c r="L7" s="8" t="s">
        <v>259</v>
      </c>
      <c r="M7" s="8" t="s">
        <v>260</v>
      </c>
      <c r="N7" s="8" t="s">
        <v>261</v>
      </c>
      <c r="O7" s="8" t="s">
        <v>262</v>
      </c>
      <c r="P7" s="8" t="s">
        <v>263</v>
      </c>
      <c r="Q7" s="8" t="s">
        <v>264</v>
      </c>
      <c r="R7" s="8" t="s">
        <v>265</v>
      </c>
    </row>
    <row r="8" spans="1:18" ht="74" customHeight="1">
      <c r="A8" s="5">
        <v>1</v>
      </c>
      <c r="B8" s="5" t="s">
        <v>266</v>
      </c>
      <c r="C8" s="5" t="s">
        <v>267</v>
      </c>
      <c r="D8" s="18">
        <f>'Ввод'!B24</f>
        <v>4</v>
      </c>
      <c r="E8" s="12">
        <v>60</v>
      </c>
      <c r="F8" s="12">
        <v>65</v>
      </c>
      <c r="G8" s="12">
        <v>70</v>
      </c>
      <c r="H8" s="13">
        <f>IF(AND(COUNT(E8:G8)=3,MIN(E8:G8)&gt;0),MIN(E8:G8),"")</f>
        <v>60</v>
      </c>
      <c r="I8" s="13">
        <f>IF(AND(ISNUMBER(H8),ISNUMBER(D8),D8&gt;0),H8/D8,"")</f>
        <v>15</v>
      </c>
      <c r="J8" s="18">
        <f>E8</f>
        <v>60</v>
      </c>
      <c r="K8" s="18">
        <f>F8</f>
        <v>65</v>
      </c>
      <c r="L8" s="18">
        <f>G8</f>
        <v>70</v>
      </c>
      <c r="M8" s="13">
        <f>IF(AND(COUNT(J8:L8)=3,MIN(J8:L8)&gt;0),MIN(J8:L8),"")</f>
        <v>60</v>
      </c>
      <c r="N8" s="13">
        <f>IF(AND(ISNUMBER(M8),ISNUMBER(D8),D8&gt;0),M8/D8,"")</f>
        <v>15</v>
      </c>
      <c r="O8" s="15">
        <f>$B$20</f>
        <v>8</v>
      </c>
      <c r="P8" s="13">
        <f>IF(AND(ISNUMBER(H8),ISNUMBER(O8)),H8*O8,"")</f>
        <v>480</v>
      </c>
      <c r="Q8" s="13">
        <f>IF(AND(ISNUMBER(M8),ISNUMBER(O8)),M8*O8,"")</f>
        <v>480</v>
      </c>
      <c r="R8" s="7" t="s">
        <v>268</v>
      </c>
    </row>
    <row r="9" spans="1:18" ht="74" customHeight="1">
      <c r="A9" s="5">
        <v>2</v>
      </c>
      <c r="B9" s="5" t="s">
        <v>269</v>
      </c>
      <c r="C9" s="5" t="s">
        <v>267</v>
      </c>
      <c r="D9" s="18">
        <f>'Ввод'!B24</f>
        <v>4</v>
      </c>
      <c r="E9" s="12">
        <v>15</v>
      </c>
      <c r="F9" s="12">
        <v>18</v>
      </c>
      <c r="G9" s="12">
        <v>16</v>
      </c>
      <c r="H9" s="13">
        <f>IF(AND(COUNT(E9:G9)=3,MIN(E9:G9)&gt;0),MIN(E9:G9),"")</f>
        <v>15</v>
      </c>
      <c r="I9" s="13">
        <f>IF(AND(ISNUMBER(H9),ISNUMBER(D9),D9&gt;0),H9/D9,"")</f>
        <v>3.75</v>
      </c>
      <c r="J9" s="18">
        <f>E9</f>
        <v>15</v>
      </c>
      <c r="K9" s="18">
        <f>F9</f>
        <v>18</v>
      </c>
      <c r="L9" s="18">
        <f>G9</f>
        <v>16</v>
      </c>
      <c r="M9" s="13">
        <f>IF(AND(COUNT(J9:L9)=3,MIN(J9:L9)&gt;0),MIN(J9:L9),"")</f>
        <v>15</v>
      </c>
      <c r="N9" s="13">
        <f>IF(AND(ISNUMBER(M9),ISNUMBER(D9),D9&gt;0),M9/D9,"")</f>
        <v>3.75</v>
      </c>
      <c r="O9" s="15">
        <f>$B$20</f>
        <v>8</v>
      </c>
      <c r="P9" s="13">
        <f>IF(AND(ISNUMBER(H9),ISNUMBER(O9)),H9*O9,"")</f>
        <v>120</v>
      </c>
      <c r="Q9" s="13">
        <f>IF(AND(ISNUMBER(M9),ISNUMBER(O9)),M9*O9,"")</f>
        <v>120</v>
      </c>
      <c r="R9" s="7" t="s">
        <v>268</v>
      </c>
    </row>
    <row r="10" spans="1:18" ht="74" customHeight="1">
      <c r="A10" s="5">
        <v>3</v>
      </c>
      <c r="B10" s="5" t="s">
        <v>270</v>
      </c>
      <c r="C10" s="5" t="s">
        <v>267</v>
      </c>
      <c r="D10" s="18">
        <f>'Ввод'!B24</f>
        <v>4</v>
      </c>
      <c r="E10" s="12">
        <v>240</v>
      </c>
      <c r="F10" s="12">
        <v>255</v>
      </c>
      <c r="G10" s="12">
        <v>250</v>
      </c>
      <c r="H10" s="13">
        <f>IF(AND(COUNT(E10:G10)=3,MIN(E10:G10)&gt;0),MIN(E10:G10),"")</f>
        <v>240</v>
      </c>
      <c r="I10" s="13">
        <f>IF(AND(ISNUMBER(H10),ISNUMBER(D10),D10&gt;0),H10/D10,"")</f>
        <v>60</v>
      </c>
      <c r="J10" s="18">
        <f>E10</f>
        <v>240</v>
      </c>
      <c r="K10" s="18">
        <f>F10</f>
        <v>255</v>
      </c>
      <c r="L10" s="18">
        <f>G10</f>
        <v>250</v>
      </c>
      <c r="M10" s="13">
        <f>IF(AND(COUNT(J10:L10)=3,MIN(J10:L10)&gt;0),MIN(J10:L10),"")</f>
        <v>240</v>
      </c>
      <c r="N10" s="13">
        <f>IF(AND(ISNUMBER(M10),ISNUMBER(D10),D10&gt;0),M10/D10,"")</f>
        <v>60</v>
      </c>
      <c r="O10" s="15">
        <f>$B$20</f>
        <v>8</v>
      </c>
      <c r="P10" s="13">
        <f>IF(AND(ISNUMBER(H10),ISNUMBER(O10)),H10*O10,"")</f>
        <v>1920</v>
      </c>
      <c r="Q10" s="13">
        <f>IF(AND(ISNUMBER(M10),ISNUMBER(O10)),M10*O10,"")</f>
        <v>1920</v>
      </c>
      <c r="R10" s="7" t="s">
        <v>271</v>
      </c>
    </row>
    <row r="11" spans="1:18" ht="74" customHeight="1">
      <c r="A11" s="5">
        <v>4</v>
      </c>
      <c r="B11" s="5" t="s">
        <v>272</v>
      </c>
      <c r="C11" s="5" t="s">
        <v>267</v>
      </c>
      <c r="D11" s="18">
        <f>'Ввод'!B24</f>
        <v>4</v>
      </c>
      <c r="E11" s="12">
        <v>480</v>
      </c>
      <c r="F11" s="12">
        <v>500</v>
      </c>
      <c r="G11" s="12">
        <v>490</v>
      </c>
      <c r="H11" s="13">
        <f>IF(AND(COUNT(E11:G11)=3,MIN(E11:G11)&gt;0),MIN(E11:G11),"")</f>
        <v>480</v>
      </c>
      <c r="I11" s="13">
        <f>IF(AND(ISNUMBER(H11),ISNUMBER(D11),D11&gt;0),H11/D11,"")</f>
        <v>120</v>
      </c>
      <c r="J11" s="18">
        <f>E11</f>
        <v>480</v>
      </c>
      <c r="K11" s="18">
        <f>F11</f>
        <v>500</v>
      </c>
      <c r="L11" s="18">
        <f>G11</f>
        <v>490</v>
      </c>
      <c r="M11" s="13">
        <f>IF(AND(COUNT(J11:L11)=3,MIN(J11:L11)&gt;0),MIN(J11:L11),"")</f>
        <v>480</v>
      </c>
      <c r="N11" s="13">
        <f>IF(AND(ISNUMBER(M11),ISNUMBER(D11),D11&gt;0),M11/D11,"")</f>
        <v>120</v>
      </c>
      <c r="O11" s="15">
        <f>$B$20</f>
        <v>8</v>
      </c>
      <c r="P11" s="13">
        <f>IF(AND(ISNUMBER(H11),ISNUMBER(O11)),H11*O11,"")</f>
        <v>3840</v>
      </c>
      <c r="Q11" s="13">
        <f>IF(AND(ISNUMBER(M11),ISNUMBER(O11)),M11*O11,"")</f>
        <v>3840</v>
      </c>
      <c r="R11" s="7" t="s">
        <v>273</v>
      </c>
    </row>
    <row r="12" spans="1:18" ht="74" customHeight="1">
      <c r="A12" s="5">
        <v>5</v>
      </c>
      <c r="B12" s="5" t="s">
        <v>274</v>
      </c>
      <c r="C12" s="5" t="s">
        <v>267</v>
      </c>
      <c r="D12" s="18">
        <f>'Ввод'!B24</f>
        <v>4</v>
      </c>
      <c r="E12" s="12">
        <v>120</v>
      </c>
      <c r="F12" s="12">
        <v>130</v>
      </c>
      <c r="G12" s="12">
        <v>125</v>
      </c>
      <c r="H12" s="13">
        <f>IF(AND(COUNT(E12:G12)=3,MIN(E12:G12)&gt;0),MIN(E12:G12),"")</f>
        <v>120</v>
      </c>
      <c r="I12" s="13">
        <f>IF(AND(ISNUMBER(H12),ISNUMBER(D12),D12&gt;0),H12/D12,"")</f>
        <v>30</v>
      </c>
      <c r="J12" s="18">
        <f>E12</f>
        <v>120</v>
      </c>
      <c r="K12" s="18">
        <f>F12</f>
        <v>130</v>
      </c>
      <c r="L12" s="18">
        <f>G12</f>
        <v>125</v>
      </c>
      <c r="M12" s="13">
        <f>IF(AND(COUNT(J12:L12)=3,MIN(J12:L12)&gt;0),MIN(J12:L12),"")</f>
        <v>120</v>
      </c>
      <c r="N12" s="13">
        <f>IF(AND(ISNUMBER(M12),ISNUMBER(D12),D12&gt;0),M12/D12,"")</f>
        <v>30</v>
      </c>
      <c r="O12" s="15">
        <f>$B$20</f>
        <v>8</v>
      </c>
      <c r="P12" s="13">
        <f>IF(AND(ISNUMBER(H12),ISNUMBER(O12)),H12*O12,"")</f>
        <v>960</v>
      </c>
      <c r="Q12" s="13">
        <f>IF(AND(ISNUMBER(M12),ISNUMBER(O12)),M12*O12,"")</f>
        <v>960</v>
      </c>
      <c r="R12" s="7" t="s">
        <v>275</v>
      </c>
    </row>
    <row r="13" spans="1:18" ht="74" customHeight="1">
      <c r="A13" s="5">
        <v>6</v>
      </c>
      <c r="B13" s="5" t="s">
        <v>276</v>
      </c>
      <c r="C13" s="5" t="s">
        <v>277</v>
      </c>
      <c r="D13" s="12">
        <v>8</v>
      </c>
      <c r="E13" s="12">
        <v>60</v>
      </c>
      <c r="F13" s="12">
        <v>65</v>
      </c>
      <c r="G13" s="12">
        <v>70</v>
      </c>
      <c r="H13" s="13">
        <f>IF(AND(COUNT(E13:G13)=3,MIN(E13:G13)&gt;0),MIN(E13:G13),"")</f>
        <v>60</v>
      </c>
      <c r="I13" s="13">
        <f>IF(AND(ISNUMBER(H13),ISNUMBER(D13),D13&gt;0),H13/D13,"")</f>
        <v>7.5</v>
      </c>
      <c r="J13" s="12">
        <v>45</v>
      </c>
      <c r="K13" s="12">
        <v>50</v>
      </c>
      <c r="L13" s="12">
        <v>48</v>
      </c>
      <c r="M13" s="13">
        <f>IF(AND(COUNT(J13:L13)=3,MIN(J13:L13)&gt;0),MIN(J13:L13),"")</f>
        <v>45</v>
      </c>
      <c r="N13" s="13">
        <f>IF(AND(ISNUMBER(M13),ISNUMBER(D13),D13&gt;0),M13/D13,"")</f>
        <v>5.625</v>
      </c>
      <c r="O13" s="15">
        <f>IF(AND(ISNUMBER('Ввод'!B28),'Ввод'!B28&gt;=0,ISNUMBER(D13),D13&gt;0),ROUNDUP('Ввод'!B28/D13,0),"")</f>
        <v>4</v>
      </c>
      <c r="P13" s="13">
        <f>IF(AND(ISNUMBER(H13),ISNUMBER(O13)),H13*O13,"")</f>
        <v>240</v>
      </c>
      <c r="Q13" s="13">
        <f>IF(AND(ISNUMBER(M13),ISNUMBER(O13)),M13*O13,"")</f>
        <v>180</v>
      </c>
      <c r="R13" s="7" t="s">
        <v>278</v>
      </c>
    </row>
    <row r="15" spans="1:18" ht="23" customHeight="1">
      <c r="B15" s="4" t="s">
        <v>151</v>
      </c>
      <c r="I15" s="6">
        <f>IF(COUNT(I8:I13)=6,SUM(I8:I13),"")</f>
        <v>236.25</v>
      </c>
      <c r="N15" s="6">
        <f>IF(COUNT(N8:N13)=6,SUM(N8:N13),"")</f>
        <v>234.375</v>
      </c>
      <c r="P15" s="6">
        <f>IF(COUNT(P8:P13)=6,SUM(P8:P13),"")</f>
        <v>7560</v>
      </c>
      <c r="Q15" s="6">
        <f>IF(COUNT(Q8:Q13)=6,SUM(Q8:Q13),"")</f>
        <v>7500</v>
      </c>
    </row>
    <row r="18" spans="1:18" ht="23" customHeight="1">
      <c r="B18" s="6">
        <f>IF(AND(ISNUMBER('Ввод'!B28),'Ввод'!B28&gt;0,ISNUMBER('Ввод'!B25),'Ввод'!B25&gt;=0,'Ввод'!B25&lt;=3,MOD('Ввод'!B25,1)=0),INT(('Ввод'!B28+'Ввод'!B25)/4),IF('Ввод'!B28=0,0,""))</f>
        <v>8</v>
      </c>
      <c r="C18" s="5" t="s">
        <v>279</v>
      </c>
      <c r="D18" s="5"/>
      <c r="E18" s="5"/>
      <c r="F18" s="5"/>
      <c r="G18" s="5"/>
      <c r="H18" s="5"/>
    </row>
    <row r="19" spans="1:18" ht="23" customHeight="1">
      <c r="B19" s="6">
        <f>IF(COUNT('Ввод'!B28,'Ввод'!B25)=2,IF(AND('Ввод'!B28&gt;0,'Ввод'!B26=1,MOD('Ввод'!B28+'Ввод'!B25,4)&gt;0),1,0),"")</f>
        <v>0</v>
      </c>
      <c r="C19" s="5" t="s">
        <v>280</v>
      </c>
      <c r="D19" s="5"/>
      <c r="E19" s="5"/>
      <c r="F19" s="5"/>
      <c r="G19" s="5"/>
      <c r="H19" s="5"/>
    </row>
    <row r="20" spans="1:18" ht="23" customHeight="1">
      <c r="B20" s="6">
        <f>IF(ISNUMBER(B18),B18+B19,"")</f>
        <v>8</v>
      </c>
      <c r="C20" s="5" t="s">
        <v>281</v>
      </c>
      <c r="D20" s="5"/>
      <c r="E20" s="5"/>
      <c r="F20" s="5"/>
      <c r="G20" s="5"/>
      <c r="H20" s="5"/>
    </row>
    <row r="22" spans="1:18" ht="23" customHeight="1">
      <c r="A22" s="2" t="s">
        <v>282</v>
      </c>
      <c r="B22" s="2"/>
      <c r="C22" s="2"/>
      <c r="D22" s="2"/>
      <c r="E22" s="2"/>
      <c r="F22" s="2"/>
      <c r="G22" s="2"/>
      <c r="H22" s="2"/>
      <c r="I22" s="2"/>
      <c r="J22" s="2"/>
      <c r="K22" s="2"/>
      <c r="L22" s="2"/>
      <c r="M22" s="2"/>
      <c r="N22" s="2"/>
      <c r="O22" s="2"/>
      <c r="P22" s="2"/>
      <c r="Q22" s="2"/>
      <c r="R22" s="2"/>
    </row>
    <row r="23" spans="1:18" ht="23" customHeight="1">
      <c r="A23" s="2"/>
      <c r="B23" s="2"/>
      <c r="C23" s="2"/>
      <c r="D23" s="2"/>
      <c r="E23" s="2"/>
      <c r="F23" s="2"/>
      <c r="G23" s="2"/>
      <c r="H23" s="2"/>
      <c r="I23" s="2"/>
      <c r="J23" s="2"/>
      <c r="K23" s="2"/>
      <c r="L23" s="2"/>
      <c r="M23" s="2"/>
      <c r="N23" s="2"/>
      <c r="O23" s="2"/>
      <c r="P23" s="2"/>
      <c r="Q23" s="2"/>
      <c r="R23" s="2"/>
    </row>
    <row r="24" spans="1:18" ht="23" customHeight="1">
      <c r="A24" s="2"/>
      <c r="B24" s="2"/>
      <c r="C24" s="2"/>
      <c r="D24" s="2"/>
      <c r="E24" s="2"/>
      <c r="F24" s="2"/>
      <c r="G24" s="2"/>
      <c r="H24" s="2"/>
      <c r="I24" s="2"/>
      <c r="J24" s="2"/>
      <c r="K24" s="2"/>
      <c r="L24" s="2"/>
      <c r="M24" s="2"/>
      <c r="N24" s="2"/>
      <c r="O24" s="2"/>
      <c r="P24" s="2"/>
      <c r="Q24" s="2"/>
      <c r="R24" s="2"/>
    </row>
    <row r="26" spans="1:18" ht="23" customHeight="1">
      <c r="A26" s="11" t="s">
        <v>283</v>
      </c>
      <c r="B26" s="11"/>
      <c r="C26" s="11"/>
      <c r="D26" s="11"/>
      <c r="E26" s="11"/>
      <c r="F26" s="11"/>
      <c r="G26" s="11"/>
      <c r="H26" s="11"/>
      <c r="I26" s="11"/>
      <c r="J26" s="11"/>
      <c r="K26" s="11"/>
      <c r="L26" s="11"/>
      <c r="M26" s="11"/>
      <c r="N26" s="11"/>
      <c r="O26" s="11"/>
      <c r="P26" s="11"/>
      <c r="Q26" s="11"/>
      <c r="R26" s="11"/>
    </row>
    <row r="27" spans="1:18" ht="23" customHeight="1">
      <c r="A27" s="11"/>
      <c r="B27" s="11"/>
      <c r="C27" s="11"/>
      <c r="D27" s="11"/>
      <c r="E27" s="11"/>
      <c r="F27" s="11"/>
      <c r="G27" s="11"/>
      <c r="H27" s="11"/>
      <c r="I27" s="11"/>
      <c r="J27" s="11"/>
      <c r="K27" s="11"/>
      <c r="L27" s="11"/>
      <c r="M27" s="11"/>
      <c r="N27" s="11"/>
      <c r="O27" s="11"/>
      <c r="P27" s="11"/>
      <c r="Q27" s="11"/>
      <c r="R27" s="11"/>
    </row>
    <row r="28" spans="1:18" ht="23" customHeight="1">
      <c r="A28" s="11"/>
      <c r="B28" s="11"/>
      <c r="C28" s="11"/>
      <c r="D28" s="11"/>
      <c r="E28" s="11"/>
      <c r="F28" s="11"/>
      <c r="G28" s="11"/>
      <c r="H28" s="11"/>
      <c r="I28" s="11"/>
      <c r="J28" s="11"/>
      <c r="K28" s="11"/>
      <c r="L28" s="11"/>
      <c r="M28" s="11"/>
      <c r="N28" s="11"/>
      <c r="O28" s="11"/>
      <c r="P28" s="11"/>
      <c r="Q28" s="11"/>
      <c r="R28" s="11"/>
    </row>
  </sheetData>
  <sheetProtection sheet="1" objects="1" scenarios="1" sort="0" autoFilter="0"/>
  <mergeCells count="9">
    <mergeCell ref="A1:R1"/>
    <mergeCell ref="A2:R2"/>
    <mergeCell ref="B3:R3"/>
    <mergeCell ref="A5:R5"/>
    <mergeCell ref="C18:H18"/>
    <mergeCell ref="C19:H19"/>
    <mergeCell ref="C20:H20"/>
    <mergeCell ref="A22:R24"/>
    <mergeCell ref="A26:R28"/>
  </mergeCells>
  <dataValidations count="22">
    <dataValidation type="decimal" allowBlank="1" showInputMessage="1" showErrorMessage="1" errorTitle="Проверьте ввод" error="Введите значение в допустимых пределах. См. примечание к ячейке." sqref="E8">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8">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8">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9">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9">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9">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0">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0">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0">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1">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1">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1">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E12">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2">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2">
      <formula1>0.001</formula1>
      <formula2>86400</formula2>
    </dataValidation>
    <dataValidation type="whole" allowBlank="1" showInputMessage="1" showErrorMessage="1" errorTitle="Проверьте ввод" error="Введите значение в допустимых пределах. См. примечание к ячейке." sqref="D13">
      <formula1>1</formula1>
      <formula2>10000</formula2>
    </dataValidation>
    <dataValidation type="decimal" allowBlank="1" showInputMessage="1" showErrorMessage="1" errorTitle="Проверьте ввод" error="Введите значение в допустимых пределах. См. примечание к ячейке." sqref="E13">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F13">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G13">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J13">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K13">
      <formula1>0.001</formula1>
      <formula2>86400</formula2>
    </dataValidation>
    <dataValidation type="decimal" allowBlank="1" showInputMessage="1" showErrorMessage="1" errorTitle="Проверьте ввод" error="Введите значение в допустимых пределах. См. примечание к ячейке." sqref="L13">
      <formula1>0.001</formula1>
      <formula2>86400</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&amp;LПериодическая работа&amp;RСтр. &amp;P / &amp;N</oddFooter>
  </headerFooter>
  <legacyDrawing r:id="rId1"/>
</worksheet>
</file>

<file path=xl/worksheets/sheet8.xml><?xml version="1.0" encoding="utf-8"?>
<worksheet xmlns="http://schemas.openxmlformats.org/spreadsheetml/2006/main" xmlns:r="http://schemas.openxmlformats.org/officeDocument/2006/relationships">
  <sheetPr>
    <tabColor rgb="FF147D92"/>
    <pageSetUpPr fitToPage="1"/>
  </sheetPr>
  <dimension ref="A1:U6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30.7109375" customWidth="1"/>
    <col min="3" max="20" width="13.7109375" customWidth="1"/>
    <col min="21" max="21" width="27.7109375" customWidth="1"/>
  </cols>
  <sheetData>
    <row r="1" spans="1:21" ht="35" customHeight="1">
      <c r="A1" s="1" t="s">
        <v>284</v>
      </c>
      <c r="B1" s="1"/>
      <c r="C1" s="1"/>
      <c r="D1" s="1"/>
      <c r="E1" s="1"/>
      <c r="F1" s="1"/>
      <c r="G1" s="1"/>
      <c r="H1" s="1"/>
      <c r="I1" s="1"/>
      <c r="J1" s="1"/>
      <c r="K1" s="1"/>
      <c r="L1" s="1"/>
      <c r="M1" s="1"/>
      <c r="N1" s="1"/>
      <c r="O1" s="1"/>
      <c r="P1" s="1"/>
      <c r="Q1" s="1"/>
      <c r="R1" s="1"/>
      <c r="S1" s="1"/>
      <c r="T1" s="1"/>
      <c r="U1" s="1"/>
    </row>
    <row r="2" spans="1:21" ht="31" customHeight="1">
      <c r="A2" s="2" t="s">
        <v>1</v>
      </c>
      <c r="B2" s="2"/>
      <c r="C2" s="2"/>
      <c r="D2" s="2"/>
      <c r="E2" s="2"/>
      <c r="F2" s="2"/>
      <c r="G2" s="2"/>
      <c r="H2" s="2"/>
      <c r="I2" s="2"/>
      <c r="J2" s="2"/>
      <c r="K2" s="2"/>
      <c r="L2" s="2"/>
      <c r="M2" s="2"/>
      <c r="N2" s="2"/>
      <c r="O2" s="2"/>
      <c r="P2" s="2"/>
      <c r="Q2" s="2"/>
      <c r="R2" s="2"/>
      <c r="S2" s="2"/>
      <c r="T2" s="2"/>
      <c r="U2" s="2"/>
    </row>
    <row r="3" spans="1:21" ht="23" customHeight="1">
      <c r="A3" s="3" t="s">
        <v>2</v>
      </c>
      <c r="B3" s="7" t="s">
        <v>3</v>
      </c>
      <c r="C3" s="7"/>
      <c r="D3" s="7"/>
      <c r="E3" s="7"/>
      <c r="F3" s="7"/>
      <c r="G3" s="7"/>
      <c r="H3" s="7"/>
      <c r="I3" s="7"/>
      <c r="J3" s="7"/>
      <c r="K3" s="7"/>
      <c r="L3" s="7"/>
      <c r="M3" s="7"/>
      <c r="N3" s="7"/>
      <c r="O3" s="7"/>
      <c r="P3" s="7"/>
      <c r="Q3" s="7"/>
      <c r="R3" s="7"/>
      <c r="S3" s="7"/>
      <c r="T3" s="7"/>
      <c r="U3" s="7"/>
    </row>
    <row r="7" spans="1:21" ht="44" customHeight="1">
      <c r="A7" s="8" t="s">
        <v>113</v>
      </c>
      <c r="B7" s="8" t="s">
        <v>114</v>
      </c>
      <c r="C7" s="8" t="s">
        <v>285</v>
      </c>
      <c r="D7" s="8" t="s">
        <v>286</v>
      </c>
      <c r="E7" s="8" t="s">
        <v>287</v>
      </c>
      <c r="F7" s="8" t="s">
        <v>288</v>
      </c>
      <c r="G7" s="8" t="s">
        <v>289</v>
      </c>
      <c r="H7" s="8" t="s">
        <v>290</v>
      </c>
      <c r="I7" s="8" t="s">
        <v>291</v>
      </c>
      <c r="J7" s="8" t="s">
        <v>292</v>
      </c>
      <c r="K7" s="8" t="s">
        <v>293</v>
      </c>
      <c r="L7" s="8" t="s">
        <v>294</v>
      </c>
      <c r="M7" s="8" t="s">
        <v>295</v>
      </c>
      <c r="N7" s="8" t="s">
        <v>296</v>
      </c>
      <c r="O7" s="8" t="s">
        <v>297</v>
      </c>
      <c r="P7" s="8" t="s">
        <v>298</v>
      </c>
      <c r="Q7" s="8" t="s">
        <v>299</v>
      </c>
      <c r="R7" s="8" t="s">
        <v>300</v>
      </c>
      <c r="S7" s="8" t="s">
        <v>301</v>
      </c>
      <c r="T7" s="8" t="s">
        <v>302</v>
      </c>
      <c r="U7" s="8" t="s">
        <v>303</v>
      </c>
    </row>
    <row r="8" spans="1:21" ht="42" customHeight="1">
      <c r="A8" s="5">
        <v>1</v>
      </c>
      <c r="B8" s="5" t="s">
        <v>24</v>
      </c>
      <c r="C8" s="13">
        <f>'Ассортимент'!O8</f>
        <v>2</v>
      </c>
      <c r="D8" s="16">
        <f>'Ассортимент'!Q8</f>
        <v>0.0625</v>
      </c>
      <c r="E8" s="13">
        <f>SUMIF('Замеры ДО'!C12:C22,"Ручная",'Замеры ДО'!S12:S22)</f>
        <v>238.38</v>
      </c>
      <c r="F8" s="13">
        <f>SUMIF('Замеры ДО'!C12:C22,"Переход",'Замеры ДО'!S12:S22)</f>
        <v>32</v>
      </c>
      <c r="G8" s="13">
        <f>'Замеры ДО'!S22</f>
        <v>12</v>
      </c>
      <c r="H8" s="13">
        <f>'Ассортимент'!R8</f>
        <v>450</v>
      </c>
      <c r="I8" s="13">
        <f>'Замеры ДО'!O24</f>
        <v>732.38</v>
      </c>
      <c r="J8" s="13">
        <f>'Замеры ДО'!U24</f>
        <v>736.604</v>
      </c>
      <c r="K8" s="13">
        <f>'Замеры ДО'!P24</f>
        <v>740.92</v>
      </c>
      <c r="L8" s="13">
        <f>'Замеры ДО'!T23</f>
        <v>19.0199999999999</v>
      </c>
      <c r="M8" s="13">
        <f>'Периодическая работа'!I15</f>
        <v>236.25</v>
      </c>
      <c r="N8" s="13">
        <f>IF(AND(ISNUMBER(I8),ISNUMBER(M8)),I8+M8,"")</f>
        <v>968.63</v>
      </c>
      <c r="O8" s="13">
        <f>IF(AND(ISNUMBER(C8),ISNUMBER(I8)),C8*I8,IF(C8=0,0,""))</f>
        <v>1464.76</v>
      </c>
      <c r="P8" s="13">
        <f>IF(AND(ISNUMBER(C8),ISNUMBER(J8)),C8*J8,IF(C8=0,0,""))</f>
        <v>1473.208</v>
      </c>
      <c r="Q8" s="13">
        <f>IF(ISNUMBER(I8),SUM(E8:G8),"")</f>
        <v>282.38</v>
      </c>
      <c r="R8" s="13">
        <f>IF(ISNUMBER(I8),'Замеры ДО'!S16+'Замеры ДО'!S18+H8,"")</f>
        <v>517.368260869565</v>
      </c>
      <c r="S8" s="13">
        <f>'Замеры ДО'!T24</f>
        <v>10</v>
      </c>
      <c r="T8" s="13">
        <f>'Замеры ДО'!V24</f>
        <v>0</v>
      </c>
      <c r="U8" s="17" t="str">
        <f>IF(NOT(ISNUMBER(C8)),"ОШИБКА ПЛАНА",IF(C8=0,"Нет в плане",IF(AND(ISNUMBER(I8),S8&gt;0),"ОК","НЕТ ЗАМЕРОВ")))</f>
        <v>ОК</v>
      </c>
    </row>
    <row r="9" spans="1:21" ht="42" customHeight="1">
      <c r="A9" s="5">
        <v>2</v>
      </c>
      <c r="B9" s="5" t="s">
        <v>133</v>
      </c>
      <c r="C9" s="13">
        <f>'Ассортимент'!O9</f>
        <v>1</v>
      </c>
      <c r="D9" s="16">
        <f>'Ассортимент'!Q9</f>
        <v>0.03125</v>
      </c>
      <c r="E9" s="13">
        <f>SUMIF('Замеры ДО'!C33:C43,"Ручная",'Замеры ДО'!S33:S43)</f>
        <v>248.58</v>
      </c>
      <c r="F9" s="13">
        <f>SUMIF('Замеры ДО'!C33:C43,"Переход",'Замеры ДО'!S33:S43)</f>
        <v>32</v>
      </c>
      <c r="G9" s="13">
        <f>'Замеры ДО'!S43</f>
        <v>12</v>
      </c>
      <c r="H9" s="13">
        <f>'Ассортимент'!R9</f>
        <v>450</v>
      </c>
      <c r="I9" s="13">
        <f>'Замеры ДО'!O45</f>
        <v>742.58</v>
      </c>
      <c r="J9" s="13">
        <f>'Замеры ДО'!U45</f>
        <v>747.064</v>
      </c>
      <c r="K9" s="13">
        <f>'Замеры ДО'!P45</f>
        <v>751.92</v>
      </c>
      <c r="L9" s="13">
        <f>'Замеры ДО'!T44</f>
        <v>19.82</v>
      </c>
      <c r="M9" s="13">
        <f>'Периодическая работа'!I15</f>
        <v>236.25</v>
      </c>
      <c r="N9" s="13">
        <f>IF(AND(ISNUMBER(I9),ISNUMBER(M9)),I9+M9,"")</f>
        <v>978.83</v>
      </c>
      <c r="O9" s="13">
        <f>IF(AND(ISNUMBER(C9),ISNUMBER(I9)),C9*I9,IF(C9=0,0,""))</f>
        <v>742.58</v>
      </c>
      <c r="P9" s="13">
        <f>IF(AND(ISNUMBER(C9),ISNUMBER(J9)),C9*J9,IF(C9=0,0,""))</f>
        <v>747.064</v>
      </c>
      <c r="Q9" s="13">
        <f>IF(ISNUMBER(I9),SUM(E9:G9),"")</f>
        <v>292.58</v>
      </c>
      <c r="R9" s="13">
        <f>IF(ISNUMBER(I9),'Замеры ДО'!S37+'Замеры ДО'!S39+H9,"")</f>
        <v>517.32375</v>
      </c>
      <c r="S9" s="13">
        <f>'Замеры ДО'!T45</f>
        <v>10</v>
      </c>
      <c r="T9" s="13">
        <f>'Замеры ДО'!V45</f>
        <v>0</v>
      </c>
      <c r="U9" s="17" t="str">
        <f>IF(NOT(ISNUMBER(C9)),"ОШИБКА ПЛАНА",IF(C9=0,"Нет в плане",IF(AND(ISNUMBER(I9),S9&gt;0),"ОК","НЕТ ЗАМЕРОВ")))</f>
        <v>ОК</v>
      </c>
    </row>
    <row r="10" spans="1:21" ht="42" customHeight="1">
      <c r="A10" s="5">
        <v>3</v>
      </c>
      <c r="B10" s="5" t="s">
        <v>134</v>
      </c>
      <c r="C10" s="13">
        <f>'Ассортимент'!O10</f>
        <v>1</v>
      </c>
      <c r="D10" s="16">
        <f>'Ассортимент'!Q10</f>
        <v>0.03125</v>
      </c>
      <c r="E10" s="13">
        <f>SUMIF('Замеры ДО'!C54:C64,"Ручная",'Замеры ДО'!S54:S64)</f>
        <v>258.78</v>
      </c>
      <c r="F10" s="13">
        <f>SUMIF('Замеры ДО'!C54:C64,"Переход",'Замеры ДО'!S54:S64)</f>
        <v>32</v>
      </c>
      <c r="G10" s="13">
        <f>'Замеры ДО'!S64</f>
        <v>12</v>
      </c>
      <c r="H10" s="13">
        <f>'Ассортимент'!R10</f>
        <v>450</v>
      </c>
      <c r="I10" s="13">
        <f>'Замеры ДО'!O66</f>
        <v>752.78</v>
      </c>
      <c r="J10" s="13">
        <f>'Замеры ДО'!U66</f>
        <v>757.524</v>
      </c>
      <c r="K10" s="13">
        <f>'Замеры ДО'!P66</f>
        <v>762.92</v>
      </c>
      <c r="L10" s="13">
        <f>'Замеры ДО'!T65</f>
        <v>20.6199999999999</v>
      </c>
      <c r="M10" s="13">
        <f>'Периодическая работа'!I15</f>
        <v>236.25</v>
      </c>
      <c r="N10" s="13">
        <f>IF(AND(ISNUMBER(I10),ISNUMBER(M10)),I10+M10,"")</f>
        <v>989.03</v>
      </c>
      <c r="O10" s="13">
        <f>IF(AND(ISNUMBER(C10),ISNUMBER(I10)),C10*I10,IF(C10=0,0,""))</f>
        <v>752.78</v>
      </c>
      <c r="P10" s="13">
        <f>IF(AND(ISNUMBER(C10),ISNUMBER(J10)),C10*J10,IF(C10=0,0,""))</f>
        <v>757.524</v>
      </c>
      <c r="Q10" s="13">
        <f>IF(ISNUMBER(I10),SUM(E10:G10),"")</f>
        <v>302.78</v>
      </c>
      <c r="R10" s="13">
        <f>IF(ISNUMBER(I10),'Замеры ДО'!S58+'Замеры ДО'!S60+H10,"")</f>
        <v>517.2828</v>
      </c>
      <c r="S10" s="13">
        <f>'Замеры ДО'!T66</f>
        <v>10</v>
      </c>
      <c r="T10" s="13">
        <f>'Замеры ДО'!V66</f>
        <v>1.13686837721616e-13</v>
      </c>
      <c r="U10" s="17" t="str">
        <f>IF(NOT(ISNUMBER(C10)),"ОШИБКА ПЛАНА",IF(C10=0,"Нет в плане",IF(AND(ISNUMBER(I10),S10&gt;0),"ОК","НЕТ ЗАМЕРОВ")))</f>
        <v>ОК</v>
      </c>
    </row>
    <row r="11" spans="1:21" ht="42" customHeight="1">
      <c r="A11" s="5">
        <v>4</v>
      </c>
      <c r="B11" s="5" t="s">
        <v>135</v>
      </c>
      <c r="C11" s="13">
        <f>'Ассортимент'!O11</f>
        <v>5</v>
      </c>
      <c r="D11" s="16">
        <f>'Ассортимент'!Q11</f>
        <v>0.15625</v>
      </c>
      <c r="E11" s="13">
        <f>SUMIF('Замеры ДО'!C75:C85,"Ручная",'Замеры ДО'!S75:S85)</f>
        <v>172.08</v>
      </c>
      <c r="F11" s="13">
        <f>SUMIF('Замеры ДО'!C75:C85,"Переход",'Замеры ДО'!S75:S85)</f>
        <v>32</v>
      </c>
      <c r="G11" s="13">
        <f>'Замеры ДО'!S85</f>
        <v>12</v>
      </c>
      <c r="H11" s="13">
        <f>'Ассортимент'!R11</f>
        <v>180</v>
      </c>
      <c r="I11" s="13">
        <f>'Замеры ДО'!O87</f>
        <v>396.08</v>
      </c>
      <c r="J11" s="13">
        <f>'Замеры ДО'!U87</f>
        <v>398.614</v>
      </c>
      <c r="K11" s="13">
        <f>'Замеры ДО'!P87</f>
        <v>399.97</v>
      </c>
      <c r="L11" s="13">
        <f>'Замеры ДО'!T86</f>
        <v>13.82</v>
      </c>
      <c r="M11" s="13">
        <f>'Периодическая работа'!I15</f>
        <v>236.25</v>
      </c>
      <c r="N11" s="13">
        <f>IF(AND(ISNUMBER(I11),ISNUMBER(M11)),I11+M11,"")</f>
        <v>632.33</v>
      </c>
      <c r="O11" s="13">
        <f>IF(AND(ISNUMBER(C11),ISNUMBER(I11)),C11*I11,IF(C11=0,0,""))</f>
        <v>1980.4</v>
      </c>
      <c r="P11" s="13">
        <f>IF(AND(ISNUMBER(C11),ISNUMBER(J11)),C11*J11,IF(C11=0,0,""))</f>
        <v>1993.07</v>
      </c>
      <c r="Q11" s="13">
        <f>IF(ISNUMBER(I11),SUM(E11:G11),"")</f>
        <v>216.08</v>
      </c>
      <c r="R11" s="13">
        <f>IF(ISNUMBER(I11),'Замеры ДО'!S79+'Замеры ДО'!S81+H11,"")</f>
        <v>247.789090909091</v>
      </c>
      <c r="S11" s="13">
        <f>'Замеры ДО'!T87</f>
        <v>10</v>
      </c>
      <c r="T11" s="13">
        <f>'Замеры ДО'!V87</f>
        <v>0</v>
      </c>
      <c r="U11" s="17" t="str">
        <f>IF(NOT(ISNUMBER(C11)),"ОШИБКА ПЛАНА",IF(C11=0,"Нет в плане",IF(AND(ISNUMBER(I11),S11&gt;0),"ОК","НЕТ ЗАМЕРОВ")))</f>
        <v>ОК</v>
      </c>
    </row>
    <row r="12" spans="1:21" ht="42" customHeight="1">
      <c r="A12" s="5">
        <v>5</v>
      </c>
      <c r="B12" s="5" t="s">
        <v>137</v>
      </c>
      <c r="C12" s="13">
        <f>'Ассортимент'!O12</f>
        <v>3</v>
      </c>
      <c r="D12" s="16">
        <f>'Ассортимент'!Q12</f>
        <v>0.09375</v>
      </c>
      <c r="E12" s="13">
        <f>SUMIF('Замеры ДО'!C96:C106,"Ручная",'Замеры ДО'!S96:S106)</f>
        <v>192.48</v>
      </c>
      <c r="F12" s="13">
        <f>SUMIF('Замеры ДО'!C96:C106,"Переход",'Замеры ДО'!S96:S106)</f>
        <v>32</v>
      </c>
      <c r="G12" s="13">
        <f>'Замеры ДО'!S106</f>
        <v>12</v>
      </c>
      <c r="H12" s="13">
        <f>'Ассортимент'!R12</f>
        <v>180</v>
      </c>
      <c r="I12" s="13">
        <f>'Замеры ДО'!O108</f>
        <v>416.48</v>
      </c>
      <c r="J12" s="13">
        <f>'Замеры ДО'!U108</f>
        <v>419.534</v>
      </c>
      <c r="K12" s="13">
        <f>'Замеры ДО'!P108</f>
        <v>421.57</v>
      </c>
      <c r="L12" s="13">
        <f>'Замеры ДО'!T107</f>
        <v>15.42</v>
      </c>
      <c r="M12" s="13">
        <f>'Периодическая работа'!I15</f>
        <v>236.25</v>
      </c>
      <c r="N12" s="13">
        <f>IF(AND(ISNUMBER(I12),ISNUMBER(M12)),I12+M12,"")</f>
        <v>652.73</v>
      </c>
      <c r="O12" s="13">
        <f>IF(AND(ISNUMBER(C12),ISNUMBER(I12)),C12*I12,IF(C12=0,0,""))</f>
        <v>1249.44</v>
      </c>
      <c r="P12" s="13">
        <f>IF(AND(ISNUMBER(C12),ISNUMBER(J12)),C12*J12,IF(C12=0,0,""))</f>
        <v>1258.602</v>
      </c>
      <c r="Q12" s="13">
        <f>IF(ISNUMBER(I12),SUM(E12:G12),"")</f>
        <v>236.48</v>
      </c>
      <c r="R12" s="13">
        <f>IF(ISNUMBER(I12),'Замеры ДО'!S100+'Замеры ДО'!S102+H12,"")</f>
        <v>247.628108108108</v>
      </c>
      <c r="S12" s="13">
        <f>'Замеры ДО'!T108</f>
        <v>10</v>
      </c>
      <c r="T12" s="13">
        <f>'Замеры ДО'!V108</f>
        <v>0</v>
      </c>
      <c r="U12" s="17" t="str">
        <f>IF(NOT(ISNUMBER(C12)),"ОШИБКА ПЛАНА",IF(C12=0,"Нет в плане",IF(AND(ISNUMBER(I12),S12&gt;0),"ОК","НЕТ ЗАМЕРОВ")))</f>
        <v>ОК</v>
      </c>
    </row>
    <row r="13" spans="1:21" ht="42" customHeight="1">
      <c r="A13" s="5">
        <v>6</v>
      </c>
      <c r="B13" s="5" t="s">
        <v>138</v>
      </c>
      <c r="C13" s="13">
        <f>'Ассортимент'!O13</f>
        <v>2</v>
      </c>
      <c r="D13" s="16">
        <f>'Ассортимент'!Q13</f>
        <v>0.0625</v>
      </c>
      <c r="E13" s="13">
        <f>SUMIF('Замеры ДО'!C117:C127,"Ручная",'Замеры ДО'!S117:S127)</f>
        <v>253.68</v>
      </c>
      <c r="F13" s="13">
        <f>SUMIF('Замеры ДО'!C117:C127,"Переход",'Замеры ДО'!S117:S127)</f>
        <v>32</v>
      </c>
      <c r="G13" s="13">
        <f>'Замеры ДО'!S127</f>
        <v>12</v>
      </c>
      <c r="H13" s="13">
        <f>'Ассортимент'!R13</f>
        <v>300</v>
      </c>
      <c r="I13" s="13">
        <f>'Замеры ДО'!O129</f>
        <v>597.68</v>
      </c>
      <c r="J13" s="13">
        <f>'Замеры ДО'!U129</f>
        <v>602.294</v>
      </c>
      <c r="K13" s="13">
        <f>'Замеры ДО'!P129</f>
        <v>607.42</v>
      </c>
      <c r="L13" s="13">
        <f>'Замеры ДО'!T128</f>
        <v>20.2199999999999</v>
      </c>
      <c r="M13" s="13">
        <f>'Периодическая работа'!I15</f>
        <v>236.25</v>
      </c>
      <c r="N13" s="13">
        <f>IF(AND(ISNUMBER(I13),ISNUMBER(M13)),I13+M13,"")</f>
        <v>833.93</v>
      </c>
      <c r="O13" s="13">
        <f>IF(AND(ISNUMBER(C13),ISNUMBER(I13)),C13*I13,IF(C13=0,0,""))</f>
        <v>1195.36</v>
      </c>
      <c r="P13" s="13">
        <f>IF(AND(ISNUMBER(C13),ISNUMBER(J13)),C13*J13,IF(C13=0,0,""))</f>
        <v>1204.588</v>
      </c>
      <c r="Q13" s="13">
        <f>IF(ISNUMBER(I13),SUM(E13:G13),"")</f>
        <v>297.68</v>
      </c>
      <c r="R13" s="13">
        <f>IF(ISNUMBER(I13),'Замеры ДО'!S121+'Замеры ДО'!S123+H13,"")</f>
        <v>367.302857142857</v>
      </c>
      <c r="S13" s="13">
        <f>'Замеры ДО'!T129</f>
        <v>10</v>
      </c>
      <c r="T13" s="13">
        <f>'Замеры ДО'!V129</f>
        <v>0</v>
      </c>
      <c r="U13" s="17" t="str">
        <f>IF(NOT(ISNUMBER(C13)),"ОШИБКА ПЛАНА",IF(C13=0,"Нет в плане",IF(AND(ISNUMBER(I13),S13&gt;0),"ОК","НЕТ ЗАМЕРОВ")))</f>
        <v>ОК</v>
      </c>
    </row>
    <row r="14" spans="1:21" ht="42" customHeight="1">
      <c r="A14" s="5">
        <v>7</v>
      </c>
      <c r="B14" s="5" t="s">
        <v>139</v>
      </c>
      <c r="C14" s="13">
        <f>'Ассортимент'!O14</f>
        <v>1</v>
      </c>
      <c r="D14" s="16">
        <f>'Ассортимент'!Q14</f>
        <v>0.03125</v>
      </c>
      <c r="E14" s="13">
        <f>SUMIF('Замеры ДО'!C138:C148,"Ручная",'Замеры ДО'!S138:S148)</f>
        <v>238.38</v>
      </c>
      <c r="F14" s="13">
        <f>SUMIF('Замеры ДО'!C138:C148,"Переход",'Замеры ДО'!S138:S148)</f>
        <v>32</v>
      </c>
      <c r="G14" s="13">
        <f>'Замеры ДО'!S148</f>
        <v>12</v>
      </c>
      <c r="H14" s="13">
        <f>'Ассортимент'!R14</f>
        <v>300</v>
      </c>
      <c r="I14" s="13">
        <f>'Замеры ДО'!O150</f>
        <v>582.38</v>
      </c>
      <c r="J14" s="13">
        <f>'Замеры ДО'!U150</f>
        <v>586.604</v>
      </c>
      <c r="K14" s="13">
        <f>'Замеры ДО'!P150</f>
        <v>590.92</v>
      </c>
      <c r="L14" s="13">
        <f>'Замеры ДО'!T149</f>
        <v>19.02</v>
      </c>
      <c r="M14" s="13">
        <f>'Периодическая работа'!I15</f>
        <v>236.25</v>
      </c>
      <c r="N14" s="13">
        <f>IF(AND(ISNUMBER(I14),ISNUMBER(M14)),I14+M14,"")</f>
        <v>818.63</v>
      </c>
      <c r="O14" s="13">
        <f>IF(AND(ISNUMBER(C14),ISNUMBER(I14)),C14*I14,IF(C14=0,0,""))</f>
        <v>582.38</v>
      </c>
      <c r="P14" s="13">
        <f>IF(AND(ISNUMBER(C14),ISNUMBER(J14)),C14*J14,IF(C14=0,0,""))</f>
        <v>586.604</v>
      </c>
      <c r="Q14" s="13">
        <f>IF(ISNUMBER(I14),SUM(E14:G14),"")</f>
        <v>282.38</v>
      </c>
      <c r="R14" s="13">
        <f>IF(ISNUMBER(I14),'Замеры ДО'!S142+'Замеры ДО'!S144+H14,"")</f>
        <v>367.368260869565</v>
      </c>
      <c r="S14" s="13">
        <f>'Замеры ДО'!T150</f>
        <v>10</v>
      </c>
      <c r="T14" s="13">
        <f>'Замеры ДО'!V150</f>
        <v>0</v>
      </c>
      <c r="U14" s="17" t="str">
        <f>IF(NOT(ISNUMBER(C14)),"ОШИБКА ПЛАНА",IF(C14=0,"Нет в плане",IF(AND(ISNUMBER(I14),S14&gt;0),"ОК","НЕТ ЗАМЕРОВ")))</f>
        <v>ОК</v>
      </c>
    </row>
    <row r="15" spans="1:21" ht="42" customHeight="1">
      <c r="A15" s="5">
        <v>8</v>
      </c>
      <c r="B15" s="5" t="s">
        <v>140</v>
      </c>
      <c r="C15" s="13">
        <f>'Ассортимент'!O15</f>
        <v>1</v>
      </c>
      <c r="D15" s="16">
        <f>'Ассортимент'!Q15</f>
        <v>0.03125</v>
      </c>
      <c r="E15" s="13">
        <f>SUMIF('Замеры ДО'!C159:C169,"Ручная",'Замеры ДО'!S159:S169)</f>
        <v>258.78</v>
      </c>
      <c r="F15" s="13">
        <f>SUMIF('Замеры ДО'!C159:C169,"Переход",'Замеры ДО'!S159:S169)</f>
        <v>32</v>
      </c>
      <c r="G15" s="13">
        <f>'Замеры ДО'!S169</f>
        <v>12</v>
      </c>
      <c r="H15" s="13">
        <f>'Ассортимент'!R15</f>
        <v>300</v>
      </c>
      <c r="I15" s="13">
        <f>'Замеры ДО'!O171</f>
        <v>602.78</v>
      </c>
      <c r="J15" s="13">
        <f>'Замеры ДО'!U171</f>
        <v>607.524</v>
      </c>
      <c r="K15" s="13">
        <f>'Замеры ДО'!P171</f>
        <v>612.92</v>
      </c>
      <c r="L15" s="13">
        <f>'Замеры ДО'!T170</f>
        <v>20.6199999999999</v>
      </c>
      <c r="M15" s="13">
        <f>'Периодическая работа'!I15</f>
        <v>236.25</v>
      </c>
      <c r="N15" s="13">
        <f>IF(AND(ISNUMBER(I15),ISNUMBER(M15)),I15+M15,"")</f>
        <v>839.03</v>
      </c>
      <c r="O15" s="13">
        <f>IF(AND(ISNUMBER(C15),ISNUMBER(I15)),C15*I15,IF(C15=0,0,""))</f>
        <v>602.78</v>
      </c>
      <c r="P15" s="13">
        <f>IF(AND(ISNUMBER(C15),ISNUMBER(J15)),C15*J15,IF(C15=0,0,""))</f>
        <v>607.524</v>
      </c>
      <c r="Q15" s="13">
        <f>IF(ISNUMBER(I15),SUM(E15:G15),"")</f>
        <v>302.78</v>
      </c>
      <c r="R15" s="13">
        <f>IF(ISNUMBER(I15),'Замеры ДО'!S163+'Замеры ДО'!S165+H15,"")</f>
        <v>367.2828</v>
      </c>
      <c r="S15" s="13">
        <f>'Замеры ДО'!T171</f>
        <v>10</v>
      </c>
      <c r="T15" s="13">
        <f>'Замеры ДО'!V171</f>
        <v>0</v>
      </c>
      <c r="U15" s="17" t="str">
        <f>IF(NOT(ISNUMBER(C15)),"ОШИБКА ПЛАНА",IF(C15=0,"Нет в плане",IF(AND(ISNUMBER(I15),S15&gt;0),"ОК","НЕТ ЗАМЕРОВ")))</f>
        <v>ОК</v>
      </c>
    </row>
    <row r="16" spans="1:21" ht="42" customHeight="1">
      <c r="A16" s="5">
        <v>9</v>
      </c>
      <c r="B16" s="5" t="s">
        <v>141</v>
      </c>
      <c r="C16" s="13">
        <f>'Ассортимент'!O16</f>
        <v>2</v>
      </c>
      <c r="D16" s="16">
        <f>'Ассортимент'!Q16</f>
        <v>0.0625</v>
      </c>
      <c r="E16" s="13">
        <f>SUMIF('Замеры ДО'!C180:C190,"Ручная",'Замеры ДО'!S180:S190)</f>
        <v>202.68</v>
      </c>
      <c r="F16" s="13">
        <f>SUMIF('Замеры ДО'!C180:C190,"Переход",'Замеры ДО'!S180:S190)</f>
        <v>32</v>
      </c>
      <c r="G16" s="13">
        <f>'Замеры ДО'!S190</f>
        <v>12</v>
      </c>
      <c r="H16" s="13">
        <f>'Ассортимент'!R16</f>
        <v>300</v>
      </c>
      <c r="I16" s="13">
        <f>'Замеры ДО'!O192</f>
        <v>546.68</v>
      </c>
      <c r="J16" s="13">
        <f>'Замеры ДО'!U192</f>
        <v>549.994</v>
      </c>
      <c r="K16" s="13">
        <f>'Замеры ДО'!P192</f>
        <v>552.42</v>
      </c>
      <c r="L16" s="13">
        <f>'Замеры ДО'!T191</f>
        <v>16.2199999999999</v>
      </c>
      <c r="M16" s="13">
        <f>'Периодическая работа'!I15</f>
        <v>236.25</v>
      </c>
      <c r="N16" s="13">
        <f>IF(AND(ISNUMBER(I16),ISNUMBER(M16)),I16+M16,"")</f>
        <v>782.93</v>
      </c>
      <c r="O16" s="13">
        <f>IF(AND(ISNUMBER(C16),ISNUMBER(I16)),C16*I16,IF(C16=0,0,""))</f>
        <v>1093.36</v>
      </c>
      <c r="P16" s="13">
        <f>IF(AND(ISNUMBER(C16),ISNUMBER(J16)),C16*J16,IF(C16=0,0,""))</f>
        <v>1099.988</v>
      </c>
      <c r="Q16" s="13">
        <f>IF(ISNUMBER(I16),SUM(E16:G16),"")</f>
        <v>246.68</v>
      </c>
      <c r="R16" s="13">
        <f>IF(ISNUMBER(I16),'Замеры ДО'!S184+'Замеры ДО'!S186+H16,"")</f>
        <v>367.56</v>
      </c>
      <c r="S16" s="13">
        <f>'Замеры ДО'!T192</f>
        <v>10</v>
      </c>
      <c r="T16" s="13">
        <f>'Замеры ДО'!V192</f>
        <v>0</v>
      </c>
      <c r="U16" s="17" t="str">
        <f>IF(NOT(ISNUMBER(C16)),"ОШИБКА ПЛАНА",IF(C16=0,"Нет в плане",IF(AND(ISNUMBER(I16),S16&gt;0),"ОК","НЕТ ЗАМЕРОВ")))</f>
        <v>ОК</v>
      </c>
    </row>
    <row r="17" spans="1:21" ht="42" customHeight="1">
      <c r="A17" s="5">
        <v>10</v>
      </c>
      <c r="B17" s="5" t="s">
        <v>142</v>
      </c>
      <c r="C17" s="13">
        <f>'Ассортимент'!O17</f>
        <v>3</v>
      </c>
      <c r="D17" s="16">
        <f>'Ассортимент'!Q17</f>
        <v>0.09375</v>
      </c>
      <c r="E17" s="13">
        <f>SUMIF('Замеры ДО'!C201:C211,"Ручная",'Замеры ДО'!S201:S211)</f>
        <v>182.28</v>
      </c>
      <c r="F17" s="13">
        <f>SUMIF('Замеры ДО'!C201:C211,"Переход",'Замеры ДО'!S201:S211)</f>
        <v>32</v>
      </c>
      <c r="G17" s="13">
        <f>'Замеры ДО'!S211</f>
        <v>12</v>
      </c>
      <c r="H17" s="13">
        <f>'Ассортимент'!R17</f>
        <v>300</v>
      </c>
      <c r="I17" s="13">
        <f>'Замеры ДО'!O213</f>
        <v>526.28</v>
      </c>
      <c r="J17" s="13">
        <f>'Замеры ДО'!U213</f>
        <v>529.074</v>
      </c>
      <c r="K17" s="13">
        <f>'Замеры ДО'!P213</f>
        <v>530.77</v>
      </c>
      <c r="L17" s="13">
        <f>'Замеры ДО'!T212</f>
        <v>14.6199999999999</v>
      </c>
      <c r="M17" s="13">
        <f>'Периодическая работа'!I15</f>
        <v>236.25</v>
      </c>
      <c r="N17" s="13">
        <f>IF(AND(ISNUMBER(I17),ISNUMBER(M17)),I17+M17,"")</f>
        <v>762.53</v>
      </c>
      <c r="O17" s="13">
        <f>IF(AND(ISNUMBER(C17),ISNUMBER(I17)),C17*I17,IF(C17=0,0,""))</f>
        <v>1578.84</v>
      </c>
      <c r="P17" s="13">
        <f>IF(AND(ISNUMBER(C17),ISNUMBER(J17)),C17*J17,IF(C17=0,0,""))</f>
        <v>1587.222</v>
      </c>
      <c r="Q17" s="13">
        <f>IF(ISNUMBER(I17),SUM(E17:G17),"")</f>
        <v>226.28</v>
      </c>
      <c r="R17" s="13">
        <f>IF(ISNUMBER(I17),'Замеры ДО'!S205+'Замеры ДО'!S207+H17,"")</f>
        <v>367.704</v>
      </c>
      <c r="S17" s="13">
        <f>'Замеры ДО'!T213</f>
        <v>10</v>
      </c>
      <c r="T17" s="13">
        <f>'Замеры ДО'!V213</f>
        <v>0</v>
      </c>
      <c r="U17" s="17" t="str">
        <f>IF(NOT(ISNUMBER(C17)),"ОШИБКА ПЛАНА",IF(C17=0,"Нет в плане",IF(AND(ISNUMBER(I17),S17&gt;0),"ОК","НЕТ ЗАМЕРОВ")))</f>
        <v>ОК</v>
      </c>
    </row>
    <row r="18" spans="1:21" ht="42" customHeight="1">
      <c r="A18" s="5">
        <v>11</v>
      </c>
      <c r="B18" s="5" t="s">
        <v>143</v>
      </c>
      <c r="C18" s="13">
        <f>'Ассортимент'!O18</f>
        <v>4</v>
      </c>
      <c r="D18" s="16">
        <f>'Ассортимент'!Q18</f>
        <v>0.125</v>
      </c>
      <c r="E18" s="13">
        <f>SUMIF('Замеры ДО'!C222:C232,"Ручная",'Замеры ДО'!S222:S232)</f>
        <v>172.08</v>
      </c>
      <c r="F18" s="13">
        <f>SUMIF('Замеры ДО'!C222:C232,"Переход",'Замеры ДО'!S222:S232)</f>
        <v>32</v>
      </c>
      <c r="G18" s="13">
        <f>'Замеры ДО'!S232</f>
        <v>12</v>
      </c>
      <c r="H18" s="13">
        <f>'Ассортимент'!R18</f>
        <v>300</v>
      </c>
      <c r="I18" s="13">
        <f>'Замеры ДО'!O234</f>
        <v>516.08</v>
      </c>
      <c r="J18" s="13">
        <f>'Замеры ДО'!U234</f>
        <v>518.614</v>
      </c>
      <c r="K18" s="13">
        <f>'Замеры ДО'!P234</f>
        <v>519.97</v>
      </c>
      <c r="L18" s="13">
        <f>'Замеры ДО'!T233</f>
        <v>13.8200000000001</v>
      </c>
      <c r="M18" s="13">
        <f>'Периодическая работа'!I15</f>
        <v>236.25</v>
      </c>
      <c r="N18" s="13">
        <f>IF(AND(ISNUMBER(I18),ISNUMBER(M18)),I18+M18,"")</f>
        <v>752.33</v>
      </c>
      <c r="O18" s="13">
        <f>IF(AND(ISNUMBER(C18),ISNUMBER(I18)),C18*I18,IF(C18=0,0,""))</f>
        <v>2064.32</v>
      </c>
      <c r="P18" s="13">
        <f>IF(AND(ISNUMBER(C18),ISNUMBER(J18)),C18*J18,IF(C18=0,0,""))</f>
        <v>2074.456</v>
      </c>
      <c r="Q18" s="13">
        <f>IF(ISNUMBER(I18),SUM(E18:G18),"")</f>
        <v>216.08</v>
      </c>
      <c r="R18" s="13">
        <f>IF(ISNUMBER(I18),'Замеры ДО'!S226+'Замеры ДО'!S228+H18,"")</f>
        <v>367.789090909091</v>
      </c>
      <c r="S18" s="13">
        <f>'Замеры ДО'!T234</f>
        <v>10</v>
      </c>
      <c r="T18" s="13">
        <f>'Замеры ДО'!V234</f>
        <v>0</v>
      </c>
      <c r="U18" s="17" t="str">
        <f>IF(NOT(ISNUMBER(C18)),"ОШИБКА ПЛАНА",IF(C18=0,"Нет в плане",IF(AND(ISNUMBER(I18),S18&gt;0),"ОК","НЕТ ЗАМЕРОВ")))</f>
        <v>ОК</v>
      </c>
    </row>
    <row r="19" spans="1:21" ht="42" customHeight="1">
      <c r="A19" s="5">
        <v>12</v>
      </c>
      <c r="B19" s="5" t="s">
        <v>144</v>
      </c>
      <c r="C19" s="13">
        <f>'Ассортимент'!O19</f>
        <v>1</v>
      </c>
      <c r="D19" s="16">
        <f>'Ассортимент'!Q19</f>
        <v>0.03125</v>
      </c>
      <c r="E19" s="13">
        <f>SUMIF('Замеры ДО'!C243:C253,"Ручная",'Замеры ДО'!S243:S253)</f>
        <v>197.58</v>
      </c>
      <c r="F19" s="13">
        <f>SUMIF('Замеры ДО'!C243:C253,"Переход",'Замеры ДО'!S243:S253)</f>
        <v>32</v>
      </c>
      <c r="G19" s="13">
        <f>'Замеры ДО'!S253</f>
        <v>12</v>
      </c>
      <c r="H19" s="13">
        <f>'Ассортимент'!R19</f>
        <v>300</v>
      </c>
      <c r="I19" s="13">
        <f>'Замеры ДО'!O255</f>
        <v>541.58</v>
      </c>
      <c r="J19" s="13">
        <f>'Замеры ДО'!U255</f>
        <v>544.764</v>
      </c>
      <c r="K19" s="13">
        <f>'Замеры ДО'!P255</f>
        <v>546.97</v>
      </c>
      <c r="L19" s="13">
        <f>'Замеры ДО'!T254</f>
        <v>15.82</v>
      </c>
      <c r="M19" s="13">
        <f>'Периодическая работа'!I15</f>
        <v>236.25</v>
      </c>
      <c r="N19" s="13">
        <f>IF(AND(ISNUMBER(I19),ISNUMBER(M19)),I19+M19,"")</f>
        <v>777.83</v>
      </c>
      <c r="O19" s="13">
        <f>IF(AND(ISNUMBER(C19),ISNUMBER(I19)),C19*I19,IF(C19=0,0,""))</f>
        <v>541.58</v>
      </c>
      <c r="P19" s="13">
        <f>IF(AND(ISNUMBER(C19),ISNUMBER(J19)),C19*J19,IF(C19=0,0,""))</f>
        <v>544.764</v>
      </c>
      <c r="Q19" s="13">
        <f>IF(ISNUMBER(I19),SUM(E19:G19),"")</f>
        <v>241.58</v>
      </c>
      <c r="R19" s="13">
        <f>IF(ISNUMBER(I19),'Замеры ДО'!S247+'Замеры ДО'!S249+H19,"")</f>
        <v>367.593157894737</v>
      </c>
      <c r="S19" s="13">
        <f>'Замеры ДО'!T255</f>
        <v>10</v>
      </c>
      <c r="T19" s="13">
        <f>'Замеры ДО'!V255</f>
        <v>0</v>
      </c>
      <c r="U19" s="17" t="str">
        <f>IF(NOT(ISNUMBER(C19)),"ОШИБКА ПЛАНА",IF(C19=0,"Нет в плане",IF(AND(ISNUMBER(I19),S19&gt;0),"ОК","НЕТ ЗАМЕРОВ")))</f>
        <v>ОК</v>
      </c>
    </row>
    <row r="20" spans="1:21" ht="42" customHeight="1">
      <c r="A20" s="5">
        <v>13</v>
      </c>
      <c r="B20" s="5" t="s">
        <v>145</v>
      </c>
      <c r="C20" s="13">
        <f>'Ассортимент'!O20</f>
        <v>1</v>
      </c>
      <c r="D20" s="16">
        <f>'Ассортимент'!Q20</f>
        <v>0.03125</v>
      </c>
      <c r="E20" s="13">
        <f>SUMIF('Замеры ДО'!C264:C274,"Ручная",'Замеры ДО'!S264:S274)</f>
        <v>207.78</v>
      </c>
      <c r="F20" s="13">
        <f>SUMIF('Замеры ДО'!C264:C274,"Переход",'Замеры ДО'!S264:S274)</f>
        <v>32</v>
      </c>
      <c r="G20" s="13">
        <f>'Замеры ДО'!S274</f>
        <v>12</v>
      </c>
      <c r="H20" s="13">
        <f>'Ассортимент'!R20</f>
        <v>300</v>
      </c>
      <c r="I20" s="13">
        <f>'Замеры ДО'!O276</f>
        <v>551.78</v>
      </c>
      <c r="J20" s="13">
        <f>'Замеры ДО'!U276</f>
        <v>555.224</v>
      </c>
      <c r="K20" s="13">
        <f>'Замеры ДО'!P276</f>
        <v>557.92</v>
      </c>
      <c r="L20" s="13">
        <f>'Замеры ДО'!T275</f>
        <v>16.6199999999999</v>
      </c>
      <c r="M20" s="13">
        <f>'Периодическая работа'!I15</f>
        <v>236.25</v>
      </c>
      <c r="N20" s="13">
        <f>IF(AND(ISNUMBER(I20),ISNUMBER(M20)),I20+M20,"")</f>
        <v>788.03</v>
      </c>
      <c r="O20" s="13">
        <f>IF(AND(ISNUMBER(C20),ISNUMBER(I20)),C20*I20,IF(C20=0,0,""))</f>
        <v>551.78</v>
      </c>
      <c r="P20" s="13">
        <f>IF(AND(ISNUMBER(C20),ISNUMBER(J20)),C20*J20,IF(C20=0,0,""))</f>
        <v>555.224</v>
      </c>
      <c r="Q20" s="13">
        <f>IF(ISNUMBER(I20),SUM(E20:G20),"")</f>
        <v>251.78</v>
      </c>
      <c r="R20" s="13">
        <f>IF(ISNUMBER(I20),'Замеры ДО'!S268+'Замеры ДО'!S270+H20,"")</f>
        <v>367.5285</v>
      </c>
      <c r="S20" s="13">
        <f>'Замеры ДО'!T276</f>
        <v>10</v>
      </c>
      <c r="T20" s="13">
        <f>'Замеры ДО'!V276</f>
        <v>0</v>
      </c>
      <c r="U20" s="17" t="str">
        <f>IF(NOT(ISNUMBER(C20)),"ОШИБКА ПЛАНА",IF(C20=0,"Нет в плане",IF(AND(ISNUMBER(I20),S20&gt;0),"ОК","НЕТ ЗАМЕРОВ")))</f>
        <v>ОК</v>
      </c>
    </row>
    <row r="21" spans="1:21" ht="42" customHeight="1">
      <c r="A21" s="5">
        <v>14</v>
      </c>
      <c r="B21" s="5" t="s">
        <v>146</v>
      </c>
      <c r="C21" s="13">
        <f>'Ассортимент'!O21</f>
        <v>1</v>
      </c>
      <c r="D21" s="16">
        <f>'Ассортимент'!Q21</f>
        <v>0.03125</v>
      </c>
      <c r="E21" s="13">
        <f>SUMIF('Замеры ДО'!C285:C295,"Ручная",'Замеры ДО'!S285:S295)</f>
        <v>202.68</v>
      </c>
      <c r="F21" s="13">
        <f>SUMIF('Замеры ДО'!C285:C295,"Переход",'Замеры ДО'!S285:S295)</f>
        <v>32</v>
      </c>
      <c r="G21" s="13">
        <f>'Замеры ДО'!S295</f>
        <v>12</v>
      </c>
      <c r="H21" s="13">
        <f>'Ассортимент'!R21</f>
        <v>300</v>
      </c>
      <c r="I21" s="13">
        <f>'Замеры ДО'!O297</f>
        <v>546.68</v>
      </c>
      <c r="J21" s="13">
        <f>'Замеры ДО'!U297</f>
        <v>549.994</v>
      </c>
      <c r="K21" s="13">
        <f>'Замеры ДО'!P297</f>
        <v>552.42</v>
      </c>
      <c r="L21" s="13">
        <f>'Замеры ДО'!T296</f>
        <v>16.2199999999999</v>
      </c>
      <c r="M21" s="13">
        <f>'Периодическая работа'!I15</f>
        <v>236.25</v>
      </c>
      <c r="N21" s="13">
        <f>IF(AND(ISNUMBER(I21),ISNUMBER(M21)),I21+M21,"")</f>
        <v>782.93</v>
      </c>
      <c r="O21" s="13">
        <f>IF(AND(ISNUMBER(C21),ISNUMBER(I21)),C21*I21,IF(C21=0,0,""))</f>
        <v>546.68</v>
      </c>
      <c r="P21" s="13">
        <f>IF(AND(ISNUMBER(C21),ISNUMBER(J21)),C21*J21,IF(C21=0,0,""))</f>
        <v>549.994</v>
      </c>
      <c r="Q21" s="13">
        <f>IF(ISNUMBER(I21),SUM(E21:G21),"")</f>
        <v>246.68</v>
      </c>
      <c r="R21" s="13">
        <f>IF(ISNUMBER(I21),'Замеры ДО'!S289+'Замеры ДО'!S291+H21,"")</f>
        <v>367.56</v>
      </c>
      <c r="S21" s="13">
        <f>'Замеры ДО'!T297</f>
        <v>10</v>
      </c>
      <c r="T21" s="13">
        <f>'Замеры ДО'!V297</f>
        <v>0</v>
      </c>
      <c r="U21" s="17" t="str">
        <f>IF(NOT(ISNUMBER(C21)),"ОШИБКА ПЛАНА",IF(C21=0,"Нет в плане",IF(AND(ISNUMBER(I21),S21&gt;0),"ОК","НЕТ ЗАМЕРОВ")))</f>
        <v>ОК</v>
      </c>
    </row>
    <row r="22" spans="1:21" ht="42" customHeight="1">
      <c r="A22" s="5">
        <v>15</v>
      </c>
      <c r="B22" s="5" t="s">
        <v>147</v>
      </c>
      <c r="C22" s="13">
        <f>'Ассортимент'!O22</f>
        <v>1</v>
      </c>
      <c r="D22" s="16">
        <f>'Ассортимент'!Q22</f>
        <v>0.03125</v>
      </c>
      <c r="E22" s="13">
        <f>SUMIF('Замеры ДО'!C306:C316,"Ручная",'Замеры ДО'!S306:S316)</f>
        <v>182.28</v>
      </c>
      <c r="F22" s="13">
        <f>SUMIF('Замеры ДО'!C306:C316,"Переход",'Замеры ДО'!S306:S316)</f>
        <v>32</v>
      </c>
      <c r="G22" s="13">
        <f>'Замеры ДО'!S316</f>
        <v>12</v>
      </c>
      <c r="H22" s="13">
        <f>'Ассортимент'!R22</f>
        <v>300</v>
      </c>
      <c r="I22" s="13">
        <f>'Замеры ДО'!O318</f>
        <v>526.28</v>
      </c>
      <c r="J22" s="13">
        <f>'Замеры ДО'!U318</f>
        <v>529.074</v>
      </c>
      <c r="K22" s="13">
        <f>'Замеры ДО'!P318</f>
        <v>530.77</v>
      </c>
      <c r="L22" s="13">
        <f>'Замеры ДО'!T317</f>
        <v>14.6199999999999</v>
      </c>
      <c r="M22" s="13">
        <f>'Периодическая работа'!I15</f>
        <v>236.25</v>
      </c>
      <c r="N22" s="13">
        <f>IF(AND(ISNUMBER(I22),ISNUMBER(M22)),I22+M22,"")</f>
        <v>762.53</v>
      </c>
      <c r="O22" s="13">
        <f>IF(AND(ISNUMBER(C22),ISNUMBER(I22)),C22*I22,IF(C22=0,0,""))</f>
        <v>526.28</v>
      </c>
      <c r="P22" s="13">
        <f>IF(AND(ISNUMBER(C22),ISNUMBER(J22)),C22*J22,IF(C22=0,0,""))</f>
        <v>529.074</v>
      </c>
      <c r="Q22" s="13">
        <f>IF(ISNUMBER(I22),SUM(E22:G22),"")</f>
        <v>226.28</v>
      </c>
      <c r="R22" s="13">
        <f>IF(ISNUMBER(I22),'Замеры ДО'!S310+'Замеры ДО'!S312+H22,"")</f>
        <v>367.704</v>
      </c>
      <c r="S22" s="13">
        <f>'Замеры ДО'!T318</f>
        <v>10</v>
      </c>
      <c r="T22" s="13">
        <f>'Замеры ДО'!V318</f>
        <v>0</v>
      </c>
      <c r="U22" s="17" t="str">
        <f>IF(NOT(ISNUMBER(C22)),"ОШИБКА ПЛАНА",IF(C22=0,"Нет в плане",IF(AND(ISNUMBER(I22),S22&gt;0),"ОК","НЕТ ЗАМЕРОВ")))</f>
        <v>ОК</v>
      </c>
    </row>
    <row r="23" spans="1:21" ht="42" customHeight="1">
      <c r="A23" s="5">
        <v>16</v>
      </c>
      <c r="B23" s="5" t="s">
        <v>148</v>
      </c>
      <c r="C23" s="13">
        <f>'Ассортимент'!O23</f>
        <v>1</v>
      </c>
      <c r="D23" s="16">
        <f>'Ассортимент'!Q23</f>
        <v>0.03125</v>
      </c>
      <c r="E23" s="13">
        <f>SUMIF('Замеры ДО'!C327:C337,"Ручная",'Замеры ДО'!S327:S337)</f>
        <v>192.48</v>
      </c>
      <c r="F23" s="13">
        <f>SUMIF('Замеры ДО'!C327:C337,"Переход",'Замеры ДО'!S327:S337)</f>
        <v>32</v>
      </c>
      <c r="G23" s="13">
        <f>'Замеры ДО'!S337</f>
        <v>12</v>
      </c>
      <c r="H23" s="13">
        <f>'Ассортимент'!R23</f>
        <v>300</v>
      </c>
      <c r="I23" s="13">
        <f>'Замеры ДО'!O339</f>
        <v>536.48</v>
      </c>
      <c r="J23" s="13">
        <f>'Замеры ДО'!U339</f>
        <v>539.534</v>
      </c>
      <c r="K23" s="13">
        <f>'Замеры ДО'!P339</f>
        <v>541.57</v>
      </c>
      <c r="L23" s="13">
        <f>'Замеры ДО'!T338</f>
        <v>15.42</v>
      </c>
      <c r="M23" s="13">
        <f>'Периодическая работа'!I15</f>
        <v>236.25</v>
      </c>
      <c r="N23" s="13">
        <f>IF(AND(ISNUMBER(I23),ISNUMBER(M23)),I23+M23,"")</f>
        <v>772.73</v>
      </c>
      <c r="O23" s="13">
        <f>IF(AND(ISNUMBER(C23),ISNUMBER(I23)),C23*I23,IF(C23=0,0,""))</f>
        <v>536.48</v>
      </c>
      <c r="P23" s="13">
        <f>IF(AND(ISNUMBER(C23),ISNUMBER(J23)),C23*J23,IF(C23=0,0,""))</f>
        <v>539.534</v>
      </c>
      <c r="Q23" s="13">
        <f>IF(ISNUMBER(I23),SUM(E23:G23),"")</f>
        <v>236.48</v>
      </c>
      <c r="R23" s="13">
        <f>IF(ISNUMBER(I23),'Замеры ДО'!S331+'Замеры ДО'!S333+H23,"")</f>
        <v>367.628108108108</v>
      </c>
      <c r="S23" s="13">
        <f>'Замеры ДО'!T339</f>
        <v>10</v>
      </c>
      <c r="T23" s="13">
        <f>'Замеры ДО'!V339</f>
        <v>0</v>
      </c>
      <c r="U23" s="17" t="str">
        <f>IF(NOT(ISNUMBER(C23)),"ОШИБКА ПЛАНА",IF(C23=0,"Нет в плане",IF(AND(ISNUMBER(I23),S23&gt;0),"ОК","НЕТ ЗАМЕРОВ")))</f>
        <v>ОК</v>
      </c>
    </row>
    <row r="24" spans="1:21" ht="42" customHeight="1">
      <c r="A24" s="5">
        <v>17</v>
      </c>
      <c r="B24" s="5" t="s">
        <v>149</v>
      </c>
      <c r="C24" s="13">
        <f>'Ассортимент'!O24</f>
        <v>1</v>
      </c>
      <c r="D24" s="16">
        <f>'Ассортимент'!Q24</f>
        <v>0.03125</v>
      </c>
      <c r="E24" s="13">
        <f>SUMIF('Замеры ДО'!C348:C358,"Ручная",'Замеры ДО'!S348:S358)</f>
        <v>166.98</v>
      </c>
      <c r="F24" s="13">
        <f>SUMIF('Замеры ДО'!C348:C358,"Переход",'Замеры ДО'!S348:S358)</f>
        <v>32</v>
      </c>
      <c r="G24" s="13">
        <f>'Замеры ДО'!S358</f>
        <v>12</v>
      </c>
      <c r="H24" s="13">
        <f>'Ассортимент'!R24</f>
        <v>300</v>
      </c>
      <c r="I24" s="13">
        <f>'Замеры ДО'!O360</f>
        <v>510.98</v>
      </c>
      <c r="J24" s="13">
        <f>'Замеры ДО'!U360</f>
        <v>513.384</v>
      </c>
      <c r="K24" s="13">
        <f>'Замеры ДО'!P360</f>
        <v>514.57</v>
      </c>
      <c r="L24" s="13">
        <f>'Замеры ДО'!T359</f>
        <v>13.42</v>
      </c>
      <c r="M24" s="13">
        <f>'Периодическая работа'!I15</f>
        <v>236.25</v>
      </c>
      <c r="N24" s="13">
        <f>IF(AND(ISNUMBER(I24),ISNUMBER(M24)),I24+M24,"")</f>
        <v>747.23</v>
      </c>
      <c r="O24" s="13">
        <f>IF(AND(ISNUMBER(C24),ISNUMBER(I24)),C24*I24,IF(C24=0,0,""))</f>
        <v>510.98</v>
      </c>
      <c r="P24" s="13">
        <f>IF(AND(ISNUMBER(C24),ISNUMBER(J24)),C24*J24,IF(C24=0,0,""))</f>
        <v>513.384</v>
      </c>
      <c r="Q24" s="13">
        <f>IF(ISNUMBER(I24),SUM(E24:G24),"")</f>
        <v>210.98</v>
      </c>
      <c r="R24" s="13">
        <f>IF(ISNUMBER(I24),'Замеры ДО'!S352+'Замеры ДО'!S354+H24,"")</f>
        <v>367.835625</v>
      </c>
      <c r="S24" s="13">
        <f>'Замеры ДО'!T360</f>
        <v>10</v>
      </c>
      <c r="T24" s="13">
        <f>'Замеры ДО'!V360</f>
        <v>0</v>
      </c>
      <c r="U24" s="17" t="str">
        <f>IF(NOT(ISNUMBER(C24)),"ОШИБКА ПЛАНА",IF(C24=0,"Нет в плане",IF(AND(ISNUMBER(I24),S24&gt;0),"ОК","НЕТ ЗАМЕРОВ")))</f>
        <v>ОК</v>
      </c>
    </row>
    <row r="25" spans="1:21" ht="42" customHeight="1">
      <c r="A25" s="5">
        <v>18</v>
      </c>
      <c r="B25" s="5" t="s">
        <v>150</v>
      </c>
      <c r="C25" s="13">
        <f>'Ассортимент'!O25</f>
        <v>1</v>
      </c>
      <c r="D25" s="16">
        <f>'Ассортимент'!Q25</f>
        <v>0.03125</v>
      </c>
      <c r="E25" s="13">
        <f>SUMIF('Замеры ДО'!C369:C379,"Ручная",'Замеры ДО'!S369:S379)</f>
        <v>166.98</v>
      </c>
      <c r="F25" s="13">
        <f>SUMIF('Замеры ДО'!C369:C379,"Переход",'Замеры ДО'!S369:S379)</f>
        <v>32</v>
      </c>
      <c r="G25" s="13">
        <f>'Замеры ДО'!S379</f>
        <v>12</v>
      </c>
      <c r="H25" s="13">
        <f>'Ассортимент'!R25</f>
        <v>300</v>
      </c>
      <c r="I25" s="13">
        <f>'Замеры ДО'!O381</f>
        <v>510.98</v>
      </c>
      <c r="J25" s="13">
        <f>'Замеры ДО'!U381</f>
        <v>513.384</v>
      </c>
      <c r="K25" s="13">
        <f>'Замеры ДО'!P381</f>
        <v>514.57</v>
      </c>
      <c r="L25" s="13">
        <f>'Замеры ДО'!T380</f>
        <v>13.42</v>
      </c>
      <c r="M25" s="13">
        <f>'Периодическая работа'!I15</f>
        <v>236.25</v>
      </c>
      <c r="N25" s="13">
        <f>IF(AND(ISNUMBER(I25),ISNUMBER(M25)),I25+M25,"")</f>
        <v>747.23</v>
      </c>
      <c r="O25" s="13">
        <f>IF(AND(ISNUMBER(C25),ISNUMBER(I25)),C25*I25,IF(C25=0,0,""))</f>
        <v>510.98</v>
      </c>
      <c r="P25" s="13">
        <f>IF(AND(ISNUMBER(C25),ISNUMBER(J25)),C25*J25,IF(C25=0,0,""))</f>
        <v>513.384</v>
      </c>
      <c r="Q25" s="13">
        <f>IF(ISNUMBER(I25),SUM(E25:G25),"")</f>
        <v>210.98</v>
      </c>
      <c r="R25" s="13">
        <f>IF(ISNUMBER(I25),'Замеры ДО'!S373+'Замеры ДО'!S375+H25,"")</f>
        <v>367.835625</v>
      </c>
      <c r="S25" s="13">
        <f>'Замеры ДО'!T381</f>
        <v>10</v>
      </c>
      <c r="T25" s="13">
        <f>'Замеры ДО'!V381</f>
        <v>0</v>
      </c>
      <c r="U25" s="17" t="str">
        <f>IF(NOT(ISNUMBER(C25)),"ОШИБКА ПЛАНА",IF(C25=0,"Нет в плане",IF(AND(ISNUMBER(I25),S25&gt;0),"ОК","НЕТ ЗАМЕРОВ")))</f>
        <v>ОК</v>
      </c>
    </row>
    <row r="27" spans="1:21" ht="23" customHeight="1">
      <c r="B27" s="4" t="s">
        <v>304</v>
      </c>
      <c r="C27" s="6">
        <f>IF(COUNT(C8:C25)=18,SUM(C8:C25),"")</f>
        <v>32</v>
      </c>
      <c r="D27" s="16">
        <f>SUM(D8:D25)</f>
        <v>1</v>
      </c>
      <c r="E27" s="6">
        <f>IF(AND(AND(ISNUMBER($C$27),$C$27&gt;0,COUNTIF($U$8:$U$25,"НЕТ ЗАМЕРОВ")=0,COUNTIF($U$8:$U$25,"ОШИБКА ПЛАНА")=0),SUMPRODUCT($C$8:$C$25,ISNUMBER(E8:E25)*1)=$C$27),SUMPRODUCT($C$8:$C$25,E8:E25)/$C$27,"")</f>
        <v>199.4925</v>
      </c>
      <c r="F27" s="6">
        <f>IF(AND(AND(ISNUMBER($C$27),$C$27&gt;0,COUNTIF($U$8:$U$25,"НЕТ ЗАМЕРОВ")=0,COUNTIF($U$8:$U$25,"ОШИБКА ПЛАНА")=0),SUMPRODUCT($C$8:$C$25,ISNUMBER(F8:F25)*1)=$C$27),SUMPRODUCT($C$8:$C$25,F8:F25)/$C$27,"")</f>
        <v>32</v>
      </c>
      <c r="G27" s="6">
        <f>IF(AND(AND(ISNUMBER($C$27),$C$27&gt;0,COUNTIF($U$8:$U$25,"НЕТ ЗАМЕРОВ")=0,COUNTIF($U$8:$U$25,"ОШИБКА ПЛАНА")=0),SUMPRODUCT($C$8:$C$25,ISNUMBER(G8:G25)*1)=$C$27),SUMPRODUCT($C$8:$C$25,G8:G25)/$C$27,"")</f>
        <v>12</v>
      </c>
      <c r="H27" s="6">
        <f>IF(AND(AND(ISNUMBER($C$27),$C$27&gt;0,COUNTIF($U$8:$U$25,"НЕТ ЗАМЕРОВ")=0,COUNTIF($U$8:$U$25,"ОШИБКА ПЛАНА")=0),SUMPRODUCT($C$8:$C$25,ISNUMBER(H8:H25)*1)=$C$27),SUMPRODUCT($C$8:$C$25,H8:H25)/$C$27,"")</f>
        <v>288.75</v>
      </c>
      <c r="I27" s="6">
        <f>IF(AND(AND(ISNUMBER($C$27),$C$27&gt;0,COUNTIF($U$8:$U$25,"НЕТ ЗАМЕРОВ")=0,COUNTIF($U$8:$U$25,"ОШИБКА ПЛАНА")=0),SUMPRODUCT($C$8:$C$25,ISNUMBER(I8:I25)*1)=$C$27),SUMPRODUCT($C$8:$C$25,I8:I25)/$C$27,"")</f>
        <v>532.2425</v>
      </c>
      <c r="J27" s="6">
        <f>IF(AND(AND(ISNUMBER($C$27),$C$27&gt;0,COUNTIF($U$8:$U$25,"НЕТ ЗАМЕРОВ")=0,COUNTIF($U$8:$U$25,"ОШИБКА ПЛАНА")=0),SUMPRODUCT($C$8:$C$25,ISNUMBER(J8:J25)*1)=$C$27),SUMPRODUCT($C$8:$C$25,J8:J25)/$C$27,"")</f>
        <v>535.47525</v>
      </c>
      <c r="K27" s="6">
        <f>IF(AND(AND(ISNUMBER($C$27),$C$27&gt;0,COUNTIF($U$8:$U$25,"НЕТ ЗАМЕРОВ")=0,COUNTIF($U$8:$U$25,"ОШИБКА ПЛАНА")=0),SUMPRODUCT($C$8:$C$25,ISNUMBER(K8:K25)*1)=$C$27),SUMPRODUCT($C$8:$C$25,K8:K25)/$C$27,"")</f>
        <v>537.991875</v>
      </c>
      <c r="L27" s="6">
        <f>IF(AND(AND(ISNUMBER($C$27),$C$27&gt;0,COUNTIF($U$8:$U$25,"НЕТ ЗАМЕРОВ")=0,COUNTIF($U$8:$U$25,"ОШИБКА ПЛАНА")=0),SUMPRODUCT($C$8:$C$25,ISNUMBER(L8:L25)*1)=$C$27),SUMPRODUCT($C$8:$C$25,L8:L25)/$C$27,"")</f>
        <v>15.97</v>
      </c>
      <c r="M27" s="6">
        <f>IF(AND(AND(ISNUMBER($C$27),$C$27&gt;0,COUNTIF($U$8:$U$25,"НЕТ ЗАМЕРОВ")=0,COUNTIF($U$8:$U$25,"ОШИБКА ПЛАНА")=0),SUMPRODUCT($C$8:$C$25,ISNUMBER(M8:M25)*1)=$C$27),SUMPRODUCT($C$8:$C$25,M8:M25)/$C$27,"")</f>
        <v>236.25</v>
      </c>
      <c r="N27" s="6">
        <f>IF(AND(AND(ISNUMBER($C$27),$C$27&gt;0,COUNTIF($U$8:$U$25,"НЕТ ЗАМЕРОВ")=0,COUNTIF($U$8:$U$25,"ОШИБКА ПЛАНА")=0),SUMPRODUCT($C$8:$C$25,ISNUMBER(N8:N25)*1)=$C$27),SUMPRODUCT($C$8:$C$25,N8:N25)/$C$27,"")</f>
        <v>768.4925</v>
      </c>
      <c r="O27" s="6">
        <f>IF(AND(COUNT(O8:O25)=18,COUNT(C8:C25)=18),SUM(O8:O25),"")</f>
        <v>17031.76</v>
      </c>
      <c r="P27" s="6">
        <f>IF(AND(COUNT(P8:P25)=18,COUNT(C8:C25)=18),SUM(P8:P25),"")</f>
        <v>17135.208</v>
      </c>
      <c r="Q27" s="6">
        <f>IF(AND(AND(ISNUMBER($C$27),$C$27&gt;0,COUNTIF($U$8:$U$25,"НЕТ ЗАМЕРОВ")=0,COUNTIF($U$8:$U$25,"ОШИБКА ПЛАНА")=0),SUMPRODUCT($C$8:$C$25,ISNUMBER(Q8:Q25)*1)=$C$27),SUMPRODUCT($C$8:$C$25,Q8:Q25)/$C$27,"")</f>
        <v>243.4925</v>
      </c>
      <c r="R27" s="6">
        <f>IF(AND(AND(ISNUMBER($C$27),$C$27&gt;0,COUNTIF($U$8:$U$25,"НЕТ ЗАМЕРОВ")=0,COUNTIF($U$8:$U$25,"ОШИБКА ПЛАНА")=0),SUMPRODUCT($C$8:$C$25,ISNUMBER(R8:R25)*1)=$C$27),SUMPRODUCT($C$8:$C$25,R8:R25)/$C$27,"")</f>
        <v>356.359468918856</v>
      </c>
    </row>
    <row r="30" spans="1:21" ht="32" customHeight="1">
      <c r="B30" s="6">
        <f>O27</f>
        <v>17031.76</v>
      </c>
      <c r="C30" s="5" t="s">
        <v>305</v>
      </c>
      <c r="D30" s="5"/>
      <c r="E30" s="5"/>
      <c r="F30" s="5"/>
      <c r="G30" s="5"/>
      <c r="H30" s="5"/>
      <c r="I30" s="5"/>
      <c r="J30" s="7" t="s">
        <v>85</v>
      </c>
    </row>
    <row r="31" spans="1:21" ht="32" customHeight="1">
      <c r="B31" s="6">
        <f>P27</f>
        <v>17135.208</v>
      </c>
      <c r="C31" s="5" t="s">
        <v>306</v>
      </c>
      <c r="D31" s="5"/>
      <c r="E31" s="5"/>
      <c r="F31" s="5"/>
      <c r="G31" s="5"/>
      <c r="H31" s="5"/>
      <c r="I31" s="5"/>
      <c r="J31" s="7" t="s">
        <v>85</v>
      </c>
    </row>
    <row r="32" spans="1:21" ht="32" customHeight="1">
      <c r="B32" s="6">
        <f>'Периодическая работа'!P15</f>
        <v>7560</v>
      </c>
      <c r="C32" s="5" t="s">
        <v>307</v>
      </c>
      <c r="D32" s="5"/>
      <c r="E32" s="5"/>
      <c r="F32" s="5"/>
      <c r="G32" s="5"/>
      <c r="H32" s="5"/>
      <c r="I32" s="5"/>
      <c r="J32" s="7" t="s">
        <v>85</v>
      </c>
    </row>
    <row r="33" spans="2:10" ht="32" customHeight="1">
      <c r="B33" s="6">
        <f>IF(COUNT(B30,B32)=2,B30+B32,"")</f>
        <v>24591.76</v>
      </c>
      <c r="C33" s="5" t="s">
        <v>308</v>
      </c>
      <c r="D33" s="5"/>
      <c r="E33" s="5"/>
      <c r="F33" s="5"/>
      <c r="G33" s="5"/>
      <c r="H33" s="5"/>
      <c r="I33" s="5"/>
      <c r="J33" s="7" t="s">
        <v>85</v>
      </c>
    </row>
    <row r="34" spans="2:10" ht="32" customHeight="1">
      <c r="B34" s="6">
        <f>IF(COUNT(B31,B32)=2,B31+B32,"")</f>
        <v>24695.208</v>
      </c>
      <c r="C34" s="5" t="s">
        <v>309</v>
      </c>
      <c r="D34" s="5"/>
      <c r="E34" s="5"/>
      <c r="F34" s="5"/>
      <c r="G34" s="5"/>
      <c r="H34" s="5"/>
      <c r="I34" s="5"/>
      <c r="J34" s="7" t="s">
        <v>85</v>
      </c>
    </row>
    <row r="35" spans="2:10" ht="32" customHeight="1">
      <c r="B35" s="6">
        <f>'Ввод'!B27</f>
        <v>24600</v>
      </c>
      <c r="C35" s="5" t="s">
        <v>310</v>
      </c>
      <c r="D35" s="5"/>
      <c r="E35" s="5"/>
      <c r="F35" s="5"/>
      <c r="G35" s="5"/>
      <c r="H35" s="5"/>
      <c r="I35" s="5"/>
      <c r="J35" s="7" t="s">
        <v>85</v>
      </c>
    </row>
    <row r="36" spans="2:10" ht="32" customHeight="1">
      <c r="B36" s="16">
        <f>IF(AND(COUNT(B33,B35)=2,B35&gt;0),B33/B35,"")</f>
        <v>0.999665040650407</v>
      </c>
      <c r="C36" s="5" t="s">
        <v>311</v>
      </c>
      <c r="D36" s="5"/>
      <c r="E36" s="5"/>
      <c r="F36" s="5"/>
      <c r="G36" s="5"/>
      <c r="H36" s="5"/>
      <c r="I36" s="5"/>
      <c r="J36" s="7" t="s">
        <v>312</v>
      </c>
    </row>
    <row r="37" spans="2:10" ht="32" customHeight="1">
      <c r="B37" s="16">
        <f>IF(AND(COUNT(B34,B35)=2,B35&gt;0),B34/B35,"")</f>
        <v>1.00387024390244</v>
      </c>
      <c r="C37" s="5" t="s">
        <v>313</v>
      </c>
      <c r="D37" s="5"/>
      <c r="E37" s="5"/>
      <c r="F37" s="5"/>
      <c r="G37" s="5"/>
      <c r="H37" s="5"/>
      <c r="I37" s="5"/>
      <c r="J37" s="7" t="s">
        <v>312</v>
      </c>
    </row>
    <row r="38" spans="2:10" ht="32" customHeight="1">
      <c r="B38" s="6">
        <f>IF(AND(AND(ISNUMBER($C$27),$C$27&gt;0,COUNTIF($U$8:$U$25,"НЕТ ЗАМЕРОВ")=0,COUNTIF($U$8:$U$25,"ОШИБКА ПЛАНА")=0),ISNUMBER(B32)),SUMPRODUCT(C8:C25,Q8:Q25)+B32,IF(C27=0,0,""))</f>
        <v>15351.76</v>
      </c>
      <c r="C38" s="5" t="s">
        <v>314</v>
      </c>
      <c r="D38" s="5"/>
      <c r="E38" s="5"/>
      <c r="F38" s="5"/>
      <c r="G38" s="5"/>
      <c r="H38" s="5"/>
      <c r="I38" s="5"/>
      <c r="J38" s="7" t="s">
        <v>315</v>
      </c>
    </row>
    <row r="39" spans="2:10" ht="32" customHeight="1">
      <c r="B39" s="6">
        <f>IF(AND(COUNT(B38,B35)=2,B35&gt;0),B38/B35,"")</f>
        <v>0.624055284552846</v>
      </c>
      <c r="C39" s="5" t="s">
        <v>316</v>
      </c>
      <c r="D39" s="5"/>
      <c r="E39" s="5"/>
      <c r="F39" s="5"/>
      <c r="G39" s="5"/>
      <c r="H39" s="5"/>
      <c r="I39" s="5"/>
      <c r="J39" s="7" t="s">
        <v>317</v>
      </c>
    </row>
    <row r="40" spans="2:10" ht="32" customHeight="1">
      <c r="B40" s="6">
        <f>IF(AND(COUNT(B33,B35)=2,B35&gt;0),ROUNDUP(B33/B35,0),"")</f>
        <v>1</v>
      </c>
      <c r="C40" s="5" t="s">
        <v>318</v>
      </c>
      <c r="D40" s="5"/>
      <c r="E40" s="5"/>
      <c r="F40" s="5"/>
      <c r="G40" s="5"/>
      <c r="H40" s="5"/>
      <c r="I40" s="5"/>
      <c r="J40" s="7" t="s">
        <v>50</v>
      </c>
    </row>
    <row r="41" spans="2:10" ht="32" customHeight="1">
      <c r="B41" s="6">
        <f>IF(AND(AND(ISNUMBER($C$27),$C$27&gt;0,COUNTIF($U$8:$U$25,"НЕТ ЗАМЕРОВ")=0,COUNTIF($U$8:$U$25,"ОШИБКА ПЛАНА")=0),COUNT('Периодическая работа'!P8:P12)=5),SUMPRODUCT(C8:C25,R8:R25)+SUM('Периодическая работа'!P8:P12),IF(C27=0,0,""))</f>
        <v>18723.5030054034</v>
      </c>
      <c r="C41" s="5" t="s">
        <v>319</v>
      </c>
      <c r="D41" s="5"/>
      <c r="E41" s="5"/>
      <c r="F41" s="5"/>
      <c r="G41" s="5"/>
      <c r="H41" s="5"/>
      <c r="I41" s="5"/>
      <c r="J41" s="7" t="s">
        <v>320</v>
      </c>
    </row>
    <row r="42" spans="2:10" ht="32" customHeight="1">
      <c r="B42" s="6">
        <f>IF(AND(COUNT(B41,B35)=2,B35&gt;0),B41/B35,"")</f>
        <v>0.761118008349732</v>
      </c>
      <c r="C42" s="5" t="s">
        <v>321</v>
      </c>
      <c r="D42" s="5"/>
      <c r="E42" s="5"/>
      <c r="F42" s="5"/>
      <c r="G42" s="5"/>
      <c r="H42" s="5"/>
      <c r="I42" s="5"/>
      <c r="J42" s="7" t="s">
        <v>322</v>
      </c>
    </row>
    <row r="43" spans="2:10" ht="32" customHeight="1">
      <c r="B43" s="6">
        <f>IF(ISNUMBER(B42),ROUNDUP(B42,0),"")</f>
        <v>1</v>
      </c>
      <c r="C43" s="5" t="s">
        <v>323</v>
      </c>
      <c r="D43" s="5"/>
      <c r="E43" s="5"/>
      <c r="F43" s="5"/>
      <c r="G43" s="5"/>
      <c r="H43" s="5"/>
      <c r="I43" s="5"/>
      <c r="J43" s="7" t="s">
        <v>47</v>
      </c>
    </row>
    <row r="44" spans="2:10" ht="32" customHeight="1">
      <c r="B44" s="6">
        <f>IF(AND(ISNUMBER(C27),C27&gt;0,ISNUMBER(B32)),B32/C27,"")</f>
        <v>236.25</v>
      </c>
      <c r="C44" s="5" t="s">
        <v>324</v>
      </c>
      <c r="D44" s="5"/>
      <c r="E44" s="5"/>
      <c r="F44" s="5"/>
      <c r="G44" s="5"/>
      <c r="H44" s="5"/>
      <c r="I44" s="5"/>
      <c r="J44" s="7" t="s">
        <v>90</v>
      </c>
    </row>
    <row r="45" spans="2:10" ht="32" customHeight="1">
      <c r="B45" s="6">
        <f>IF(AND(ISNUMBER(C27),C27&gt;0,ISNUMBER(B34)),B34/C27,"")</f>
        <v>771.72525</v>
      </c>
      <c r="C45" s="5" t="s">
        <v>325</v>
      </c>
      <c r="D45" s="5"/>
      <c r="E45" s="5"/>
      <c r="F45" s="5"/>
      <c r="G45" s="5"/>
      <c r="H45" s="5"/>
      <c r="I45" s="5"/>
      <c r="J45" s="7" t="s">
        <v>90</v>
      </c>
    </row>
    <row r="46" spans="2:10" ht="32" customHeight="1">
      <c r="B46" s="6">
        <f>IF(AND(ISNUMBER(C27),C27&gt;0,ISNUMBER(B33)),B33/C27,"")</f>
        <v>768.4925</v>
      </c>
      <c r="C46" s="5" t="s">
        <v>326</v>
      </c>
      <c r="D46" s="5"/>
      <c r="E46" s="5"/>
      <c r="F46" s="5"/>
      <c r="G46" s="5"/>
      <c r="H46" s="5"/>
      <c r="I46" s="5"/>
      <c r="J46" s="7" t="s">
        <v>90</v>
      </c>
    </row>
    <row r="47" spans="2:10" ht="32" customHeight="1">
      <c r="B47" s="6">
        <f>IF(AND(COUNT(B35,I27,M27)=3,B35&gt;0,SUM(I27,M27)&gt;0),INT(B35/(I27+M27)),"")</f>
        <v>32</v>
      </c>
      <c r="C47" s="5" t="s">
        <v>327</v>
      </c>
      <c r="D47" s="5"/>
      <c r="E47" s="5"/>
      <c r="F47" s="5"/>
      <c r="G47" s="5"/>
      <c r="H47" s="5"/>
      <c r="I47" s="5"/>
      <c r="J47" s="7" t="s">
        <v>328</v>
      </c>
    </row>
    <row r="49" spans="1:21" ht="32" customHeight="1">
      <c r="B49" s="17" t="str">
        <f>IF(AND(COUNT(B33,B35)=2,B35&gt;0,C27&gt;0),IF(B33&lt;=B35,"ВПИСЫВАЕТСЯ","НЕ ВПИСЫВАЕТСЯ"),"НЕТ РАСЧЁТА")</f>
        <v>ВПИСЫВАЕТСЯ</v>
      </c>
      <c r="C49" s="5" t="s">
        <v>329</v>
      </c>
      <c r="D49" s="5"/>
      <c r="E49" s="5"/>
      <c r="F49" s="5"/>
      <c r="G49" s="5"/>
      <c r="H49" s="5"/>
      <c r="I49" s="5"/>
      <c r="J49" s="7"/>
    </row>
    <row r="50" spans="1:21" ht="32" customHeight="1">
      <c r="B50" s="17" t="str">
        <f>IF(AND(COUNT(B34,B35)=2,B35&gt;0,C27&gt;0),IF(B34&lt;=B35,"ВПИСЫВАЕТСЯ","НЕ ВПИСЫВАЕТСЯ"),"НЕТ РАСЧЁТА")</f>
        <v>НЕ ВПИСЫВАЕТСЯ</v>
      </c>
      <c r="C50" s="5" t="s">
        <v>330</v>
      </c>
      <c r="D50" s="5"/>
      <c r="E50" s="5"/>
      <c r="F50" s="5"/>
      <c r="G50" s="5"/>
      <c r="H50" s="5"/>
      <c r="I50" s="5"/>
      <c r="J50" s="7"/>
    </row>
    <row r="52" spans="1:21" ht="23" customHeight="1">
      <c r="A52" s="2" t="s">
        <v>331</v>
      </c>
      <c r="B52" s="2"/>
      <c r="C52" s="2"/>
      <c r="D52" s="2"/>
      <c r="E52" s="2"/>
      <c r="F52" s="2"/>
      <c r="G52" s="2"/>
      <c r="H52" s="2"/>
      <c r="I52" s="2"/>
      <c r="J52" s="2"/>
      <c r="K52" s="2"/>
      <c r="L52" s="2"/>
      <c r="M52" s="2"/>
      <c r="N52" s="2"/>
      <c r="O52" s="2"/>
      <c r="P52" s="2"/>
      <c r="Q52" s="2"/>
      <c r="R52" s="2"/>
      <c r="S52" s="2"/>
      <c r="T52" s="2"/>
      <c r="U52" s="2"/>
    </row>
    <row r="53" spans="1:21" ht="23" customHeight="1">
      <c r="A53" s="2"/>
      <c r="B53" s="2"/>
      <c r="C53" s="2"/>
      <c r="D53" s="2"/>
      <c r="E53" s="2"/>
      <c r="F53" s="2"/>
      <c r="G53" s="2"/>
      <c r="H53" s="2"/>
      <c r="I53" s="2"/>
      <c r="J53" s="2"/>
      <c r="K53" s="2"/>
      <c r="L53" s="2"/>
      <c r="M53" s="2"/>
      <c r="N53" s="2"/>
      <c r="O53" s="2"/>
      <c r="P53" s="2"/>
      <c r="Q53" s="2"/>
      <c r="R53" s="2"/>
      <c r="S53" s="2"/>
      <c r="T53" s="2"/>
      <c r="U53" s="2"/>
    </row>
    <row r="54" spans="1:21" ht="23" customHeight="1">
      <c r="A54" s="2"/>
      <c r="B54" s="2"/>
      <c r="C54" s="2"/>
      <c r="D54" s="2"/>
      <c r="E54" s="2"/>
      <c r="F54" s="2"/>
      <c r="G54" s="2"/>
      <c r="H54" s="2"/>
      <c r="I54" s="2"/>
      <c r="J54" s="2"/>
      <c r="K54" s="2"/>
      <c r="L54" s="2"/>
      <c r="M54" s="2"/>
      <c r="N54" s="2"/>
      <c r="O54" s="2"/>
      <c r="P54" s="2"/>
      <c r="Q54" s="2"/>
      <c r="R54" s="2"/>
      <c r="S54" s="2"/>
      <c r="T54" s="2"/>
      <c r="U54" s="2"/>
    </row>
    <row r="56" spans="1:21" ht="35" customHeight="1">
      <c r="B56" s="16">
        <f>IF(AND(COUNT(B41,B35,'Ввод'!B22)=3,B35&gt;0,'Ввод'!B22&gt;0),B41/(B35*'Ввод'!B22),"")</f>
        <v>0.761118008349732</v>
      </c>
      <c r="C56" s="5" t="s">
        <v>332</v>
      </c>
      <c r="D56" s="5"/>
      <c r="E56" s="5"/>
      <c r="F56" s="5"/>
      <c r="G56" s="5"/>
      <c r="H56" s="5"/>
      <c r="I56" s="5"/>
      <c r="J56" s="5"/>
      <c r="K56" s="5"/>
    </row>
    <row r="57" spans="1:21" ht="35" customHeight="1">
      <c r="B57" s="16">
        <f>IF(AND(COUNT(B33,B35,'Ввод'!B23)=3,B35&gt;0,'Ввод'!B23&gt;0),B33/(B35*'Ввод'!B23),"")</f>
        <v>0.999665040650407</v>
      </c>
      <c r="C57" s="5" t="s">
        <v>333</v>
      </c>
      <c r="D57" s="5"/>
      <c r="E57" s="5"/>
      <c r="F57" s="5"/>
      <c r="G57" s="5"/>
      <c r="H57" s="5"/>
      <c r="I57" s="5"/>
      <c r="J57" s="5"/>
      <c r="K57" s="5"/>
    </row>
    <row r="58" spans="1:21" ht="35" customHeight="1">
      <c r="B58" s="16">
        <f>IF(AND(COUNT(B38,B35,'Ввод'!B23)=3,B35&gt;0,'Ввод'!B23&gt;0),B38/(B35*'Ввод'!B23),"")</f>
        <v>0.624055284552846</v>
      </c>
      <c r="C58" s="5" t="s">
        <v>334</v>
      </c>
      <c r="D58" s="5"/>
      <c r="E58" s="5"/>
      <c r="F58" s="5"/>
      <c r="G58" s="5"/>
      <c r="H58" s="5"/>
      <c r="I58" s="5"/>
      <c r="J58" s="5"/>
      <c r="K58" s="5"/>
    </row>
    <row r="60" spans="1:21" ht="23" customHeight="1">
      <c r="A60" s="2" t="s">
        <v>335</v>
      </c>
      <c r="B60" s="2"/>
      <c r="C60" s="2"/>
      <c r="D60" s="2"/>
      <c r="E60" s="2"/>
      <c r="F60" s="2"/>
      <c r="G60" s="2"/>
      <c r="H60" s="2"/>
      <c r="I60" s="2"/>
      <c r="J60" s="2"/>
      <c r="K60" s="2"/>
      <c r="L60" s="2"/>
      <c r="M60" s="2"/>
      <c r="N60" s="2"/>
      <c r="O60" s="2"/>
      <c r="P60" s="2"/>
      <c r="Q60" s="2"/>
      <c r="R60" s="2"/>
      <c r="S60" s="2"/>
      <c r="T60" s="2"/>
      <c r="U60" s="2"/>
    </row>
    <row r="61" spans="1:21" ht="23" customHeight="1">
      <c r="A61" s="2"/>
      <c r="B61" s="2"/>
      <c r="C61" s="2"/>
      <c r="D61" s="2"/>
      <c r="E61" s="2"/>
      <c r="F61" s="2"/>
      <c r="G61" s="2"/>
      <c r="H61" s="2"/>
      <c r="I61" s="2"/>
      <c r="J61" s="2"/>
      <c r="K61" s="2"/>
      <c r="L61" s="2"/>
      <c r="M61" s="2"/>
      <c r="N61" s="2"/>
      <c r="O61" s="2"/>
      <c r="P61" s="2"/>
      <c r="Q61" s="2"/>
      <c r="R61" s="2"/>
      <c r="S61" s="2"/>
      <c r="T61" s="2"/>
      <c r="U61" s="2"/>
    </row>
    <row r="62" spans="1:21" ht="23" customHeight="1">
      <c r="A62" s="2"/>
      <c r="B62" s="2"/>
      <c r="C62" s="2"/>
      <c r="D62" s="2"/>
      <c r="E62" s="2"/>
      <c r="F62" s="2"/>
      <c r="G62" s="2"/>
      <c r="H62" s="2"/>
      <c r="I62" s="2"/>
      <c r="J62" s="2"/>
      <c r="K62" s="2"/>
      <c r="L62" s="2"/>
      <c r="M62" s="2"/>
      <c r="N62" s="2"/>
      <c r="O62" s="2"/>
      <c r="P62" s="2"/>
      <c r="Q62" s="2"/>
      <c r="R62" s="2"/>
      <c r="S62" s="2"/>
      <c r="T62" s="2"/>
      <c r="U62" s="2"/>
    </row>
  </sheetData>
  <sheetProtection sheet="1" objects="1" scenarios="1" sort="0" autoFilter="0"/>
  <mergeCells count="28">
    <mergeCell ref="A1:U1"/>
    <mergeCell ref="A2:U2"/>
    <mergeCell ref="B3:U3"/>
    <mergeCell ref="C30:I30"/>
    <mergeCell ref="C31:I31"/>
    <mergeCell ref="C32:I32"/>
    <mergeCell ref="C33:I33"/>
    <mergeCell ref="C34:I34"/>
    <mergeCell ref="C35:I35"/>
    <mergeCell ref="C36:I36"/>
    <mergeCell ref="C37:I37"/>
    <mergeCell ref="C38:I38"/>
    <mergeCell ref="C39:I39"/>
    <mergeCell ref="C40:I40"/>
    <mergeCell ref="C41:I41"/>
    <mergeCell ref="C42:I42"/>
    <mergeCell ref="C43:I43"/>
    <mergeCell ref="C44:I44"/>
    <mergeCell ref="C45:I45"/>
    <mergeCell ref="C46:I46"/>
    <mergeCell ref="C47:I47"/>
    <mergeCell ref="C49:I49"/>
    <mergeCell ref="C50:I50"/>
    <mergeCell ref="A52:U54"/>
    <mergeCell ref="C56:K56"/>
    <mergeCell ref="C57:K57"/>
    <mergeCell ref="C58:K58"/>
    <mergeCell ref="A60:U62"/>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&amp;LРасчет ДО&amp;RСтр. &amp;P / &amp;N</oddFooter>
  </headerFooter>
  <rowBreaks count="1" manualBreakCount="1">
    <brk id="29" max="16383" man="1"/>
  </rowBreaks>
</worksheet>
</file>

<file path=xl/worksheets/sheet9.xml><?xml version="1.0" encoding="utf-8"?>
<worksheet xmlns="http://schemas.openxmlformats.org/spreadsheetml/2006/main" xmlns:r="http://schemas.openxmlformats.org/officeDocument/2006/relationships">
  <sheetPr>
    <tabColor rgb="FF147D92"/>
    <pageSetUpPr fitToPage="1"/>
  </sheetPr>
  <dimension ref="A1:U6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30.7109375" customWidth="1"/>
    <col min="3" max="20" width="13.7109375" customWidth="1"/>
    <col min="21" max="21" width="27.7109375" customWidth="1"/>
  </cols>
  <sheetData>
    <row r="1" spans="1:21" ht="35" customHeight="1">
      <c r="A1" s="1" t="s">
        <v>336</v>
      </c>
      <c r="B1" s="1"/>
      <c r="C1" s="1"/>
      <c r="D1" s="1"/>
      <c r="E1" s="1"/>
      <c r="F1" s="1"/>
      <c r="G1" s="1"/>
      <c r="H1" s="1"/>
      <c r="I1" s="1"/>
      <c r="J1" s="1"/>
      <c r="K1" s="1"/>
      <c r="L1" s="1"/>
      <c r="M1" s="1"/>
      <c r="N1" s="1"/>
      <c r="O1" s="1"/>
      <c r="P1" s="1"/>
      <c r="Q1" s="1"/>
      <c r="R1" s="1"/>
      <c r="S1" s="1"/>
      <c r="T1" s="1"/>
      <c r="U1" s="1"/>
    </row>
    <row r="2" spans="1:21" ht="31" customHeight="1">
      <c r="A2" s="2" t="s">
        <v>1</v>
      </c>
      <c r="B2" s="2"/>
      <c r="C2" s="2"/>
      <c r="D2" s="2"/>
      <c r="E2" s="2"/>
      <c r="F2" s="2"/>
      <c r="G2" s="2"/>
      <c r="H2" s="2"/>
      <c r="I2" s="2"/>
      <c r="J2" s="2"/>
      <c r="K2" s="2"/>
      <c r="L2" s="2"/>
      <c r="M2" s="2"/>
      <c r="N2" s="2"/>
      <c r="O2" s="2"/>
      <c r="P2" s="2"/>
      <c r="Q2" s="2"/>
      <c r="R2" s="2"/>
      <c r="S2" s="2"/>
      <c r="T2" s="2"/>
      <c r="U2" s="2"/>
    </row>
    <row r="3" spans="1:21" ht="23" customHeight="1">
      <c r="A3" s="3" t="s">
        <v>2</v>
      </c>
      <c r="B3" s="7" t="s">
        <v>3</v>
      </c>
      <c r="C3" s="7"/>
      <c r="D3" s="7"/>
      <c r="E3" s="7"/>
      <c r="F3" s="7"/>
      <c r="G3" s="7"/>
      <c r="H3" s="7"/>
      <c r="I3" s="7"/>
      <c r="J3" s="7"/>
      <c r="K3" s="7"/>
      <c r="L3" s="7"/>
      <c r="M3" s="7"/>
      <c r="N3" s="7"/>
      <c r="O3" s="7"/>
      <c r="P3" s="7"/>
      <c r="Q3" s="7"/>
      <c r="R3" s="7"/>
      <c r="S3" s="7"/>
      <c r="T3" s="7"/>
      <c r="U3" s="7"/>
    </row>
    <row r="7" spans="1:21" ht="44" customHeight="1">
      <c r="A7" s="8" t="s">
        <v>113</v>
      </c>
      <c r="B7" s="8" t="s">
        <v>114</v>
      </c>
      <c r="C7" s="8" t="s">
        <v>285</v>
      </c>
      <c r="D7" s="8" t="s">
        <v>286</v>
      </c>
      <c r="E7" s="8" t="s">
        <v>287</v>
      </c>
      <c r="F7" s="8" t="s">
        <v>288</v>
      </c>
      <c r="G7" s="8" t="s">
        <v>289</v>
      </c>
      <c r="H7" s="8" t="s">
        <v>290</v>
      </c>
      <c r="I7" s="8" t="s">
        <v>291</v>
      </c>
      <c r="J7" s="8" t="s">
        <v>292</v>
      </c>
      <c r="K7" s="8" t="s">
        <v>293</v>
      </c>
      <c r="L7" s="8" t="s">
        <v>294</v>
      </c>
      <c r="M7" s="8" t="s">
        <v>295</v>
      </c>
      <c r="N7" s="8" t="s">
        <v>296</v>
      </c>
      <c r="O7" s="8" t="s">
        <v>297</v>
      </c>
      <c r="P7" s="8" t="s">
        <v>298</v>
      </c>
      <c r="Q7" s="8" t="s">
        <v>299</v>
      </c>
      <c r="R7" s="8" t="s">
        <v>300</v>
      </c>
      <c r="S7" s="8" t="s">
        <v>301</v>
      </c>
      <c r="T7" s="8" t="s">
        <v>302</v>
      </c>
      <c r="U7" s="8" t="s">
        <v>303</v>
      </c>
    </row>
    <row r="8" spans="1:21" ht="42" customHeight="1">
      <c r="A8" s="5">
        <v>1</v>
      </c>
      <c r="B8" s="5" t="s">
        <v>24</v>
      </c>
      <c r="C8" s="13">
        <f>'Ассортимент'!O8</f>
        <v>2</v>
      </c>
      <c r="D8" s="16">
        <f>'Ассортимент'!Q8</f>
        <v>0.0625</v>
      </c>
      <c r="E8" s="13">
        <f>SUMIF('Замеры ЦЕЛЬ'!C12:C22,"Ручная",'Замеры ЦЕЛЬ'!S12:S22)</f>
        <v>226.46</v>
      </c>
      <c r="F8" s="13">
        <f>SUMIF('Замеры ЦЕЛЬ'!C12:C22,"Переход",'Замеры ЦЕЛЬ'!S12:S22)</f>
        <v>16</v>
      </c>
      <c r="G8" s="13">
        <f>'Замеры ЦЕЛЬ'!S22</f>
        <v>0</v>
      </c>
      <c r="H8" s="13">
        <f>'Ассортимент'!R8</f>
        <v>450</v>
      </c>
      <c r="I8" s="13">
        <f>'Замеры ЦЕЛЬ'!O24</f>
        <v>692.46</v>
      </c>
      <c r="J8" s="13">
        <f>'Замеры ЦЕЛЬ'!U24</f>
        <v>696.386</v>
      </c>
      <c r="K8" s="13">
        <f>'Замеры ЦЕЛЬ'!P24</f>
        <v>700.54</v>
      </c>
      <c r="L8" s="13">
        <f>'Замеры ЦЕЛЬ'!T23</f>
        <v>16.65</v>
      </c>
      <c r="M8" s="13">
        <f>'Периодическая работа'!N15</f>
        <v>234.375</v>
      </c>
      <c r="N8" s="13">
        <f>IF(AND(ISNUMBER(I8),ISNUMBER(M8)),I8+M8,"")</f>
        <v>926.835</v>
      </c>
      <c r="O8" s="13">
        <f>IF(AND(ISNUMBER(C8),ISNUMBER(I8)),C8*I8,IF(C8=0,0,""))</f>
        <v>1384.92</v>
      </c>
      <c r="P8" s="13">
        <f>IF(AND(ISNUMBER(C8),ISNUMBER(J8)),C8*J8,IF(C8=0,0,""))</f>
        <v>1392.772</v>
      </c>
      <c r="Q8" s="13">
        <f>IF(ISNUMBER(I8),SUM(E8:G8),"")</f>
        <v>242.46</v>
      </c>
      <c r="R8" s="13">
        <f>IF(ISNUMBER(I8),'Замеры ЦЕЛЬ'!S16+'Замеры ЦЕЛЬ'!S18+H8,"")</f>
        <v>508.537285974499</v>
      </c>
      <c r="S8" s="13">
        <f>'Замеры ЦЕЛЬ'!T24</f>
        <v>10</v>
      </c>
      <c r="T8" s="13">
        <f>'Замеры ЦЕЛЬ'!V24</f>
        <v>1.13686837721616e-13</v>
      </c>
      <c r="U8" s="17" t="str">
        <f>IF(NOT(ISNUMBER(C8)),"ОШИБКА ПЛАНА",IF(C8=0,"Нет в плане",IF(AND(ISNUMBER(I8),S8&gt;0),"ОК","НЕТ ЗАМЕРОВ")))</f>
        <v>ОК</v>
      </c>
    </row>
    <row r="9" spans="1:21" ht="42" customHeight="1">
      <c r="A9" s="5">
        <v>2</v>
      </c>
      <c r="B9" s="5" t="s">
        <v>133</v>
      </c>
      <c r="C9" s="13">
        <f>'Ассортимент'!O9</f>
        <v>1</v>
      </c>
      <c r="D9" s="16">
        <f>'Ассортимент'!Q9</f>
        <v>0.03125</v>
      </c>
      <c r="E9" s="13">
        <f>SUMIF('Замеры ЦЕЛЬ'!C33:C43,"Ручная",'Замеры ЦЕЛЬ'!S33:S43)</f>
        <v>236.66</v>
      </c>
      <c r="F9" s="13">
        <f>SUMIF('Замеры ЦЕЛЬ'!C33:C43,"Переход",'Замеры ЦЕЛЬ'!S33:S43)</f>
        <v>16</v>
      </c>
      <c r="G9" s="13">
        <f>'Замеры ЦЕЛЬ'!S43</f>
        <v>0</v>
      </c>
      <c r="H9" s="13">
        <f>'Ассортимент'!R9</f>
        <v>450</v>
      </c>
      <c r="I9" s="13">
        <f>'Замеры ЦЕЛЬ'!O45</f>
        <v>702.66</v>
      </c>
      <c r="J9" s="13">
        <f>'Замеры ЦЕЛЬ'!U45</f>
        <v>706.846</v>
      </c>
      <c r="K9" s="13">
        <f>'Замеры ЦЕЛЬ'!P45</f>
        <v>711.54</v>
      </c>
      <c r="L9" s="13">
        <f>'Замеры ЦЕЛЬ'!T44</f>
        <v>17.45</v>
      </c>
      <c r="M9" s="13">
        <f>'Периодическая работа'!N15</f>
        <v>234.375</v>
      </c>
      <c r="N9" s="13">
        <f>IF(AND(ISNUMBER(I9),ISNUMBER(M9)),I9+M9,"")</f>
        <v>937.035</v>
      </c>
      <c r="O9" s="13">
        <f>IF(AND(ISNUMBER(C9),ISNUMBER(I9)),C9*I9,IF(C9=0,0,""))</f>
        <v>702.66</v>
      </c>
      <c r="P9" s="13">
        <f>IF(AND(ISNUMBER(C9),ISNUMBER(J9)),C9*J9,IF(C9=0,0,""))</f>
        <v>706.846</v>
      </c>
      <c r="Q9" s="13">
        <f>IF(ISNUMBER(I9),SUM(E9:G9),"")</f>
        <v>252.66</v>
      </c>
      <c r="R9" s="13">
        <f>IF(ISNUMBER(I9),'Замеры ЦЕЛЬ'!S37+'Замеры ЦЕЛЬ'!S39+H9,"")</f>
        <v>508.508919860627</v>
      </c>
      <c r="S9" s="13">
        <f>'Замеры ЦЕЛЬ'!T45</f>
        <v>10</v>
      </c>
      <c r="T9" s="13">
        <f>'Замеры ЦЕЛЬ'!V45</f>
        <v>1.13686837721616e-13</v>
      </c>
      <c r="U9" s="17" t="str">
        <f>IF(NOT(ISNUMBER(C9)),"ОШИБКА ПЛАНА",IF(C9=0,"Нет в плане",IF(AND(ISNUMBER(I9),S9&gt;0),"ОК","НЕТ ЗАМЕРОВ")))</f>
        <v>ОК</v>
      </c>
    </row>
    <row r="10" spans="1:21" ht="42" customHeight="1">
      <c r="A10" s="5">
        <v>3</v>
      </c>
      <c r="B10" s="5" t="s">
        <v>134</v>
      </c>
      <c r="C10" s="13">
        <f>'Ассортимент'!O10</f>
        <v>1</v>
      </c>
      <c r="D10" s="16">
        <f>'Ассортимент'!Q10</f>
        <v>0.03125</v>
      </c>
      <c r="E10" s="13">
        <f>SUMIF('Замеры ЦЕЛЬ'!C54:C64,"Ручная",'Замеры ЦЕЛЬ'!S54:S64)</f>
        <v>246.75</v>
      </c>
      <c r="F10" s="13">
        <f>SUMIF('Замеры ЦЕЛЬ'!C54:C64,"Переход",'Замеры ЦЕЛЬ'!S54:S64)</f>
        <v>16</v>
      </c>
      <c r="G10" s="13">
        <f>'Замеры ЦЕЛЬ'!S64</f>
        <v>0</v>
      </c>
      <c r="H10" s="13">
        <f>'Ассортимент'!R10</f>
        <v>450</v>
      </c>
      <c r="I10" s="13">
        <f>'Замеры ЦЕЛЬ'!O66</f>
        <v>712.75</v>
      </c>
      <c r="J10" s="13">
        <f>'Замеры ЦЕЛЬ'!U66</f>
        <v>717.306</v>
      </c>
      <c r="K10" s="13">
        <f>'Замеры ЦЕЛЬ'!P66</f>
        <v>722.54</v>
      </c>
      <c r="L10" s="13">
        <f>'Замеры ЦЕЛЬ'!T65</f>
        <v>18.36</v>
      </c>
      <c r="M10" s="13">
        <f>'Периодическая работа'!N15</f>
        <v>234.375</v>
      </c>
      <c r="N10" s="13">
        <f>IF(AND(ISNUMBER(I10),ISNUMBER(M10)),I10+M10,"")</f>
        <v>947.125</v>
      </c>
      <c r="O10" s="13">
        <f>IF(AND(ISNUMBER(C10),ISNUMBER(I10)),C10*I10,IF(C10=0,0,""))</f>
        <v>712.75</v>
      </c>
      <c r="P10" s="13">
        <f>IF(AND(ISNUMBER(C10),ISNUMBER(J10)),C10*J10,IF(C10=0,0,""))</f>
        <v>717.306</v>
      </c>
      <c r="Q10" s="13">
        <f>IF(ISNUMBER(I10),SUM(E10:G10),"")</f>
        <v>262.75</v>
      </c>
      <c r="R10" s="13">
        <f>IF(ISNUMBER(I10),'Замеры ЦЕЛЬ'!S58+'Замеры ЦЕЛЬ'!S60+H10,"")</f>
        <v>508.456844741235</v>
      </c>
      <c r="S10" s="13">
        <f>'Замеры ЦЕЛЬ'!T66</f>
        <v>10</v>
      </c>
      <c r="T10" s="13">
        <f>'Замеры ЦЕЛЬ'!V66</f>
        <v>0</v>
      </c>
      <c r="U10" s="17" t="str">
        <f>IF(NOT(ISNUMBER(C10)),"ОШИБКА ПЛАНА",IF(C10=0,"Нет в плане",IF(AND(ISNUMBER(I10),S10&gt;0),"ОК","НЕТ ЗАМЕРОВ")))</f>
        <v>ОК</v>
      </c>
    </row>
    <row r="11" spans="1:21" ht="42" customHeight="1">
      <c r="A11" s="5">
        <v>4</v>
      </c>
      <c r="B11" s="5" t="s">
        <v>135</v>
      </c>
      <c r="C11" s="13">
        <f>'Ассортимент'!O11</f>
        <v>5</v>
      </c>
      <c r="D11" s="16">
        <f>'Ассортимент'!Q11</f>
        <v>0.15625</v>
      </c>
      <c r="E11" s="13">
        <f>SUMIF('Замеры ЦЕЛЬ'!C75:C85,"Ручная",'Замеры ЦЕЛЬ'!S75:S85)</f>
        <v>160.16</v>
      </c>
      <c r="F11" s="13">
        <f>SUMIF('Замеры ЦЕЛЬ'!C75:C85,"Переход",'Замеры ЦЕЛЬ'!S75:S85)</f>
        <v>16</v>
      </c>
      <c r="G11" s="13">
        <f>'Замеры ЦЕЛЬ'!S85</f>
        <v>0</v>
      </c>
      <c r="H11" s="13">
        <f>'Ассортимент'!R11</f>
        <v>180</v>
      </c>
      <c r="I11" s="13">
        <f>'Замеры ЦЕЛЬ'!O87</f>
        <v>356.16</v>
      </c>
      <c r="J11" s="13">
        <f>'Замеры ЦЕЛЬ'!U87</f>
        <v>358.396</v>
      </c>
      <c r="K11" s="13">
        <f>'Замеры ЦЕЛЬ'!P87</f>
        <v>359.97</v>
      </c>
      <c r="L11" s="13">
        <f>'Замеры ЦЕЛЬ'!T86</f>
        <v>11.45</v>
      </c>
      <c r="M11" s="13">
        <f>'Периодическая работа'!N15</f>
        <v>234.375</v>
      </c>
      <c r="N11" s="13">
        <f>IF(AND(ISNUMBER(I11),ISNUMBER(M11)),I11+M11,"")</f>
        <v>590.535</v>
      </c>
      <c r="O11" s="13">
        <f>IF(AND(ISNUMBER(C11),ISNUMBER(I11)),C11*I11,IF(C11=0,0,""))</f>
        <v>1780.8</v>
      </c>
      <c r="P11" s="13">
        <f>IF(AND(ISNUMBER(C11),ISNUMBER(J11)),C11*J11,IF(C11=0,0,""))</f>
        <v>1791.98</v>
      </c>
      <c r="Q11" s="13">
        <f>IF(ISNUMBER(I11),SUM(E11:G11),"")</f>
        <v>176.16</v>
      </c>
      <c r="R11" s="13">
        <f>IF(ISNUMBER(I11),'Замеры ЦЕЛЬ'!S79+'Замеры ЦЕЛЬ'!S81+H11,"")</f>
        <v>238.811112548512</v>
      </c>
      <c r="S11" s="13">
        <f>'Замеры ЦЕЛЬ'!T87</f>
        <v>10</v>
      </c>
      <c r="T11" s="13">
        <f>'Замеры ЦЕЛЬ'!V87</f>
        <v>-5.6843418860808e-14</v>
      </c>
      <c r="U11" s="17" t="str">
        <f>IF(NOT(ISNUMBER(C11)),"ОШИБКА ПЛАНА",IF(C11=0,"Нет в плане",IF(AND(ISNUMBER(I11),S11&gt;0),"ОК","НЕТ ЗАМЕРОВ")))</f>
        <v>ОК</v>
      </c>
    </row>
    <row r="12" spans="1:21" ht="42" customHeight="1">
      <c r="A12" s="5">
        <v>5</v>
      </c>
      <c r="B12" s="5" t="s">
        <v>137</v>
      </c>
      <c r="C12" s="13">
        <f>'Ассортимент'!O12</f>
        <v>3</v>
      </c>
      <c r="D12" s="16">
        <f>'Ассортимент'!Q12</f>
        <v>0.09375</v>
      </c>
      <c r="E12" s="13">
        <f>SUMIF('Замеры ЦЕЛЬ'!C96:C106,"Ручная",'Замеры ЦЕЛЬ'!S96:S106)</f>
        <v>180.56</v>
      </c>
      <c r="F12" s="13">
        <f>SUMIF('Замеры ЦЕЛЬ'!C96:C106,"Переход",'Замеры ЦЕЛЬ'!S96:S106)</f>
        <v>16</v>
      </c>
      <c r="G12" s="13">
        <f>'Замеры ЦЕЛЬ'!S106</f>
        <v>0</v>
      </c>
      <c r="H12" s="13">
        <f>'Ассортимент'!R12</f>
        <v>180</v>
      </c>
      <c r="I12" s="13">
        <f>'Замеры ЦЕЛЬ'!O108</f>
        <v>376.56</v>
      </c>
      <c r="J12" s="13">
        <f>'Замеры ЦЕЛЬ'!U108</f>
        <v>379.316</v>
      </c>
      <c r="K12" s="13">
        <f>'Замеры ЦЕЛЬ'!P108</f>
        <v>381.57</v>
      </c>
      <c r="L12" s="13">
        <f>'Замеры ЦЕЛЬ'!T107</f>
        <v>13.05</v>
      </c>
      <c r="M12" s="13">
        <f>'Периодическая работа'!N15</f>
        <v>234.375</v>
      </c>
      <c r="N12" s="13">
        <f>IF(AND(ISNUMBER(I12),ISNUMBER(M12)),I12+M12,"")</f>
        <v>610.935</v>
      </c>
      <c r="O12" s="13">
        <f>IF(AND(ISNUMBER(C12),ISNUMBER(I12)),C12*I12,IF(C12=0,0,""))</f>
        <v>1129.68</v>
      </c>
      <c r="P12" s="13">
        <f>IF(AND(ISNUMBER(C12),ISNUMBER(J12)),C12*J12,IF(C12=0,0,""))</f>
        <v>1137.948</v>
      </c>
      <c r="Q12" s="13">
        <f>IF(ISNUMBER(I12),SUM(E12:G12),"")</f>
        <v>196.56</v>
      </c>
      <c r="R12" s="13">
        <f>IF(ISNUMBER(I12),'Замеры ЦЕЛЬ'!S100+'Замеры ЦЕЛЬ'!S102+H12,"")</f>
        <v>238.705143184422</v>
      </c>
      <c r="S12" s="13">
        <f>'Замеры ЦЕЛЬ'!T108</f>
        <v>10</v>
      </c>
      <c r="T12" s="13">
        <f>'Замеры ЦЕЛЬ'!V108</f>
        <v>-5.6843418860808e-14</v>
      </c>
      <c r="U12" s="17" t="str">
        <f>IF(NOT(ISNUMBER(C12)),"ОШИБКА ПЛАНА",IF(C12=0,"Нет в плане",IF(AND(ISNUMBER(I12),S12&gt;0),"ОК","НЕТ ЗАМЕРОВ")))</f>
        <v>ОК</v>
      </c>
    </row>
    <row r="13" spans="1:21" ht="42" customHeight="1">
      <c r="A13" s="5">
        <v>6</v>
      </c>
      <c r="B13" s="5" t="s">
        <v>138</v>
      </c>
      <c r="C13" s="13">
        <f>'Ассортимент'!O13</f>
        <v>2</v>
      </c>
      <c r="D13" s="16">
        <f>'Ассортимент'!Q13</f>
        <v>0.0625</v>
      </c>
      <c r="E13" s="13">
        <f>SUMIF('Замеры ЦЕЛЬ'!C117:C127,"Ручная",'Замеры ЦЕЛЬ'!S117:S127)</f>
        <v>241.75</v>
      </c>
      <c r="F13" s="13">
        <f>SUMIF('Замеры ЦЕЛЬ'!C117:C127,"Переход",'Замеры ЦЕЛЬ'!S117:S127)</f>
        <v>16</v>
      </c>
      <c r="G13" s="13">
        <f>'Замеры ЦЕЛЬ'!S127</f>
        <v>0</v>
      </c>
      <c r="H13" s="13">
        <f>'Ассортимент'!R13</f>
        <v>300</v>
      </c>
      <c r="I13" s="13">
        <f>'Замеры ЦЕЛЬ'!O129</f>
        <v>557.75</v>
      </c>
      <c r="J13" s="13">
        <f>'Замеры ЦЕЛЬ'!U129</f>
        <v>562.076</v>
      </c>
      <c r="K13" s="13">
        <f>'Замеры ЦЕЛЬ'!P129</f>
        <v>567.04</v>
      </c>
      <c r="L13" s="13">
        <f>'Замеры ЦЕЛЬ'!T128</f>
        <v>17.86</v>
      </c>
      <c r="M13" s="13">
        <f>'Периодическая работа'!N15</f>
        <v>234.375</v>
      </c>
      <c r="N13" s="13">
        <f>IF(AND(ISNUMBER(I13),ISNUMBER(M13)),I13+M13,"")</f>
        <v>792.125</v>
      </c>
      <c r="O13" s="13">
        <f>IF(AND(ISNUMBER(C13),ISNUMBER(I13)),C13*I13,IF(C13=0,0,""))</f>
        <v>1115.5</v>
      </c>
      <c r="P13" s="13">
        <f>IF(AND(ISNUMBER(C13),ISNUMBER(J13)),C13*J13,IF(C13=0,0,""))</f>
        <v>1124.152</v>
      </c>
      <c r="Q13" s="13">
        <f>IF(ISNUMBER(I13),SUM(E13:G13),"")</f>
        <v>257.75</v>
      </c>
      <c r="R13" s="13">
        <f>IF(ISNUMBER(I13),'Замеры ЦЕЛЬ'!S121+'Замеры ЦЕЛЬ'!S123+H13,"")</f>
        <v>358.493222506394</v>
      </c>
      <c r="S13" s="13">
        <f>'Замеры ЦЕЛЬ'!T129</f>
        <v>10</v>
      </c>
      <c r="T13" s="13">
        <f>'Замеры ЦЕЛЬ'!V129</f>
        <v>1.13686837721616e-13</v>
      </c>
      <c r="U13" s="17" t="str">
        <f>IF(NOT(ISNUMBER(C13)),"ОШИБКА ПЛАНА",IF(C13=0,"Нет в плане",IF(AND(ISNUMBER(I13),S13&gt;0),"ОК","НЕТ ЗАМЕРОВ")))</f>
        <v>ОК</v>
      </c>
    </row>
    <row r="14" spans="1:21" ht="42" customHeight="1">
      <c r="A14" s="5">
        <v>7</v>
      </c>
      <c r="B14" s="5" t="s">
        <v>139</v>
      </c>
      <c r="C14" s="13">
        <f>'Ассортимент'!O14</f>
        <v>1</v>
      </c>
      <c r="D14" s="16">
        <f>'Ассортимент'!Q14</f>
        <v>0.03125</v>
      </c>
      <c r="E14" s="13">
        <f>SUMIF('Замеры ЦЕЛЬ'!C138:C148,"Ручная",'Замеры ЦЕЛЬ'!S138:S148)</f>
        <v>226.46</v>
      </c>
      <c r="F14" s="13">
        <f>SUMIF('Замеры ЦЕЛЬ'!C138:C148,"Переход",'Замеры ЦЕЛЬ'!S138:S148)</f>
        <v>16</v>
      </c>
      <c r="G14" s="13">
        <f>'Замеры ЦЕЛЬ'!S148</f>
        <v>0</v>
      </c>
      <c r="H14" s="13">
        <f>'Ассортимент'!R14</f>
        <v>300</v>
      </c>
      <c r="I14" s="13">
        <f>'Замеры ЦЕЛЬ'!O150</f>
        <v>542.46</v>
      </c>
      <c r="J14" s="13">
        <f>'Замеры ЦЕЛЬ'!U150</f>
        <v>546.386</v>
      </c>
      <c r="K14" s="13">
        <f>'Замеры ЦЕЛЬ'!P150</f>
        <v>550.54</v>
      </c>
      <c r="L14" s="13">
        <f>'Замеры ЦЕЛЬ'!T149</f>
        <v>16.65</v>
      </c>
      <c r="M14" s="13">
        <f>'Периодическая работа'!N15</f>
        <v>234.375</v>
      </c>
      <c r="N14" s="13">
        <f>IF(AND(ISNUMBER(I14),ISNUMBER(M14)),I14+M14,"")</f>
        <v>776.835</v>
      </c>
      <c r="O14" s="13">
        <f>IF(AND(ISNUMBER(C14),ISNUMBER(I14)),C14*I14,IF(C14=0,0,""))</f>
        <v>542.46</v>
      </c>
      <c r="P14" s="13">
        <f>IF(AND(ISNUMBER(C14),ISNUMBER(J14)),C14*J14,IF(C14=0,0,""))</f>
        <v>546.386</v>
      </c>
      <c r="Q14" s="13">
        <f>IF(ISNUMBER(I14),SUM(E14:G14),"")</f>
        <v>242.46</v>
      </c>
      <c r="R14" s="13">
        <f>IF(ISNUMBER(I14),'Замеры ЦЕЛЬ'!S142+'Замеры ЦЕЛЬ'!S144+H14,"")</f>
        <v>358.537285974499</v>
      </c>
      <c r="S14" s="13">
        <f>'Замеры ЦЕЛЬ'!T150</f>
        <v>10</v>
      </c>
      <c r="T14" s="13">
        <f>'Замеры ЦЕЛЬ'!V150</f>
        <v>1.13686837721616e-13</v>
      </c>
      <c r="U14" s="17" t="str">
        <f>IF(NOT(ISNUMBER(C14)),"ОШИБКА ПЛАНА",IF(C14=0,"Нет в плане",IF(AND(ISNUMBER(I14),S14&gt;0),"ОК","НЕТ ЗАМЕРОВ")))</f>
        <v>ОК</v>
      </c>
    </row>
    <row r="15" spans="1:21" ht="42" customHeight="1">
      <c r="A15" s="5">
        <v>8</v>
      </c>
      <c r="B15" s="5" t="s">
        <v>140</v>
      </c>
      <c r="C15" s="13">
        <f>'Ассортимент'!O15</f>
        <v>1</v>
      </c>
      <c r="D15" s="16">
        <f>'Ассортимент'!Q15</f>
        <v>0.03125</v>
      </c>
      <c r="E15" s="13">
        <f>SUMIF('Замеры ЦЕЛЬ'!C159:C169,"Ручная",'Замеры ЦЕЛЬ'!S159:S169)</f>
        <v>246.75</v>
      </c>
      <c r="F15" s="13">
        <f>SUMIF('Замеры ЦЕЛЬ'!C159:C169,"Переход",'Замеры ЦЕЛЬ'!S159:S169)</f>
        <v>16</v>
      </c>
      <c r="G15" s="13">
        <f>'Замеры ЦЕЛЬ'!S169</f>
        <v>0</v>
      </c>
      <c r="H15" s="13">
        <f>'Ассортимент'!R15</f>
        <v>300</v>
      </c>
      <c r="I15" s="13">
        <f>'Замеры ЦЕЛЬ'!O171</f>
        <v>562.75</v>
      </c>
      <c r="J15" s="13">
        <f>'Замеры ЦЕЛЬ'!U171</f>
        <v>567.306</v>
      </c>
      <c r="K15" s="13">
        <f>'Замеры ЦЕЛЬ'!P171</f>
        <v>572.54</v>
      </c>
      <c r="L15" s="13">
        <f>'Замеры ЦЕЛЬ'!T170</f>
        <v>18.36</v>
      </c>
      <c r="M15" s="13">
        <f>'Периодическая работа'!N15</f>
        <v>234.375</v>
      </c>
      <c r="N15" s="13">
        <f>IF(AND(ISNUMBER(I15),ISNUMBER(M15)),I15+M15,"")</f>
        <v>797.125</v>
      </c>
      <c r="O15" s="13">
        <f>IF(AND(ISNUMBER(C15),ISNUMBER(I15)),C15*I15,IF(C15=0,0,""))</f>
        <v>562.75</v>
      </c>
      <c r="P15" s="13">
        <f>IF(AND(ISNUMBER(C15),ISNUMBER(J15)),C15*J15,IF(C15=0,0,""))</f>
        <v>567.306</v>
      </c>
      <c r="Q15" s="13">
        <f>IF(ISNUMBER(I15),SUM(E15:G15),"")</f>
        <v>262.75</v>
      </c>
      <c r="R15" s="13">
        <f>IF(ISNUMBER(I15),'Замеры ЦЕЛЬ'!S163+'Замеры ЦЕЛЬ'!S165+H15,"")</f>
        <v>358.456844741235</v>
      </c>
      <c r="S15" s="13">
        <f>'Замеры ЦЕЛЬ'!T171</f>
        <v>10</v>
      </c>
      <c r="T15" s="13">
        <f>'Замеры ЦЕЛЬ'!V171</f>
        <v>0</v>
      </c>
      <c r="U15" s="17" t="str">
        <f>IF(NOT(ISNUMBER(C15)),"ОШИБКА ПЛАНА",IF(C15=0,"Нет в плане",IF(AND(ISNUMBER(I15),S15&gt;0),"ОК","НЕТ ЗАМЕРОВ")))</f>
        <v>ОК</v>
      </c>
    </row>
    <row r="16" spans="1:21" ht="42" customHeight="1">
      <c r="A16" s="5">
        <v>9</v>
      </c>
      <c r="B16" s="5" t="s">
        <v>141</v>
      </c>
      <c r="C16" s="13">
        <f>'Ассортимент'!O16</f>
        <v>2</v>
      </c>
      <c r="D16" s="16">
        <f>'Ассортимент'!Q16</f>
        <v>0.0625</v>
      </c>
      <c r="E16" s="13">
        <f>SUMIF('Замеры ЦЕЛЬ'!C180:C190,"Ручная",'Замеры ЦЕЛЬ'!S180:S190)</f>
        <v>190.76</v>
      </c>
      <c r="F16" s="13">
        <f>SUMIF('Замеры ЦЕЛЬ'!C180:C190,"Переход",'Замеры ЦЕЛЬ'!S180:S190)</f>
        <v>16</v>
      </c>
      <c r="G16" s="13">
        <f>'Замеры ЦЕЛЬ'!S190</f>
        <v>0</v>
      </c>
      <c r="H16" s="13">
        <f>'Ассортимент'!R16</f>
        <v>300</v>
      </c>
      <c r="I16" s="13">
        <f>'Замеры ЦЕЛЬ'!O192</f>
        <v>506.76</v>
      </c>
      <c r="J16" s="13">
        <f>'Замеры ЦЕЛЬ'!U192</f>
        <v>509.776</v>
      </c>
      <c r="K16" s="13">
        <f>'Замеры ЦЕЛЬ'!P192</f>
        <v>512.37</v>
      </c>
      <c r="L16" s="13">
        <f>'Замеры ЦЕЛЬ'!T191</f>
        <v>13.85</v>
      </c>
      <c r="M16" s="13">
        <f>'Периодическая работа'!N15</f>
        <v>234.375</v>
      </c>
      <c r="N16" s="13">
        <f>IF(AND(ISNUMBER(I16),ISNUMBER(M16)),I16+M16,"")</f>
        <v>741.135</v>
      </c>
      <c r="O16" s="13">
        <f>IF(AND(ISNUMBER(C16),ISNUMBER(I16)),C16*I16,IF(C16=0,0,""))</f>
        <v>1013.52</v>
      </c>
      <c r="P16" s="13">
        <f>IF(AND(ISNUMBER(C16),ISNUMBER(J16)),C16*J16,IF(C16=0,0,""))</f>
        <v>1019.552</v>
      </c>
      <c r="Q16" s="13">
        <f>IF(ISNUMBER(I16),SUM(E16:G16),"")</f>
        <v>206.76</v>
      </c>
      <c r="R16" s="13">
        <f>IF(ISNUMBER(I16),'Замеры ЦЕЛЬ'!S184+'Замеры ЦЕЛЬ'!S186+H16,"")</f>
        <v>358.660769230769</v>
      </c>
      <c r="S16" s="13">
        <f>'Замеры ЦЕЛЬ'!T192</f>
        <v>10</v>
      </c>
      <c r="T16" s="13">
        <f>'Замеры ЦЕЛЬ'!V192</f>
        <v>-5.6843418860808e-14</v>
      </c>
      <c r="U16" s="17" t="str">
        <f>IF(NOT(ISNUMBER(C16)),"ОШИБКА ПЛАНА",IF(C16=0,"Нет в плане",IF(AND(ISNUMBER(I16),S16&gt;0),"ОК","НЕТ ЗАМЕРОВ")))</f>
        <v>ОК</v>
      </c>
    </row>
    <row r="17" spans="1:21" ht="42" customHeight="1">
      <c r="A17" s="5">
        <v>10</v>
      </c>
      <c r="B17" s="5" t="s">
        <v>142</v>
      </c>
      <c r="C17" s="13">
        <f>'Ассортимент'!O17</f>
        <v>3</v>
      </c>
      <c r="D17" s="16">
        <f>'Ассортимент'!Q17</f>
        <v>0.09375</v>
      </c>
      <c r="E17" s="13">
        <f>SUMIF('Замеры ЦЕЛЬ'!C201:C211,"Ручная",'Замеры ЦЕЛЬ'!S201:S211)</f>
        <v>170.36</v>
      </c>
      <c r="F17" s="13">
        <f>SUMIF('Замеры ЦЕЛЬ'!C201:C211,"Переход",'Замеры ЦЕЛЬ'!S201:S211)</f>
        <v>16</v>
      </c>
      <c r="G17" s="13">
        <f>'Замеры ЦЕЛЬ'!S211</f>
        <v>0</v>
      </c>
      <c r="H17" s="13">
        <f>'Ассортимент'!R17</f>
        <v>300</v>
      </c>
      <c r="I17" s="13">
        <f>'Замеры ЦЕЛЬ'!O213</f>
        <v>486.36</v>
      </c>
      <c r="J17" s="13">
        <f>'Замеры ЦЕЛЬ'!U213</f>
        <v>488.856</v>
      </c>
      <c r="K17" s="13">
        <f>'Замеры ЦЕЛЬ'!P213</f>
        <v>490.77</v>
      </c>
      <c r="L17" s="13">
        <f>'Замеры ЦЕЛЬ'!T212</f>
        <v>12.2499999999999</v>
      </c>
      <c r="M17" s="13">
        <f>'Периодическая работа'!N15</f>
        <v>234.375</v>
      </c>
      <c r="N17" s="13">
        <f>IF(AND(ISNUMBER(I17),ISNUMBER(M17)),I17+M17,"")</f>
        <v>720.735</v>
      </c>
      <c r="O17" s="13">
        <f>IF(AND(ISNUMBER(C17),ISNUMBER(I17)),C17*I17,IF(C17=0,0,""))</f>
        <v>1459.08</v>
      </c>
      <c r="P17" s="13">
        <f>IF(AND(ISNUMBER(C17),ISNUMBER(J17)),C17*J17,IF(C17=0,0,""))</f>
        <v>1466.568</v>
      </c>
      <c r="Q17" s="13">
        <f>IF(ISNUMBER(I17),SUM(E17:G17),"")</f>
        <v>186.36</v>
      </c>
      <c r="R17" s="13">
        <f>IF(ISNUMBER(I17),'Замеры ЦЕЛЬ'!S205+'Замеры ЦЕЛЬ'!S207+H17,"")</f>
        <v>358.754908869988</v>
      </c>
      <c r="S17" s="13">
        <f>'Замеры ЦЕЛЬ'!T213</f>
        <v>10</v>
      </c>
      <c r="T17" s="13">
        <f>'Замеры ЦЕЛЬ'!V213</f>
        <v>0</v>
      </c>
      <c r="U17" s="17" t="str">
        <f>IF(NOT(ISNUMBER(C17)),"ОШИБКА ПЛАНА",IF(C17=0,"Нет в плане",IF(AND(ISNUMBER(I17),S17&gt;0),"ОК","НЕТ ЗАМЕРОВ")))</f>
        <v>ОК</v>
      </c>
    </row>
    <row r="18" spans="1:21" ht="42" customHeight="1">
      <c r="A18" s="5">
        <v>11</v>
      </c>
      <c r="B18" s="5" t="s">
        <v>143</v>
      </c>
      <c r="C18" s="13">
        <f>'Ассортимент'!O18</f>
        <v>4</v>
      </c>
      <c r="D18" s="16">
        <f>'Ассортимент'!Q18</f>
        <v>0.125</v>
      </c>
      <c r="E18" s="13">
        <f>SUMIF('Замеры ЦЕЛЬ'!C222:C232,"Ручная",'Замеры ЦЕЛЬ'!S222:S232)</f>
        <v>160.16</v>
      </c>
      <c r="F18" s="13">
        <f>SUMIF('Замеры ЦЕЛЬ'!C222:C232,"Переход",'Замеры ЦЕЛЬ'!S222:S232)</f>
        <v>16</v>
      </c>
      <c r="G18" s="13">
        <f>'Замеры ЦЕЛЬ'!S232</f>
        <v>0</v>
      </c>
      <c r="H18" s="13">
        <f>'Ассортимент'!R18</f>
        <v>300</v>
      </c>
      <c r="I18" s="13">
        <f>'Замеры ЦЕЛЬ'!O234</f>
        <v>476.16</v>
      </c>
      <c r="J18" s="13">
        <f>'Замеры ЦЕЛЬ'!U234</f>
        <v>478.396</v>
      </c>
      <c r="K18" s="13">
        <f>'Замеры ЦЕЛЬ'!P234</f>
        <v>479.97</v>
      </c>
      <c r="L18" s="13">
        <f>'Замеры ЦЕЛЬ'!T233</f>
        <v>11.45</v>
      </c>
      <c r="M18" s="13">
        <f>'Периодическая работа'!N15</f>
        <v>234.375</v>
      </c>
      <c r="N18" s="13">
        <f>IF(AND(ISNUMBER(I18),ISNUMBER(M18)),I18+M18,"")</f>
        <v>710.535</v>
      </c>
      <c r="O18" s="13">
        <f>IF(AND(ISNUMBER(C18),ISNUMBER(I18)),C18*I18,IF(C18=0,0,""))</f>
        <v>1904.64</v>
      </c>
      <c r="P18" s="13">
        <f>IF(AND(ISNUMBER(C18),ISNUMBER(J18)),C18*J18,IF(C18=0,0,""))</f>
        <v>1913.584</v>
      </c>
      <c r="Q18" s="13">
        <f>IF(ISNUMBER(I18),SUM(E18:G18),"")</f>
        <v>176.16</v>
      </c>
      <c r="R18" s="13">
        <f>IF(ISNUMBER(I18),'Замеры ЦЕЛЬ'!S226+'Замеры ЦЕЛЬ'!S228+H18,"")</f>
        <v>358.811112548512</v>
      </c>
      <c r="S18" s="13">
        <f>'Замеры ЦЕЛЬ'!T234</f>
        <v>10</v>
      </c>
      <c r="T18" s="13">
        <f>'Замеры ЦЕЛЬ'!V234</f>
        <v>-5.6843418860808e-14</v>
      </c>
      <c r="U18" s="17" t="str">
        <f>IF(NOT(ISNUMBER(C18)),"ОШИБКА ПЛАНА",IF(C18=0,"Нет в плане",IF(AND(ISNUMBER(I18),S18&gt;0),"ОК","НЕТ ЗАМЕРОВ")))</f>
        <v>ОК</v>
      </c>
    </row>
    <row r="19" spans="1:21" ht="42" customHeight="1">
      <c r="A19" s="5">
        <v>12</v>
      </c>
      <c r="B19" s="5" t="s">
        <v>144</v>
      </c>
      <c r="C19" s="13">
        <f>'Ассортимент'!O19</f>
        <v>1</v>
      </c>
      <c r="D19" s="16">
        <f>'Ассортимент'!Q19</f>
        <v>0.03125</v>
      </c>
      <c r="E19" s="13">
        <f>SUMIF('Замеры ЦЕЛЬ'!C243:C253,"Ручная",'Замеры ЦЕЛЬ'!S243:S253)</f>
        <v>185.66</v>
      </c>
      <c r="F19" s="13">
        <f>SUMIF('Замеры ЦЕЛЬ'!C243:C253,"Переход",'Замеры ЦЕЛЬ'!S243:S253)</f>
        <v>16</v>
      </c>
      <c r="G19" s="13">
        <f>'Замеры ЦЕЛЬ'!S253</f>
        <v>0</v>
      </c>
      <c r="H19" s="13">
        <f>'Ассортимент'!R19</f>
        <v>300</v>
      </c>
      <c r="I19" s="13">
        <f>'Замеры ЦЕЛЬ'!O255</f>
        <v>501.66</v>
      </c>
      <c r="J19" s="13">
        <f>'Замеры ЦЕЛЬ'!U255</f>
        <v>504.546</v>
      </c>
      <c r="K19" s="13">
        <f>'Замеры ЦЕЛЬ'!P255</f>
        <v>506.97</v>
      </c>
      <c r="L19" s="13">
        <f>'Замеры ЦЕЛЬ'!T254</f>
        <v>13.45</v>
      </c>
      <c r="M19" s="13">
        <f>'Периодическая работа'!N15</f>
        <v>234.375</v>
      </c>
      <c r="N19" s="13">
        <f>IF(AND(ISNUMBER(I19),ISNUMBER(M19)),I19+M19,"")</f>
        <v>736.035</v>
      </c>
      <c r="O19" s="13">
        <f>IF(AND(ISNUMBER(C19),ISNUMBER(I19)),C19*I19,IF(C19=0,0,""))</f>
        <v>501.66</v>
      </c>
      <c r="P19" s="13">
        <f>IF(AND(ISNUMBER(C19),ISNUMBER(J19)),C19*J19,IF(C19=0,0,""))</f>
        <v>504.546</v>
      </c>
      <c r="Q19" s="13">
        <f>IF(ISNUMBER(I19),SUM(E19:G19),"")</f>
        <v>201.66</v>
      </c>
      <c r="R19" s="13">
        <f>IF(ISNUMBER(I19),'Замеры ЦЕЛЬ'!S247+'Замеры ЦЕЛЬ'!S249+H19,"")</f>
        <v>358.682338530067</v>
      </c>
      <c r="S19" s="13">
        <f>'Замеры ЦЕЛЬ'!T255</f>
        <v>10</v>
      </c>
      <c r="T19" s="13">
        <f>'Замеры ЦЕЛЬ'!V255</f>
        <v>0</v>
      </c>
      <c r="U19" s="17" t="str">
        <f>IF(NOT(ISNUMBER(C19)),"ОШИБКА ПЛАНА",IF(C19=0,"Нет в плане",IF(AND(ISNUMBER(I19),S19&gt;0),"ОК","НЕТ ЗАМЕРОВ")))</f>
        <v>ОК</v>
      </c>
    </row>
    <row r="20" spans="1:21" ht="42" customHeight="1">
      <c r="A20" s="5">
        <v>13</v>
      </c>
      <c r="B20" s="5" t="s">
        <v>145</v>
      </c>
      <c r="C20" s="13">
        <f>'Ассортимент'!O20</f>
        <v>1</v>
      </c>
      <c r="D20" s="16">
        <f>'Ассортимент'!Q20</f>
        <v>0.03125</v>
      </c>
      <c r="E20" s="13">
        <f>SUMIF('Замеры ЦЕЛЬ'!C264:C274,"Ручная",'Замеры ЦЕЛЬ'!S264:S274)</f>
        <v>195.86</v>
      </c>
      <c r="F20" s="13">
        <f>SUMIF('Замеры ЦЕЛЬ'!C264:C274,"Переход",'Замеры ЦЕЛЬ'!S264:S274)</f>
        <v>16</v>
      </c>
      <c r="G20" s="13">
        <f>'Замеры ЦЕЛЬ'!S274</f>
        <v>0</v>
      </c>
      <c r="H20" s="13">
        <f>'Ассортимент'!R20</f>
        <v>300</v>
      </c>
      <c r="I20" s="13">
        <f>'Замеры ЦЕЛЬ'!O276</f>
        <v>511.86</v>
      </c>
      <c r="J20" s="13">
        <f>'Замеры ЦЕЛЬ'!U276</f>
        <v>515.006</v>
      </c>
      <c r="K20" s="13">
        <f>'Замеры ЦЕЛЬ'!P276</f>
        <v>517.77</v>
      </c>
      <c r="L20" s="13">
        <f>'Замеры ЦЕЛЬ'!T275</f>
        <v>14.2499999999999</v>
      </c>
      <c r="M20" s="13">
        <f>'Периодическая работа'!N15</f>
        <v>234.375</v>
      </c>
      <c r="N20" s="13">
        <f>IF(AND(ISNUMBER(I20),ISNUMBER(M20)),I20+M20,"")</f>
        <v>746.235</v>
      </c>
      <c r="O20" s="13">
        <f>IF(AND(ISNUMBER(C20),ISNUMBER(I20)),C20*I20,IF(C20=0,0,""))</f>
        <v>511.86</v>
      </c>
      <c r="P20" s="13">
        <f>IF(AND(ISNUMBER(C20),ISNUMBER(J20)),C20*J20,IF(C20=0,0,""))</f>
        <v>515.006</v>
      </c>
      <c r="Q20" s="13">
        <f>IF(ISNUMBER(I20),SUM(E20:G20),"")</f>
        <v>211.86</v>
      </c>
      <c r="R20" s="13">
        <f>IF(ISNUMBER(I20),'Замеры ЦЕЛЬ'!S268+'Замеры ЦЕЛЬ'!S270+H20,"")</f>
        <v>358.640337552743</v>
      </c>
      <c r="S20" s="13">
        <f>'Замеры ЦЕЛЬ'!T276</f>
        <v>10</v>
      </c>
      <c r="T20" s="13">
        <f>'Замеры ЦЕЛЬ'!V276</f>
        <v>0</v>
      </c>
      <c r="U20" s="17" t="str">
        <f>IF(NOT(ISNUMBER(C20)),"ОШИБКА ПЛАНА",IF(C20=0,"Нет в плане",IF(AND(ISNUMBER(I20),S20&gt;0),"ОК","НЕТ ЗАМЕРОВ")))</f>
        <v>ОК</v>
      </c>
    </row>
    <row r="21" spans="1:21" ht="42" customHeight="1">
      <c r="A21" s="5">
        <v>14</v>
      </c>
      <c r="B21" s="5" t="s">
        <v>146</v>
      </c>
      <c r="C21" s="13">
        <f>'Ассортимент'!O21</f>
        <v>1</v>
      </c>
      <c r="D21" s="16">
        <f>'Ассортимент'!Q21</f>
        <v>0.03125</v>
      </c>
      <c r="E21" s="13">
        <f>SUMIF('Замеры ЦЕЛЬ'!C285:C295,"Ручная",'Замеры ЦЕЛЬ'!S285:S295)</f>
        <v>190.76</v>
      </c>
      <c r="F21" s="13">
        <f>SUMIF('Замеры ЦЕЛЬ'!C285:C295,"Переход",'Замеры ЦЕЛЬ'!S285:S295)</f>
        <v>16</v>
      </c>
      <c r="G21" s="13">
        <f>'Замеры ЦЕЛЬ'!S295</f>
        <v>0</v>
      </c>
      <c r="H21" s="13">
        <f>'Ассортимент'!R21</f>
        <v>300</v>
      </c>
      <c r="I21" s="13">
        <f>'Замеры ЦЕЛЬ'!O297</f>
        <v>506.76</v>
      </c>
      <c r="J21" s="13">
        <f>'Замеры ЦЕЛЬ'!U297</f>
        <v>509.776</v>
      </c>
      <c r="K21" s="13">
        <f>'Замеры ЦЕЛЬ'!P297</f>
        <v>512.37</v>
      </c>
      <c r="L21" s="13">
        <f>'Замеры ЦЕЛЬ'!T296</f>
        <v>13.85</v>
      </c>
      <c r="M21" s="13">
        <f>'Периодическая работа'!N15</f>
        <v>234.375</v>
      </c>
      <c r="N21" s="13">
        <f>IF(AND(ISNUMBER(I21),ISNUMBER(M21)),I21+M21,"")</f>
        <v>741.135</v>
      </c>
      <c r="O21" s="13">
        <f>IF(AND(ISNUMBER(C21),ISNUMBER(I21)),C21*I21,IF(C21=0,0,""))</f>
        <v>506.76</v>
      </c>
      <c r="P21" s="13">
        <f>IF(AND(ISNUMBER(C21),ISNUMBER(J21)),C21*J21,IF(C21=0,0,""))</f>
        <v>509.776</v>
      </c>
      <c r="Q21" s="13">
        <f>IF(ISNUMBER(I21),SUM(E21:G21),"")</f>
        <v>206.76</v>
      </c>
      <c r="R21" s="13">
        <f>IF(ISNUMBER(I21),'Замеры ЦЕЛЬ'!S289+'Замеры ЦЕЛЬ'!S291+H21,"")</f>
        <v>358.660769230769</v>
      </c>
      <c r="S21" s="13">
        <f>'Замеры ЦЕЛЬ'!T297</f>
        <v>10</v>
      </c>
      <c r="T21" s="13">
        <f>'Замеры ЦЕЛЬ'!V297</f>
        <v>-5.6843418860808e-14</v>
      </c>
      <c r="U21" s="17" t="str">
        <f>IF(NOT(ISNUMBER(C21)),"ОШИБКА ПЛАНА",IF(C21=0,"Нет в плане",IF(AND(ISNUMBER(I21),S21&gt;0),"ОК","НЕТ ЗАМЕРОВ")))</f>
        <v>ОК</v>
      </c>
    </row>
    <row r="22" spans="1:21" ht="42" customHeight="1">
      <c r="A22" s="5">
        <v>15</v>
      </c>
      <c r="B22" s="5" t="s">
        <v>147</v>
      </c>
      <c r="C22" s="13">
        <f>'Ассортимент'!O22</f>
        <v>1</v>
      </c>
      <c r="D22" s="16">
        <f>'Ассортимент'!Q22</f>
        <v>0.03125</v>
      </c>
      <c r="E22" s="13">
        <f>SUMIF('Замеры ЦЕЛЬ'!C306:C316,"Ручная",'Замеры ЦЕЛЬ'!S306:S316)</f>
        <v>170.36</v>
      </c>
      <c r="F22" s="13">
        <f>SUMIF('Замеры ЦЕЛЬ'!C306:C316,"Переход",'Замеры ЦЕЛЬ'!S306:S316)</f>
        <v>16</v>
      </c>
      <c r="G22" s="13">
        <f>'Замеры ЦЕЛЬ'!S316</f>
        <v>0</v>
      </c>
      <c r="H22" s="13">
        <f>'Ассортимент'!R22</f>
        <v>300</v>
      </c>
      <c r="I22" s="13">
        <f>'Замеры ЦЕЛЬ'!O318</f>
        <v>486.36</v>
      </c>
      <c r="J22" s="13">
        <f>'Замеры ЦЕЛЬ'!U318</f>
        <v>488.856</v>
      </c>
      <c r="K22" s="13">
        <f>'Замеры ЦЕЛЬ'!P318</f>
        <v>490.77</v>
      </c>
      <c r="L22" s="13">
        <f>'Замеры ЦЕЛЬ'!T317</f>
        <v>12.2499999999999</v>
      </c>
      <c r="M22" s="13">
        <f>'Периодическая работа'!N15</f>
        <v>234.375</v>
      </c>
      <c r="N22" s="13">
        <f>IF(AND(ISNUMBER(I22),ISNUMBER(M22)),I22+M22,"")</f>
        <v>720.735</v>
      </c>
      <c r="O22" s="13">
        <f>IF(AND(ISNUMBER(C22),ISNUMBER(I22)),C22*I22,IF(C22=0,0,""))</f>
        <v>486.36</v>
      </c>
      <c r="P22" s="13">
        <f>IF(AND(ISNUMBER(C22),ISNUMBER(J22)),C22*J22,IF(C22=0,0,""))</f>
        <v>488.856</v>
      </c>
      <c r="Q22" s="13">
        <f>IF(ISNUMBER(I22),SUM(E22:G22),"")</f>
        <v>186.36</v>
      </c>
      <c r="R22" s="13">
        <f>IF(ISNUMBER(I22),'Замеры ЦЕЛЬ'!S310+'Замеры ЦЕЛЬ'!S312+H22,"")</f>
        <v>358.754908869988</v>
      </c>
      <c r="S22" s="13">
        <f>'Замеры ЦЕЛЬ'!T318</f>
        <v>10</v>
      </c>
      <c r="T22" s="13">
        <f>'Замеры ЦЕЛЬ'!V318</f>
        <v>0</v>
      </c>
      <c r="U22" s="17" t="str">
        <f>IF(NOT(ISNUMBER(C22)),"ОШИБКА ПЛАНА",IF(C22=0,"Нет в плане",IF(AND(ISNUMBER(I22),S22&gt;0),"ОК","НЕТ ЗАМЕРОВ")))</f>
        <v>ОК</v>
      </c>
    </row>
    <row r="23" spans="1:21" ht="42" customHeight="1">
      <c r="A23" s="5">
        <v>16</v>
      </c>
      <c r="B23" s="5" t="s">
        <v>148</v>
      </c>
      <c r="C23" s="13">
        <f>'Ассортимент'!O23</f>
        <v>1</v>
      </c>
      <c r="D23" s="16">
        <f>'Ассортимент'!Q23</f>
        <v>0.03125</v>
      </c>
      <c r="E23" s="13">
        <f>SUMIF('Замеры ЦЕЛЬ'!C327:C337,"Ручная",'Замеры ЦЕЛЬ'!S327:S337)</f>
        <v>180.56</v>
      </c>
      <c r="F23" s="13">
        <f>SUMIF('Замеры ЦЕЛЬ'!C327:C337,"Переход",'Замеры ЦЕЛЬ'!S327:S337)</f>
        <v>16</v>
      </c>
      <c r="G23" s="13">
        <f>'Замеры ЦЕЛЬ'!S337</f>
        <v>0</v>
      </c>
      <c r="H23" s="13">
        <f>'Ассортимент'!R23</f>
        <v>300</v>
      </c>
      <c r="I23" s="13">
        <f>'Замеры ЦЕЛЬ'!O339</f>
        <v>496.56</v>
      </c>
      <c r="J23" s="13">
        <f>'Замеры ЦЕЛЬ'!U339</f>
        <v>499.316</v>
      </c>
      <c r="K23" s="13">
        <f>'Замеры ЦЕЛЬ'!P339</f>
        <v>501.57</v>
      </c>
      <c r="L23" s="13">
        <f>'Замеры ЦЕЛЬ'!T338</f>
        <v>13.05</v>
      </c>
      <c r="M23" s="13">
        <f>'Периодическая работа'!N15</f>
        <v>234.375</v>
      </c>
      <c r="N23" s="13">
        <f>IF(AND(ISNUMBER(I23),ISNUMBER(M23)),I23+M23,"")</f>
        <v>730.935</v>
      </c>
      <c r="O23" s="13">
        <f>IF(AND(ISNUMBER(C23),ISNUMBER(I23)),C23*I23,IF(C23=0,0,""))</f>
        <v>496.56</v>
      </c>
      <c r="P23" s="13">
        <f>IF(AND(ISNUMBER(C23),ISNUMBER(J23)),C23*J23,IF(C23=0,0,""))</f>
        <v>499.316</v>
      </c>
      <c r="Q23" s="13">
        <f>IF(ISNUMBER(I23),SUM(E23:G23),"")</f>
        <v>196.56</v>
      </c>
      <c r="R23" s="13">
        <f>IF(ISNUMBER(I23),'Замеры ЦЕЛЬ'!S331+'Замеры ЦЕЛЬ'!S333+H23,"")</f>
        <v>358.705143184422</v>
      </c>
      <c r="S23" s="13">
        <f>'Замеры ЦЕЛЬ'!T339</f>
        <v>10</v>
      </c>
      <c r="T23" s="13">
        <f>'Замеры ЦЕЛЬ'!V339</f>
        <v>-5.6843418860808e-14</v>
      </c>
      <c r="U23" s="17" t="str">
        <f>IF(NOT(ISNUMBER(C23)),"ОШИБКА ПЛАНА",IF(C23=0,"Нет в плане",IF(AND(ISNUMBER(I23),S23&gt;0),"ОК","НЕТ ЗАМЕРОВ")))</f>
        <v>ОК</v>
      </c>
    </row>
    <row r="24" spans="1:21" ht="42" customHeight="1">
      <c r="A24" s="5">
        <v>17</v>
      </c>
      <c r="B24" s="5" t="s">
        <v>149</v>
      </c>
      <c r="C24" s="13">
        <f>'Ассортимент'!O24</f>
        <v>1</v>
      </c>
      <c r="D24" s="16">
        <f>'Ассортимент'!Q24</f>
        <v>0.03125</v>
      </c>
      <c r="E24" s="13">
        <f>SUMIF('Замеры ЦЕЛЬ'!C348:C358,"Ручная",'Замеры ЦЕЛЬ'!S348:S358)</f>
        <v>155.06</v>
      </c>
      <c r="F24" s="13">
        <f>SUMIF('Замеры ЦЕЛЬ'!C348:C358,"Переход",'Замеры ЦЕЛЬ'!S348:S358)</f>
        <v>16</v>
      </c>
      <c r="G24" s="13">
        <f>'Замеры ЦЕЛЬ'!S358</f>
        <v>0</v>
      </c>
      <c r="H24" s="13">
        <f>'Ассортимент'!R24</f>
        <v>300</v>
      </c>
      <c r="I24" s="13">
        <f>'Замеры ЦЕЛЬ'!O360</f>
        <v>471.06</v>
      </c>
      <c r="J24" s="13">
        <f>'Замеры ЦЕЛЬ'!U360</f>
        <v>473.166</v>
      </c>
      <c r="K24" s="13">
        <f>'Замеры ЦЕЛЬ'!P360</f>
        <v>474.57</v>
      </c>
      <c r="L24" s="13">
        <f>'Замеры ЦЕЛЬ'!T359</f>
        <v>11.0499999999999</v>
      </c>
      <c r="M24" s="13">
        <f>'Периодическая работа'!N15</f>
        <v>234.375</v>
      </c>
      <c r="N24" s="13">
        <f>IF(AND(ISNUMBER(I24),ISNUMBER(M24)),I24+M24,"")</f>
        <v>705.435</v>
      </c>
      <c r="O24" s="13">
        <f>IF(AND(ISNUMBER(C24),ISNUMBER(I24)),C24*I24,IF(C24=0,0,""))</f>
        <v>471.06</v>
      </c>
      <c r="P24" s="13">
        <f>IF(AND(ISNUMBER(C24),ISNUMBER(J24)),C24*J24,IF(C24=0,0,""))</f>
        <v>473.166</v>
      </c>
      <c r="Q24" s="13">
        <f>IF(ISNUMBER(I24),SUM(E24:G24),"")</f>
        <v>171.06</v>
      </c>
      <c r="R24" s="13">
        <f>IF(ISNUMBER(I24),'Замеры ЦЕЛЬ'!S352+'Замеры ЦЕЛЬ'!S354+H24,"")</f>
        <v>358.842032085562</v>
      </c>
      <c r="S24" s="13">
        <f>'Замеры ЦЕЛЬ'!T360</f>
        <v>10</v>
      </c>
      <c r="T24" s="13">
        <f>'Замеры ЦЕЛЬ'!V360</f>
        <v>0</v>
      </c>
      <c r="U24" s="17" t="str">
        <f>IF(NOT(ISNUMBER(C24)),"ОШИБКА ПЛАНА",IF(C24=0,"Нет в плане",IF(AND(ISNUMBER(I24),S24&gt;0),"ОК","НЕТ ЗАМЕРОВ")))</f>
        <v>ОК</v>
      </c>
    </row>
    <row r="25" spans="1:21" ht="42" customHeight="1">
      <c r="A25" s="5">
        <v>18</v>
      </c>
      <c r="B25" s="5" t="s">
        <v>150</v>
      </c>
      <c r="C25" s="13">
        <f>'Ассортимент'!O25</f>
        <v>1</v>
      </c>
      <c r="D25" s="16">
        <f>'Ассортимент'!Q25</f>
        <v>0.03125</v>
      </c>
      <c r="E25" s="13">
        <f>SUMIF('Замеры ЦЕЛЬ'!C369:C379,"Ручная",'Замеры ЦЕЛЬ'!S369:S379)</f>
        <v>155.06</v>
      </c>
      <c r="F25" s="13">
        <f>SUMIF('Замеры ЦЕЛЬ'!C369:C379,"Переход",'Замеры ЦЕЛЬ'!S369:S379)</f>
        <v>16</v>
      </c>
      <c r="G25" s="13">
        <f>'Замеры ЦЕЛЬ'!S379</f>
        <v>0</v>
      </c>
      <c r="H25" s="13">
        <f>'Ассортимент'!R25</f>
        <v>300</v>
      </c>
      <c r="I25" s="13">
        <f>'Замеры ЦЕЛЬ'!O381</f>
        <v>471.06</v>
      </c>
      <c r="J25" s="13">
        <f>'Замеры ЦЕЛЬ'!U381</f>
        <v>473.166</v>
      </c>
      <c r="K25" s="13">
        <f>'Замеры ЦЕЛЬ'!P381</f>
        <v>474.57</v>
      </c>
      <c r="L25" s="13">
        <f>'Замеры ЦЕЛЬ'!T380</f>
        <v>11.0499999999999</v>
      </c>
      <c r="M25" s="13">
        <f>'Периодическая работа'!N15</f>
        <v>234.375</v>
      </c>
      <c r="N25" s="13">
        <f>IF(AND(ISNUMBER(I25),ISNUMBER(M25)),I25+M25,"")</f>
        <v>705.435</v>
      </c>
      <c r="O25" s="13">
        <f>IF(AND(ISNUMBER(C25),ISNUMBER(I25)),C25*I25,IF(C25=0,0,""))</f>
        <v>471.06</v>
      </c>
      <c r="P25" s="13">
        <f>IF(AND(ISNUMBER(C25),ISNUMBER(J25)),C25*J25,IF(C25=0,0,""))</f>
        <v>473.166</v>
      </c>
      <c r="Q25" s="13">
        <f>IF(ISNUMBER(I25),SUM(E25:G25),"")</f>
        <v>171.06</v>
      </c>
      <c r="R25" s="13">
        <f>IF(ISNUMBER(I25),'Замеры ЦЕЛЬ'!S373+'Замеры ЦЕЛЬ'!S375+H25,"")</f>
        <v>358.842032085562</v>
      </c>
      <c r="S25" s="13">
        <f>'Замеры ЦЕЛЬ'!T381</f>
        <v>10</v>
      </c>
      <c r="T25" s="13">
        <f>'Замеры ЦЕЛЬ'!V381</f>
        <v>0</v>
      </c>
      <c r="U25" s="17" t="str">
        <f>IF(NOT(ISNUMBER(C25)),"ОШИБКА ПЛАНА",IF(C25=0,"Нет в плане",IF(AND(ISNUMBER(I25),S25&gt;0),"ОК","НЕТ ЗАМЕРОВ")))</f>
        <v>ОК</v>
      </c>
    </row>
    <row r="27" spans="1:21" ht="23" customHeight="1">
      <c r="B27" s="4" t="s">
        <v>304</v>
      </c>
      <c r="C27" s="6">
        <f>IF(COUNT(C8:C25)=18,SUM(C8:C25),"")</f>
        <v>32</v>
      </c>
      <c r="D27" s="16">
        <f>SUM(D8:D25)</f>
        <v>1</v>
      </c>
      <c r="E27" s="6">
        <f>IF(AND(AND(ISNUMBER($C$27),$C$27&gt;0,COUNTIF($U$8:$U$25,"НЕТ ЗАМЕРОВ")=0,COUNTIF($U$8:$U$25,"ОШИБКА ПЛАНА")=0),SUMPRODUCT($C$8:$C$25,ISNUMBER(E8:E25)*1)=$C$27),SUMPRODUCT($C$8:$C$25,E8:E25)/$C$27,"")</f>
        <v>187.565</v>
      </c>
      <c r="F27" s="6">
        <f>IF(AND(AND(ISNUMBER($C$27),$C$27&gt;0,COUNTIF($U$8:$U$25,"НЕТ ЗАМЕРОВ")=0,COUNTIF($U$8:$U$25,"ОШИБКА ПЛАНА")=0),SUMPRODUCT($C$8:$C$25,ISNUMBER(F8:F25)*1)=$C$27),SUMPRODUCT($C$8:$C$25,F8:F25)/$C$27,"")</f>
        <v>16</v>
      </c>
      <c r="G27" s="6">
        <f>IF(AND(AND(ISNUMBER($C$27),$C$27&gt;0,COUNTIF($U$8:$U$25,"НЕТ ЗАМЕРОВ")=0,COUNTIF($U$8:$U$25,"ОШИБКА ПЛАНА")=0),SUMPRODUCT($C$8:$C$25,ISNUMBER(G8:G25)*1)=$C$27),SUMPRODUCT($C$8:$C$25,G8:G25)/$C$27,"")</f>
        <v>0</v>
      </c>
      <c r="H27" s="6">
        <f>IF(AND(AND(ISNUMBER($C$27),$C$27&gt;0,COUNTIF($U$8:$U$25,"НЕТ ЗАМЕРОВ")=0,COUNTIF($U$8:$U$25,"ОШИБКА ПЛАНА")=0),SUMPRODUCT($C$8:$C$25,ISNUMBER(H8:H25)*1)=$C$27),SUMPRODUCT($C$8:$C$25,H8:H25)/$C$27,"")</f>
        <v>288.75</v>
      </c>
      <c r="I27" s="6">
        <f>IF(AND(AND(ISNUMBER($C$27),$C$27&gt;0,COUNTIF($U$8:$U$25,"НЕТ ЗАМЕРОВ")=0,COUNTIF($U$8:$U$25,"ОШИБКА ПЛАНА")=0),SUMPRODUCT($C$8:$C$25,ISNUMBER(I8:I25)*1)=$C$27),SUMPRODUCT($C$8:$C$25,I8:I25)/$C$27,"")</f>
        <v>492.315</v>
      </c>
      <c r="J27" s="6">
        <f>IF(AND(AND(ISNUMBER($C$27),$C$27&gt;0,COUNTIF($U$8:$U$25,"НЕТ ЗАМЕРОВ")=0,COUNTIF($U$8:$U$25,"ОШИБКА ПЛАНА")=0),SUMPRODUCT($C$8:$C$25,ISNUMBER(J8:J25)*1)=$C$27),SUMPRODUCT($C$8:$C$25,J8:J25)/$C$27,"")</f>
        <v>495.25725</v>
      </c>
      <c r="K27" s="6">
        <f>IF(AND(AND(ISNUMBER($C$27),$C$27&gt;0,COUNTIF($U$8:$U$25,"НЕТ ЗАМЕРОВ")=0,COUNTIF($U$8:$U$25,"ОШИБКА ПЛАНА")=0),SUMPRODUCT($C$8:$C$25,ISNUMBER(K8:K25)*1)=$C$27),SUMPRODUCT($C$8:$C$25,K8:K25)/$C$27,"")</f>
        <v>497.8875</v>
      </c>
      <c r="L27" s="6">
        <f>IF(AND(AND(ISNUMBER($C$27),$C$27&gt;0,COUNTIF($U$8:$U$25,"НЕТ ЗАМЕРОВ")=0,COUNTIF($U$8:$U$25,"ОШИБКА ПЛАНА")=0),SUMPRODUCT($C$8:$C$25,ISNUMBER(L8:L25)*1)=$C$27),SUMPRODUCT($C$8:$C$25,L8:L25)/$C$27,"")</f>
        <v>13.6075</v>
      </c>
      <c r="M27" s="6">
        <f>IF(AND(AND(ISNUMBER($C$27),$C$27&gt;0,COUNTIF($U$8:$U$25,"НЕТ ЗАМЕРОВ")=0,COUNTIF($U$8:$U$25,"ОШИБКА ПЛАНА")=0),SUMPRODUCT($C$8:$C$25,ISNUMBER(M8:M25)*1)=$C$27),SUMPRODUCT($C$8:$C$25,M8:M25)/$C$27,"")</f>
        <v>234.375</v>
      </c>
      <c r="N27" s="6">
        <f>IF(AND(AND(ISNUMBER($C$27),$C$27&gt;0,COUNTIF($U$8:$U$25,"НЕТ ЗАМЕРОВ")=0,COUNTIF($U$8:$U$25,"ОШИБКА ПЛАНА")=0),SUMPRODUCT($C$8:$C$25,ISNUMBER(N8:N25)*1)=$C$27),SUMPRODUCT($C$8:$C$25,N8:N25)/$C$27,"")</f>
        <v>726.69</v>
      </c>
      <c r="O27" s="6">
        <f>IF(AND(COUNT(O8:O25)=18,COUNT(C8:C25)=18),SUM(O8:O25),"")</f>
        <v>15754.08</v>
      </c>
      <c r="P27" s="6">
        <f>IF(AND(COUNT(P8:P25)=18,COUNT(C8:C25)=18),SUM(P8:P25),"")</f>
        <v>15848.232</v>
      </c>
      <c r="Q27" s="6">
        <f>IF(AND(AND(ISNUMBER($C$27),$C$27&gt;0,COUNTIF($U$8:$U$25,"НЕТ ЗАМЕРОВ")=0,COUNTIF($U$8:$U$25,"ОШИБКА ПЛАНА")=0),SUMPRODUCT($C$8:$C$25,ISNUMBER(Q8:Q25)*1)=$C$27),SUMPRODUCT($C$8:$C$25,Q8:Q25)/$C$27,"")</f>
        <v>203.565</v>
      </c>
      <c r="R27" s="6">
        <f>IF(AND(AND(ISNUMBER($C$27),$C$27&gt;0,COUNTIF($U$8:$U$25,"НЕТ ЗАМЕРОВ")=0,COUNTIF($U$8:$U$25,"ОШИБКА ПЛАНА")=0),SUMPRODUCT($C$8:$C$25,ISNUMBER(R8:R25)*1)=$C$27),SUMPRODUCT($C$8:$C$25,R8:R25)/$C$27,"")</f>
        <v>347.442193168121</v>
      </c>
    </row>
    <row r="30" spans="1:21" ht="32" customHeight="1">
      <c r="B30" s="6">
        <f>O27</f>
        <v>15754.08</v>
      </c>
      <c r="C30" s="5" t="s">
        <v>305</v>
      </c>
      <c r="D30" s="5"/>
      <c r="E30" s="5"/>
      <c r="F30" s="5"/>
      <c r="G30" s="5"/>
      <c r="H30" s="5"/>
      <c r="I30" s="5"/>
      <c r="J30" s="7" t="s">
        <v>85</v>
      </c>
    </row>
    <row r="31" spans="1:21" ht="32" customHeight="1">
      <c r="B31" s="6">
        <f>P27</f>
        <v>15848.232</v>
      </c>
      <c r="C31" s="5" t="s">
        <v>306</v>
      </c>
      <c r="D31" s="5"/>
      <c r="E31" s="5"/>
      <c r="F31" s="5"/>
      <c r="G31" s="5"/>
      <c r="H31" s="5"/>
      <c r="I31" s="5"/>
      <c r="J31" s="7" t="s">
        <v>85</v>
      </c>
    </row>
    <row r="32" spans="1:21" ht="32" customHeight="1">
      <c r="B32" s="6">
        <f>'Периодическая работа'!Q15</f>
        <v>7500</v>
      </c>
      <c r="C32" s="5" t="s">
        <v>307</v>
      </c>
      <c r="D32" s="5"/>
      <c r="E32" s="5"/>
      <c r="F32" s="5"/>
      <c r="G32" s="5"/>
      <c r="H32" s="5"/>
      <c r="I32" s="5"/>
      <c r="J32" s="7" t="s">
        <v>85</v>
      </c>
    </row>
    <row r="33" spans="2:10" ht="32" customHeight="1">
      <c r="B33" s="6">
        <f>IF(COUNT(B30,B32)=2,B30+B32,"")</f>
        <v>23254.08</v>
      </c>
      <c r="C33" s="5" t="s">
        <v>308</v>
      </c>
      <c r="D33" s="5"/>
      <c r="E33" s="5"/>
      <c r="F33" s="5"/>
      <c r="G33" s="5"/>
      <c r="H33" s="5"/>
      <c r="I33" s="5"/>
      <c r="J33" s="7" t="s">
        <v>85</v>
      </c>
    </row>
    <row r="34" spans="2:10" ht="32" customHeight="1">
      <c r="B34" s="6">
        <f>IF(COUNT(B31,B32)=2,B31+B32,"")</f>
        <v>23348.232</v>
      </c>
      <c r="C34" s="5" t="s">
        <v>309</v>
      </c>
      <c r="D34" s="5"/>
      <c r="E34" s="5"/>
      <c r="F34" s="5"/>
      <c r="G34" s="5"/>
      <c r="H34" s="5"/>
      <c r="I34" s="5"/>
      <c r="J34" s="7" t="s">
        <v>85</v>
      </c>
    </row>
    <row r="35" spans="2:10" ht="32" customHeight="1">
      <c r="B35" s="6">
        <f>'Ввод'!B27</f>
        <v>24600</v>
      </c>
      <c r="C35" s="5" t="s">
        <v>310</v>
      </c>
      <c r="D35" s="5"/>
      <c r="E35" s="5"/>
      <c r="F35" s="5"/>
      <c r="G35" s="5"/>
      <c r="H35" s="5"/>
      <c r="I35" s="5"/>
      <c r="J35" s="7" t="s">
        <v>85</v>
      </c>
    </row>
    <row r="36" spans="2:10" ht="32" customHeight="1">
      <c r="B36" s="16">
        <f>IF(AND(COUNT(B33,B35)=2,B35&gt;0),B33/B35,"")</f>
        <v>0.945287804878049</v>
      </c>
      <c r="C36" s="5" t="s">
        <v>311</v>
      </c>
      <c r="D36" s="5"/>
      <c r="E36" s="5"/>
      <c r="F36" s="5"/>
      <c r="G36" s="5"/>
      <c r="H36" s="5"/>
      <c r="I36" s="5"/>
      <c r="J36" s="7" t="s">
        <v>312</v>
      </c>
    </row>
    <row r="37" spans="2:10" ht="32" customHeight="1">
      <c r="B37" s="16">
        <f>IF(AND(COUNT(B34,B35)=2,B35&gt;0),B34/B35,"")</f>
        <v>0.949115121951219</v>
      </c>
      <c r="C37" s="5" t="s">
        <v>313</v>
      </c>
      <c r="D37" s="5"/>
      <c r="E37" s="5"/>
      <c r="F37" s="5"/>
      <c r="G37" s="5"/>
      <c r="H37" s="5"/>
      <c r="I37" s="5"/>
      <c r="J37" s="7" t="s">
        <v>312</v>
      </c>
    </row>
    <row r="38" spans="2:10" ht="32" customHeight="1">
      <c r="B38" s="6">
        <f>IF(AND(AND(ISNUMBER($C$27),$C$27&gt;0,COUNTIF($U$8:$U$25,"НЕТ ЗАМЕРОВ")=0,COUNTIF($U$8:$U$25,"ОШИБКА ПЛАНА")=0),ISNUMBER(B32)),SUMPRODUCT(C8:C25,Q8:Q25)+B32,IF(C27=0,0,""))</f>
        <v>14014.08</v>
      </c>
      <c r="C38" s="5" t="s">
        <v>314</v>
      </c>
      <c r="D38" s="5"/>
      <c r="E38" s="5"/>
      <c r="F38" s="5"/>
      <c r="G38" s="5"/>
      <c r="H38" s="5"/>
      <c r="I38" s="5"/>
      <c r="J38" s="7" t="s">
        <v>315</v>
      </c>
    </row>
    <row r="39" spans="2:10" ht="32" customHeight="1">
      <c r="B39" s="6">
        <f>IF(AND(COUNT(B38,B35)=2,B35&gt;0),B38/B35,"")</f>
        <v>0.569678048780488</v>
      </c>
      <c r="C39" s="5" t="s">
        <v>316</v>
      </c>
      <c r="D39" s="5"/>
      <c r="E39" s="5"/>
      <c r="F39" s="5"/>
      <c r="G39" s="5"/>
      <c r="H39" s="5"/>
      <c r="I39" s="5"/>
      <c r="J39" s="7" t="s">
        <v>317</v>
      </c>
    </row>
    <row r="40" spans="2:10" ht="32" customHeight="1">
      <c r="B40" s="6">
        <f>IF(AND(COUNT(B33,B35)=2,B35&gt;0),ROUNDUP(B33/B35,0),"")</f>
        <v>1</v>
      </c>
      <c r="C40" s="5" t="s">
        <v>318</v>
      </c>
      <c r="D40" s="5"/>
      <c r="E40" s="5"/>
      <c r="F40" s="5"/>
      <c r="G40" s="5"/>
      <c r="H40" s="5"/>
      <c r="I40" s="5"/>
      <c r="J40" s="7" t="s">
        <v>50</v>
      </c>
    </row>
    <row r="41" spans="2:10" ht="32" customHeight="1">
      <c r="B41" s="6">
        <f>IF(AND(AND(ISNUMBER($C$27),$C$27&gt;0,COUNTIF($U$8:$U$25,"НЕТ ЗАМЕРОВ")=0,COUNTIF($U$8:$U$25,"ОШИБКА ПЛАНА")=0),COUNT('Периодическая работа'!Q8:Q12)=5),SUMPRODUCT(C8:C25,R8:R25)+SUM('Периодическая работа'!Q8:Q12),IF(C27=0,0,""))</f>
        <v>18438.1501813799</v>
      </c>
      <c r="C41" s="5" t="s">
        <v>319</v>
      </c>
      <c r="D41" s="5"/>
      <c r="E41" s="5"/>
      <c r="F41" s="5"/>
      <c r="G41" s="5"/>
      <c r="H41" s="5"/>
      <c r="I41" s="5"/>
      <c r="J41" s="7" t="s">
        <v>320</v>
      </c>
    </row>
    <row r="42" spans="2:10" ht="32" customHeight="1">
      <c r="B42" s="6">
        <f>IF(AND(COUNT(B41,B35)=2,B35&gt;0),B41/B35,"")</f>
        <v>0.749518300056092</v>
      </c>
      <c r="C42" s="5" t="s">
        <v>321</v>
      </c>
      <c r="D42" s="5"/>
      <c r="E42" s="5"/>
      <c r="F42" s="5"/>
      <c r="G42" s="5"/>
      <c r="H42" s="5"/>
      <c r="I42" s="5"/>
      <c r="J42" s="7" t="s">
        <v>322</v>
      </c>
    </row>
    <row r="43" spans="2:10" ht="32" customHeight="1">
      <c r="B43" s="6">
        <f>IF(ISNUMBER(B42),ROUNDUP(B42,0),"")</f>
        <v>1</v>
      </c>
      <c r="C43" s="5" t="s">
        <v>323</v>
      </c>
      <c r="D43" s="5"/>
      <c r="E43" s="5"/>
      <c r="F43" s="5"/>
      <c r="G43" s="5"/>
      <c r="H43" s="5"/>
      <c r="I43" s="5"/>
      <c r="J43" s="7" t="s">
        <v>47</v>
      </c>
    </row>
    <row r="44" spans="2:10" ht="32" customHeight="1">
      <c r="B44" s="6">
        <f>IF(AND(ISNUMBER(C27),C27&gt;0,ISNUMBER(B32)),B32/C27,"")</f>
        <v>234.375</v>
      </c>
      <c r="C44" s="5" t="s">
        <v>324</v>
      </c>
      <c r="D44" s="5"/>
      <c r="E44" s="5"/>
      <c r="F44" s="5"/>
      <c r="G44" s="5"/>
      <c r="H44" s="5"/>
      <c r="I44" s="5"/>
      <c r="J44" s="7" t="s">
        <v>90</v>
      </c>
    </row>
    <row r="45" spans="2:10" ht="32" customHeight="1">
      <c r="B45" s="6">
        <f>IF(AND(ISNUMBER(C27),C27&gt;0,ISNUMBER(B34)),B34/C27,"")</f>
        <v>729.63225</v>
      </c>
      <c r="C45" s="5" t="s">
        <v>325</v>
      </c>
      <c r="D45" s="5"/>
      <c r="E45" s="5"/>
      <c r="F45" s="5"/>
      <c r="G45" s="5"/>
      <c r="H45" s="5"/>
      <c r="I45" s="5"/>
      <c r="J45" s="7" t="s">
        <v>90</v>
      </c>
    </row>
    <row r="46" spans="2:10" ht="32" customHeight="1">
      <c r="B46" s="6">
        <f>IF(AND(ISNUMBER(C27),C27&gt;0,ISNUMBER(B33)),B33/C27,"")</f>
        <v>726.69</v>
      </c>
      <c r="C46" s="5" t="s">
        <v>326</v>
      </c>
      <c r="D46" s="5"/>
      <c r="E46" s="5"/>
      <c r="F46" s="5"/>
      <c r="G46" s="5"/>
      <c r="H46" s="5"/>
      <c r="I46" s="5"/>
      <c r="J46" s="7" t="s">
        <v>90</v>
      </c>
    </row>
    <row r="47" spans="2:10" ht="32" customHeight="1">
      <c r="B47" s="6">
        <f>IF(AND(COUNT(B35,I27,M27)=3,B35&gt;0,SUM(I27,M27)&gt;0),INT(B35/(I27+M27)),"")</f>
        <v>33</v>
      </c>
      <c r="C47" s="5" t="s">
        <v>327</v>
      </c>
      <c r="D47" s="5"/>
      <c r="E47" s="5"/>
      <c r="F47" s="5"/>
      <c r="G47" s="5"/>
      <c r="H47" s="5"/>
      <c r="I47" s="5"/>
      <c r="J47" s="7" t="s">
        <v>328</v>
      </c>
    </row>
    <row r="49" spans="1:21" ht="32" customHeight="1">
      <c r="B49" s="17" t="str">
        <f>IF(AND(COUNT(B33,B35)=2,B35&gt;0,C27&gt;0),IF(B33&lt;=B35,"ВПИСЫВАЕТСЯ","НЕ ВПИСЫВАЕТСЯ"),"НЕТ РАСЧЁТА")</f>
        <v>ВПИСЫВАЕТСЯ</v>
      </c>
      <c r="C49" s="5" t="s">
        <v>329</v>
      </c>
      <c r="D49" s="5"/>
      <c r="E49" s="5"/>
      <c r="F49" s="5"/>
      <c r="G49" s="5"/>
      <c r="H49" s="5"/>
      <c r="I49" s="5"/>
      <c r="J49" s="7"/>
    </row>
    <row r="50" spans="1:21" ht="32" customHeight="1">
      <c r="B50" s="17" t="str">
        <f>IF(AND(COUNT(B34,B35)=2,B35&gt;0,C27&gt;0),IF(B34&lt;=B35,"ВПИСЫВАЕТСЯ","НЕ ВПИСЫВАЕТСЯ"),"НЕТ РАСЧЁТА")</f>
        <v>ВПИСЫВАЕТСЯ</v>
      </c>
      <c r="C50" s="5" t="s">
        <v>330</v>
      </c>
      <c r="D50" s="5"/>
      <c r="E50" s="5"/>
      <c r="F50" s="5"/>
      <c r="G50" s="5"/>
      <c r="H50" s="5"/>
      <c r="I50" s="5"/>
      <c r="J50" s="7"/>
    </row>
    <row r="52" spans="1:21" ht="23" customHeight="1">
      <c r="A52" s="2" t="s">
        <v>331</v>
      </c>
      <c r="B52" s="2"/>
      <c r="C52" s="2"/>
      <c r="D52" s="2"/>
      <c r="E52" s="2"/>
      <c r="F52" s="2"/>
      <c r="G52" s="2"/>
      <c r="H52" s="2"/>
      <c r="I52" s="2"/>
      <c r="J52" s="2"/>
      <c r="K52" s="2"/>
      <c r="L52" s="2"/>
      <c r="M52" s="2"/>
      <c r="N52" s="2"/>
      <c r="O52" s="2"/>
      <c r="P52" s="2"/>
      <c r="Q52" s="2"/>
      <c r="R52" s="2"/>
      <c r="S52" s="2"/>
      <c r="T52" s="2"/>
      <c r="U52" s="2"/>
    </row>
    <row r="53" spans="1:21" ht="23" customHeight="1">
      <c r="A53" s="2"/>
      <c r="B53" s="2"/>
      <c r="C53" s="2"/>
      <c r="D53" s="2"/>
      <c r="E53" s="2"/>
      <c r="F53" s="2"/>
      <c r="G53" s="2"/>
      <c r="H53" s="2"/>
      <c r="I53" s="2"/>
      <c r="J53" s="2"/>
      <c r="K53" s="2"/>
      <c r="L53" s="2"/>
      <c r="M53" s="2"/>
      <c r="N53" s="2"/>
      <c r="O53" s="2"/>
      <c r="P53" s="2"/>
      <c r="Q53" s="2"/>
      <c r="R53" s="2"/>
      <c r="S53" s="2"/>
      <c r="T53" s="2"/>
      <c r="U53" s="2"/>
    </row>
    <row r="54" spans="1:21" ht="23" customHeight="1">
      <c r="A54" s="2"/>
      <c r="B54" s="2"/>
      <c r="C54" s="2"/>
      <c r="D54" s="2"/>
      <c r="E54" s="2"/>
      <c r="F54" s="2"/>
      <c r="G54" s="2"/>
      <c r="H54" s="2"/>
      <c r="I54" s="2"/>
      <c r="J54" s="2"/>
      <c r="K54" s="2"/>
      <c r="L54" s="2"/>
      <c r="M54" s="2"/>
      <c r="N54" s="2"/>
      <c r="O54" s="2"/>
      <c r="P54" s="2"/>
      <c r="Q54" s="2"/>
      <c r="R54" s="2"/>
      <c r="S54" s="2"/>
      <c r="T54" s="2"/>
      <c r="U54" s="2"/>
    </row>
    <row r="56" spans="1:21" ht="35" customHeight="1">
      <c r="B56" s="16">
        <f>IF(AND(COUNT(B41,B35,'Ввод'!B22)=3,B35&gt;0,'Ввод'!B22&gt;0),B41/(B35*'Ввод'!B22),"")</f>
        <v>0.749518300056092</v>
      </c>
      <c r="C56" s="5" t="s">
        <v>332</v>
      </c>
      <c r="D56" s="5"/>
      <c r="E56" s="5"/>
      <c r="F56" s="5"/>
      <c r="G56" s="5"/>
      <c r="H56" s="5"/>
      <c r="I56" s="5"/>
      <c r="J56" s="5"/>
      <c r="K56" s="5"/>
    </row>
    <row r="57" spans="1:21" ht="35" customHeight="1">
      <c r="B57" s="16">
        <f>IF(AND(COUNT(B33,B35,'Ввод'!B23)=3,B35&gt;0,'Ввод'!B23&gt;0),B33/(B35*'Ввод'!B23),"")</f>
        <v>0.945287804878049</v>
      </c>
      <c r="C57" s="5" t="s">
        <v>333</v>
      </c>
      <c r="D57" s="5"/>
      <c r="E57" s="5"/>
      <c r="F57" s="5"/>
      <c r="G57" s="5"/>
      <c r="H57" s="5"/>
      <c r="I57" s="5"/>
      <c r="J57" s="5"/>
      <c r="K57" s="5"/>
    </row>
    <row r="58" spans="1:21" ht="35" customHeight="1">
      <c r="B58" s="16">
        <f>IF(AND(COUNT(B38,B35,'Ввод'!B23)=3,B35&gt;0,'Ввод'!B23&gt;0),B38/(B35*'Ввод'!B23),"")</f>
        <v>0.569678048780488</v>
      </c>
      <c r="C58" s="5" t="s">
        <v>334</v>
      </c>
      <c r="D58" s="5"/>
      <c r="E58" s="5"/>
      <c r="F58" s="5"/>
      <c r="G58" s="5"/>
      <c r="H58" s="5"/>
      <c r="I58" s="5"/>
      <c r="J58" s="5"/>
      <c r="K58" s="5"/>
    </row>
    <row r="60" spans="1:21" ht="23" customHeight="1">
      <c r="A60" s="2" t="s">
        <v>335</v>
      </c>
      <c r="B60" s="2"/>
      <c r="C60" s="2"/>
      <c r="D60" s="2"/>
      <c r="E60" s="2"/>
      <c r="F60" s="2"/>
      <c r="G60" s="2"/>
      <c r="H60" s="2"/>
      <c r="I60" s="2"/>
      <c r="J60" s="2"/>
      <c r="K60" s="2"/>
      <c r="L60" s="2"/>
      <c r="M60" s="2"/>
      <c r="N60" s="2"/>
      <c r="O60" s="2"/>
      <c r="P60" s="2"/>
      <c r="Q60" s="2"/>
      <c r="R60" s="2"/>
      <c r="S60" s="2"/>
      <c r="T60" s="2"/>
      <c r="U60" s="2"/>
    </row>
    <row r="61" spans="1:21" ht="23" customHeight="1">
      <c r="A61" s="2"/>
      <c r="B61" s="2"/>
      <c r="C61" s="2"/>
      <c r="D61" s="2"/>
      <c r="E61" s="2"/>
      <c r="F61" s="2"/>
      <c r="G61" s="2"/>
      <c r="H61" s="2"/>
      <c r="I61" s="2"/>
      <c r="J61" s="2"/>
      <c r="K61" s="2"/>
      <c r="L61" s="2"/>
      <c r="M61" s="2"/>
      <c r="N61" s="2"/>
      <c r="O61" s="2"/>
      <c r="P61" s="2"/>
      <c r="Q61" s="2"/>
      <c r="R61" s="2"/>
      <c r="S61" s="2"/>
      <c r="T61" s="2"/>
      <c r="U61" s="2"/>
    </row>
    <row r="62" spans="1:21" ht="23" customHeight="1">
      <c r="A62" s="2"/>
      <c r="B62" s="2"/>
      <c r="C62" s="2"/>
      <c r="D62" s="2"/>
      <c r="E62" s="2"/>
      <c r="F62" s="2"/>
      <c r="G62" s="2"/>
      <c r="H62" s="2"/>
      <c r="I62" s="2"/>
      <c r="J62" s="2"/>
      <c r="K62" s="2"/>
      <c r="L62" s="2"/>
      <c r="M62" s="2"/>
      <c r="N62" s="2"/>
      <c r="O62" s="2"/>
      <c r="P62" s="2"/>
      <c r="Q62" s="2"/>
      <c r="R62" s="2"/>
      <c r="S62" s="2"/>
      <c r="T62" s="2"/>
      <c r="U62" s="2"/>
    </row>
  </sheetData>
  <sheetProtection sheet="1" objects="1" scenarios="1" sort="0" autoFilter="0"/>
  <mergeCells count="28">
    <mergeCell ref="A1:U1"/>
    <mergeCell ref="A2:U2"/>
    <mergeCell ref="B3:U3"/>
    <mergeCell ref="C30:I30"/>
    <mergeCell ref="C31:I31"/>
    <mergeCell ref="C32:I32"/>
    <mergeCell ref="C33:I33"/>
    <mergeCell ref="C34:I34"/>
    <mergeCell ref="C35:I35"/>
    <mergeCell ref="C36:I36"/>
    <mergeCell ref="C37:I37"/>
    <mergeCell ref="C38:I38"/>
    <mergeCell ref="C39:I39"/>
    <mergeCell ref="C40:I40"/>
    <mergeCell ref="C41:I41"/>
    <mergeCell ref="C42:I42"/>
    <mergeCell ref="C43:I43"/>
    <mergeCell ref="C44:I44"/>
    <mergeCell ref="C45:I45"/>
    <mergeCell ref="C46:I46"/>
    <mergeCell ref="C47:I47"/>
    <mergeCell ref="C49:I49"/>
    <mergeCell ref="C50:I50"/>
    <mergeCell ref="A52:U54"/>
    <mergeCell ref="C56:K56"/>
    <mergeCell ref="C57:K57"/>
    <mergeCell ref="C58:K58"/>
    <mergeCell ref="A60:U62"/>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&amp;LРасчет ЦЕЛЬ&amp;RСтр. &amp;P / &amp;N</oddFooter>
  </headerFooter>
  <rowBreaks count="1" manualBreakCount="1">
    <brk id="29" max="16383" man="1"/>
  </rowBreaks>
</worksheet>
</file>

<file path=xl/worksheets/sheet10.xml><?xml version="1.0" encoding="utf-8"?>
<worksheet xmlns="http://schemas.openxmlformats.org/spreadsheetml/2006/main" xmlns:r="http://schemas.openxmlformats.org/officeDocument/2006/relationships">
  <sheetPr>
    <tabColor rgb="FF147D92"/>
    <pageSetUpPr fitToPage="1"/>
  </sheetPr>
  <dimension ref="A1:E21"/>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74.7109375" customWidth="1"/>
    <col min="3" max="3" width="20.7109375" customWidth="1"/>
    <col min="4" max="4" width="18.7109375" customWidth="1"/>
    <col min="5" max="5" width="62.7109375" customWidth="1"/>
    <col min="6" max="8" width="17.7109375" customWidth="1"/>
  </cols>
  <sheetData>
    <row r="1" spans="1:5" ht="35" customHeight="1">
      <c r="A1" s="1" t="s">
        <v>337</v>
      </c>
      <c r="B1" s="1"/>
      <c r="C1" s="1"/>
      <c r="D1" s="1"/>
      <c r="E1" s="1"/>
    </row>
    <row r="2" spans="1:5" ht="31" customHeight="1">
      <c r="A2" s="2" t="s">
        <v>1</v>
      </c>
      <c r="B2" s="2"/>
      <c r="C2" s="2"/>
      <c r="D2" s="2"/>
      <c r="E2" s="2"/>
    </row>
    <row r="3" spans="1:5" ht="23" customHeight="1">
      <c r="A3" s="3" t="s">
        <v>2</v>
      </c>
      <c r="B3" s="7" t="s">
        <v>3</v>
      </c>
      <c r="C3" s="7"/>
      <c r="D3" s="7"/>
      <c r="E3" s="7"/>
    </row>
    <row r="4" spans="1:5"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row>
    <row r="5" spans="1:5"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row>
    <row r="7" spans="1:5" ht="44" customHeight="1">
      <c r="A7" s="8" t="s">
        <v>338</v>
      </c>
      <c r="B7" s="8" t="s">
        <v>339</v>
      </c>
      <c r="C7" s="8" t="s">
        <v>340</v>
      </c>
      <c r="D7" s="8" t="s">
        <v>6</v>
      </c>
      <c r="E7" s="8" t="s">
        <v>341</v>
      </c>
    </row>
    <row r="8" spans="1:5" ht="62" customHeight="1">
      <c r="A8" s="4" t="s">
        <v>342</v>
      </c>
      <c r="B8" s="5" t="s">
        <v>343</v>
      </c>
      <c r="C8" s="6">
        <f>IF(ISNUMBER('Ввод'!B17),'Ввод'!B17*60,"")</f>
        <v>28800</v>
      </c>
      <c r="D8" s="7" t="s">
        <v>344</v>
      </c>
      <c r="E8" s="5" t="s">
        <v>345</v>
      </c>
    </row>
    <row r="9" spans="1:5" ht="62" customHeight="1">
      <c r="A9" s="4" t="s">
        <v>346</v>
      </c>
      <c r="B9" s="5" t="s">
        <v>347</v>
      </c>
      <c r="C9" s="6">
        <f>IF(COUNT('Ввод'!B18:B21)=4,SUM('Ввод'!B18:B21)*60,"")</f>
        <v>4200</v>
      </c>
      <c r="D9" s="7" t="s">
        <v>344</v>
      </c>
      <c r="E9" s="5" t="s">
        <v>348</v>
      </c>
    </row>
    <row r="10" spans="1:5" ht="62" customHeight="1">
      <c r="A10" s="4" t="s">
        <v>349</v>
      </c>
      <c r="B10" s="5" t="s">
        <v>350</v>
      </c>
      <c r="C10" s="6">
        <f>'Ввод'!B27</f>
        <v>24600</v>
      </c>
      <c r="D10" s="7" t="s">
        <v>344</v>
      </c>
      <c r="E10" s="5" t="s">
        <v>351</v>
      </c>
    </row>
    <row r="11" spans="1:5" ht="62" customHeight="1">
      <c r="A11" s="4" t="s">
        <v>352</v>
      </c>
      <c r="B11" s="5" t="s">
        <v>353</v>
      </c>
      <c r="C11" s="6">
        <f>'Ввод'!B28</f>
        <v>32</v>
      </c>
      <c r="D11" s="7" t="s">
        <v>354</v>
      </c>
      <c r="E11" s="5" t="s">
        <v>355</v>
      </c>
    </row>
    <row r="12" spans="1:5" ht="62" customHeight="1">
      <c r="A12" s="4" t="s">
        <v>356</v>
      </c>
      <c r="B12" s="5" t="s">
        <v>357</v>
      </c>
      <c r="C12" s="6">
        <f>'Ввод'!B30</f>
        <v>768.75</v>
      </c>
      <c r="D12" s="7" t="s">
        <v>90</v>
      </c>
      <c r="E12" s="5" t="s">
        <v>358</v>
      </c>
    </row>
    <row r="15" spans="1:5" ht="23" customHeight="1">
      <c r="A15" s="2" t="s">
        <v>359</v>
      </c>
      <c r="B15" s="2"/>
      <c r="C15" s="2"/>
      <c r="D15" s="2"/>
      <c r="E15" s="2"/>
    </row>
    <row r="16" spans="1:5" ht="23" customHeight="1">
      <c r="A16" s="2"/>
      <c r="B16" s="2"/>
      <c r="C16" s="2"/>
      <c r="D16" s="2"/>
      <c r="E16" s="2"/>
    </row>
    <row r="17" spans="1:5" ht="23" customHeight="1">
      <c r="A17" s="2"/>
      <c r="B17" s="2"/>
      <c r="C17" s="2"/>
      <c r="D17" s="2"/>
      <c r="E17" s="2"/>
    </row>
    <row r="19" spans="1:5" ht="23" customHeight="1">
      <c r="A19" s="7" t="s">
        <v>360</v>
      </c>
      <c r="B19" s="7"/>
      <c r="C19" s="7"/>
      <c r="D19" s="7"/>
      <c r="E19" s="7"/>
    </row>
    <row r="20" spans="1:5" ht="23" customHeight="1">
      <c r="A20" s="7"/>
      <c r="B20" s="7"/>
      <c r="C20" s="7"/>
      <c r="D20" s="7"/>
      <c r="E20" s="7"/>
    </row>
    <row r="21" spans="1:5" ht="23" customHeight="1">
      <c r="A21" s="7"/>
      <c r="B21" s="7"/>
      <c r="C21" s="7"/>
      <c r="D21" s="7"/>
      <c r="E21" s="7"/>
    </row>
  </sheetData>
  <sheetProtection sheet="1" objects="1" scenarios="1" sort="0" autoFilter="0"/>
  <mergeCells count="7">
    <mergeCell ref="A1:E1"/>
    <mergeCell ref="A2:E2"/>
    <mergeCell ref="B3:E3"/>
    <mergeCell ref="A4:E4"/>
    <mergeCell ref="A5:E5"/>
    <mergeCell ref="A15:E17"/>
    <mergeCell ref="A19:E21"/>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&amp;LВремя такта&amp;RСтр. &amp;P / &amp;N</oddFooter>
  </headerFooter>
</worksheet>
</file>

<file path=xl/worksheets/sheet11.xml><?xml version="1.0" encoding="utf-8"?>
<worksheet xmlns="http://schemas.openxmlformats.org/spreadsheetml/2006/main" xmlns:r="http://schemas.openxmlformats.org/officeDocument/2006/relationships">
  <sheetPr>
    <tabColor rgb="FF147D92"/>
    <pageSetUpPr fitToPage="1"/>
  </sheetPr>
  <dimension ref="A1:F30"/>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7.7109375" customWidth="1"/>
    <col min="2" max="2" width="17.7109375" customWidth="1"/>
    <col min="3" max="3" width="13.7109375" customWidth="1"/>
    <col min="4" max="4" width="41.7109375" customWidth="1"/>
    <col min="5" max="5" width="9.7109375" customWidth="1"/>
    <col min="6" max="6" width="62.7109375" customWidth="1"/>
    <col min="7" max="8" width="17.7109375" customWidth="1"/>
  </cols>
  <sheetData>
    <row r="1" spans="1:6" ht="35" customHeight="1">
      <c r="A1" s="1" t="s">
        <v>361</v>
      </c>
      <c r="B1" s="1"/>
      <c r="C1" s="1"/>
      <c r="D1" s="1"/>
      <c r="E1" s="1"/>
      <c r="F1" s="1"/>
    </row>
    <row r="2" spans="1:6" ht="31" customHeight="1">
      <c r="A2" s="2" t="s">
        <v>1</v>
      </c>
      <c r="B2" s="2"/>
      <c r="C2" s="2"/>
      <c r="D2" s="2"/>
      <c r="E2" s="2"/>
      <c r="F2" s="2"/>
    </row>
    <row r="3" spans="1:6" ht="23" customHeight="1">
      <c r="A3" s="3" t="s">
        <v>2</v>
      </c>
      <c r="B3" s="7" t="s">
        <v>3</v>
      </c>
      <c r="C3" s="7"/>
      <c r="D3" s="7"/>
      <c r="E3" s="7"/>
      <c r="F3" s="7"/>
    </row>
    <row r="4" spans="1:6"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row>
    <row r="5" spans="1:6"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row>
    <row r="7" spans="1:6" ht="44" customHeight="1">
      <c r="A7" s="8" t="s">
        <v>362</v>
      </c>
      <c r="B7" s="8" t="s">
        <v>363</v>
      </c>
      <c r="C7" s="8" t="s">
        <v>364</v>
      </c>
      <c r="D7" s="8" t="s">
        <v>365</v>
      </c>
      <c r="E7" s="8" t="s">
        <v>366</v>
      </c>
      <c r="F7" s="8" t="s">
        <v>367</v>
      </c>
    </row>
    <row r="8" spans="1:6" ht="42" customHeight="1">
      <c r="A8" s="5">
        <v>1</v>
      </c>
      <c r="B8" s="13">
        <f>IF('Ввод'!$B$29&gt;0,IF('Ввод'!$B$13="ДО",INDEX('Замеры ДО'!$E$1:$E$382,7+('Ввод'!$B$29-1)*21+16),INDEX('Замеры ЦЕЛЬ'!$E$1:$E$382,7+('Ввод'!$B$29-1)*21+16)),"")</f>
        <v>732.38</v>
      </c>
      <c r="C8" s="15">
        <f>IF(ISNUMBER(IF('Ввод'!$B$29&gt;0,IF('Ввод'!$B$13="ДО",INDEX('Замеры ДО'!$E$1:$E$382,7+('Ввод'!$B$29-1)*21+17),INDEX('Замеры ЦЕЛЬ'!$E$1:$E$382,7+('Ввод'!$B$29-1)*21+17)),"")),1,0)</f>
        <v>1</v>
      </c>
      <c r="D8" s="17" t="str">
        <f>IF('Ввод'!$B$29&gt;0,IF('Ввод'!$B$13="ДО",INDEX('Замеры ДО'!$E$1:$E$382,7+('Ввод'!$B$29-1)*21+4),INDEX('Замеры ЦЕЛЬ'!$E$1:$E$382,7+('Ввод'!$B$29-1)*21+4)),"")</f>
        <v>ДЕМО</v>
      </c>
      <c r="E8" s="5">
        <v>1</v>
      </c>
      <c r="F8" s="5" t="s">
        <v>182</v>
      </c>
    </row>
    <row r="9" spans="1:6" ht="42" customHeight="1">
      <c r="A9" s="5">
        <v>2</v>
      </c>
      <c r="B9" s="13">
        <f>IF('Ввод'!$B$29&gt;0,IF('Ввод'!$B$13="ДО",INDEX('Замеры ДО'!$F$1:$F$382,7+('Ввод'!$B$29-1)*21+16),INDEX('Замеры ЦЕЛЬ'!$F$1:$F$382,7+('Ввод'!$B$29-1)*21+16)),"")</f>
        <v>737.76</v>
      </c>
      <c r="C9" s="15">
        <f>IF(ISNUMBER(IF('Ввод'!$B$29&gt;0,IF('Ввод'!$B$13="ДО",INDEX('Замеры ДО'!$F$1:$F$382,7+('Ввод'!$B$29-1)*21+17),INDEX('Замеры ЦЕЛЬ'!$F$1:$F$382,7+('Ввод'!$B$29-1)*21+17)),"")),1,0)</f>
        <v>1</v>
      </c>
      <c r="D9" s="17" t="str">
        <f>IF('Ввод'!$B$29&gt;0,IF('Ввод'!$B$13="ДО",INDEX('Замеры ДО'!$F$1:$F$382,7+('Ввод'!$B$29-1)*21+4),INDEX('Замеры ЦЕЛЬ'!$F$1:$F$382,7+('Ввод'!$B$29-1)*21+4)),"")</f>
        <v>ДЕМО</v>
      </c>
      <c r="E9" s="5">
        <v>2</v>
      </c>
      <c r="F9" s="5" t="s">
        <v>185</v>
      </c>
    </row>
    <row r="10" spans="1:6" ht="42" customHeight="1">
      <c r="A10" s="5">
        <v>3</v>
      </c>
      <c r="B10" s="13">
        <f>IF('Ввод'!$B$29&gt;0,IF('Ввод'!$B$13="ДО",INDEX('Замеры ДО'!$G$1:$G$382,7+('Ввод'!$B$29-1)*21+16),INDEX('Замеры ЦЕЛЬ'!$G$1:$G$382,7+('Ввод'!$B$29-1)*21+16)),"")</f>
        <v>740.92</v>
      </c>
      <c r="C10" s="15">
        <f>IF(ISNUMBER(IF('Ввод'!$B$29&gt;0,IF('Ввод'!$B$13="ДО",INDEX('Замеры ДО'!$G$1:$G$382,7+('Ввод'!$B$29-1)*21+17),INDEX('Замеры ЦЕЛЬ'!$G$1:$G$382,7+('Ввод'!$B$29-1)*21+17)),"")),1,0)</f>
        <v>1</v>
      </c>
      <c r="D10" s="17" t="str">
        <f>IF('Ввод'!$B$29&gt;0,IF('Ввод'!$B$13="ДО",INDEX('Замеры ДО'!$G$1:$G$382,7+('Ввод'!$B$29-1)*21+4),INDEX('Замеры ЦЕЛЬ'!$G$1:$G$382,7+('Ввод'!$B$29-1)*21+4)),"")</f>
        <v>ДЕМО</v>
      </c>
      <c r="E10" s="5">
        <v>3</v>
      </c>
      <c r="F10" s="5" t="s">
        <v>187</v>
      </c>
    </row>
    <row r="11" spans="1:6" ht="42" customHeight="1">
      <c r="A11" s="5">
        <v>4</v>
      </c>
      <c r="B11" s="13">
        <f>IF('Ввод'!$B$29&gt;0,IF('Ввод'!$B$13="ДО",INDEX('Замеры ДО'!$H$1:$H$382,7+('Ввод'!$B$29-1)*21+16),INDEX('Замеры ЦЕЛЬ'!$H$1:$H$382,7+('Ввод'!$B$29-1)*21+16)),"")</f>
        <v>736.28</v>
      </c>
      <c r="C11" s="15">
        <f>IF(ISNUMBER(IF('Ввод'!$B$29&gt;0,IF('Ввод'!$B$13="ДО",INDEX('Замеры ДО'!$H$1:$H$382,7+('Ввод'!$B$29-1)*21+17),INDEX('Замеры ЦЕЛЬ'!$H$1:$H$382,7+('Ввод'!$B$29-1)*21+17)),"")),1,0)</f>
        <v>1</v>
      </c>
      <c r="D11" s="17" t="str">
        <f>IF('Ввод'!$B$29&gt;0,IF('Ввод'!$B$13="ДО",INDEX('Замеры ДО'!$H$1:$H$382,7+('Ввод'!$B$29-1)*21+4),INDEX('Замеры ЦЕЛЬ'!$H$1:$H$382,7+('Ввод'!$B$29-1)*21+4)),"")</f>
        <v>ДЕМО</v>
      </c>
      <c r="E11" s="5" t="s">
        <v>189</v>
      </c>
      <c r="F11" s="5" t="s">
        <v>190</v>
      </c>
    </row>
    <row r="12" spans="1:6" ht="42" customHeight="1">
      <c r="A12" s="5">
        <v>5</v>
      </c>
      <c r="B12" s="13">
        <f>IF('Ввод'!$B$29&gt;0,IF('Ввод'!$B$13="ДО",INDEX('Замеры ДО'!$I$1:$I$382,7+('Ввод'!$B$29-1)*21+16),INDEX('Замеры ЦЕЛЬ'!$I$1:$I$382,7+('Ввод'!$B$29-1)*21+16)),"")</f>
        <v>739.21</v>
      </c>
      <c r="C12" s="15">
        <f>IF(ISNUMBER(IF('Ввод'!$B$29&gt;0,IF('Ввод'!$B$13="ДО",INDEX('Замеры ДО'!$I$1:$I$382,7+('Ввод'!$B$29-1)*21+17),INDEX('Замеры ЦЕЛЬ'!$I$1:$I$382,7+('Ввод'!$B$29-1)*21+17)),"")),1,0)</f>
        <v>1</v>
      </c>
      <c r="D12" s="17" t="str">
        <f>IF('Ввод'!$B$29&gt;0,IF('Ввод'!$B$13="ДО",INDEX('Замеры ДО'!$I$1:$I$382,7+('Ввод'!$B$29-1)*21+4),INDEX('Замеры ЦЕЛЬ'!$I$1:$I$382,7+('Ввод'!$B$29-1)*21+4)),"")</f>
        <v>ДЕМО</v>
      </c>
      <c r="E12" s="5">
        <v>5</v>
      </c>
      <c r="F12" s="5" t="s">
        <v>193</v>
      </c>
    </row>
    <row r="13" spans="1:6" ht="42" customHeight="1">
      <c r="A13" s="5">
        <v>6</v>
      </c>
      <c r="B13" s="13">
        <f>IF('Ввод'!$B$29&gt;0,IF('Ввод'!$B$13="ДО",INDEX('Замеры ДО'!$J$1:$J$382,7+('Ввод'!$B$29-1)*21+16),INDEX('Замеры ЦЕЛЬ'!$J$1:$J$382,7+('Ввод'!$B$29-1)*21+16)),"")</f>
        <v>735.19</v>
      </c>
      <c r="C13" s="15">
        <f>IF(ISNUMBER(IF('Ввод'!$B$29&gt;0,IF('Ввод'!$B$13="ДО",INDEX('Замеры ДО'!$J$1:$J$382,7+('Ввод'!$B$29-1)*21+17),INDEX('Замеры ЦЕЛЬ'!$J$1:$J$382,7+('Ввод'!$B$29-1)*21+17)),"")),1,0)</f>
        <v>1</v>
      </c>
      <c r="D13" s="17" t="str">
        <f>IF('Ввод'!$B$29&gt;0,IF('Ввод'!$B$13="ДО",INDEX('Замеры ДО'!$J$1:$J$382,7+('Ввод'!$B$29-1)*21+4),INDEX('Замеры ЦЕЛЬ'!$J$1:$J$382,7+('Ввод'!$B$29-1)*21+4)),"")</f>
        <v>ДЕМО</v>
      </c>
      <c r="E13" s="5" t="s">
        <v>189</v>
      </c>
      <c r="F13" s="5" t="s">
        <v>195</v>
      </c>
    </row>
    <row r="14" spans="1:6" ht="42" customHeight="1">
      <c r="A14" s="5">
        <v>7</v>
      </c>
      <c r="B14" s="13">
        <f>IF('Ввод'!$B$29&gt;0,IF('Ввод'!$B$13="ДО",INDEX('Замеры ДО'!$K$1:$K$382,7+('Ввод'!$B$29-1)*21+16),INDEX('Замеры ЦЕЛЬ'!$K$1:$K$382,7+('Ввод'!$B$29-1)*21+16)),"")</f>
        <v>736.68</v>
      </c>
      <c r="C14" s="15">
        <f>IF(ISNUMBER(IF('Ввод'!$B$29&gt;0,IF('Ввод'!$B$13="ДО",INDEX('Замеры ДО'!$K$1:$K$382,7+('Ввод'!$B$29-1)*21+17),INDEX('Замеры ЦЕЛЬ'!$K$1:$K$382,7+('Ввод'!$B$29-1)*21+17)),"")),1,0)</f>
        <v>1</v>
      </c>
      <c r="D14" s="17" t="str">
        <f>IF('Ввод'!$B$29&gt;0,IF('Ввод'!$B$13="ДО",INDEX('Замеры ДО'!$K$1:$K$382,7+('Ввод'!$B$29-1)*21+4),INDEX('Замеры ЦЕЛЬ'!$K$1:$K$382,7+('Ввод'!$B$29-1)*21+4)),"")</f>
        <v>ДЕМО</v>
      </c>
      <c r="E14" s="5">
        <v>7</v>
      </c>
      <c r="F14" s="5" t="s">
        <v>198</v>
      </c>
    </row>
    <row r="15" spans="1:6" ht="42" customHeight="1">
      <c r="A15" s="5">
        <v>8</v>
      </c>
      <c r="B15" s="13">
        <f>IF('Ввод'!$B$29&gt;0,IF('Ввод'!$B$13="ДО",INDEX('Замеры ДО'!$L$1:$L$382,7+('Ввод'!$B$29-1)*21+16),INDEX('Замеры ЦЕЛЬ'!$L$1:$L$382,7+('Ввод'!$B$29-1)*21+16)),"")</f>
        <v>733.32</v>
      </c>
      <c r="C15" s="15">
        <f>IF(ISNUMBER(IF('Ввод'!$B$29&gt;0,IF('Ввод'!$B$13="ДО",INDEX('Замеры ДО'!$L$1:$L$382,7+('Ввод'!$B$29-1)*21+17),INDEX('Замеры ЦЕЛЬ'!$L$1:$L$382,7+('Ввод'!$B$29-1)*21+17)),"")),1,0)</f>
        <v>1</v>
      </c>
      <c r="D15" s="17" t="str">
        <f>IF('Ввод'!$B$29&gt;0,IF('Ввод'!$B$13="ДО",INDEX('Замеры ДО'!$L$1:$L$382,7+('Ввод'!$B$29-1)*21+4),INDEX('Замеры ЦЕЛЬ'!$L$1:$L$382,7+('Ввод'!$B$29-1)*21+4)),"")</f>
        <v>ДЕМО</v>
      </c>
      <c r="E15" s="5">
        <v>8</v>
      </c>
      <c r="F15" s="5" t="s">
        <v>200</v>
      </c>
    </row>
    <row r="16" spans="1:6" ht="42" customHeight="1">
      <c r="A16" s="5">
        <v>9</v>
      </c>
      <c r="B16" s="13">
        <f>IF('Ввод'!$B$29&gt;0,IF('Ввод'!$B$13="ДО",INDEX('Замеры ДО'!$M$1:$M$382,7+('Ввод'!$B$29-1)*21+16),INDEX('Замеры ЦЕЛЬ'!$M$1:$M$382,7+('Ввод'!$B$29-1)*21+16)),"")</f>
        <v>734.13</v>
      </c>
      <c r="C16" s="15">
        <f>IF(ISNUMBER(IF('Ввод'!$B$29&gt;0,IF('Ввод'!$B$13="ДО",INDEX('Замеры ДО'!$M$1:$M$382,7+('Ввод'!$B$29-1)*21+17),INDEX('Замеры ЦЕЛЬ'!$M$1:$M$382,7+('Ввод'!$B$29-1)*21+17)),"")),1,0)</f>
        <v>1</v>
      </c>
      <c r="D16" s="17" t="str">
        <f>IF('Ввод'!$B$29&gt;0,IF('Ввод'!$B$13="ДО",INDEX('Замеры ДО'!$M$1:$M$382,7+('Ввод'!$B$29-1)*21+4),INDEX('Замеры ЦЕЛЬ'!$M$1:$M$382,7+('Ввод'!$B$29-1)*21+4)),"")</f>
        <v>ДЕМО</v>
      </c>
      <c r="E16" s="5" t="s">
        <v>189</v>
      </c>
      <c r="F16" s="5" t="s">
        <v>202</v>
      </c>
    </row>
    <row r="17" spans="1:6" ht="42" customHeight="1">
      <c r="A17" s="5">
        <v>10</v>
      </c>
      <c r="B17" s="13">
        <f>IF('Ввод'!$B$29&gt;0,IF('Ввод'!$B$13="ДО",INDEX('Замеры ДО'!$N$1:$N$382,7+('Ввод'!$B$29-1)*21+16),INDEX('Замеры ЦЕЛЬ'!$N$1:$N$382,7+('Ввод'!$B$29-1)*21+16)),"")</f>
        <v>740.17</v>
      </c>
      <c r="C17" s="15">
        <f>IF(ISNUMBER(IF('Ввод'!$B$29&gt;0,IF('Ввод'!$B$13="ДО",INDEX('Замеры ДО'!$N$1:$N$382,7+('Ввод'!$B$29-1)*21+17),INDEX('Замеры ЦЕЛЬ'!$N$1:$N$382,7+('Ввод'!$B$29-1)*21+17)),"")),1,0)</f>
        <v>1</v>
      </c>
      <c r="D17" s="17" t="str">
        <f>IF('Ввод'!$B$29&gt;0,IF('Ввод'!$B$13="ДО",INDEX('Замеры ДО'!$N$1:$N$382,7+('Ввод'!$B$29-1)*21+4),INDEX('Замеры ЦЕЛЬ'!$N$1:$N$382,7+('Ввод'!$B$29-1)*21+4)),"")</f>
        <v>ДЕМО</v>
      </c>
      <c r="E17" s="5" t="s">
        <v>189</v>
      </c>
      <c r="F17" s="5" t="s">
        <v>204</v>
      </c>
    </row>
    <row r="18" spans="1:6" ht="23" customHeight="1">
      <c r="E18" s="5" t="s">
        <v>189</v>
      </c>
      <c r="F18" s="5" t="s">
        <v>206</v>
      </c>
    </row>
    <row r="20" spans="1:6" ht="23" customHeight="1">
      <c r="B20" s="6">
        <f>IF('Ввод'!$B$29&gt;0,IF('Ввод'!$B$13="ДО",INDEX('Замеры ДО'!$O$1:$O$382,7+('Ввод'!$B$29-1)*21+17),INDEX('Замеры ЦЕЛЬ'!$O$1:$O$382,7+('Ввод'!$B$29-1)*21+17)),"")</f>
        <v>732.38</v>
      </c>
      <c r="C20" s="5" t="s">
        <v>368</v>
      </c>
      <c r="D20" s="5"/>
      <c r="E20" s="5"/>
      <c r="F20" s="5"/>
    </row>
    <row r="21" spans="1:6" ht="23" customHeight="1">
      <c r="B21" s="6">
        <f>IF('Ввод'!$B$29&gt;0,IF('Ввод'!$B$13="ДО",INDEX('Замеры ДО'!$P$1:$P$382,7+('Ввод'!$B$29-1)*21+17),INDEX('Замеры ЦЕЛЬ'!$P$1:$P$382,7+('Ввод'!$B$29-1)*21+17)),"")</f>
        <v>740.92</v>
      </c>
      <c r="C21" s="5" t="s">
        <v>369</v>
      </c>
      <c r="D21" s="5"/>
      <c r="E21" s="5"/>
      <c r="F21" s="5"/>
    </row>
    <row r="22" spans="1:6" ht="23" customHeight="1">
      <c r="B22" s="6">
        <f>IF('Ввод'!$B$29&gt;0,IF('Ввод'!$B$13="ДО",INDEX('Замеры ДО'!$Q$1:$Q$382,7+('Ввод'!$B$29-1)*21+17),INDEX('Замеры ЦЕЛЬ'!$Q$1:$Q$382,7+('Ввод'!$B$29-1)*21+17)),"")</f>
        <v>8.53999999999996</v>
      </c>
      <c r="C22" s="5" t="s">
        <v>370</v>
      </c>
      <c r="D22" s="5"/>
      <c r="E22" s="5"/>
      <c r="F22" s="5"/>
    </row>
    <row r="23" spans="1:6" ht="23" customHeight="1">
      <c r="B23" s="16">
        <f>IF(AND(ISNUMBER(B20),B20&gt;0),B22/B20,"")</f>
        <v>0.0116606133428001</v>
      </c>
      <c r="C23" s="5" t="s">
        <v>371</v>
      </c>
      <c r="D23" s="5"/>
      <c r="E23" s="5"/>
      <c r="F23" s="5"/>
    </row>
    <row r="24" spans="1:6" ht="23" customHeight="1">
      <c r="B24" s="6">
        <f>IF('Ввод'!$B$29&gt;0,IF('Ввод'!$B$13="ДО",INDEX('Замеры ДО'!$U$1:$U$382,7+('Ввод'!$B$29-1)*21+17),INDEX('Замеры ЦЕЛЬ'!$U$1:$U$382,7+('Ввод'!$B$29-1)*21+17)),"")</f>
        <v>736.604</v>
      </c>
      <c r="C24" s="5" t="s">
        <v>372</v>
      </c>
      <c r="D24" s="5"/>
      <c r="E24" s="5"/>
      <c r="F24" s="5"/>
    </row>
    <row r="25" spans="1:6" ht="23" customHeight="1">
      <c r="B25" s="6">
        <f>IF('Ввод'!$B$29&gt;0,IF('Ввод'!$B$13="ДО",INDEX('Замеры ДО'!$T$1:$T$382,7+('Ввод'!$B$29-1)*21+17),INDEX('Замеры ЦЕЛЬ'!$T$1:$T$382,7+('Ввод'!$B$29-1)*21+17)),"")</f>
        <v>10</v>
      </c>
      <c r="C25" s="5" t="s">
        <v>301</v>
      </c>
      <c r="D25" s="5"/>
      <c r="E25" s="5"/>
      <c r="F25" s="5"/>
    </row>
    <row r="26" spans="1:6" ht="23" customHeight="1">
      <c r="B26" s="6">
        <f>'Ввод'!B30</f>
        <v>768.75</v>
      </c>
      <c r="C26" s="5" t="s">
        <v>373</v>
      </c>
      <c r="D26" s="5"/>
      <c r="E26" s="5"/>
      <c r="F26" s="5"/>
    </row>
    <row r="28" spans="1:6" ht="23" customHeight="1">
      <c r="A28" s="2" t="s">
        <v>374</v>
      </c>
      <c r="B28" s="2"/>
      <c r="C28" s="2"/>
      <c r="D28" s="2"/>
      <c r="E28" s="2"/>
      <c r="F28" s="2"/>
    </row>
    <row r="29" spans="1:6" ht="23" customHeight="1">
      <c r="A29" s="2"/>
      <c r="B29" s="2"/>
      <c r="C29" s="2"/>
      <c r="D29" s="2"/>
      <c r="E29" s="2"/>
      <c r="F29" s="2"/>
    </row>
    <row r="30" spans="1:6" ht="23" customHeight="1">
      <c r="A30" s="2"/>
      <c r="B30" s="2"/>
      <c r="C30" s="2"/>
      <c r="D30" s="2"/>
      <c r="E30" s="2"/>
      <c r="F30" s="2"/>
    </row>
  </sheetData>
  <sheetProtection sheet="1" objects="1" scenarios="1" sort="0" autoFilter="0"/>
  <mergeCells count="13">
    <mergeCell ref="A1:F1"/>
    <mergeCell ref="A2:F2"/>
    <mergeCell ref="B3:F3"/>
    <mergeCell ref="A4:F4"/>
    <mergeCell ref="A5:F5"/>
    <mergeCell ref="C20:F20"/>
    <mergeCell ref="C21:F21"/>
    <mergeCell ref="C22:F22"/>
    <mergeCell ref="C23:F23"/>
    <mergeCell ref="C24:F24"/>
    <mergeCell ref="C25:F25"/>
    <mergeCell ref="C26:F26"/>
    <mergeCell ref="A28:F30"/>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&amp;LЛист наблюдений&amp;RСтр. &amp;P / &amp;N</oddFooter>
  </headerFooter>
</worksheet>
</file>

<file path=xl/worksheets/sheet12.xml><?xml version="1.0" encoding="utf-8"?>
<worksheet xmlns="http://schemas.openxmlformats.org/spreadsheetml/2006/main" xmlns:r="http://schemas.openxmlformats.org/officeDocument/2006/relationships">
  <sheetPr>
    <tabColor rgb="FF147D92"/>
    <pageSetUpPr fitToPage="1"/>
  </sheetPr>
  <dimension ref="A1:S29"/>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5.7109375" customWidth="1"/>
    <col min="2" max="2" width="38.7109375" customWidth="1"/>
    <col min="3" max="3" width="28.7109375" customWidth="1"/>
    <col min="4" max="13" width="8.7109375" customWidth="1"/>
    <col min="14" max="18" width="12.7109375" customWidth="1"/>
    <col min="19" max="19" width="34.7109375" customWidth="1"/>
  </cols>
  <sheetData>
    <row r="1" spans="1:19" ht="35" customHeight="1">
      <c r="A1" s="1" t="s">
        <v>375</v>
      </c>
      <c r="B1" s="1"/>
      <c r="C1" s="1"/>
      <c r="D1" s="1"/>
      <c r="E1" s="1"/>
      <c r="F1" s="1"/>
      <c r="G1" s="1"/>
      <c r="H1" s="1"/>
      <c r="I1" s="1"/>
      <c r="J1" s="1"/>
      <c r="K1" s="1"/>
      <c r="L1" s="1"/>
      <c r="M1" s="1"/>
      <c r="N1" s="1"/>
      <c r="O1" s="1"/>
      <c r="P1" s="1"/>
      <c r="Q1" s="1"/>
      <c r="R1" s="1"/>
      <c r="S1" s="1"/>
    </row>
    <row r="2" spans="1:19" ht="31" customHeight="1">
      <c r="A2" s="2" t="s">
        <v>1</v>
      </c>
      <c r="B2" s="2"/>
      <c r="C2" s="2"/>
      <c r="D2" s="2"/>
      <c r="E2" s="2"/>
      <c r="F2" s="2"/>
      <c r="G2" s="2"/>
      <c r="H2" s="2"/>
      <c r="I2" s="2"/>
      <c r="J2" s="2"/>
      <c r="K2" s="2"/>
      <c r="L2" s="2"/>
      <c r="M2" s="2"/>
      <c r="N2" s="2"/>
      <c r="O2" s="2"/>
      <c r="P2" s="2"/>
      <c r="Q2" s="2"/>
      <c r="R2" s="2"/>
      <c r="S2" s="2"/>
    </row>
    <row r="3" spans="1:19" ht="23" customHeight="1">
      <c r="A3" s="3" t="s">
        <v>2</v>
      </c>
      <c r="B3" s="7" t="s">
        <v>3</v>
      </c>
      <c r="C3" s="7"/>
      <c r="D3" s="7"/>
      <c r="E3" s="7"/>
      <c r="F3" s="7"/>
      <c r="G3" s="7"/>
      <c r="H3" s="7"/>
      <c r="I3" s="7"/>
      <c r="J3" s="7"/>
      <c r="K3" s="7"/>
      <c r="L3" s="7"/>
      <c r="M3" s="7"/>
      <c r="N3" s="7"/>
      <c r="O3" s="7"/>
      <c r="P3" s="7"/>
      <c r="Q3" s="7"/>
      <c r="R3" s="7"/>
      <c r="S3" s="7"/>
    </row>
    <row r="4" spans="1:19"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c r="G4" s="4"/>
      <c r="H4" s="4"/>
      <c r="I4" s="4"/>
      <c r="J4" s="4"/>
      <c r="K4" s="4"/>
      <c r="L4" s="4"/>
      <c r="M4" s="4"/>
      <c r="N4" s="4"/>
      <c r="O4" s="4"/>
      <c r="P4" s="4"/>
      <c r="Q4" s="4"/>
      <c r="R4" s="4"/>
      <c r="S4" s="4"/>
    </row>
    <row r="5" spans="1:19"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c r="G5" s="7"/>
      <c r="H5" s="7"/>
      <c r="I5" s="7"/>
      <c r="J5" s="7"/>
      <c r="K5" s="7"/>
      <c r="L5" s="7"/>
      <c r="M5" s="7"/>
      <c r="N5" s="7"/>
      <c r="O5" s="7"/>
      <c r="P5" s="7"/>
      <c r="Q5" s="7"/>
      <c r="R5" s="7"/>
      <c r="S5" s="7"/>
    </row>
    <row r="7" spans="1:19" ht="44" customHeight="1">
      <c r="A7" s="8" t="s">
        <v>113</v>
      </c>
      <c r="B7" s="8" t="s">
        <v>156</v>
      </c>
      <c r="C7" s="8" t="s">
        <v>158</v>
      </c>
      <c r="D7" s="8" t="s">
        <v>159</v>
      </c>
      <c r="E7" s="8" t="s">
        <v>160</v>
      </c>
      <c r="F7" s="8" t="s">
        <v>161</v>
      </c>
      <c r="G7" s="8" t="s">
        <v>162</v>
      </c>
      <c r="H7" s="8" t="s">
        <v>163</v>
      </c>
      <c r="I7" s="8" t="s">
        <v>164</v>
      </c>
      <c r="J7" s="8" t="s">
        <v>165</v>
      </c>
      <c r="K7" s="8" t="s">
        <v>166</v>
      </c>
      <c r="L7" s="8" t="s">
        <v>167</v>
      </c>
      <c r="M7" s="8" t="s">
        <v>168</v>
      </c>
      <c r="N7" s="8" t="s">
        <v>376</v>
      </c>
      <c r="O7" s="8" t="s">
        <v>377</v>
      </c>
      <c r="P7" s="8" t="s">
        <v>378</v>
      </c>
      <c r="Q7" s="8" t="s">
        <v>379</v>
      </c>
      <c r="R7" s="8" t="s">
        <v>380</v>
      </c>
      <c r="S7" s="8" t="s">
        <v>381</v>
      </c>
    </row>
    <row r="8" spans="1:19" ht="46" customHeight="1">
      <c r="A8" s="5">
        <v>1</v>
      </c>
      <c r="B8" s="5" t="s">
        <v>182</v>
      </c>
      <c r="C8" s="5" t="s">
        <v>184</v>
      </c>
      <c r="D8" s="13">
        <f>IF('Ввод'!$B$29&gt;0,IF('Ввод'!$B$13="ДО",INDEX('Замеры ДО'!$E$1:$E$382,7+('Ввод'!$B$29-1)*21+5),INDEX('Замеры ЦЕЛЬ'!$E$1:$E$382,7+('Ввод'!$B$29-1)*21+5)),"")</f>
        <v>25</v>
      </c>
      <c r="E8" s="13">
        <f>IF('Ввод'!$B$29&gt;0,IF('Ввод'!$B$13="ДО",INDEX('Замеры ДО'!$F$1:$F$382,7+('Ввод'!$B$29-1)*21+5),INDEX('Замеры ЦЕЛЬ'!$F$1:$F$382,7+('Ввод'!$B$29-1)*21+5)),"")</f>
        <v>26</v>
      </c>
      <c r="F8" s="13">
        <f>IF('Ввод'!$B$29&gt;0,IF('Ввод'!$B$13="ДО",INDEX('Замеры ДО'!$G$1:$G$382,7+('Ввод'!$B$29-1)*21+5),INDEX('Замеры ЦЕЛЬ'!$G$1:$G$382,7+('Ввод'!$B$29-1)*21+5)),"")</f>
        <v>27</v>
      </c>
      <c r="G8" s="13">
        <f>IF('Ввод'!$B$29&gt;0,IF('Ввод'!$B$13="ДО",INDEX('Замеры ДО'!$H$1:$H$382,7+('Ввод'!$B$29-1)*21+5),INDEX('Замеры ЦЕЛЬ'!$H$1:$H$382,7+('Ввод'!$B$29-1)*21+5)),"")</f>
        <v>25.5</v>
      </c>
      <c r="H8" s="13">
        <f>IF('Ввод'!$B$29&gt;0,IF('Ввод'!$B$13="ДО",INDEX('Замеры ДО'!$I$1:$I$382,7+('Ввод'!$B$29-1)*21+5),INDEX('Замеры ЦЕЛЬ'!$I$1:$I$382,7+('Ввод'!$B$29-1)*21+5)),"")</f>
        <v>26.5</v>
      </c>
      <c r="I8" s="13">
        <f>IF('Ввод'!$B$29&gt;0,IF('Ввод'!$B$13="ДО",INDEX('Замеры ДО'!$J$1:$J$382,7+('Ввод'!$B$29-1)*21+5),INDEX('Замеры ЦЕЛЬ'!$J$1:$J$382,7+('Ввод'!$B$29-1)*21+5)),"")</f>
        <v>27.5</v>
      </c>
      <c r="J8" s="13">
        <f>IF('Ввод'!$B$29&gt;0,IF('Ввод'!$B$13="ДО",INDEX('Замеры ДО'!$K$1:$K$382,7+('Ввод'!$B$29-1)*21+5),INDEX('Замеры ЦЕЛЬ'!$K$1:$K$382,7+('Ввод'!$B$29-1)*21+5)),"")</f>
        <v>25.75</v>
      </c>
      <c r="K8" s="13">
        <f>IF('Ввод'!$B$29&gt;0,IF('Ввод'!$B$13="ДО",INDEX('Замеры ДО'!$L$1:$L$382,7+('Ввод'!$B$29-1)*21+5),INDEX('Замеры ЦЕЛЬ'!$L$1:$L$382,7+('Ввод'!$B$29-1)*21+5)),"")</f>
        <v>26.75</v>
      </c>
      <c r="L8" s="13">
        <f>IF('Ввод'!$B$29&gt;0,IF('Ввод'!$B$13="ДО",INDEX('Замеры ДО'!$M$1:$M$382,7+('Ввод'!$B$29-1)*21+5),INDEX('Замеры ЦЕЛЬ'!$M$1:$M$382,7+('Ввод'!$B$29-1)*21+5)),"")</f>
        <v>25.25</v>
      </c>
      <c r="M8" s="13">
        <f>IF('Ввод'!$B$29&gt;0,IF('Ввод'!$B$13="ДО",INDEX('Замеры ДО'!$N$1:$N$382,7+('Ввод'!$B$29-1)*21+5),INDEX('Замеры ЦЕЛЬ'!$N$1:$N$382,7+('Ввод'!$B$29-1)*21+5)),"")</f>
        <v>26.25</v>
      </c>
      <c r="N8" s="13">
        <f>IF('Ввод'!$B$29&gt;0,IF('Ввод'!$B$13="ДО",INDEX('Замеры ДО'!$O$1:$O$382,7+('Ввод'!$B$29-1)*21+5),INDEX('Замеры ЦЕЛЬ'!$O$1:$O$382,7+('Ввод'!$B$29-1)*21+5)),"")</f>
        <v>25</v>
      </c>
      <c r="O8" s="13">
        <f>IF('Ввод'!$B$29&gt;0,IF('Ввод'!$B$13="ДО",INDEX('Замеры ДО'!$Q$1:$Q$382,7+('Ввод'!$B$29-1)*21+5),INDEX('Замеры ЦЕЛЬ'!$Q$1:$Q$382,7+('Ввод'!$B$29-1)*21+5)),"")</f>
        <v>2.5</v>
      </c>
      <c r="P8" s="13">
        <f>IF('Ввод'!$B$29&gt;0,IF('Ввод'!$B$13="ДО",INDEX('Замеры ДО'!$R$1:$R$382,7+('Ввод'!$B$29-1)*21+5),INDEX('Замеры ЦЕЛЬ'!$R$1:$R$382,7+('Ввод'!$B$29-1)*21+5)),"")</f>
        <v>0.910869565217403</v>
      </c>
      <c r="Q8" s="13">
        <f>IF('Ввод'!$B$29&gt;0,IF('Ввод'!$B$13="ДО",INDEX('Замеры ДО'!$S$1:$S$382,7+('Ввод'!$B$29-1)*21+5),INDEX('Замеры ЦЕЛЬ'!$S$1:$S$382,7+('Ввод'!$B$29-1)*21+5)),"")</f>
        <v>25.9108695652174</v>
      </c>
      <c r="R8" s="13">
        <f>IF('Ввод'!$B$29&gt;0,IF('Ввод'!$B$13="ДО",INDEX('Замеры ДО'!$T$1:$T$382,7+('Ввод'!$B$29-1)*21+5),INDEX('Замеры ЦЕЛЬ'!$T$1:$T$382,7+('Ввод'!$B$29-1)*21+5)),"")</f>
        <v>1.5891304347826</v>
      </c>
      <c r="S8" s="7" t="s">
        <v>382</v>
      </c>
    </row>
    <row r="9" spans="1:19" ht="46" customHeight="1">
      <c r="A9" s="5">
        <v>2</v>
      </c>
      <c r="B9" s="5" t="s">
        <v>185</v>
      </c>
      <c r="C9" s="5" t="s">
        <v>186</v>
      </c>
      <c r="D9" s="13">
        <f>IF('Ввод'!$B$29&gt;0,IF('Ввод'!$B$13="ДО",INDEX('Замеры ДО'!$E$1:$E$382,7+('Ввод'!$B$29-1)*21+6),INDEX('Замеры ЦЕЛЬ'!$E$1:$E$382,7+('Ввод'!$B$29-1)*21+6)),"")</f>
        <v>102</v>
      </c>
      <c r="E9" s="13">
        <f>IF('Ввод'!$B$29&gt;0,IF('Ввод'!$B$13="ДО",INDEX('Замеры ДО'!$F$1:$F$382,7+('Ввод'!$B$29-1)*21+6),INDEX('Замеры ЦЕЛЬ'!$F$1:$F$382,7+('Ввод'!$B$29-1)*21+6)),"")</f>
        <v>106</v>
      </c>
      <c r="F9" s="13">
        <f>IF('Ввод'!$B$29&gt;0,IF('Ввод'!$B$13="ДО",INDEX('Замеры ДО'!$G$1:$G$382,7+('Ввод'!$B$29-1)*21+6),INDEX('Замеры ЦЕЛЬ'!$G$1:$G$382,7+('Ввод'!$B$29-1)*21+6)),"")</f>
        <v>110</v>
      </c>
      <c r="G9" s="13">
        <f>IF('Ввод'!$B$29&gt;0,IF('Ввод'!$B$13="ДО",INDEX('Замеры ДО'!$H$1:$H$382,7+('Ввод'!$B$29-1)*21+6),INDEX('Замеры ЦЕЛЬ'!$H$1:$H$382,7+('Ввод'!$B$29-1)*21+6)),"")</f>
        <v>103</v>
      </c>
      <c r="H9" s="13">
        <f>IF('Ввод'!$B$29&gt;0,IF('Ввод'!$B$13="ДО",INDEX('Замеры ДО'!$I$1:$I$382,7+('Ввод'!$B$29-1)*21+6),INDEX('Замеры ЦЕЛЬ'!$I$1:$I$382,7+('Ввод'!$B$29-1)*21+6)),"")</f>
        <v>107</v>
      </c>
      <c r="I9" s="13">
        <f>IF('Ввод'!$B$29&gt;0,IF('Ввод'!$B$13="ДО",INDEX('Замеры ДО'!$J$1:$J$382,7+('Ввод'!$B$29-1)*21+6),INDEX('Замеры ЦЕЛЬ'!$J$1:$J$382,7+('Ввод'!$B$29-1)*21+6)),"")</f>
        <v>101</v>
      </c>
      <c r="J9" s="13">
        <f>IF('Ввод'!$B$29&gt;0,IF('Ввод'!$B$13="ДО",INDEX('Замеры ДО'!$K$1:$K$382,7+('Ввод'!$B$29-1)*21+6),INDEX('Замеры ЦЕЛЬ'!$K$1:$K$382,7+('Ввод'!$B$29-1)*21+6)),"")</f>
        <v>105</v>
      </c>
      <c r="K9" s="13">
        <f>IF('Ввод'!$B$29&gt;0,IF('Ввод'!$B$13="ДО",INDEX('Замеры ДО'!$L$1:$L$382,7+('Ввод'!$B$29-1)*21+6),INDEX('Замеры ЦЕЛЬ'!$L$1:$L$382,7+('Ввод'!$B$29-1)*21+6)),"")</f>
        <v>100</v>
      </c>
      <c r="L9" s="13">
        <f>IF('Ввод'!$B$29&gt;0,IF('Ввод'!$B$13="ДО",INDEX('Замеры ДО'!$M$1:$M$382,7+('Ввод'!$B$29-1)*21+6),INDEX('Замеры ЦЕЛЬ'!$M$1:$M$382,7+('Ввод'!$B$29-1)*21+6)),"")</f>
        <v>104</v>
      </c>
      <c r="M9" s="13">
        <f>IF('Ввод'!$B$29&gt;0,IF('Ввод'!$B$13="ДО",INDEX('Замеры ДО'!$N$1:$N$382,7+('Ввод'!$B$29-1)*21+6),INDEX('Замеры ЦЕЛЬ'!$N$1:$N$382,7+('Ввод'!$B$29-1)*21+6)),"")</f>
        <v>108</v>
      </c>
      <c r="N9" s="13">
        <f>IF('Ввод'!$B$29&gt;0,IF('Ввод'!$B$13="ДО",INDEX('Замеры ДО'!$O$1:$O$382,7+('Ввод'!$B$29-1)*21+6),INDEX('Замеры ЦЕЛЬ'!$O$1:$O$382,7+('Ввод'!$B$29-1)*21+6)),"")</f>
        <v>100</v>
      </c>
      <c r="O9" s="13">
        <f>IF('Ввод'!$B$29&gt;0,IF('Ввод'!$B$13="ДО",INDEX('Замеры ДО'!$Q$1:$Q$382,7+('Ввод'!$B$29-1)*21+6),INDEX('Замеры ЦЕЛЬ'!$Q$1:$Q$382,7+('Ввод'!$B$29-1)*21+6)),"")</f>
        <v>10</v>
      </c>
      <c r="P9" s="13">
        <f>IF('Ввод'!$B$29&gt;0,IF('Ввод'!$B$13="ДО",INDEX('Замеры ДО'!$R$1:$R$382,7+('Ввод'!$B$29-1)*21+6),INDEX('Замеры ЦЕЛЬ'!$R$1:$R$382,7+('Ввод'!$B$29-1)*21+6)),"")</f>
        <v>3.64347826086961</v>
      </c>
      <c r="Q9" s="13">
        <f>IF('Ввод'!$B$29&gt;0,IF('Ввод'!$B$13="ДО",INDEX('Замеры ДО'!$S$1:$S$382,7+('Ввод'!$B$29-1)*21+6),INDEX('Замеры ЦЕЛЬ'!$S$1:$S$382,7+('Ввод'!$B$29-1)*21+6)),"")</f>
        <v>103.64347826087</v>
      </c>
      <c r="R9" s="13">
        <f>IF('Ввод'!$B$29&gt;0,IF('Ввод'!$B$13="ДО",INDEX('Замеры ДО'!$T$1:$T$382,7+('Ввод'!$B$29-1)*21+6),INDEX('Замеры ЦЕЛЬ'!$T$1:$T$382,7+('Ввод'!$B$29-1)*21+6)),"")</f>
        <v>6.35652173913039</v>
      </c>
      <c r="S9" s="7" t="s">
        <v>382</v>
      </c>
    </row>
    <row r="10" spans="1:19" ht="46" customHeight="1">
      <c r="A10" s="5">
        <v>3</v>
      </c>
      <c r="B10" s="5" t="s">
        <v>187</v>
      </c>
      <c r="C10" s="5" t="s">
        <v>188</v>
      </c>
      <c r="D10" s="13">
        <f>IF('Ввод'!$B$29&gt;0,IF('Ввод'!$B$13="ДО",INDEX('Замеры ДО'!$E$1:$E$382,7+('Ввод'!$B$29-1)*21+7),INDEX('Замеры ЦЕЛЬ'!$E$1:$E$382,7+('Ввод'!$B$29-1)*21+7)),"")</f>
        <v>22.66</v>
      </c>
      <c r="E10" s="13">
        <f>IF('Ввод'!$B$29&gt;0,IF('Ввод'!$B$13="ДО",INDEX('Замеры ДО'!$F$1:$F$382,7+('Ввод'!$B$29-1)*21+7),INDEX('Замеры ЦЕЛЬ'!$F$1:$F$382,7+('Ввод'!$B$29-1)*21+7)),"")</f>
        <v>23.54</v>
      </c>
      <c r="F10" s="13">
        <f>IF('Ввод'!$B$29&gt;0,IF('Ввод'!$B$13="ДО",INDEX('Замеры ДО'!$G$1:$G$382,7+('Ввод'!$B$29-1)*21+7),INDEX('Замеры ЦЕЛЬ'!$G$1:$G$382,7+('Ввод'!$B$29-1)*21+7)),"")</f>
        <v>22.22</v>
      </c>
      <c r="G10" s="13">
        <f>IF('Ввод'!$B$29&gt;0,IF('Ввод'!$B$13="ДО",INDEX('Замеры ДО'!$H$1:$H$382,7+('Ввод'!$B$29-1)*21+7),INDEX('Замеры ЦЕЛЬ'!$H$1:$H$382,7+('Ввод'!$B$29-1)*21+7)),"")</f>
        <v>23.1</v>
      </c>
      <c r="H10" s="13">
        <f>IF('Ввод'!$B$29&gt;0,IF('Ввод'!$B$13="ДО",INDEX('Замеры ДО'!$I$1:$I$382,7+('Ввод'!$B$29-1)*21+7),INDEX('Замеры ЦЕЛЬ'!$I$1:$I$382,7+('Ввод'!$B$29-1)*21+7)),"")</f>
        <v>22</v>
      </c>
      <c r="I10" s="13">
        <f>IF('Ввод'!$B$29&gt;0,IF('Ввод'!$B$13="ДО",INDEX('Замеры ДО'!$J$1:$J$382,7+('Ввод'!$B$29-1)*21+7),INDEX('Замеры ЦЕЛЬ'!$J$1:$J$382,7+('Ввод'!$B$29-1)*21+7)),"")</f>
        <v>22.88</v>
      </c>
      <c r="J10" s="13">
        <f>IF('Ввод'!$B$29&gt;0,IF('Ввод'!$B$13="ДО",INDEX('Замеры ДО'!$K$1:$K$382,7+('Ввод'!$B$29-1)*21+7),INDEX('Замеры ЦЕЛЬ'!$K$1:$K$382,7+('Ввод'!$B$29-1)*21+7)),"")</f>
        <v>23.76</v>
      </c>
      <c r="K10" s="13">
        <f>IF('Ввод'!$B$29&gt;0,IF('Ввод'!$B$13="ДО",INDEX('Замеры ДО'!$L$1:$L$382,7+('Ввод'!$B$29-1)*21+7),INDEX('Замеры ЦЕЛЬ'!$L$1:$L$382,7+('Ввод'!$B$29-1)*21+7)),"")</f>
        <v>22.44</v>
      </c>
      <c r="L10" s="13">
        <f>IF('Ввод'!$B$29&gt;0,IF('Ввод'!$B$13="ДО",INDEX('Замеры ДО'!$M$1:$M$382,7+('Ввод'!$B$29-1)*21+7),INDEX('Замеры ЦЕЛЬ'!$M$1:$M$382,7+('Ввод'!$B$29-1)*21+7)),"")</f>
        <v>23.32</v>
      </c>
      <c r="M10" s="13">
        <f>IF('Ввод'!$B$29&gt;0,IF('Ввод'!$B$13="ДО",INDEX('Замеры ДО'!$N$1:$N$382,7+('Ввод'!$B$29-1)*21+7),INDEX('Замеры ЦЕЛЬ'!$N$1:$N$382,7+('Ввод'!$B$29-1)*21+7)),"")</f>
        <v>24.2</v>
      </c>
      <c r="N10" s="13">
        <f>IF('Ввод'!$B$29&gt;0,IF('Ввод'!$B$13="ДО",INDEX('Замеры ДО'!$O$1:$O$382,7+('Ввод'!$B$29-1)*21+7),INDEX('Замеры ЦЕЛЬ'!$O$1:$O$382,7+('Ввод'!$B$29-1)*21+7)),"")</f>
        <v>22</v>
      </c>
      <c r="O10" s="13">
        <f>IF('Ввод'!$B$29&gt;0,IF('Ввод'!$B$13="ДО",INDEX('Замеры ДО'!$Q$1:$Q$382,7+('Ввод'!$B$29-1)*21+7),INDEX('Замеры ЦЕЛЬ'!$Q$1:$Q$382,7+('Ввод'!$B$29-1)*21+7)),"")</f>
        <v>2.2</v>
      </c>
      <c r="P10" s="13">
        <f>IF('Ввод'!$B$29&gt;0,IF('Ввод'!$B$13="ДО",INDEX('Замеры ДО'!$R$1:$R$382,7+('Ввод'!$B$29-1)*21+7),INDEX('Замеры ЦЕЛЬ'!$R$1:$R$382,7+('Ввод'!$B$29-1)*21+7)),"")</f>
        <v>0.801565217391315</v>
      </c>
      <c r="Q10" s="13">
        <f>IF('Ввод'!$B$29&gt;0,IF('Ввод'!$B$13="ДО",INDEX('Замеры ДО'!$S$1:$S$382,7+('Ввод'!$B$29-1)*21+7),INDEX('Замеры ЦЕЛЬ'!$S$1:$S$382,7+('Ввод'!$B$29-1)*21+7)),"")</f>
        <v>22.8015652173913</v>
      </c>
      <c r="R10" s="13">
        <f>IF('Ввод'!$B$29&gt;0,IF('Ввод'!$B$13="ДО",INDEX('Замеры ДО'!$T$1:$T$382,7+('Ввод'!$B$29-1)*21+7),INDEX('Замеры ЦЕЛЬ'!$T$1:$T$382,7+('Ввод'!$B$29-1)*21+7)),"")</f>
        <v>1.39843478260869</v>
      </c>
      <c r="S10" s="7" t="s">
        <v>382</v>
      </c>
    </row>
    <row r="11" spans="1:19" ht="46" customHeight="1">
      <c r="A11" s="5" t="s">
        <v>189</v>
      </c>
      <c r="B11" s="5" t="s">
        <v>190</v>
      </c>
      <c r="C11" s="5" t="s">
        <v>192</v>
      </c>
      <c r="D11" s="13">
        <f>IF('Ввод'!$B$29&gt;0,IF('Ввод'!$B$13="ДО",INDEX('Замеры ДО'!$E$1:$E$382,7+('Ввод'!$B$29-1)*21+8),INDEX('Замеры ЦЕЛЬ'!$E$1:$E$382,7+('Ввод'!$B$29-1)*21+8)),"")</f>
        <v>12.6</v>
      </c>
      <c r="E11" s="13">
        <f>IF('Ввод'!$B$29&gt;0,IF('Ввод'!$B$13="ДО",INDEX('Замеры ДО'!$F$1:$F$382,7+('Ввод'!$B$29-1)*21+8),INDEX('Замеры ЦЕЛЬ'!$F$1:$F$382,7+('Ввод'!$B$29-1)*21+8)),"")</f>
        <v>12</v>
      </c>
      <c r="F11" s="13">
        <f>IF('Ввод'!$B$29&gt;0,IF('Ввод'!$B$13="ДО",INDEX('Замеры ДО'!$G$1:$G$382,7+('Ввод'!$B$29-1)*21+8),INDEX('Замеры ЦЕЛЬ'!$G$1:$G$382,7+('Ввод'!$B$29-1)*21+8)),"")</f>
        <v>12.48</v>
      </c>
      <c r="G11" s="13">
        <f>IF('Ввод'!$B$29&gt;0,IF('Ввод'!$B$13="ДО",INDEX('Замеры ДО'!$H$1:$H$382,7+('Ввод'!$B$29-1)*21+8),INDEX('Замеры ЦЕЛЬ'!$H$1:$H$382,7+('Ввод'!$B$29-1)*21+8)),"")</f>
        <v>12.96</v>
      </c>
      <c r="H11" s="13">
        <f>IF('Ввод'!$B$29&gt;0,IF('Ввод'!$B$13="ДО",INDEX('Замеры ДО'!$I$1:$I$382,7+('Ввод'!$B$29-1)*21+8),INDEX('Замеры ЦЕЛЬ'!$I$1:$I$382,7+('Ввод'!$B$29-1)*21+8)),"")</f>
        <v>12.24</v>
      </c>
      <c r="I11" s="13">
        <f>IF('Ввод'!$B$29&gt;0,IF('Ввод'!$B$13="ДО",INDEX('Замеры ДО'!$J$1:$J$382,7+('Ввод'!$B$29-1)*21+8),INDEX('Замеры ЦЕЛЬ'!$J$1:$J$382,7+('Ввод'!$B$29-1)*21+8)),"")</f>
        <v>12.72</v>
      </c>
      <c r="J11" s="13">
        <f>IF('Ввод'!$B$29&gt;0,IF('Ввод'!$B$13="ДО",INDEX('Замеры ДО'!$K$1:$K$382,7+('Ввод'!$B$29-1)*21+8),INDEX('Замеры ЦЕЛЬ'!$K$1:$K$382,7+('Ввод'!$B$29-1)*21+8)),"")</f>
        <v>13.2</v>
      </c>
      <c r="K11" s="13">
        <f>IF('Ввод'!$B$29&gt;0,IF('Ввод'!$B$13="ДО",INDEX('Замеры ДО'!$L$1:$L$382,7+('Ввод'!$B$29-1)*21+8),INDEX('Замеры ЦЕЛЬ'!$L$1:$L$382,7+('Ввод'!$B$29-1)*21+8)),"")</f>
        <v>12.36</v>
      </c>
      <c r="L11" s="13">
        <f>IF('Ввод'!$B$29&gt;0,IF('Ввод'!$B$13="ДО",INDEX('Замеры ДО'!$M$1:$M$382,7+('Ввод'!$B$29-1)*21+8),INDEX('Замеры ЦЕЛЬ'!$M$1:$M$382,7+('Ввод'!$B$29-1)*21+8)),"")</f>
        <v>12.84</v>
      </c>
      <c r="M11" s="13">
        <f>IF('Ввод'!$B$29&gt;0,IF('Ввод'!$B$13="ДО",INDEX('Замеры ДО'!$N$1:$N$382,7+('Ввод'!$B$29-1)*21+8),INDEX('Замеры ЦЕЛЬ'!$N$1:$N$382,7+('Ввод'!$B$29-1)*21+8)),"")</f>
        <v>12.12</v>
      </c>
      <c r="N11" s="13">
        <f>IF('Ввод'!$B$29&gt;0,IF('Ввод'!$B$13="ДО",INDEX('Замеры ДО'!$O$1:$O$382,7+('Ввод'!$B$29-1)*21+8),INDEX('Замеры ЦЕЛЬ'!$O$1:$O$382,7+('Ввод'!$B$29-1)*21+8)),"")</f>
        <v>12</v>
      </c>
      <c r="O11" s="13">
        <f>IF('Ввод'!$B$29&gt;0,IF('Ввод'!$B$13="ДО",INDEX('Замеры ДО'!$Q$1:$Q$382,7+('Ввод'!$B$29-1)*21+8),INDEX('Замеры ЦЕЛЬ'!$Q$1:$Q$382,7+('Ввод'!$B$29-1)*21+8)),"")</f>
        <v>1.2</v>
      </c>
      <c r="P11" s="13">
        <f>IF('Ввод'!$B$29&gt;0,IF('Ввод'!$B$13="ДО",INDEX('Замеры ДО'!$R$1:$R$382,7+('Ввод'!$B$29-1)*21+8),INDEX('Замеры ЦЕЛЬ'!$R$1:$R$382,7+('Ввод'!$B$29-1)*21+8)),"")</f>
        <v>0</v>
      </c>
      <c r="Q11" s="13">
        <f>IF('Ввод'!$B$29&gt;0,IF('Ввод'!$B$13="ДО",INDEX('Замеры ДО'!$S$1:$S$382,7+('Ввод'!$B$29-1)*21+8),INDEX('Замеры ЦЕЛЬ'!$S$1:$S$382,7+('Ввод'!$B$29-1)*21+8)),"")</f>
        <v>12</v>
      </c>
      <c r="R11" s="13">
        <f>IF('Ввод'!$B$29&gt;0,IF('Ввод'!$B$13="ДО",INDEX('Замеры ДО'!$T$1:$T$382,7+('Ввод'!$B$29-1)*21+8),INDEX('Замеры ЦЕЛЬ'!$T$1:$T$382,7+('Ввод'!$B$29-1)*21+8)),"")</f>
        <v>1.2</v>
      </c>
      <c r="S11" s="7" t="s">
        <v>383</v>
      </c>
    </row>
    <row r="12" spans="1:19" ht="46" customHeight="1">
      <c r="A12" s="5">
        <v>5</v>
      </c>
      <c r="B12" s="5" t="s">
        <v>193</v>
      </c>
      <c r="C12" s="5" t="s">
        <v>194</v>
      </c>
      <c r="D12" s="13">
        <f>IF('Ввод'!$B$29&gt;0,IF('Ввод'!$B$13="ДО",INDEX('Замеры ДО'!$E$1:$E$382,7+('Ввод'!$B$29-1)*21+9),INDEX('Замеры ЦЕЛЬ'!$E$1:$E$382,7+('Ввод'!$B$29-1)*21+9)),"")</f>
        <v>37.8</v>
      </c>
      <c r="E12" s="13">
        <f>IF('Ввод'!$B$29&gt;0,IF('Ввод'!$B$13="ДО",INDEX('Замеры ДО'!$F$1:$F$382,7+('Ввод'!$B$29-1)*21+9),INDEX('Замеры ЦЕЛЬ'!$F$1:$F$382,7+('Ввод'!$B$29-1)*21+9)),"")</f>
        <v>35.7</v>
      </c>
      <c r="F12" s="13">
        <f>IF('Ввод'!$B$29&gt;0,IF('Ввод'!$B$13="ДО",INDEX('Замеры ДО'!$G$1:$G$382,7+('Ввод'!$B$29-1)*21+9),INDEX('Замеры ЦЕЛЬ'!$G$1:$G$382,7+('Ввод'!$B$29-1)*21+9)),"")</f>
        <v>37.1</v>
      </c>
      <c r="G12" s="13">
        <f>IF('Ввод'!$B$29&gt;0,IF('Ввод'!$B$13="ДО",INDEX('Замеры ДО'!$H$1:$H$382,7+('Ввод'!$B$29-1)*21+9),INDEX('Замеры ЦЕЛЬ'!$H$1:$H$382,7+('Ввод'!$B$29-1)*21+9)),"")</f>
        <v>38.5</v>
      </c>
      <c r="H12" s="13">
        <f>IF('Ввод'!$B$29&gt;0,IF('Ввод'!$B$13="ДО",INDEX('Замеры ДО'!$I$1:$I$382,7+('Ввод'!$B$29-1)*21+9),INDEX('Замеры ЦЕЛЬ'!$I$1:$I$382,7+('Ввод'!$B$29-1)*21+9)),"")</f>
        <v>36.05</v>
      </c>
      <c r="I12" s="13">
        <f>IF('Ввод'!$B$29&gt;0,IF('Ввод'!$B$13="ДО",INDEX('Замеры ДО'!$J$1:$J$382,7+('Ввод'!$B$29-1)*21+9),INDEX('Замеры ЦЕЛЬ'!$J$1:$J$382,7+('Ввод'!$B$29-1)*21+9)),"")</f>
        <v>37.45</v>
      </c>
      <c r="J12" s="13">
        <f>IF('Ввод'!$B$29&gt;0,IF('Ввод'!$B$13="ДО",INDEX('Замеры ДО'!$K$1:$K$382,7+('Ввод'!$B$29-1)*21+9),INDEX('Замеры ЦЕЛЬ'!$K$1:$K$382,7+('Ввод'!$B$29-1)*21+9)),"")</f>
        <v>35.35</v>
      </c>
      <c r="K12" s="13">
        <f>IF('Ввод'!$B$29&gt;0,IF('Ввод'!$B$13="ДО",INDEX('Замеры ДО'!$L$1:$L$382,7+('Ввод'!$B$29-1)*21+9),INDEX('Замеры ЦЕЛЬ'!$L$1:$L$382,7+('Ввод'!$B$29-1)*21+9)),"")</f>
        <v>36.75</v>
      </c>
      <c r="L12" s="13">
        <f>IF('Ввод'!$B$29&gt;0,IF('Ввод'!$B$13="ДО",INDEX('Замеры ДО'!$M$1:$M$382,7+('Ввод'!$B$29-1)*21+9),INDEX('Замеры ЦЕЛЬ'!$M$1:$M$382,7+('Ввод'!$B$29-1)*21+9)),"")</f>
        <v>35</v>
      </c>
      <c r="M12" s="13">
        <f>IF('Ввод'!$B$29&gt;0,IF('Ввод'!$B$13="ДО",INDEX('Замеры ДО'!$N$1:$N$382,7+('Ввод'!$B$29-1)*21+9),INDEX('Замеры ЦЕЛЬ'!$N$1:$N$382,7+('Ввод'!$B$29-1)*21+9)),"")</f>
        <v>36.4</v>
      </c>
      <c r="N12" s="13">
        <f>IF('Ввод'!$B$29&gt;0,IF('Ввод'!$B$13="ДО",INDEX('Замеры ДО'!$O$1:$O$382,7+('Ввод'!$B$29-1)*21+9),INDEX('Замеры ЦЕЛЬ'!$O$1:$O$382,7+('Ввод'!$B$29-1)*21+9)),"")</f>
        <v>35</v>
      </c>
      <c r="O12" s="13">
        <f>IF('Ввод'!$B$29&gt;0,IF('Ввод'!$B$13="ДО",INDEX('Замеры ДО'!$Q$1:$Q$382,7+('Ввод'!$B$29-1)*21+9),INDEX('Замеры ЦЕЛЬ'!$Q$1:$Q$382,7+('Ввод'!$B$29-1)*21+9)),"")</f>
        <v>3.5</v>
      </c>
      <c r="P12" s="13">
        <f>IF('Ввод'!$B$29&gt;0,IF('Ввод'!$B$13="ДО",INDEX('Замеры ДО'!$R$1:$R$382,7+('Ввод'!$B$29-1)*21+9),INDEX('Замеры ЦЕЛЬ'!$R$1:$R$382,7+('Ввод'!$B$29-1)*21+9)),"")</f>
        <v>1.27521739130436</v>
      </c>
      <c r="Q12" s="13">
        <f>IF('Ввод'!$B$29&gt;0,IF('Ввод'!$B$13="ДО",INDEX('Замеры ДО'!$S$1:$S$382,7+('Ввод'!$B$29-1)*21+9),INDEX('Замеры ЦЕЛЬ'!$S$1:$S$382,7+('Ввод'!$B$29-1)*21+9)),"")</f>
        <v>36.2752173913044</v>
      </c>
      <c r="R12" s="13">
        <f>IF('Ввод'!$B$29&gt;0,IF('Ввод'!$B$13="ДО",INDEX('Замеры ДО'!$T$1:$T$382,7+('Ввод'!$B$29-1)*21+9),INDEX('Замеры ЦЕЛЬ'!$T$1:$T$382,7+('Ввод'!$B$29-1)*21+9)),"")</f>
        <v>2.22478260869563</v>
      </c>
      <c r="S12" s="7" t="s">
        <v>382</v>
      </c>
    </row>
    <row r="13" spans="1:19" ht="46" customHeight="1">
      <c r="A13" s="5" t="s">
        <v>189</v>
      </c>
      <c r="B13" s="5" t="s">
        <v>195</v>
      </c>
      <c r="C13" s="5" t="s">
        <v>197</v>
      </c>
      <c r="D13" s="13">
        <f>IF('Ввод'!$B$29&gt;0,IF('Ввод'!$B$13="ДО",INDEX('Замеры ДО'!$E$1:$E$382,7+('Ввод'!$B$29-1)*21+10),INDEX('Замеры ЦЕЛЬ'!$E$1:$E$382,7+('Ввод'!$B$29-1)*21+10)),"")</f>
        <v>450</v>
      </c>
      <c r="E13" s="13">
        <f>IF('Ввод'!$B$29&gt;0,IF('Ввод'!$B$13="ДО",INDEX('Замеры ДО'!$F$1:$F$382,7+('Ввод'!$B$29-1)*21+10),INDEX('Замеры ЦЕЛЬ'!$F$1:$F$382,7+('Ввод'!$B$29-1)*21+10)),"")</f>
        <v>450</v>
      </c>
      <c r="F13" s="13">
        <f>IF('Ввод'!$B$29&gt;0,IF('Ввод'!$B$13="ДО",INDEX('Замеры ДО'!$G$1:$G$382,7+('Ввод'!$B$29-1)*21+10),INDEX('Замеры ЦЕЛЬ'!$G$1:$G$382,7+('Ввод'!$B$29-1)*21+10)),"")</f>
        <v>450</v>
      </c>
      <c r="G13" s="13">
        <f>IF('Ввод'!$B$29&gt;0,IF('Ввод'!$B$13="ДО",INDEX('Замеры ДО'!$H$1:$H$382,7+('Ввод'!$B$29-1)*21+10),INDEX('Замеры ЦЕЛЬ'!$H$1:$H$382,7+('Ввод'!$B$29-1)*21+10)),"")</f>
        <v>450</v>
      </c>
      <c r="H13" s="13">
        <f>IF('Ввод'!$B$29&gt;0,IF('Ввод'!$B$13="ДО",INDEX('Замеры ДО'!$I$1:$I$382,7+('Ввод'!$B$29-1)*21+10),INDEX('Замеры ЦЕЛЬ'!$I$1:$I$382,7+('Ввод'!$B$29-1)*21+10)),"")</f>
        <v>450</v>
      </c>
      <c r="I13" s="13">
        <f>IF('Ввод'!$B$29&gt;0,IF('Ввод'!$B$13="ДО",INDEX('Замеры ДО'!$J$1:$J$382,7+('Ввод'!$B$29-1)*21+10),INDEX('Замеры ЦЕЛЬ'!$J$1:$J$382,7+('Ввод'!$B$29-1)*21+10)),"")</f>
        <v>450</v>
      </c>
      <c r="J13" s="13">
        <f>IF('Ввод'!$B$29&gt;0,IF('Ввод'!$B$13="ДО",INDEX('Замеры ДО'!$K$1:$K$382,7+('Ввод'!$B$29-1)*21+10),INDEX('Замеры ЦЕЛЬ'!$K$1:$K$382,7+('Ввод'!$B$29-1)*21+10)),"")</f>
        <v>450</v>
      </c>
      <c r="K13" s="13">
        <f>IF('Ввод'!$B$29&gt;0,IF('Ввод'!$B$13="ДО",INDEX('Замеры ДО'!$L$1:$L$382,7+('Ввод'!$B$29-1)*21+10),INDEX('Замеры ЦЕЛЬ'!$L$1:$L$382,7+('Ввод'!$B$29-1)*21+10)),"")</f>
        <v>450</v>
      </c>
      <c r="L13" s="13">
        <f>IF('Ввод'!$B$29&gt;0,IF('Ввод'!$B$13="ДО",INDEX('Замеры ДО'!$M$1:$M$382,7+('Ввод'!$B$29-1)*21+10),INDEX('Замеры ЦЕЛЬ'!$M$1:$M$382,7+('Ввод'!$B$29-1)*21+10)),"")</f>
        <v>450</v>
      </c>
      <c r="M13" s="13">
        <f>IF('Ввод'!$B$29&gt;0,IF('Ввод'!$B$13="ДО",INDEX('Замеры ДО'!$N$1:$N$382,7+('Ввод'!$B$29-1)*21+10),INDEX('Замеры ЦЕЛЬ'!$N$1:$N$382,7+('Ввод'!$B$29-1)*21+10)),"")</f>
        <v>450</v>
      </c>
      <c r="N13" s="13">
        <f>IF('Ввод'!$B$29&gt;0,IF('Ввод'!$B$13="ДО",INDEX('Замеры ДО'!$O$1:$O$382,7+('Ввод'!$B$29-1)*21+10),INDEX('Замеры ЦЕЛЬ'!$O$1:$O$382,7+('Ввод'!$B$29-1)*21+10)),"")</f>
        <v>450</v>
      </c>
      <c r="O13" s="13">
        <f>IF('Ввод'!$B$29&gt;0,IF('Ввод'!$B$13="ДО",INDEX('Замеры ДО'!$Q$1:$Q$382,7+('Ввод'!$B$29-1)*21+10),INDEX('Замеры ЦЕЛЬ'!$Q$1:$Q$382,7+('Ввод'!$B$29-1)*21+10)),"")</f>
        <v>0</v>
      </c>
      <c r="P13" s="13">
        <f>IF('Ввод'!$B$29&gt;0,IF('Ввод'!$B$13="ДО",INDEX('Замеры ДО'!$R$1:$R$382,7+('Ввод'!$B$29-1)*21+10),INDEX('Замеры ЦЕЛЬ'!$R$1:$R$382,7+('Ввод'!$B$29-1)*21+10)),"")</f>
        <v>0</v>
      </c>
      <c r="Q13" s="13">
        <f>IF('Ввод'!$B$29&gt;0,IF('Ввод'!$B$13="ДО",INDEX('Замеры ДО'!$S$1:$S$382,7+('Ввод'!$B$29-1)*21+10),INDEX('Замеры ЦЕЛЬ'!$S$1:$S$382,7+('Ввод'!$B$29-1)*21+10)),"")</f>
        <v>450</v>
      </c>
      <c r="R13" s="13">
        <f>IF('Ввод'!$B$29&gt;0,IF('Ввод'!$B$13="ДО",INDEX('Замеры ДО'!$T$1:$T$382,7+('Ввод'!$B$29-1)*21+10),INDEX('Замеры ЦЕЛЬ'!$T$1:$T$382,7+('Ввод'!$B$29-1)*21+10)),"")</f>
        <v>0</v>
      </c>
      <c r="S13" s="7" t="s">
        <v>383</v>
      </c>
    </row>
    <row r="14" spans="1:19" ht="46" customHeight="1">
      <c r="A14" s="5">
        <v>7</v>
      </c>
      <c r="B14" s="5" t="s">
        <v>198</v>
      </c>
      <c r="C14" s="5" t="s">
        <v>199</v>
      </c>
      <c r="D14" s="13">
        <f>IF('Ввод'!$B$29&gt;0,IF('Ввод'!$B$13="ДО",INDEX('Замеры ДО'!$E$1:$E$382,7+('Ввод'!$B$29-1)*21+11),INDEX('Замеры ЦЕЛЬ'!$E$1:$E$382,7+('Ввод'!$B$29-1)*21+11)),"")</f>
        <v>30.3</v>
      </c>
      <c r="E14" s="13">
        <f>IF('Ввод'!$B$29&gt;0,IF('Ввод'!$B$13="ДО",INDEX('Замеры ДО'!$F$1:$F$382,7+('Ввод'!$B$29-1)*21+11),INDEX('Замеры ЦЕЛЬ'!$F$1:$F$382,7+('Ввод'!$B$29-1)*21+11)),"")</f>
        <v>31.5</v>
      </c>
      <c r="F14" s="13">
        <f>IF('Ввод'!$B$29&gt;0,IF('Ввод'!$B$13="ДО",INDEX('Замеры ДО'!$G$1:$G$382,7+('Ввод'!$B$29-1)*21+11),INDEX('Замеры ЦЕЛЬ'!$G$1:$G$382,7+('Ввод'!$B$29-1)*21+11)),"")</f>
        <v>30</v>
      </c>
      <c r="G14" s="13">
        <f>IF('Ввод'!$B$29&gt;0,IF('Ввод'!$B$13="ДО",INDEX('Замеры ДО'!$H$1:$H$382,7+('Ввод'!$B$29-1)*21+11),INDEX('Замеры ЦЕЛЬ'!$H$1:$H$382,7+('Ввод'!$B$29-1)*21+11)),"")</f>
        <v>31.2</v>
      </c>
      <c r="H14" s="13">
        <f>IF('Ввод'!$B$29&gt;0,IF('Ввод'!$B$13="ДО",INDEX('Замеры ДО'!$I$1:$I$382,7+('Ввод'!$B$29-1)*21+11),INDEX('Замеры ЦЕЛЬ'!$I$1:$I$382,7+('Ввод'!$B$29-1)*21+11)),"")</f>
        <v>32.4</v>
      </c>
      <c r="I14" s="13">
        <f>IF('Ввод'!$B$29&gt;0,IF('Ввод'!$B$13="ДО",INDEX('Замеры ДО'!$J$1:$J$382,7+('Ввод'!$B$29-1)*21+11),INDEX('Замеры ЦЕЛЬ'!$J$1:$J$382,7+('Ввод'!$B$29-1)*21+11)),"")</f>
        <v>30.6</v>
      </c>
      <c r="J14" s="13">
        <f>IF('Ввод'!$B$29&gt;0,IF('Ввод'!$B$13="ДО",INDEX('Замеры ДО'!$K$1:$K$382,7+('Ввод'!$B$29-1)*21+11),INDEX('Замеры ЦЕЛЬ'!$K$1:$K$382,7+('Ввод'!$B$29-1)*21+11)),"")</f>
        <v>31.8</v>
      </c>
      <c r="K14" s="13">
        <f>IF('Ввод'!$B$29&gt;0,IF('Ввод'!$B$13="ДО",INDEX('Замеры ДО'!$L$1:$L$382,7+('Ввод'!$B$29-1)*21+11),INDEX('Замеры ЦЕЛЬ'!$L$1:$L$382,7+('Ввод'!$B$29-1)*21+11)),"")</f>
        <v>33</v>
      </c>
      <c r="L14" s="13">
        <f>IF('Ввод'!$B$29&gt;0,IF('Ввод'!$B$13="ДО",INDEX('Замеры ДО'!$M$1:$M$382,7+('Ввод'!$B$29-1)*21+11),INDEX('Замеры ЦЕЛЬ'!$M$1:$M$382,7+('Ввод'!$B$29-1)*21+11)),"")</f>
        <v>30.9</v>
      </c>
      <c r="M14" s="13">
        <f>IF('Ввод'!$B$29&gt;0,IF('Ввод'!$B$13="ДО",INDEX('Замеры ДО'!$N$1:$N$382,7+('Ввод'!$B$29-1)*21+11),INDEX('Замеры ЦЕЛЬ'!$N$1:$N$382,7+('Ввод'!$B$29-1)*21+11)),"")</f>
        <v>32.1</v>
      </c>
      <c r="N14" s="13">
        <f>IF('Ввод'!$B$29&gt;0,IF('Ввод'!$B$13="ДО",INDEX('Замеры ДО'!$O$1:$O$382,7+('Ввод'!$B$29-1)*21+11),INDEX('Замеры ЦЕЛЬ'!$O$1:$O$382,7+('Ввод'!$B$29-1)*21+11)),"")</f>
        <v>30</v>
      </c>
      <c r="O14" s="13">
        <f>IF('Ввод'!$B$29&gt;0,IF('Ввод'!$B$13="ДО",INDEX('Замеры ДО'!$Q$1:$Q$382,7+('Ввод'!$B$29-1)*21+11),INDEX('Замеры ЦЕЛЬ'!$Q$1:$Q$382,7+('Ввод'!$B$29-1)*21+11)),"")</f>
        <v>3</v>
      </c>
      <c r="P14" s="13">
        <f>IF('Ввод'!$B$29&gt;0,IF('Ввод'!$B$13="ДО",INDEX('Замеры ДО'!$R$1:$R$382,7+('Ввод'!$B$29-1)*21+11),INDEX('Замеры ЦЕЛЬ'!$R$1:$R$382,7+('Ввод'!$B$29-1)*21+11)),"")</f>
        <v>1.09304347826088</v>
      </c>
      <c r="Q14" s="13">
        <f>IF('Ввод'!$B$29&gt;0,IF('Ввод'!$B$13="ДО",INDEX('Замеры ДО'!$S$1:$S$382,7+('Ввод'!$B$29-1)*21+11),INDEX('Замеры ЦЕЛЬ'!$S$1:$S$382,7+('Ввод'!$B$29-1)*21+11)),"")</f>
        <v>31.0930434782609</v>
      </c>
      <c r="R14" s="13">
        <f>IF('Ввод'!$B$29&gt;0,IF('Ввод'!$B$13="ДО",INDEX('Замеры ДО'!$T$1:$T$382,7+('Ввод'!$B$29-1)*21+11),INDEX('Замеры ЦЕЛЬ'!$T$1:$T$382,7+('Ввод'!$B$29-1)*21+11)),"")</f>
        <v>1.90695652173912</v>
      </c>
      <c r="S14" s="7" t="s">
        <v>382</v>
      </c>
    </row>
    <row r="15" spans="1:19" ht="46" customHeight="1">
      <c r="A15" s="5">
        <v>8</v>
      </c>
      <c r="B15" s="5" t="s">
        <v>200</v>
      </c>
      <c r="C15" s="5" t="s">
        <v>201</v>
      </c>
      <c r="D15" s="13">
        <f>IF('Ввод'!$B$29&gt;0,IF('Ввод'!$B$13="ДО",INDEX('Замеры ДО'!$E$1:$E$382,7+('Ввод'!$B$29-1)*21+12),INDEX('Замеры ЦЕЛЬ'!$E$1:$E$382,7+('Ввод'!$B$29-1)*21+12)),"")</f>
        <v>18.72</v>
      </c>
      <c r="E15" s="13">
        <f>IF('Ввод'!$B$29&gt;0,IF('Ввод'!$B$13="ДО",INDEX('Замеры ДО'!$F$1:$F$382,7+('Ввод'!$B$29-1)*21+12),INDEX('Замеры ЦЕЛЬ'!$F$1:$F$382,7+('Ввод'!$B$29-1)*21+12)),"")</f>
        <v>19.44</v>
      </c>
      <c r="F15" s="13">
        <f>IF('Ввод'!$B$29&gt;0,IF('Ввод'!$B$13="ДО",INDEX('Замеры ДО'!$G$1:$G$382,7+('Ввод'!$B$29-1)*21+12),INDEX('Замеры ЦЕЛЬ'!$G$1:$G$382,7+('Ввод'!$B$29-1)*21+12)),"")</f>
        <v>18.36</v>
      </c>
      <c r="G15" s="13">
        <f>IF('Ввод'!$B$29&gt;0,IF('Ввод'!$B$13="ДО",INDEX('Замеры ДО'!$H$1:$H$382,7+('Ввод'!$B$29-1)*21+12),INDEX('Замеры ЦЕЛЬ'!$H$1:$H$382,7+('Ввод'!$B$29-1)*21+12)),"")</f>
        <v>19.08</v>
      </c>
      <c r="H15" s="13">
        <f>IF('Ввод'!$B$29&gt;0,IF('Ввод'!$B$13="ДО",INDEX('Замеры ДО'!$I$1:$I$382,7+('Ввод'!$B$29-1)*21+12),INDEX('Замеры ЦЕЛЬ'!$I$1:$I$382,7+('Ввод'!$B$29-1)*21+12)),"")</f>
        <v>19.8</v>
      </c>
      <c r="I15" s="13">
        <f>IF('Ввод'!$B$29&gt;0,IF('Ввод'!$B$13="ДО",INDEX('Замеры ДО'!$J$1:$J$382,7+('Ввод'!$B$29-1)*21+12),INDEX('Замеры ЦЕЛЬ'!$J$1:$J$382,7+('Ввод'!$B$29-1)*21+12)),"")</f>
        <v>18.54</v>
      </c>
      <c r="J15" s="13">
        <f>IF('Ввод'!$B$29&gt;0,IF('Ввод'!$B$13="ДО",INDEX('Замеры ДО'!$K$1:$K$382,7+('Ввод'!$B$29-1)*21+12),INDEX('Замеры ЦЕЛЬ'!$K$1:$K$382,7+('Ввод'!$B$29-1)*21+12)),"")</f>
        <v>19.26</v>
      </c>
      <c r="K15" s="13">
        <f>IF('Ввод'!$B$29&gt;0,IF('Ввод'!$B$13="ДО",INDEX('Замеры ДО'!$L$1:$L$382,7+('Ввод'!$B$29-1)*21+12),INDEX('Замеры ЦЕЛЬ'!$L$1:$L$382,7+('Ввод'!$B$29-1)*21+12)),"")</f>
        <v>18.18</v>
      </c>
      <c r="L15" s="13">
        <f>IF('Ввод'!$B$29&gt;0,IF('Ввод'!$B$13="ДО",INDEX('Замеры ДО'!$M$1:$M$382,7+('Ввод'!$B$29-1)*21+12),INDEX('Замеры ЦЕЛЬ'!$M$1:$M$382,7+('Ввод'!$B$29-1)*21+12)),"")</f>
        <v>18.9</v>
      </c>
      <c r="M15" s="13">
        <f>IF('Ввод'!$B$29&gt;0,IF('Ввод'!$B$13="ДО",INDEX('Замеры ДО'!$N$1:$N$382,7+('Ввод'!$B$29-1)*21+12),INDEX('Замеры ЦЕЛЬ'!$N$1:$N$382,7+('Ввод'!$B$29-1)*21+12)),"")</f>
        <v>18</v>
      </c>
      <c r="N15" s="13">
        <f>IF('Ввод'!$B$29&gt;0,IF('Ввод'!$B$13="ДО",INDEX('Замеры ДО'!$O$1:$O$382,7+('Ввод'!$B$29-1)*21+12),INDEX('Замеры ЦЕЛЬ'!$O$1:$O$382,7+('Ввод'!$B$29-1)*21+12)),"")</f>
        <v>18</v>
      </c>
      <c r="O15" s="13">
        <f>IF('Ввод'!$B$29&gt;0,IF('Ввод'!$B$13="ДО",INDEX('Замеры ДО'!$Q$1:$Q$382,7+('Ввод'!$B$29-1)*21+12),INDEX('Замеры ЦЕЛЬ'!$Q$1:$Q$382,7+('Ввод'!$B$29-1)*21+12)),"")</f>
        <v>1.8</v>
      </c>
      <c r="P15" s="13">
        <f>IF('Ввод'!$B$29&gt;0,IF('Ввод'!$B$13="ДО",INDEX('Замеры ДО'!$R$1:$R$382,7+('Ввод'!$B$29-1)*21+12),INDEX('Замеры ЦЕЛЬ'!$R$1:$R$382,7+('Ввод'!$B$29-1)*21+12)),"")</f>
        <v>0.655826086956531</v>
      </c>
      <c r="Q15" s="13">
        <f>IF('Ввод'!$B$29&gt;0,IF('Ввод'!$B$13="ДО",INDEX('Замеры ДО'!$S$1:$S$382,7+('Ввод'!$B$29-1)*21+12),INDEX('Замеры ЦЕЛЬ'!$S$1:$S$382,7+('Ввод'!$B$29-1)*21+12)),"")</f>
        <v>18.6558260869565</v>
      </c>
      <c r="R15" s="13">
        <f>IF('Ввод'!$B$29&gt;0,IF('Ввод'!$B$13="ДО",INDEX('Замеры ДО'!$T$1:$T$382,7+('Ввод'!$B$29-1)*21+12),INDEX('Замеры ЦЕЛЬ'!$T$1:$T$382,7+('Ввод'!$B$29-1)*21+12)),"")</f>
        <v>1.14417391304347</v>
      </c>
      <c r="S15" s="7" t="s">
        <v>382</v>
      </c>
    </row>
    <row r="16" spans="1:19" ht="46" customHeight="1">
      <c r="A16" s="5" t="s">
        <v>189</v>
      </c>
      <c r="B16" s="5" t="s">
        <v>202</v>
      </c>
      <c r="C16" s="5" t="s">
        <v>203</v>
      </c>
      <c r="D16" s="13">
        <f>IF('Ввод'!$B$29&gt;0,IF('Ввод'!$B$13="ДО",INDEX('Замеры ДО'!$E$1:$E$382,7+('Ввод'!$B$29-1)*21+13),INDEX('Замеры ЦЕЛЬ'!$E$1:$E$382,7+('Ввод'!$B$29-1)*21+13)),"")</f>
        <v>10.6</v>
      </c>
      <c r="E16" s="13">
        <f>IF('Ввод'!$B$29&gt;0,IF('Ввод'!$B$13="ДО",INDEX('Замеры ДО'!$F$1:$F$382,7+('Ввод'!$B$29-1)*21+13),INDEX('Замеры ЦЕЛЬ'!$F$1:$F$382,7+('Ввод'!$B$29-1)*21+13)),"")</f>
        <v>11</v>
      </c>
      <c r="F16" s="13">
        <f>IF('Ввод'!$B$29&gt;0,IF('Ввод'!$B$13="ДО",INDEX('Замеры ДО'!$G$1:$G$382,7+('Ввод'!$B$29-1)*21+13),INDEX('Замеры ЦЕЛЬ'!$G$1:$G$382,7+('Ввод'!$B$29-1)*21+13)),"")</f>
        <v>10.3</v>
      </c>
      <c r="G16" s="13">
        <f>IF('Ввод'!$B$29&gt;0,IF('Ввод'!$B$13="ДО",INDEX('Замеры ДО'!$H$1:$H$382,7+('Ввод'!$B$29-1)*21+13),INDEX('Замеры ЦЕЛЬ'!$H$1:$H$382,7+('Ввод'!$B$29-1)*21+13)),"")</f>
        <v>10.7</v>
      </c>
      <c r="H16" s="13">
        <f>IF('Ввод'!$B$29&gt;0,IF('Ввод'!$B$13="ДО",INDEX('Замеры ДО'!$I$1:$I$382,7+('Ввод'!$B$29-1)*21+13),INDEX('Замеры ЦЕЛЬ'!$I$1:$I$382,7+('Ввод'!$B$29-1)*21+13)),"")</f>
        <v>10.1</v>
      </c>
      <c r="I16" s="13">
        <f>IF('Ввод'!$B$29&gt;0,IF('Ввод'!$B$13="ДО",INDEX('Замеры ДО'!$J$1:$J$382,7+('Ввод'!$B$29-1)*21+13),INDEX('Замеры ЦЕЛЬ'!$J$1:$J$382,7+('Ввод'!$B$29-1)*21+13)),"")</f>
        <v>10.5</v>
      </c>
      <c r="J16" s="13">
        <f>IF('Ввод'!$B$29&gt;0,IF('Ввод'!$B$13="ДО",INDEX('Замеры ДО'!$K$1:$K$382,7+('Ввод'!$B$29-1)*21+13),INDEX('Замеры ЦЕЛЬ'!$K$1:$K$382,7+('Ввод'!$B$29-1)*21+13)),"")</f>
        <v>10</v>
      </c>
      <c r="K16" s="13">
        <f>IF('Ввод'!$B$29&gt;0,IF('Ввод'!$B$13="ДО",INDEX('Замеры ДО'!$L$1:$L$382,7+('Ввод'!$B$29-1)*21+13),INDEX('Замеры ЦЕЛЬ'!$L$1:$L$382,7+('Ввод'!$B$29-1)*21+13)),"")</f>
        <v>10.4</v>
      </c>
      <c r="L16" s="13">
        <f>IF('Ввод'!$B$29&gt;0,IF('Ввод'!$B$13="ДО",INDEX('Замеры ДО'!$M$1:$M$382,7+('Ввод'!$B$29-1)*21+13),INDEX('Замеры ЦЕЛЬ'!$M$1:$M$382,7+('Ввод'!$B$29-1)*21+13)),"")</f>
        <v>10.8</v>
      </c>
      <c r="M16" s="13">
        <f>IF('Ввод'!$B$29&gt;0,IF('Ввод'!$B$13="ДО",INDEX('Замеры ДО'!$N$1:$N$382,7+('Ввод'!$B$29-1)*21+13),INDEX('Замеры ЦЕЛЬ'!$N$1:$N$382,7+('Ввод'!$B$29-1)*21+13)),"")</f>
        <v>10.2</v>
      </c>
      <c r="N16" s="13">
        <f>IF('Ввод'!$B$29&gt;0,IF('Ввод'!$B$13="ДО",INDEX('Замеры ДО'!$O$1:$O$382,7+('Ввод'!$B$29-1)*21+13),INDEX('Замеры ЦЕЛЬ'!$O$1:$O$382,7+('Ввод'!$B$29-1)*21+13)),"")</f>
        <v>10</v>
      </c>
      <c r="O16" s="13">
        <f>IF('Ввод'!$B$29&gt;0,IF('Ввод'!$B$13="ДО",INDEX('Замеры ДО'!$Q$1:$Q$382,7+('Ввод'!$B$29-1)*21+13),INDEX('Замеры ЦЕЛЬ'!$Q$1:$Q$382,7+('Ввод'!$B$29-1)*21+13)),"")</f>
        <v>1</v>
      </c>
      <c r="P16" s="13">
        <f>IF('Ввод'!$B$29&gt;0,IF('Ввод'!$B$13="ДО",INDEX('Замеры ДО'!$R$1:$R$382,7+('Ввод'!$B$29-1)*21+13),INDEX('Замеры ЦЕЛЬ'!$R$1:$R$382,7+('Ввод'!$B$29-1)*21+13)),"")</f>
        <v>0</v>
      </c>
      <c r="Q16" s="13">
        <f>IF('Ввод'!$B$29&gt;0,IF('Ввод'!$B$13="ДО",INDEX('Замеры ДО'!$S$1:$S$382,7+('Ввод'!$B$29-1)*21+13),INDEX('Замеры ЦЕЛЬ'!$S$1:$S$382,7+('Ввод'!$B$29-1)*21+13)),"")</f>
        <v>10</v>
      </c>
      <c r="R16" s="13">
        <f>IF('Ввод'!$B$29&gt;0,IF('Ввод'!$B$13="ДО",INDEX('Замеры ДО'!$T$1:$T$382,7+('Ввод'!$B$29-1)*21+13),INDEX('Замеры ЦЕЛЬ'!$T$1:$T$382,7+('Ввод'!$B$29-1)*21+13)),"")</f>
        <v>1</v>
      </c>
      <c r="S16" s="7" t="s">
        <v>383</v>
      </c>
    </row>
    <row r="17" spans="1:19" ht="46" customHeight="1">
      <c r="A17" s="5" t="s">
        <v>189</v>
      </c>
      <c r="B17" s="5" t="s">
        <v>204</v>
      </c>
      <c r="C17" s="5" t="s">
        <v>205</v>
      </c>
      <c r="D17" s="13">
        <f>IF('Ввод'!$B$29&gt;0,IF('Ввод'!$B$13="ДО",INDEX('Замеры ДО'!$E$1:$E$382,7+('Ввод'!$B$29-1)*21+14),INDEX('Замеры ЦЕЛЬ'!$E$1:$E$382,7+('Ввод'!$B$29-1)*21+14)),"")</f>
        <v>10.7</v>
      </c>
      <c r="E17" s="13">
        <f>IF('Ввод'!$B$29&gt;0,IF('Ввод'!$B$13="ДО",INDEX('Замеры ДО'!$F$1:$F$382,7+('Ввод'!$B$29-1)*21+14),INDEX('Замеры ЦЕЛЬ'!$F$1:$F$382,7+('Ввод'!$B$29-1)*21+14)),"")</f>
        <v>10.1</v>
      </c>
      <c r="F17" s="13">
        <f>IF('Ввод'!$B$29&gt;0,IF('Ввод'!$B$13="ДО",INDEX('Замеры ДО'!$G$1:$G$382,7+('Ввод'!$B$29-1)*21+14),INDEX('Замеры ЦЕЛЬ'!$G$1:$G$382,7+('Ввод'!$B$29-1)*21+14)),"")</f>
        <v>10.5</v>
      </c>
      <c r="G17" s="13">
        <f>IF('Ввод'!$B$29&gt;0,IF('Ввод'!$B$13="ДО",INDEX('Замеры ДО'!$H$1:$H$382,7+('Ввод'!$B$29-1)*21+14),INDEX('Замеры ЦЕЛЬ'!$H$1:$H$382,7+('Ввод'!$B$29-1)*21+14)),"")</f>
        <v>10</v>
      </c>
      <c r="H17" s="13">
        <f>IF('Ввод'!$B$29&gt;0,IF('Ввод'!$B$13="ДО",INDEX('Замеры ДО'!$I$1:$I$382,7+('Ввод'!$B$29-1)*21+14),INDEX('Замеры ЦЕЛЬ'!$I$1:$I$382,7+('Ввод'!$B$29-1)*21+14)),"")</f>
        <v>10.4</v>
      </c>
      <c r="I17" s="13">
        <f>IF('Ввод'!$B$29&gt;0,IF('Ввод'!$B$13="ДО",INDEX('Замеры ДО'!$J$1:$J$382,7+('Ввод'!$B$29-1)*21+14),INDEX('Замеры ЦЕЛЬ'!$J$1:$J$382,7+('Ввод'!$B$29-1)*21+14)),"")</f>
        <v>10.8</v>
      </c>
      <c r="J17" s="13">
        <f>IF('Ввод'!$B$29&gt;0,IF('Ввод'!$B$13="ДО",INDEX('Замеры ДО'!$K$1:$K$382,7+('Ввод'!$B$29-1)*21+14),INDEX('Замеры ЦЕЛЬ'!$K$1:$K$382,7+('Ввод'!$B$29-1)*21+14)),"")</f>
        <v>10.2</v>
      </c>
      <c r="K17" s="13">
        <f>IF('Ввод'!$B$29&gt;0,IF('Ввод'!$B$13="ДО",INDEX('Замеры ДО'!$L$1:$L$382,7+('Ввод'!$B$29-1)*21+14),INDEX('Замеры ЦЕЛЬ'!$L$1:$L$382,7+('Ввод'!$B$29-1)*21+14)),"")</f>
        <v>10.6</v>
      </c>
      <c r="L17" s="13">
        <f>IF('Ввод'!$B$29&gt;0,IF('Ввод'!$B$13="ДО",INDEX('Замеры ДО'!$M$1:$M$382,7+('Ввод'!$B$29-1)*21+14),INDEX('Замеры ЦЕЛЬ'!$M$1:$M$382,7+('Ввод'!$B$29-1)*21+14)),"")</f>
        <v>11</v>
      </c>
      <c r="M17" s="13">
        <f>IF('Ввод'!$B$29&gt;0,IF('Ввод'!$B$13="ДО",INDEX('Замеры ДО'!$N$1:$N$382,7+('Ввод'!$B$29-1)*21+14),INDEX('Замеры ЦЕЛЬ'!$N$1:$N$382,7+('Ввод'!$B$29-1)*21+14)),"")</f>
        <v>10.3</v>
      </c>
      <c r="N17" s="13">
        <f>IF('Ввод'!$B$29&gt;0,IF('Ввод'!$B$13="ДО",INDEX('Замеры ДО'!$O$1:$O$382,7+('Ввод'!$B$29-1)*21+14),INDEX('Замеры ЦЕЛЬ'!$O$1:$O$382,7+('Ввод'!$B$29-1)*21+14)),"")</f>
        <v>10</v>
      </c>
      <c r="O17" s="13">
        <f>IF('Ввод'!$B$29&gt;0,IF('Ввод'!$B$13="ДО",INDEX('Замеры ДО'!$Q$1:$Q$382,7+('Ввод'!$B$29-1)*21+14),INDEX('Замеры ЦЕЛЬ'!$Q$1:$Q$382,7+('Ввод'!$B$29-1)*21+14)),"")</f>
        <v>1</v>
      </c>
      <c r="P17" s="13">
        <f>IF('Ввод'!$B$29&gt;0,IF('Ввод'!$B$13="ДО",INDEX('Замеры ДО'!$R$1:$R$382,7+('Ввод'!$B$29-1)*21+14),INDEX('Замеры ЦЕЛЬ'!$R$1:$R$382,7+('Ввод'!$B$29-1)*21+14)),"")</f>
        <v>0</v>
      </c>
      <c r="Q17" s="13">
        <f>IF('Ввод'!$B$29&gt;0,IF('Ввод'!$B$13="ДО",INDEX('Замеры ДО'!$S$1:$S$382,7+('Ввод'!$B$29-1)*21+14),INDEX('Замеры ЦЕЛЬ'!$S$1:$S$382,7+('Ввод'!$B$29-1)*21+14)),"")</f>
        <v>10</v>
      </c>
      <c r="R17" s="13">
        <f>IF('Ввод'!$B$29&gt;0,IF('Ввод'!$B$13="ДО",INDEX('Замеры ДО'!$T$1:$T$382,7+('Ввод'!$B$29-1)*21+14),INDEX('Замеры ЦЕЛЬ'!$T$1:$T$382,7+('Ввод'!$B$29-1)*21+14)),"")</f>
        <v>1</v>
      </c>
      <c r="S17" s="7" t="s">
        <v>383</v>
      </c>
    </row>
    <row r="18" spans="1:19" ht="46" customHeight="1">
      <c r="A18" s="5" t="s">
        <v>189</v>
      </c>
      <c r="B18" s="5" t="s">
        <v>206</v>
      </c>
      <c r="C18" s="5" t="s">
        <v>208</v>
      </c>
      <c r="D18" s="13">
        <f>IF('Ввод'!$B$29&gt;0,IF('Ввод'!$B$13="ДО",INDEX('Замеры ДО'!$E$1:$E$382,7+('Ввод'!$B$29-1)*21+15),INDEX('Замеры ЦЕЛЬ'!$E$1:$E$382,7+('Ввод'!$B$29-1)*21+15)),"")</f>
        <v>12</v>
      </c>
      <c r="E18" s="13">
        <f>IF('Ввод'!$B$29&gt;0,IF('Ввод'!$B$13="ДО",INDEX('Замеры ДО'!$F$1:$F$382,7+('Ввод'!$B$29-1)*21+15),INDEX('Замеры ЦЕЛЬ'!$F$1:$F$382,7+('Ввод'!$B$29-1)*21+15)),"")</f>
        <v>12.48</v>
      </c>
      <c r="F18" s="13">
        <f>IF('Ввод'!$B$29&gt;0,IF('Ввод'!$B$13="ДО",INDEX('Замеры ДО'!$G$1:$G$382,7+('Ввод'!$B$29-1)*21+15),INDEX('Замеры ЦЕЛЬ'!$G$1:$G$382,7+('Ввод'!$B$29-1)*21+15)),"")</f>
        <v>12.96</v>
      </c>
      <c r="G18" s="13">
        <f>IF('Ввод'!$B$29&gt;0,IF('Ввод'!$B$13="ДО",INDEX('Замеры ДО'!$H$1:$H$382,7+('Ввод'!$B$29-1)*21+15),INDEX('Замеры ЦЕЛЬ'!$H$1:$H$382,7+('Ввод'!$B$29-1)*21+15)),"")</f>
        <v>12.24</v>
      </c>
      <c r="H18" s="13">
        <f>IF('Ввод'!$B$29&gt;0,IF('Ввод'!$B$13="ДО",INDEX('Замеры ДО'!$I$1:$I$382,7+('Ввод'!$B$29-1)*21+15),INDEX('Замеры ЦЕЛЬ'!$I$1:$I$382,7+('Ввод'!$B$29-1)*21+15)),"")</f>
        <v>12.72</v>
      </c>
      <c r="I18" s="13">
        <f>IF('Ввод'!$B$29&gt;0,IF('Ввод'!$B$13="ДО",INDEX('Замеры ДО'!$J$1:$J$382,7+('Ввод'!$B$29-1)*21+15),INDEX('Замеры ЦЕЛЬ'!$J$1:$J$382,7+('Ввод'!$B$29-1)*21+15)),"")</f>
        <v>13.2</v>
      </c>
      <c r="J18" s="13">
        <f>IF('Ввод'!$B$29&gt;0,IF('Ввод'!$B$13="ДО",INDEX('Замеры ДО'!$K$1:$K$382,7+('Ввод'!$B$29-1)*21+15),INDEX('Замеры ЦЕЛЬ'!$K$1:$K$382,7+('Ввод'!$B$29-1)*21+15)),"")</f>
        <v>12.36</v>
      </c>
      <c r="K18" s="13">
        <f>IF('Ввод'!$B$29&gt;0,IF('Ввод'!$B$13="ДО",INDEX('Замеры ДО'!$L$1:$L$382,7+('Ввод'!$B$29-1)*21+15),INDEX('Замеры ЦЕЛЬ'!$L$1:$L$382,7+('Ввод'!$B$29-1)*21+15)),"")</f>
        <v>12.84</v>
      </c>
      <c r="L18" s="13">
        <f>IF('Ввод'!$B$29&gt;0,IF('Ввод'!$B$13="ДО",INDEX('Замеры ДО'!$M$1:$M$382,7+('Ввод'!$B$29-1)*21+15),INDEX('Замеры ЦЕЛЬ'!$M$1:$M$382,7+('Ввод'!$B$29-1)*21+15)),"")</f>
        <v>12.12</v>
      </c>
      <c r="M18" s="13">
        <f>IF('Ввод'!$B$29&gt;0,IF('Ввод'!$B$13="ДО",INDEX('Замеры ДО'!$N$1:$N$382,7+('Ввод'!$B$29-1)*21+15),INDEX('Замеры ЦЕЛЬ'!$N$1:$N$382,7+('Ввод'!$B$29-1)*21+15)),"")</f>
        <v>12.6</v>
      </c>
      <c r="N18" s="13">
        <f>IF('Ввод'!$B$29&gt;0,IF('Ввод'!$B$13="ДО",INDEX('Замеры ДО'!$O$1:$O$382,7+('Ввод'!$B$29-1)*21+15),INDEX('Замеры ЦЕЛЬ'!$O$1:$O$382,7+('Ввод'!$B$29-1)*21+15)),"")</f>
        <v>12</v>
      </c>
      <c r="O18" s="13">
        <f>IF('Ввод'!$B$29&gt;0,IF('Ввод'!$B$13="ДО",INDEX('Замеры ДО'!$Q$1:$Q$382,7+('Ввод'!$B$29-1)*21+15),INDEX('Замеры ЦЕЛЬ'!$Q$1:$Q$382,7+('Ввод'!$B$29-1)*21+15)),"")</f>
        <v>1.2</v>
      </c>
      <c r="P18" s="13">
        <f>IF('Ввод'!$B$29&gt;0,IF('Ввод'!$B$13="ДО",INDEX('Замеры ДО'!$R$1:$R$382,7+('Ввод'!$B$29-1)*21+15),INDEX('Замеры ЦЕЛЬ'!$R$1:$R$382,7+('Ввод'!$B$29-1)*21+15)),"")</f>
        <v>0</v>
      </c>
      <c r="Q18" s="13">
        <f>IF('Ввод'!$B$29&gt;0,IF('Ввод'!$B$13="ДО",INDEX('Замеры ДО'!$S$1:$S$382,7+('Ввод'!$B$29-1)*21+15),INDEX('Замеры ЦЕЛЬ'!$S$1:$S$382,7+('Ввод'!$B$29-1)*21+15)),"")</f>
        <v>12</v>
      </c>
      <c r="R18" s="13">
        <f>IF('Ввод'!$B$29&gt;0,IF('Ввод'!$B$13="ДО",INDEX('Замеры ДО'!$T$1:$T$382,7+('Ввод'!$B$29-1)*21+15),INDEX('Замеры ЦЕЛЬ'!$T$1:$T$382,7+('Ввод'!$B$29-1)*21+15)),"")</f>
        <v>1.2</v>
      </c>
      <c r="S18" s="7" t="s">
        <v>383</v>
      </c>
    </row>
    <row r="20" spans="1:19" ht="23" customHeight="1">
      <c r="B20" s="4" t="s">
        <v>151</v>
      </c>
      <c r="N20" s="6">
        <f>IF(COUNT(N8:N18)=11,SUM(N8:N18),"")</f>
        <v>724</v>
      </c>
      <c r="O20" s="6">
        <f>IF(COUNT(O8:O18)=11,SUM(O8:O18),"")</f>
        <v>27.4</v>
      </c>
      <c r="P20" s="6">
        <f>IF(COUNT(P8:P18)=11,SUM(P8:P18),"")</f>
        <v>8.38000000000011</v>
      </c>
      <c r="Q20" s="6">
        <f>IF(COUNT(Q8:Q18)=11,SUM(Q8:Q18),"")</f>
        <v>732.38</v>
      </c>
      <c r="R20" s="6">
        <f>IF(COUNT(R8:R18)=11,SUM(R8:R18),"")</f>
        <v>19.0199999999999</v>
      </c>
    </row>
    <row r="22" spans="1:19" ht="23" customHeight="1">
      <c r="C22" s="5" t="s">
        <v>384</v>
      </c>
      <c r="D22" s="5"/>
      <c r="E22" s="5"/>
      <c r="F22" s="5"/>
      <c r="G22" s="5"/>
      <c r="H22" s="5"/>
      <c r="I22" s="5"/>
      <c r="J22" s="5"/>
      <c r="K22" s="5"/>
      <c r="L22" s="5"/>
      <c r="M22" s="5"/>
      <c r="N22" s="6">
        <f>IF('Ввод'!$B$29&gt;0,IF('Ввод'!$B$13="ДО",INDEX('Замеры ДО'!$O$1:$O$382,7+('Ввод'!$B$29-1)*21+17),INDEX('Замеры ЦЕЛЬ'!$O$1:$O$382,7+('Ввод'!$B$29-1)*21+17)),"")</f>
        <v>732.38</v>
      </c>
    </row>
    <row r="23" spans="1:19" ht="23" customHeight="1">
      <c r="C23" s="5" t="s">
        <v>385</v>
      </c>
      <c r="D23" s="5"/>
      <c r="E23" s="5"/>
      <c r="F23" s="5"/>
      <c r="G23" s="5"/>
      <c r="H23" s="5"/>
      <c r="I23" s="5"/>
      <c r="J23" s="5"/>
      <c r="K23" s="5"/>
      <c r="L23" s="5"/>
      <c r="M23" s="5"/>
      <c r="N23" s="6">
        <f>IF('Ввод'!$B$29&gt;0,IF('Ввод'!$B$13="ДО",INDEX('Замеры ДО'!$R$1:$R$382,7+('Ввод'!$B$29-1)*21+17),INDEX('Замеры ЦЕЛЬ'!$R$1:$R$382,7+('Ввод'!$B$29-1)*21+17)),"")</f>
        <v>8.38000000000011</v>
      </c>
    </row>
    <row r="24" spans="1:19" ht="23" customHeight="1">
      <c r="C24" s="5" t="s">
        <v>386</v>
      </c>
      <c r="D24" s="5"/>
      <c r="E24" s="5"/>
      <c r="F24" s="5"/>
      <c r="G24" s="5"/>
      <c r="H24" s="5"/>
      <c r="I24" s="5"/>
      <c r="J24" s="5"/>
      <c r="K24" s="5"/>
      <c r="L24" s="5"/>
      <c r="M24" s="5"/>
      <c r="N24" s="6">
        <f>IF('Ввод'!$B$29&gt;0,IF('Ввод'!$B$13="ДО",INDEX('Замеры ДО'!$S$1:$S$382,7+('Ввод'!$B$29-1)*21+17),INDEX('Замеры ЦЕЛЬ'!$S$1:$S$382,7+('Ввод'!$B$29-1)*21+17)),"")</f>
        <v>23</v>
      </c>
    </row>
    <row r="25" spans="1:19" ht="23" customHeight="1">
      <c r="C25" s="5" t="s">
        <v>387</v>
      </c>
      <c r="D25" s="5"/>
      <c r="E25" s="5"/>
      <c r="F25" s="5"/>
      <c r="G25" s="5"/>
      <c r="H25" s="5"/>
      <c r="I25" s="5"/>
      <c r="J25" s="5"/>
      <c r="K25" s="5"/>
      <c r="L25" s="5"/>
      <c r="M25" s="5"/>
      <c r="N25" s="6">
        <f>IF('Ввод'!$B$29&gt;0,IF('Ввод'!$B$13="ДО",INDEX('Замеры ДО'!$V$1:$V$382,7+('Ввод'!$B$29-1)*21+17),INDEX('Замеры ЦЕЛЬ'!$V$1:$V$382,7+('Ввод'!$B$29-1)*21+17)),"")</f>
        <v>0</v>
      </c>
    </row>
    <row r="27" spans="1:19" ht="23" customHeight="1">
      <c r="A27" s="7" t="s">
        <v>388</v>
      </c>
      <c r="B27" s="7"/>
      <c r="C27" s="7"/>
      <c r="D27" s="7"/>
      <c r="E27" s="7"/>
      <c r="F27" s="7"/>
      <c r="G27" s="7"/>
      <c r="H27" s="7"/>
      <c r="I27" s="7"/>
      <c r="J27" s="7"/>
      <c r="K27" s="7"/>
      <c r="L27" s="7"/>
      <c r="M27" s="7"/>
      <c r="N27" s="7"/>
      <c r="O27" s="7"/>
      <c r="P27" s="7"/>
      <c r="Q27" s="7"/>
      <c r="R27" s="7"/>
      <c r="S27" s="7"/>
    </row>
    <row r="28" spans="1:19" ht="23" customHeight="1">
      <c r="A28" s="7"/>
      <c r="B28" s="7"/>
      <c r="C28" s="7"/>
      <c r="D28" s="7"/>
      <c r="E28" s="7"/>
      <c r="F28" s="7"/>
      <c r="G28" s="7"/>
      <c r="H28" s="7"/>
      <c r="I28" s="7"/>
      <c r="J28" s="7"/>
      <c r="K28" s="7"/>
      <c r="L28" s="7"/>
      <c r="M28" s="7"/>
      <c r="N28" s="7"/>
      <c r="O28" s="7"/>
      <c r="P28" s="7"/>
      <c r="Q28" s="7"/>
      <c r="R28" s="7"/>
      <c r="S28" s="7"/>
    </row>
    <row r="29" spans="1:19" ht="23" customHeight="1">
      <c r="A29" s="7"/>
      <c r="B29" s="7"/>
      <c r="C29" s="7"/>
      <c r="D29" s="7"/>
      <c r="E29" s="7"/>
      <c r="F29" s="7"/>
      <c r="G29" s="7"/>
      <c r="H29" s="7"/>
      <c r="I29" s="7"/>
      <c r="J29" s="7"/>
      <c r="K29" s="7"/>
      <c r="L29" s="7"/>
      <c r="M29" s="7"/>
      <c r="N29" s="7"/>
      <c r="O29" s="7"/>
      <c r="P29" s="7"/>
      <c r="Q29" s="7"/>
      <c r="R29" s="7"/>
      <c r="S29" s="7"/>
    </row>
  </sheetData>
  <sheetProtection sheet="1" objects="1" scenarios="1" sort="0" autoFilter="0"/>
  <mergeCells count="10">
    <mergeCell ref="A1:S1"/>
    <mergeCell ref="A2:S2"/>
    <mergeCell ref="B3:S3"/>
    <mergeCell ref="A4:S4"/>
    <mergeCell ref="A5:S5"/>
    <mergeCell ref="C22:M22"/>
    <mergeCell ref="C23:M23"/>
    <mergeCell ref="C24:M24"/>
    <mergeCell ref="C25:M25"/>
    <mergeCell ref="A27:S29"/>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&amp;LРучная работа&amp;RСтр. &amp;P / &amp;N</oddFooter>
  </headerFooter>
</worksheet>
</file>

<file path=xl/worksheets/sheet13.xml><?xml version="1.0" encoding="utf-8"?>
<worksheet xmlns="http://schemas.openxmlformats.org/spreadsheetml/2006/main" xmlns:r="http://schemas.openxmlformats.org/officeDocument/2006/relationships">
  <sheetPr>
    <tabColor rgb="FF147D92"/>
    <pageSetUpPr fitToPage="1"/>
  </sheetPr>
  <dimension ref="A1:J44"/>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7.7109375" customWidth="1"/>
    <col min="2" max="2" width="37.7109375" customWidth="1"/>
    <col min="3" max="6" width="13.7109375" customWidth="1"/>
    <col min="7" max="8" width="16.7109375" customWidth="1"/>
    <col min="9" max="10" width="33.7109375" customWidth="1"/>
  </cols>
  <sheetData>
    <row r="1" spans="1:10" ht="35" customHeight="1">
      <c r="A1" s="1" t="s">
        <v>389</v>
      </c>
      <c r="B1" s="1"/>
      <c r="C1" s="1"/>
      <c r="D1" s="1"/>
      <c r="E1" s="1"/>
      <c r="F1" s="1"/>
      <c r="G1" s="1"/>
      <c r="H1" s="1"/>
      <c r="I1" s="1"/>
      <c r="J1" s="1"/>
    </row>
    <row r="2" spans="1:10" ht="31" customHeight="1">
      <c r="A2" s="2" t="s">
        <v>1</v>
      </c>
      <c r="B2" s="2"/>
      <c r="C2" s="2"/>
      <c r="D2" s="2"/>
      <c r="E2" s="2"/>
      <c r="F2" s="2"/>
      <c r="G2" s="2"/>
      <c r="H2" s="2"/>
      <c r="I2" s="2"/>
      <c r="J2" s="2"/>
    </row>
    <row r="3" spans="1:10" ht="23" customHeight="1">
      <c r="A3" s="3" t="s">
        <v>2</v>
      </c>
      <c r="B3" s="7" t="s">
        <v>3</v>
      </c>
      <c r="C3" s="7"/>
      <c r="D3" s="7"/>
      <c r="E3" s="7"/>
      <c r="F3" s="7"/>
      <c r="G3" s="7"/>
      <c r="H3" s="7"/>
      <c r="I3" s="7"/>
      <c r="J3" s="7"/>
    </row>
    <row r="4" spans="1:10"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c r="G4" s="4"/>
      <c r="H4" s="4"/>
      <c r="I4" s="4"/>
      <c r="J4" s="4"/>
    </row>
    <row r="5" spans="1:10"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c r="G5" s="7"/>
      <c r="H5" s="7"/>
      <c r="I5" s="7"/>
      <c r="J5" s="7"/>
    </row>
    <row r="7" spans="1:10" ht="44" customHeight="1">
      <c r="A7" s="8" t="s">
        <v>390</v>
      </c>
      <c r="B7" s="8" t="s">
        <v>391</v>
      </c>
      <c r="C7" s="8" t="s">
        <v>392</v>
      </c>
      <c r="D7" s="8" t="s">
        <v>393</v>
      </c>
      <c r="E7" s="8" t="s">
        <v>394</v>
      </c>
      <c r="F7" s="8" t="s">
        <v>395</v>
      </c>
      <c r="G7" s="8" t="s">
        <v>396</v>
      </c>
      <c r="H7" s="8" t="s">
        <v>397</v>
      </c>
      <c r="I7" s="8" t="s">
        <v>398</v>
      </c>
      <c r="J7" s="8" t="s">
        <v>399</v>
      </c>
    </row>
    <row r="8" spans="1:10" ht="56" customHeight="1">
      <c r="A8" s="5">
        <v>1</v>
      </c>
      <c r="B8" s="5" t="s">
        <v>400</v>
      </c>
      <c r="C8" s="12">
        <v>0</v>
      </c>
      <c r="D8" s="12">
        <v>0</v>
      </c>
      <c r="E8" s="12">
        <v>0</v>
      </c>
      <c r="F8" s="12">
        <v>0</v>
      </c>
      <c r="G8" s="13">
        <f>0</f>
        <v>0</v>
      </c>
      <c r="H8" s="13">
        <f>0</f>
        <v>0</v>
      </c>
      <c r="I8" s="5" t="s">
        <v>401</v>
      </c>
      <c r="J8" s="5" t="s">
        <v>402</v>
      </c>
    </row>
    <row r="9" spans="1:10" ht="56" customHeight="1">
      <c r="A9" s="5">
        <v>2</v>
      </c>
      <c r="B9" s="5" t="s">
        <v>403</v>
      </c>
      <c r="C9" s="12">
        <v>2</v>
      </c>
      <c r="D9" s="12">
        <v>0</v>
      </c>
      <c r="E9" s="12">
        <v>1</v>
      </c>
      <c r="F9" s="12">
        <v>0</v>
      </c>
      <c r="G9" s="13">
        <f>IF(COUNT(C8:D9)=4,SQRT((C9-C8)^2+(D9-D8)^2),"")</f>
        <v>2</v>
      </c>
      <c r="H9" s="13">
        <f>IF(COUNT(E8:F9)=4,SQRT((E9-E8)^2+(F9-F8)^2),"")</f>
        <v>1</v>
      </c>
      <c r="I9" s="5" t="s">
        <v>404</v>
      </c>
      <c r="J9" s="5" t="s">
        <v>405</v>
      </c>
    </row>
    <row r="10" spans="1:10" ht="56" customHeight="1">
      <c r="A10" s="5">
        <v>3</v>
      </c>
      <c r="B10" s="5" t="s">
        <v>406</v>
      </c>
      <c r="C10" s="12">
        <v>4</v>
      </c>
      <c r="D10" s="12">
        <v>0</v>
      </c>
      <c r="E10" s="12">
        <v>2</v>
      </c>
      <c r="F10" s="12">
        <v>0</v>
      </c>
      <c r="G10" s="13">
        <f>IF(COUNT(C9:D10)=4,SQRT((C10-C9)^2+(D10-D9)^2),"")</f>
        <v>2</v>
      </c>
      <c r="H10" s="13">
        <f>IF(COUNT(E9:F10)=4,SQRT((E10-E9)^2+(F10-F9)^2),"")</f>
        <v>1</v>
      </c>
      <c r="I10" s="5" t="s">
        <v>407</v>
      </c>
      <c r="J10" s="5" t="s">
        <v>408</v>
      </c>
    </row>
    <row r="11" spans="1:10" ht="56" customHeight="1">
      <c r="A11" s="5">
        <v>4</v>
      </c>
      <c r="B11" s="5" t="s">
        <v>409</v>
      </c>
      <c r="C11" s="12">
        <v>4</v>
      </c>
      <c r="D11" s="12">
        <v>3</v>
      </c>
      <c r="E11" s="12">
        <v>2</v>
      </c>
      <c r="F11" s="12">
        <v>2</v>
      </c>
      <c r="G11" s="13">
        <f>IF(COUNT(C10:D11)=4,SQRT((C11-C10)^2+(D11-D10)^2),"")</f>
        <v>3</v>
      </c>
      <c r="H11" s="13">
        <f>IF(COUNT(E10:F11)=4,SQRT((E11-E10)^2+(F11-F10)^2),"")</f>
        <v>2</v>
      </c>
      <c r="I11" s="5" t="s">
        <v>410</v>
      </c>
      <c r="J11" s="5" t="s">
        <v>402</v>
      </c>
    </row>
    <row r="12" spans="1:10" ht="56" customHeight="1">
      <c r="A12" s="5">
        <v>5</v>
      </c>
      <c r="B12" s="5" t="s">
        <v>411</v>
      </c>
      <c r="C12" s="12">
        <v>2</v>
      </c>
      <c r="D12" s="12">
        <v>3</v>
      </c>
      <c r="E12" s="12">
        <v>1</v>
      </c>
      <c r="F12" s="12">
        <v>2</v>
      </c>
      <c r="G12" s="13">
        <f>IF(COUNT(C11:D12)=4,SQRT((C12-C11)^2+(D12-D11)^2),"")</f>
        <v>2</v>
      </c>
      <c r="H12" s="13">
        <f>IF(COUNT(E11:F12)=4,SQRT((E12-E11)^2+(F12-F11)^2),"")</f>
        <v>1</v>
      </c>
      <c r="I12" s="5" t="s">
        <v>412</v>
      </c>
      <c r="J12" s="5" t="s">
        <v>402</v>
      </c>
    </row>
    <row r="13" spans="1:10" ht="56" customHeight="1">
      <c r="A13" s="5">
        <v>6</v>
      </c>
      <c r="B13" s="5" t="s">
        <v>413</v>
      </c>
      <c r="C13" s="12">
        <v>0</v>
      </c>
      <c r="D13" s="12">
        <v>0</v>
      </c>
      <c r="E13" s="12">
        <v>0</v>
      </c>
      <c r="F13" s="12">
        <v>0</v>
      </c>
      <c r="G13" s="13">
        <f>IF(COUNT(C12:D13)=4,SQRT((C13-C12)^2+(D13-D12)^2),"")</f>
        <v>3.60555127546399</v>
      </c>
      <c r="H13" s="13">
        <f>IF(COUNT(E12:F13)=4,SQRT((E13-E12)^2+(F13-F12)^2),"")</f>
        <v>2.23606797749979</v>
      </c>
      <c r="I13" s="5" t="s">
        <v>414</v>
      </c>
      <c r="J13" s="5" t="s">
        <v>415</v>
      </c>
    </row>
    <row r="15" spans="1:10" ht="23" customHeight="1">
      <c r="B15" s="4" t="s">
        <v>416</v>
      </c>
      <c r="G15" s="6">
        <f>IF(COUNT(G8:G13)=6,SUM(G8:G13),"")</f>
        <v>12.605551275464</v>
      </c>
      <c r="H15" s="6">
        <f>IF(COUNT(H8:H13)=6,SUM(H8:H13),"")</f>
        <v>7.23606797749979</v>
      </c>
    </row>
    <row r="34" spans="1:10" ht="23" customHeight="1">
      <c r="A34" s="2" t="s">
        <v>417</v>
      </c>
      <c r="B34" s="2"/>
      <c r="C34" s="2"/>
      <c r="D34" s="2"/>
      <c r="E34" s="2"/>
      <c r="F34" s="2"/>
      <c r="G34" s="2"/>
      <c r="H34" s="2"/>
      <c r="I34" s="2"/>
      <c r="J34" s="2"/>
    </row>
    <row r="35" spans="1:10" ht="23" customHeight="1">
      <c r="A35" s="2"/>
      <c r="B35" s="2"/>
      <c r="C35" s="2"/>
      <c r="D35" s="2"/>
      <c r="E35" s="2"/>
      <c r="F35" s="2"/>
      <c r="G35" s="2"/>
      <c r="H35" s="2"/>
      <c r="I35" s="2"/>
      <c r="J35" s="2"/>
    </row>
    <row r="36" spans="1:10" ht="23" customHeight="1">
      <c r="A36" s="2"/>
      <c r="B36" s="2"/>
      <c r="C36" s="2"/>
      <c r="D36" s="2"/>
      <c r="E36" s="2"/>
      <c r="F36" s="2"/>
      <c r="G36" s="2"/>
      <c r="H36" s="2"/>
      <c r="I36" s="2"/>
      <c r="J36" s="2"/>
    </row>
    <row r="38" spans="1:10" ht="23" customHeight="1">
      <c r="B38" s="5" t="s">
        <v>418</v>
      </c>
      <c r="G38" s="15">
        <f>IF('Ввод'!B28&gt;0,1,0)</f>
        <v>1</v>
      </c>
      <c r="H38" s="5" t="s">
        <v>419</v>
      </c>
    </row>
    <row r="39" spans="1:10" ht="23" customHeight="1">
      <c r="B39" s="5" t="s">
        <v>420</v>
      </c>
      <c r="G39" s="13">
        <f>IF('Ввод'!$B$29&gt;0,INDEX('Ассортимент'!$I$8:$I$25,'Ввод'!$B$29),"")</f>
        <v>1.5</v>
      </c>
      <c r="H39" s="5" t="s">
        <v>421</v>
      </c>
    </row>
    <row r="40" spans="1:10" ht="23" customHeight="1">
      <c r="B40" s="5" t="s">
        <v>422</v>
      </c>
      <c r="G40" s="18">
        <v>0</v>
      </c>
      <c r="H40" s="5" t="s">
        <v>354</v>
      </c>
    </row>
    <row r="42" spans="1:10" ht="23" customHeight="1">
      <c r="A42" s="7" t="s">
        <v>423</v>
      </c>
      <c r="B42" s="7"/>
      <c r="C42" s="7"/>
      <c r="D42" s="7"/>
      <c r="E42" s="7"/>
      <c r="F42" s="7"/>
      <c r="G42" s="7"/>
      <c r="H42" s="7"/>
      <c r="I42" s="7"/>
      <c r="J42" s="7"/>
    </row>
    <row r="43" spans="1:10" ht="23" customHeight="1">
      <c r="A43" s="7"/>
      <c r="B43" s="7"/>
      <c r="C43" s="7"/>
      <c r="D43" s="7"/>
      <c r="E43" s="7"/>
      <c r="F43" s="7"/>
      <c r="G43" s="7"/>
      <c r="H43" s="7"/>
      <c r="I43" s="7"/>
      <c r="J43" s="7"/>
    </row>
    <row r="44" spans="1:10" ht="23" customHeight="1">
      <c r="A44" s="7"/>
      <c r="B44" s="7"/>
      <c r="C44" s="7"/>
      <c r="D44" s="7"/>
      <c r="E44" s="7"/>
      <c r="F44" s="7"/>
      <c r="G44" s="7"/>
      <c r="H44" s="7"/>
      <c r="I44" s="7"/>
      <c r="J44" s="7"/>
    </row>
  </sheetData>
  <sheetProtection sheet="1" objects="1" scenarios="1" sort="0" autoFilter="0"/>
  <mergeCells count="7">
    <mergeCell ref="A1:J1"/>
    <mergeCell ref="A2:J2"/>
    <mergeCell ref="B3:J3"/>
    <mergeCell ref="A4:J4"/>
    <mergeCell ref="A5:J5"/>
    <mergeCell ref="A34:J36"/>
    <mergeCell ref="A42:J44"/>
  </mergeCells>
  <dataValidations count="24">
    <dataValidation type="decimal" allowBlank="1" showInputMessage="1" showErrorMessage="1" errorTitle="Проверьте ввод" error="Введите значение в допустимых пределах. См. примечание к ячейке." sqref="C8">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8">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8">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8">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C9">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9">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9">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9">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C10">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10">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10">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10">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C11">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11">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11">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11">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C12">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12">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12">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12">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C13">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D13">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E13">
      <formula1>-1000</formula1>
      <formula2>1000</formula2>
    </dataValidation>
    <dataValidation type="decimal" allowBlank="1" showInputMessage="1" showErrorMessage="1" errorTitle="Проверьте ввод" error="Введите значение в допустимых пределах. См. примечание к ячейке." sqref="F13">
      <formula1>-1000</formula1>
      <formula2>1000</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&amp;LКарта СР&amp;RСтр. &amp;P / &amp;N</oddFooter>
  </headerFooter>
  <drawing r:id="rId1"/>
  <legacyDrawing r:id="rId2"/>
</worksheet>
</file>

<file path=xl/worksheets/sheet14.xml><?xml version="1.0" encoding="utf-8"?>
<worksheet xmlns="http://schemas.openxmlformats.org/spreadsheetml/2006/main" xmlns:r="http://schemas.openxmlformats.org/officeDocument/2006/relationships">
  <sheetPr>
    <tabColor rgb="FF147D92"/>
    <pageSetUpPr fitToPage="1"/>
  </sheetPr>
  <dimension ref="A1:V39"/>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29.7109375" customWidth="1"/>
    <col min="3" max="3" width="14.7109375" customWidth="1"/>
    <col min="4" max="17" width="13.7109375" customWidth="1"/>
    <col min="18" max="18" width="35.7109375" customWidth="1"/>
    <col min="19" max="26" width="0" hidden="1" customWidth="1"/>
  </cols>
  <sheetData>
    <row r="1" spans="1:22" ht="35" customHeight="1">
      <c r="A1" s="1" t="s">
        <v>424</v>
      </c>
      <c r="B1" s="1"/>
      <c r="C1" s="1"/>
      <c r="D1" s="1"/>
      <c r="E1" s="1"/>
      <c r="F1" s="1"/>
      <c r="G1" s="1"/>
      <c r="H1" s="1"/>
      <c r="I1" s="1"/>
      <c r="J1" s="1"/>
      <c r="K1" s="1"/>
      <c r="L1" s="1"/>
      <c r="M1" s="1"/>
      <c r="N1" s="1"/>
      <c r="O1" s="1"/>
      <c r="P1" s="1"/>
      <c r="Q1" s="1"/>
      <c r="R1" s="1"/>
    </row>
    <row r="2" spans="1:22" ht="31" customHeight="1">
      <c r="A2" s="2" t="s">
        <v>1</v>
      </c>
      <c r="B2" s="2"/>
      <c r="C2" s="2"/>
      <c r="D2" s="2"/>
      <c r="E2" s="2"/>
      <c r="F2" s="2"/>
      <c r="G2" s="2"/>
      <c r="H2" s="2"/>
      <c r="I2" s="2"/>
      <c r="J2" s="2"/>
      <c r="K2" s="2"/>
      <c r="L2" s="2"/>
      <c r="M2" s="2"/>
      <c r="N2" s="2"/>
      <c r="O2" s="2"/>
      <c r="P2" s="2"/>
      <c r="Q2" s="2"/>
      <c r="R2" s="2"/>
    </row>
    <row r="3" spans="1:22" ht="23" customHeight="1">
      <c r="A3" s="3" t="s">
        <v>2</v>
      </c>
      <c r="B3" s="7" t="s">
        <v>3</v>
      </c>
      <c r="C3" s="7"/>
      <c r="D3" s="7"/>
      <c r="E3" s="7"/>
      <c r="F3" s="7"/>
      <c r="G3" s="7"/>
      <c r="H3" s="7"/>
      <c r="I3" s="7"/>
      <c r="J3" s="7"/>
      <c r="K3" s="7"/>
      <c r="L3" s="7"/>
      <c r="M3" s="7"/>
      <c r="N3" s="7"/>
      <c r="O3" s="7"/>
      <c r="P3" s="7"/>
      <c r="Q3" s="7"/>
      <c r="R3" s="7"/>
    </row>
    <row r="5" spans="1:22" ht="23" customHeight="1">
      <c r="A5" s="4" t="s">
        <v>425</v>
      </c>
      <c r="B5" s="4"/>
      <c r="C5" s="4"/>
      <c r="D5" s="4"/>
      <c r="E5" s="4"/>
      <c r="F5" s="4"/>
      <c r="G5" s="4"/>
      <c r="H5" s="4"/>
      <c r="I5" s="4"/>
      <c r="J5" s="4"/>
      <c r="K5" s="4"/>
      <c r="L5" s="4"/>
      <c r="M5" s="4"/>
      <c r="N5" s="4"/>
      <c r="O5" s="4"/>
      <c r="P5" s="4"/>
      <c r="Q5" s="4"/>
      <c r="R5" s="4"/>
    </row>
    <row r="7" spans="1:22" ht="44" customHeight="1">
      <c r="A7" s="8" t="s">
        <v>113</v>
      </c>
      <c r="B7" s="8" t="s">
        <v>426</v>
      </c>
      <c r="C7" s="8" t="s">
        <v>427</v>
      </c>
      <c r="D7" s="8" t="s">
        <v>428</v>
      </c>
      <c r="E7" s="8" t="s">
        <v>429</v>
      </c>
      <c r="F7" s="8" t="s">
        <v>430</v>
      </c>
      <c r="G7" s="8" t="s">
        <v>431</v>
      </c>
      <c r="H7" s="8" t="s">
        <v>432</v>
      </c>
      <c r="I7" s="8" t="s">
        <v>433</v>
      </c>
      <c r="J7" s="8" t="s">
        <v>434</v>
      </c>
      <c r="K7" s="8" t="s">
        <v>435</v>
      </c>
      <c r="L7" s="8" t="s">
        <v>436</v>
      </c>
      <c r="M7" s="8" t="s">
        <v>437</v>
      </c>
      <c r="N7" s="8" t="s">
        <v>438</v>
      </c>
      <c r="O7" s="8" t="s">
        <v>439</v>
      </c>
      <c r="P7" s="8" t="s">
        <v>440</v>
      </c>
      <c r="Q7" s="8" t="s">
        <v>441</v>
      </c>
      <c r="R7" s="8" t="s">
        <v>442</v>
      </c>
    </row>
    <row r="8" spans="1:22" ht="54" customHeight="1">
      <c r="A8" s="5">
        <v>1</v>
      </c>
      <c r="B8" s="5" t="s">
        <v>24</v>
      </c>
      <c r="C8" s="11" t="s">
        <v>443</v>
      </c>
      <c r="D8" s="13">
        <f>IF(COUNT('Замеры ДО'!S16,'Замеры ДО'!S18)=2,'Замеры ДО'!S16+'Замеры ДО'!S18,"")</f>
        <v>67.3682608695652</v>
      </c>
      <c r="E8" s="13">
        <f>'Ассортимент'!R8</f>
        <v>450</v>
      </c>
      <c r="F8" s="13">
        <f>IF(COUNT(D8:E8)=2,D8+E8,"")</f>
        <v>517.368260869565</v>
      </c>
      <c r="G8" s="13">
        <f>'Ввод'!B24</f>
        <v>4</v>
      </c>
      <c r="H8" s="13">
        <f>IF(COUNT('Периодическая работа'!H8:H12)=5,SUM('Периодическая работа'!H8:H12),"")</f>
        <v>915</v>
      </c>
      <c r="I8" s="15">
        <f>IF(AND(ISNUMBER('Ввод'!B27),'Ввод'!B27&gt;0,ISNUMBER(F8),F8&gt;0,ISNUMBER(H8),H8&gt;0,ISNUMBER('Ввод'!B25)),MAX(0,4*S8+MAX(0,MIN(3,INT((T8-IF('Ввод'!B26=1,H8,0))/F8)))-'Ввод'!B25),"")</f>
        <v>32</v>
      </c>
      <c r="J8" s="13">
        <f>'Расчет ЦЕЛЬ'!R8</f>
        <v>508.537285974499</v>
      </c>
      <c r="K8" s="15">
        <f>IF(AND(ISNUMBER('Ввод'!B27),'Ввод'!B27&gt;0,ISNUMBER(J8),J8&gt;0,ISNUMBER(H8),H8&gt;0,ISNUMBER('Ввод'!B25)),MAX(0,4*U8+MAX(0,MIN(3,INT((V8-IF('Ввод'!B26=1,H8,0))/J8)))-'Ввод'!B25),"")</f>
        <v>32</v>
      </c>
      <c r="L8" s="13">
        <f>'Ассортимент'!O8</f>
        <v>2</v>
      </c>
      <c r="M8" s="13">
        <f>IF(AND(ISNUMBER(L8),ISNUMBER('Ввод'!B28),'Ввод'!B28&gt;0,ISNUMBER(F8),ISNUMBER(J8)),L8*F8+L8/'Ввод'!B28*SUM('Периодическая работа'!P8:P12),IF(L8=0,0,""))</f>
        <v>1492.23652173913</v>
      </c>
      <c r="N8" s="13">
        <f>IF(AND(ISNUMBER(L8),ISNUMBER('Ввод'!B28),'Ввод'!B28&gt;0,ISNUMBER(F8),ISNUMBER(J8)),L8*J8+L8/'Ввод'!B28*SUM('Периодическая работа'!Q8:Q12),IF(L8=0,0,""))</f>
        <v>1474.574571949</v>
      </c>
      <c r="O8" s="16">
        <f>IF(AND(ISNUMBER('Ввод'!B27),'Ввод'!B27&gt;0,ISNUMBER(M8)),M8/'Ввод'!B27,"")</f>
        <v>0.0606600212089077</v>
      </c>
      <c r="P8" s="16">
        <f>IF(AND(ISNUMBER('Ввод'!B27),'Ввод'!B27&gt;0,ISNUMBER(N8)),N8/'Ввод'!B27,"")</f>
        <v>0.0599420557702845</v>
      </c>
      <c r="Q8" s="16">
        <f>IF(AND(ISNUMBER(I8),I8&gt;0,ISNUMBER(L8)),L8/I8,"")</f>
        <v>0.0625</v>
      </c>
      <c r="R8" s="7" t="s">
        <v>444</v>
      </c>
      <c r="S8" s="13">
        <f>IF(AND(ISNUMBER('Ввод'!B27),'Ввод'!B27&gt;0,ISNUMBER(F8),F8&gt;0,ISNUMBER(H8),H8&gt;0,ISNUMBER('Ввод'!B25)),INT(('Ввод'!B27+'Ввод'!B25*F8)/(4*F8+H8)),"")</f>
        <v>8</v>
      </c>
      <c r="T8" s="13">
        <f>IF(ISNUMBER(S8),'Ввод'!B27+'Ввод'!B25*F8-S8*(4*F8+H8),"")</f>
        <v>724.215652173913</v>
      </c>
      <c r="U8" s="13">
        <f>IF(AND(ISNUMBER('Ввод'!B27),'Ввод'!B27&gt;0,ISNUMBER(J8),J8&gt;0,ISNUMBER(H8),H8&gt;0,ISNUMBER('Ввод'!B25)),INT(('Ввод'!B27+'Ввод'!B25*J8)/(4*J8+H8)),"")</f>
        <v>8</v>
      </c>
      <c r="V8" s="13">
        <f>IF(ISNUMBER(U8),'Ввод'!B27+'Ввод'!B25*J8-U8*(4*J8+H8),"")</f>
        <v>1006.80684881603</v>
      </c>
    </row>
    <row r="9" spans="1:22" ht="54" customHeight="1">
      <c r="A9" s="5">
        <v>2</v>
      </c>
      <c r="B9" s="5" t="s">
        <v>133</v>
      </c>
      <c r="C9" s="11" t="s">
        <v>443</v>
      </c>
      <c r="D9" s="13">
        <f>IF(COUNT('Замеры ДО'!S37,'Замеры ДО'!S39)=2,'Замеры ДО'!S37+'Замеры ДО'!S39,"")</f>
        <v>67.32375</v>
      </c>
      <c r="E9" s="13">
        <f>'Ассортимент'!R9</f>
        <v>450</v>
      </c>
      <c r="F9" s="13">
        <f>IF(COUNT(D9:E9)=2,D9+E9,"")</f>
        <v>517.32375</v>
      </c>
      <c r="G9" s="13">
        <f>'Ввод'!B24</f>
        <v>4</v>
      </c>
      <c r="H9" s="13">
        <f>IF(COUNT('Периодическая работа'!H8:H12)=5,SUM('Периодическая работа'!H8:H12),"")</f>
        <v>915</v>
      </c>
      <c r="I9" s="15">
        <f>IF(AND(ISNUMBER('Ввод'!B27),'Ввод'!B27&gt;0,ISNUMBER(F9),F9&gt;0,ISNUMBER(H9),H9&gt;0,ISNUMBER('Ввод'!B25)),MAX(0,4*S9+MAX(0,MIN(3,INT((T9-IF('Ввод'!B26=1,H9,0))/F9)))-'Ввод'!B25),"")</f>
        <v>32</v>
      </c>
      <c r="J9" s="13">
        <f>'Расчет ЦЕЛЬ'!R9</f>
        <v>508.508919860627</v>
      </c>
      <c r="K9" s="15">
        <f>IF(AND(ISNUMBER('Ввод'!B27),'Ввод'!B27&gt;0,ISNUMBER(J9),J9&gt;0,ISNUMBER(H9),H9&gt;0,ISNUMBER('Ввод'!B25)),MAX(0,4*U9+MAX(0,MIN(3,INT((V9-IF('Ввод'!B26=1,H9,0))/J9)))-'Ввод'!B25),"")</f>
        <v>32</v>
      </c>
      <c r="L9" s="13">
        <f>'Ассортимент'!O9</f>
        <v>1</v>
      </c>
      <c r="M9" s="13">
        <f>IF(AND(ISNUMBER(L9),ISNUMBER('Ввод'!B28),'Ввод'!B28&gt;0,ISNUMBER(F9),ISNUMBER(J9)),L9*F9+L9/'Ввод'!B28*SUM('Периодическая работа'!P8:P12),IF(L9=0,0,""))</f>
        <v>746.07375</v>
      </c>
      <c r="N9" s="13">
        <f>IF(AND(ISNUMBER(L9),ISNUMBER('Ввод'!B28),'Ввод'!B28&gt;0,ISNUMBER(F9),ISNUMBER(J9)),L9*J9+L9/'Ввод'!B28*SUM('Периодическая работа'!Q8:Q12),IF(L9=0,0,""))</f>
        <v>737.258919860627</v>
      </c>
      <c r="O9" s="16">
        <f>IF(AND(ISNUMBER('Ввод'!B27),'Ввод'!B27&gt;0,ISNUMBER(M9)),M9/'Ввод'!B27,"")</f>
        <v>0.0303282012195122</v>
      </c>
      <c r="P9" s="16">
        <f>IF(AND(ISNUMBER('Ввод'!B27),'Ввод'!B27&gt;0,ISNUMBER(N9)),N9/'Ввод'!B27,"")</f>
        <v>0.0299698747910824</v>
      </c>
      <c r="Q9" s="16">
        <f>IF(AND(ISNUMBER(I9),I9&gt;0,ISNUMBER(L9)),L9/I9,"")</f>
        <v>0.03125</v>
      </c>
      <c r="R9" s="7" t="s">
        <v>444</v>
      </c>
      <c r="S9" s="13">
        <f>IF(AND(ISNUMBER('Ввод'!B27),'Ввод'!B27&gt;0,ISNUMBER(F9),F9&gt;0,ISNUMBER(H9),H9&gt;0,ISNUMBER('Ввод'!B25)),INT(('Ввод'!B27+'Ввод'!B25*F9)/(4*F9+H9)),"")</f>
        <v>8</v>
      </c>
      <c r="T9" s="13">
        <f>IF(ISNUMBER(S9),'Ввод'!B27+'Ввод'!B25*F9-S9*(4*F9+H9),"")</f>
        <v>725.639999999999</v>
      </c>
      <c r="U9" s="13">
        <f>IF(AND(ISNUMBER('Ввод'!B27),'Ввод'!B27&gt;0,ISNUMBER(J9),J9&gt;0,ISNUMBER(H9),H9&gt;0,ISNUMBER('Ввод'!B25)),INT(('Ввод'!B27+'Ввод'!B25*J9)/(4*J9+H9)),"")</f>
        <v>8</v>
      </c>
      <c r="V9" s="13">
        <f>IF(ISNUMBER(U9),'Ввод'!B27+'Ввод'!B25*J9-U9*(4*J9+H9),"")</f>
        <v>1007.71456445993</v>
      </c>
    </row>
    <row r="10" spans="1:22" ht="54" customHeight="1">
      <c r="A10" s="5">
        <v>3</v>
      </c>
      <c r="B10" s="5" t="s">
        <v>134</v>
      </c>
      <c r="C10" s="11" t="s">
        <v>443</v>
      </c>
      <c r="D10" s="13">
        <f>IF(COUNT('Замеры ДО'!S58,'Замеры ДО'!S60)=2,'Замеры ДО'!S58+'Замеры ДО'!S60,"")</f>
        <v>67.2828</v>
      </c>
      <c r="E10" s="13">
        <f>'Ассортимент'!R10</f>
        <v>450</v>
      </c>
      <c r="F10" s="13">
        <f>IF(COUNT(D10:E10)=2,D10+E10,"")</f>
        <v>517.2828</v>
      </c>
      <c r="G10" s="13">
        <f>'Ввод'!B24</f>
        <v>4</v>
      </c>
      <c r="H10" s="13">
        <f>IF(COUNT('Периодическая работа'!H8:H12)=5,SUM('Периодическая работа'!H8:H12),"")</f>
        <v>915</v>
      </c>
      <c r="I10" s="15">
        <f>IF(AND(ISNUMBER('Ввод'!B27),'Ввод'!B27&gt;0,ISNUMBER(F10),F10&gt;0,ISNUMBER(H10),H10&gt;0,ISNUMBER('Ввод'!B25)),MAX(0,4*S10+MAX(0,MIN(3,INT((T10-IF('Ввод'!B26=1,H10,0))/F10)))-'Ввод'!B25),"")</f>
        <v>32</v>
      </c>
      <c r="J10" s="13">
        <f>'Расчет ЦЕЛЬ'!R10</f>
        <v>508.456844741235</v>
      </c>
      <c r="K10" s="15">
        <f>IF(AND(ISNUMBER('Ввод'!B27),'Ввод'!B27&gt;0,ISNUMBER(J10),J10&gt;0,ISNUMBER(H10),H10&gt;0,ISNUMBER('Ввод'!B25)),MAX(0,4*U10+MAX(0,MIN(3,INT((V10-IF('Ввод'!B26=1,H10,0))/J10)))-'Ввод'!B25),"")</f>
        <v>32</v>
      </c>
      <c r="L10" s="13">
        <f>'Ассортимент'!O10</f>
        <v>1</v>
      </c>
      <c r="M10" s="13">
        <f>IF(AND(ISNUMBER(L10),ISNUMBER('Ввод'!B28),'Ввод'!B28&gt;0,ISNUMBER(F10),ISNUMBER(J10)),L10*F10+L10/'Ввод'!B28*SUM('Периодическая работа'!P8:P12),IF(L10=0,0,""))</f>
        <v>746.0328</v>
      </c>
      <c r="N10" s="13">
        <f>IF(AND(ISNUMBER(L10),ISNUMBER('Ввод'!B28),'Ввод'!B28&gt;0,ISNUMBER(F10),ISNUMBER(J10)),L10*J10+L10/'Ввод'!B28*SUM('Периодическая работа'!Q8:Q12),IF(L10=0,0,""))</f>
        <v>737.206844741235</v>
      </c>
      <c r="O10" s="16">
        <f>IF(AND(ISNUMBER('Ввод'!B27),'Ввод'!B27&gt;0,ISNUMBER(M10)),M10/'Ввод'!B27,"")</f>
        <v>0.0303265365853659</v>
      </c>
      <c r="P10" s="16">
        <f>IF(AND(ISNUMBER('Ввод'!B27),'Ввод'!B27&gt;0,ISNUMBER(N10)),N10/'Ввод'!B27,"")</f>
        <v>0.0299677579163104</v>
      </c>
      <c r="Q10" s="16">
        <f>IF(AND(ISNUMBER(I10),I10&gt;0,ISNUMBER(L10)),L10/I10,"")</f>
        <v>0.03125</v>
      </c>
      <c r="R10" s="7" t="s">
        <v>444</v>
      </c>
      <c r="S10" s="13">
        <f>IF(AND(ISNUMBER('Ввод'!B27),'Ввод'!B27&gt;0,ISNUMBER(F10),F10&gt;0,ISNUMBER(H10),H10&gt;0,ISNUMBER('Ввод'!B25)),INT(('Ввод'!B27+'Ввод'!B25*F10)/(4*F10+H10)),"")</f>
        <v>8</v>
      </c>
      <c r="T10" s="13">
        <f>IF(ISNUMBER(S10),'Ввод'!B27+'Ввод'!B25*F10-S10*(4*F10+H10),"")</f>
        <v>726.950399999998</v>
      </c>
      <c r="U10" s="13">
        <f>IF(AND(ISNUMBER('Ввод'!B27),'Ввод'!B27&gt;0,ISNUMBER(J10),J10&gt;0,ISNUMBER(H10),H10&gt;0,ISNUMBER('Ввод'!B25)),INT(('Ввод'!B27+'Ввод'!B25*J10)/(4*J10+H10)),"")</f>
        <v>8</v>
      </c>
      <c r="V10" s="13">
        <f>IF(ISNUMBER(U10),'Ввод'!B27+'Ввод'!B25*J10-U10*(4*J10+H10),"")</f>
        <v>1009.38096828047</v>
      </c>
    </row>
    <row r="11" spans="1:22" ht="54" customHeight="1">
      <c r="A11" s="5">
        <v>4</v>
      </c>
      <c r="B11" s="5" t="s">
        <v>135</v>
      </c>
      <c r="C11" s="11" t="s">
        <v>443</v>
      </c>
      <c r="D11" s="13">
        <f>IF(COUNT('Замеры ДО'!S79,'Замеры ДО'!S81)=2,'Замеры ДО'!S79+'Замеры ДО'!S81,"")</f>
        <v>67.7890909090909</v>
      </c>
      <c r="E11" s="13">
        <f>'Ассортимент'!R11</f>
        <v>180</v>
      </c>
      <c r="F11" s="13">
        <f>IF(COUNT(D11:E11)=2,D11+E11,"")</f>
        <v>247.789090909091</v>
      </c>
      <c r="G11" s="13">
        <f>'Ввод'!B24</f>
        <v>4</v>
      </c>
      <c r="H11" s="13">
        <f>IF(COUNT('Периодическая работа'!H8:H12)=5,SUM('Периодическая работа'!H8:H12),"")</f>
        <v>915</v>
      </c>
      <c r="I11" s="15">
        <f>IF(AND(ISNUMBER('Ввод'!B27),'Ввод'!B27&gt;0,ISNUMBER(F11),F11&gt;0,ISNUMBER(H11),H11&gt;0,ISNUMBER('Ввод'!B25)),MAX(0,4*S11+MAX(0,MIN(3,INT((T11-IF('Ввод'!B26=1,H11,0))/F11)))-'Ввод'!B25),"")</f>
        <v>51</v>
      </c>
      <c r="J11" s="13">
        <f>'Расчет ЦЕЛЬ'!R11</f>
        <v>238.811112548512</v>
      </c>
      <c r="K11" s="15">
        <f>IF(AND(ISNUMBER('Ввод'!B27),'Ввод'!B27&gt;0,ISNUMBER(J11),J11&gt;0,ISNUMBER(H11),H11&gt;0,ISNUMBER('Ввод'!B25)),MAX(0,4*U11+MAX(0,MIN(3,INT((V11-IF('Ввод'!B26=1,H11,0))/J11)))-'Ввод'!B25),"")</f>
        <v>52</v>
      </c>
      <c r="L11" s="13">
        <f>'Ассортимент'!O11</f>
        <v>5</v>
      </c>
      <c r="M11" s="13">
        <f>IF(AND(ISNUMBER(L11),ISNUMBER('Ввод'!B28),'Ввод'!B28&gt;0,ISNUMBER(F11),ISNUMBER(J11)),L11*F11+L11/'Ввод'!B28*SUM('Периодическая работа'!P8:P12),IF(L11=0,0,""))</f>
        <v>2382.69545454545</v>
      </c>
      <c r="N11" s="13">
        <f>IF(AND(ISNUMBER(L11),ISNUMBER('Ввод'!B28),'Ввод'!B28&gt;0,ISNUMBER(F11),ISNUMBER(J11)),L11*J11+L11/'Ввод'!B28*SUM('Периодическая работа'!Q8:Q12),IF(L11=0,0,""))</f>
        <v>2337.80556274256</v>
      </c>
      <c r="O11" s="16">
        <f>IF(AND(ISNUMBER('Ввод'!B27),'Ввод'!B27&gt;0,ISNUMBER(M11)),M11/'Ввод'!B27,"")</f>
        <v>0.0968575388026608</v>
      </c>
      <c r="P11" s="16">
        <f>IF(AND(ISNUMBER('Ввод'!B27),'Ввод'!B27&gt;0,ISNUMBER(N11)),N11/'Ввод'!B27,"")</f>
        <v>0.0950327464529497</v>
      </c>
      <c r="Q11" s="16">
        <f>IF(AND(ISNUMBER(I11),I11&gt;0,ISNUMBER(L11)),L11/I11,"")</f>
        <v>0.0980392156862745</v>
      </c>
      <c r="R11" s="7" t="s">
        <v>444</v>
      </c>
      <c r="S11" s="13">
        <f>IF(AND(ISNUMBER('Ввод'!B27),'Ввод'!B27&gt;0,ISNUMBER(F11),F11&gt;0,ISNUMBER(H11),H11&gt;0,ISNUMBER('Ввод'!B25)),INT(('Ввод'!B27+'Ввод'!B25*F11)/(4*F11+H11)),"")</f>
        <v>12</v>
      </c>
      <c r="T11" s="13">
        <f>IF(ISNUMBER(S11),'Ввод'!B27+'Ввод'!B25*F11-S11*(4*F11+H11),"")</f>
        <v>1726.12363636364</v>
      </c>
      <c r="U11" s="13">
        <f>IF(AND(ISNUMBER('Ввод'!B27),'Ввод'!B27&gt;0,ISNUMBER(J11),J11&gt;0,ISNUMBER(H11),H11&gt;0,ISNUMBER('Ввод'!B25)),INT(('Ввод'!B27+'Ввод'!B25*J11)/(4*J11+H11)),"")</f>
        <v>13</v>
      </c>
      <c r="V11" s="13">
        <f>IF(ISNUMBER(U11),'Ввод'!B27+'Ввод'!B25*J11-U11*(4*J11+H11),"")</f>
        <v>286.82214747736</v>
      </c>
    </row>
    <row r="12" spans="1:22" ht="54" customHeight="1">
      <c r="A12" s="5">
        <v>5</v>
      </c>
      <c r="B12" s="5" t="s">
        <v>137</v>
      </c>
      <c r="C12" s="11" t="s">
        <v>443</v>
      </c>
      <c r="D12" s="13">
        <f>IF(COUNT('Замеры ДО'!S100,'Замеры ДО'!S102)=2,'Замеры ДО'!S100+'Замеры ДО'!S102,"")</f>
        <v>67.6281081081081</v>
      </c>
      <c r="E12" s="13">
        <f>'Ассортимент'!R12</f>
        <v>180</v>
      </c>
      <c r="F12" s="13">
        <f>IF(COUNT(D12:E12)=2,D12+E12,"")</f>
        <v>247.628108108108</v>
      </c>
      <c r="G12" s="13">
        <f>'Ввод'!B24</f>
        <v>4</v>
      </c>
      <c r="H12" s="13">
        <f>IF(COUNT('Периодическая работа'!H8:H12)=5,SUM('Периодическая работа'!H8:H12),"")</f>
        <v>915</v>
      </c>
      <c r="I12" s="15">
        <f>IF(AND(ISNUMBER('Ввод'!B27),'Ввод'!B27&gt;0,ISNUMBER(F12),F12&gt;0,ISNUMBER(H12),H12&gt;0,ISNUMBER('Ввод'!B25)),MAX(0,4*S12+MAX(0,MIN(3,INT((T12-IF('Ввод'!B26=1,H12,0))/F12)))-'Ввод'!B25),"")</f>
        <v>51</v>
      </c>
      <c r="J12" s="13">
        <f>'Расчет ЦЕЛЬ'!R12</f>
        <v>238.705143184422</v>
      </c>
      <c r="K12" s="15">
        <f>IF(AND(ISNUMBER('Ввод'!B27),'Ввод'!B27&gt;0,ISNUMBER(J12),J12&gt;0,ISNUMBER(H12),H12&gt;0,ISNUMBER('Ввод'!B25)),MAX(0,4*U12+MAX(0,MIN(3,INT((V12-IF('Ввод'!B26=1,H12,0))/J12)))-'Ввод'!B25),"")</f>
        <v>52</v>
      </c>
      <c r="L12" s="13">
        <f>'Ассортимент'!O12</f>
        <v>3</v>
      </c>
      <c r="M12" s="13">
        <f>IF(AND(ISNUMBER(L12),ISNUMBER('Ввод'!B28),'Ввод'!B28&gt;0,ISNUMBER(F12),ISNUMBER(J12)),L12*F12+L12/'Ввод'!B28*SUM('Периодическая работа'!P8:P12),IF(L12=0,0,""))</f>
        <v>1429.13432432432</v>
      </c>
      <c r="N12" s="13">
        <f>IF(AND(ISNUMBER(L12),ISNUMBER('Ввод'!B28),'Ввод'!B28&gt;0,ISNUMBER(F12),ISNUMBER(J12)),L12*J12+L12/'Ввод'!B28*SUM('Периодическая работа'!Q8:Q12),IF(L12=0,0,""))</f>
        <v>1402.36542955326</v>
      </c>
      <c r="O12" s="16">
        <f>IF(AND(ISNUMBER('Ввод'!B27),'Ввод'!B27&gt;0,ISNUMBER(M12)),M12/'Ввод'!B27,"")</f>
        <v>0.0580948912326961</v>
      </c>
      <c r="P12" s="16">
        <f>IF(AND(ISNUMBER('Ввод'!B27),'Ввод'!B27&gt;0,ISNUMBER(N12)),N12/'Ввод'!B27,"")</f>
        <v>0.057006724778588</v>
      </c>
      <c r="Q12" s="16">
        <f>IF(AND(ISNUMBER(I12),I12&gt;0,ISNUMBER(L12)),L12/I12,"")</f>
        <v>0.0588235294117647</v>
      </c>
      <c r="R12" s="7" t="s">
        <v>444</v>
      </c>
      <c r="S12" s="13">
        <f>IF(AND(ISNUMBER('Ввод'!B27),'Ввод'!B27&gt;0,ISNUMBER(F12),F12&gt;0,ISNUMBER(H12),H12&gt;0,ISNUMBER('Ввод'!B25)),INT(('Ввод'!B27+'Ввод'!B25*F12)/(4*F12+H12)),"")</f>
        <v>12</v>
      </c>
      <c r="T12" s="13">
        <f>IF(ISNUMBER(S12),'Ввод'!B27+'Ввод'!B25*F12-S12*(4*F12+H12),"")</f>
        <v>1733.85081081081</v>
      </c>
      <c r="U12" s="13">
        <f>IF(AND(ISNUMBER('Ввод'!B27),'Ввод'!B27&gt;0,ISNUMBER(J12),J12&gt;0,ISNUMBER(H12),H12&gt;0,ISNUMBER('Ввод'!B25)),INT(('Ввод'!B27+'Ввод'!B25*J12)/(4*J12+H12)),"")</f>
        <v>13</v>
      </c>
      <c r="V12" s="13">
        <f>IF(ISNUMBER(U12),'Ввод'!B27+'Ввод'!B25*J12-U12*(4*J12+H12),"")</f>
        <v>292.332554410081</v>
      </c>
    </row>
    <row r="13" spans="1:22" ht="54" customHeight="1">
      <c r="A13" s="5">
        <v>6</v>
      </c>
      <c r="B13" s="5" t="s">
        <v>138</v>
      </c>
      <c r="C13" s="11" t="s">
        <v>443</v>
      </c>
      <c r="D13" s="13">
        <f>IF(COUNT('Замеры ДО'!S121,'Замеры ДО'!S123)=2,'Замеры ДО'!S121+'Замеры ДО'!S123,"")</f>
        <v>67.3028571428572</v>
      </c>
      <c r="E13" s="13">
        <f>'Ассортимент'!R13</f>
        <v>300</v>
      </c>
      <c r="F13" s="13">
        <f>IF(COUNT(D13:E13)=2,D13+E13,"")</f>
        <v>367.302857142857</v>
      </c>
      <c r="G13" s="13">
        <f>'Ввод'!B24</f>
        <v>4</v>
      </c>
      <c r="H13" s="13">
        <f>IF(COUNT('Периодическая работа'!H8:H12)=5,SUM('Периодическая работа'!H8:H12),"")</f>
        <v>915</v>
      </c>
      <c r="I13" s="15">
        <f>IF(AND(ISNUMBER('Ввод'!B27),'Ввод'!B27&gt;0,ISNUMBER(F13),F13&gt;0,ISNUMBER(H13),H13&gt;0,ISNUMBER('Ввод'!B25)),MAX(0,4*S13+MAX(0,MIN(3,INT((T13-IF('Ввод'!B26=1,H13,0))/F13)))-'Ввод'!B25),"")</f>
        <v>40</v>
      </c>
      <c r="J13" s="13">
        <f>'Расчет ЦЕЛЬ'!R13</f>
        <v>358.493222506394</v>
      </c>
      <c r="K13" s="15">
        <f>IF(AND(ISNUMBER('Ввод'!B27),'Ввод'!B27&gt;0,ISNUMBER(J13),J13&gt;0,ISNUMBER(H13),H13&gt;0,ISNUMBER('Ввод'!B25)),MAX(0,4*U13+MAX(0,MIN(3,INT((V13-IF('Ввод'!B26=1,H13,0))/J13)))-'Ввод'!B25),"")</f>
        <v>40</v>
      </c>
      <c r="L13" s="13">
        <f>'Ассортимент'!O13</f>
        <v>2</v>
      </c>
      <c r="M13" s="13">
        <f>IF(AND(ISNUMBER(L13),ISNUMBER('Ввод'!B28),'Ввод'!B28&gt;0,ISNUMBER(F13),ISNUMBER(J13)),L13*F13+L13/'Ввод'!B28*SUM('Периодическая работа'!P8:P12),IF(L13=0,0,""))</f>
        <v>1192.10571428571</v>
      </c>
      <c r="N13" s="13">
        <f>IF(AND(ISNUMBER(L13),ISNUMBER('Ввод'!B28),'Ввод'!B28&gt;0,ISNUMBER(F13),ISNUMBER(J13)),L13*J13+L13/'Ввод'!B28*SUM('Периодическая работа'!Q8:Q12),IF(L13=0,0,""))</f>
        <v>1174.48644501279</v>
      </c>
      <c r="O13" s="16">
        <f>IF(AND(ISNUMBER('Ввод'!B27),'Ввод'!B27&gt;0,ISNUMBER(M13)),M13/'Ввод'!B27,"")</f>
        <v>0.0484595818815331</v>
      </c>
      <c r="P13" s="16">
        <f>IF(AND(ISNUMBER('Ввод'!B27),'Ввод'!B27&gt;0,ISNUMBER(N13)),N13/'Ввод'!B27,"")</f>
        <v>0.0477433514232841</v>
      </c>
      <c r="Q13" s="16">
        <f>IF(AND(ISNUMBER(I13),I13&gt;0,ISNUMBER(L13)),L13/I13,"")</f>
        <v>0.05</v>
      </c>
      <c r="R13" s="7" t="s">
        <v>444</v>
      </c>
      <c r="S13" s="13">
        <f>IF(AND(ISNUMBER('Ввод'!B27),'Ввод'!B27&gt;0,ISNUMBER(F13),F13&gt;0,ISNUMBER(H13),H13&gt;0,ISNUMBER('Ввод'!B25)),INT(('Ввод'!B27+'Ввод'!B25*F13)/(4*F13+H13)),"")</f>
        <v>10</v>
      </c>
      <c r="T13" s="13">
        <f>IF(ISNUMBER(S13),'Ввод'!B27+'Ввод'!B25*F13-S13*(4*F13+H13),"")</f>
        <v>757.885714285712</v>
      </c>
      <c r="U13" s="13">
        <f>IF(AND(ISNUMBER('Ввод'!B27),'Ввод'!B27&gt;0,ISNUMBER(J13),J13&gt;0,ISNUMBER(H13),H13&gt;0,ISNUMBER('Ввод'!B25)),INT(('Ввод'!B27+'Ввод'!B25*J13)/(4*J13+H13)),"")</f>
        <v>10</v>
      </c>
      <c r="V13" s="13">
        <f>IF(ISNUMBER(U13),'Ввод'!B27+'Ввод'!B25*J13-U13*(4*J13+H13),"")</f>
        <v>1110.27109974424</v>
      </c>
    </row>
    <row r="14" spans="1:22" ht="54" customHeight="1">
      <c r="A14" s="5">
        <v>7</v>
      </c>
      <c r="B14" s="5" t="s">
        <v>139</v>
      </c>
      <c r="C14" s="11" t="s">
        <v>443</v>
      </c>
      <c r="D14" s="13">
        <f>IF(COUNT('Замеры ДО'!S142,'Замеры ДО'!S144)=2,'Замеры ДО'!S142+'Замеры ДО'!S144,"")</f>
        <v>67.3682608695652</v>
      </c>
      <c r="E14" s="13">
        <f>'Ассортимент'!R14</f>
        <v>300</v>
      </c>
      <c r="F14" s="13">
        <f>IF(COUNT(D14:E14)=2,D14+E14,"")</f>
        <v>367.368260869565</v>
      </c>
      <c r="G14" s="13">
        <f>'Ввод'!B24</f>
        <v>4</v>
      </c>
      <c r="H14" s="13">
        <f>IF(COUNT('Периодическая работа'!H8:H12)=5,SUM('Периодическая работа'!H8:H12),"")</f>
        <v>915</v>
      </c>
      <c r="I14" s="15">
        <f>IF(AND(ISNUMBER('Ввод'!B27),'Ввод'!B27&gt;0,ISNUMBER(F14),F14&gt;0,ISNUMBER(H14),H14&gt;0,ISNUMBER('Ввод'!B25)),MAX(0,4*S14+MAX(0,MIN(3,INT((T14-IF('Ввод'!B26=1,H14,0))/F14)))-'Ввод'!B25),"")</f>
        <v>40</v>
      </c>
      <c r="J14" s="13">
        <f>'Расчет ЦЕЛЬ'!R14</f>
        <v>358.537285974499</v>
      </c>
      <c r="K14" s="15">
        <f>IF(AND(ISNUMBER('Ввод'!B27),'Ввод'!B27&gt;0,ISNUMBER(J14),J14&gt;0,ISNUMBER(H14),H14&gt;0,ISNUMBER('Ввод'!B25)),MAX(0,4*U14+MAX(0,MIN(3,INT((V14-IF('Ввод'!B26=1,H14,0))/J14)))-'Ввод'!B25),"")</f>
        <v>40</v>
      </c>
      <c r="L14" s="13">
        <f>'Ассортимент'!O14</f>
        <v>1</v>
      </c>
      <c r="M14" s="13">
        <f>IF(AND(ISNUMBER(L14),ISNUMBER('Ввод'!B28),'Ввод'!B28&gt;0,ISNUMBER(F14),ISNUMBER(J14)),L14*F14+L14/'Ввод'!B28*SUM('Периодическая работа'!P8:P12),IF(L14=0,0,""))</f>
        <v>596.118260869565</v>
      </c>
      <c r="N14" s="13">
        <f>IF(AND(ISNUMBER(L14),ISNUMBER('Ввод'!B28),'Ввод'!B28&gt;0,ISNUMBER(F14),ISNUMBER(J14)),L14*J14+L14/'Ввод'!B28*SUM('Периодическая работа'!Q8:Q12),IF(L14=0,0,""))</f>
        <v>587.287285974499</v>
      </c>
      <c r="O14" s="16">
        <f>IF(AND(ISNUMBER('Ввод'!B27),'Ввод'!B27&gt;0,ISNUMBER(M14)),M14/'Ввод'!B27,"")</f>
        <v>0.0242324496288441</v>
      </c>
      <c r="P14" s="16">
        <f>IF(AND(ISNUMBER('Ввод'!B27),'Ввод'!B27&gt;0,ISNUMBER(N14)),N14/'Ввод'!B27,"")</f>
        <v>0.0238734669095325</v>
      </c>
      <c r="Q14" s="16">
        <f>IF(AND(ISNUMBER(I14),I14&gt;0,ISNUMBER(L14)),L14/I14,"")</f>
        <v>0.025</v>
      </c>
      <c r="R14" s="7" t="s">
        <v>444</v>
      </c>
      <c r="S14" s="13">
        <f>IF(AND(ISNUMBER('Ввод'!B27),'Ввод'!B27&gt;0,ISNUMBER(F14),F14&gt;0,ISNUMBER(H14),H14&gt;0,ISNUMBER('Ввод'!B25)),INT(('Ввод'!B27+'Ввод'!B25*F14)/(4*F14+H14)),"")</f>
        <v>10</v>
      </c>
      <c r="T14" s="13">
        <f>IF(ISNUMBER(S14),'Ввод'!B27+'Ввод'!B25*F14-S14*(4*F14+H14),"")</f>
        <v>755.26956521739</v>
      </c>
      <c r="U14" s="13">
        <f>IF(AND(ISNUMBER('Ввод'!B27),'Ввод'!B27&gt;0,ISNUMBER(J14),J14&gt;0,ISNUMBER(H14),H14&gt;0,ISNUMBER('Ввод'!B25)),INT(('Ввод'!B27+'Ввод'!B25*J14)/(4*J14+H14)),"")</f>
        <v>10</v>
      </c>
      <c r="V14" s="13">
        <f>IF(ISNUMBER(U14),'Ввод'!B27+'Ввод'!B25*J14-U14*(4*J14+H14),"")</f>
        <v>1108.50856102003</v>
      </c>
    </row>
    <row r="15" spans="1:22" ht="54" customHeight="1">
      <c r="A15" s="5">
        <v>8</v>
      </c>
      <c r="B15" s="5" t="s">
        <v>140</v>
      </c>
      <c r="C15" s="11" t="s">
        <v>443</v>
      </c>
      <c r="D15" s="13">
        <f>IF(COUNT('Замеры ДО'!S163,'Замеры ДО'!S165)=2,'Замеры ДО'!S163+'Замеры ДО'!S165,"")</f>
        <v>67.2828</v>
      </c>
      <c r="E15" s="13">
        <f>'Ассортимент'!R15</f>
        <v>300</v>
      </c>
      <c r="F15" s="13">
        <f>IF(COUNT(D15:E15)=2,D15+E15,"")</f>
        <v>367.2828</v>
      </c>
      <c r="G15" s="13">
        <f>'Ввод'!B24</f>
        <v>4</v>
      </c>
      <c r="H15" s="13">
        <f>IF(COUNT('Периодическая работа'!H8:H12)=5,SUM('Периодическая работа'!H8:H12),"")</f>
        <v>915</v>
      </c>
      <c r="I15" s="15">
        <f>IF(AND(ISNUMBER('Ввод'!B27),'Ввод'!B27&gt;0,ISNUMBER(F15),F15&gt;0,ISNUMBER(H15),H15&gt;0,ISNUMBER('Ввод'!B25)),MAX(0,4*S15+MAX(0,MIN(3,INT((T15-IF('Ввод'!B26=1,H15,0))/F15)))-'Ввод'!B25),"")</f>
        <v>40</v>
      </c>
      <c r="J15" s="13">
        <f>'Расчет ЦЕЛЬ'!R15</f>
        <v>358.456844741235</v>
      </c>
      <c r="K15" s="15">
        <f>IF(AND(ISNUMBER('Ввод'!B27),'Ввод'!B27&gt;0,ISNUMBER(J15),J15&gt;0,ISNUMBER(H15),H15&gt;0,ISNUMBER('Ввод'!B25)),MAX(0,4*U15+MAX(0,MIN(3,INT((V15-IF('Ввод'!B26=1,H15,0))/J15)))-'Ввод'!B25),"")</f>
        <v>40</v>
      </c>
      <c r="L15" s="13">
        <f>'Ассортимент'!O15</f>
        <v>1</v>
      </c>
      <c r="M15" s="13">
        <f>IF(AND(ISNUMBER(L15),ISNUMBER('Ввод'!B28),'Ввод'!B28&gt;0,ISNUMBER(F15),ISNUMBER(J15)),L15*F15+L15/'Ввод'!B28*SUM('Периодическая работа'!P8:P12),IF(L15=0,0,""))</f>
        <v>596.0328</v>
      </c>
      <c r="N15" s="13">
        <f>IF(AND(ISNUMBER(L15),ISNUMBER('Ввод'!B28),'Ввод'!B28&gt;0,ISNUMBER(F15),ISNUMBER(J15)),L15*J15+L15/'Ввод'!B28*SUM('Периодическая работа'!Q8:Q12),IF(L15=0,0,""))</f>
        <v>587.206844741235</v>
      </c>
      <c r="O15" s="16">
        <f>IF(AND(ISNUMBER('Ввод'!B27),'Ввод'!B27&gt;0,ISNUMBER(M15)),M15/'Ввод'!B27,"")</f>
        <v>0.0242289756097561</v>
      </c>
      <c r="P15" s="16">
        <f>IF(AND(ISNUMBER('Ввод'!B27),'Ввод'!B27&gt;0,ISNUMBER(N15)),N15/'Ввод'!B27,"")</f>
        <v>0.0238701969407006</v>
      </c>
      <c r="Q15" s="16">
        <f>IF(AND(ISNUMBER(I15),I15&gt;0,ISNUMBER(L15)),L15/I15,"")</f>
        <v>0.025</v>
      </c>
      <c r="R15" s="7" t="s">
        <v>444</v>
      </c>
      <c r="S15" s="13">
        <f>IF(AND(ISNUMBER('Ввод'!B27),'Ввод'!B27&gt;0,ISNUMBER(F15),F15&gt;0,ISNUMBER(H15),H15&gt;0,ISNUMBER('Ввод'!B25)),INT(('Ввод'!B27+'Ввод'!B25*F15)/(4*F15+H15)),"")</f>
        <v>10</v>
      </c>
      <c r="T15" s="13">
        <f>IF(ISNUMBER(S15),'Ввод'!B27+'Ввод'!B25*F15-S15*(4*F15+H15),"")</f>
        <v>758.688000000002</v>
      </c>
      <c r="U15" s="13">
        <f>IF(AND(ISNUMBER('Ввод'!B27),'Ввод'!B27&gt;0,ISNUMBER(J15),J15&gt;0,ISNUMBER(H15),H15&gt;0,ISNUMBER('Ввод'!B25)),INT(('Ввод'!B27+'Ввод'!B25*J15)/(4*J15+H15)),"")</f>
        <v>10</v>
      </c>
      <c r="V15" s="13">
        <f>IF(ISNUMBER(U15),'Ввод'!B27+'Ввод'!B25*J15-U15*(4*J15+H15),"")</f>
        <v>1111.72621035059</v>
      </c>
    </row>
    <row r="16" spans="1:22" ht="54" customHeight="1">
      <c r="A16" s="5">
        <v>9</v>
      </c>
      <c r="B16" s="5" t="s">
        <v>141</v>
      </c>
      <c r="C16" s="11" t="s">
        <v>443</v>
      </c>
      <c r="D16" s="13">
        <f>IF(COUNT('Замеры ДО'!S184,'Замеры ДО'!S186)=2,'Замеры ДО'!S184+'Замеры ДО'!S186,"")</f>
        <v>67.56</v>
      </c>
      <c r="E16" s="13">
        <f>'Ассортимент'!R16</f>
        <v>300</v>
      </c>
      <c r="F16" s="13">
        <f>IF(COUNT(D16:E16)=2,D16+E16,"")</f>
        <v>367.56</v>
      </c>
      <c r="G16" s="13">
        <f>'Ввод'!B24</f>
        <v>4</v>
      </c>
      <c r="H16" s="13">
        <f>IF(COUNT('Периодическая работа'!H8:H12)=5,SUM('Периодическая работа'!H8:H12),"")</f>
        <v>915</v>
      </c>
      <c r="I16" s="15">
        <f>IF(AND(ISNUMBER('Ввод'!B27),'Ввод'!B27&gt;0,ISNUMBER(F16),F16&gt;0,ISNUMBER(H16),H16&gt;0,ISNUMBER('Ввод'!B25)),MAX(0,4*S16+MAX(0,MIN(3,INT((T16-IF('Ввод'!B26=1,H16,0))/F16)))-'Ввод'!B25),"")</f>
        <v>40</v>
      </c>
      <c r="J16" s="13">
        <f>'Расчет ЦЕЛЬ'!R16</f>
        <v>358.660769230769</v>
      </c>
      <c r="K16" s="15">
        <f>IF(AND(ISNUMBER('Ввод'!B27),'Ввод'!B27&gt;0,ISNUMBER(J16),J16&gt;0,ISNUMBER(H16),H16&gt;0,ISNUMBER('Ввод'!B25)),MAX(0,4*U16+MAX(0,MIN(3,INT((V16-IF('Ввод'!B26=1,H16,0))/J16)))-'Ввод'!B25),"")</f>
        <v>40</v>
      </c>
      <c r="L16" s="13">
        <f>'Ассортимент'!O16</f>
        <v>2</v>
      </c>
      <c r="M16" s="13">
        <f>IF(AND(ISNUMBER(L16),ISNUMBER('Ввод'!B28),'Ввод'!B28&gt;0,ISNUMBER(F16),ISNUMBER(J16)),L16*F16+L16/'Ввод'!B28*SUM('Периодическая работа'!P8:P12),IF(L16=0,0,""))</f>
        <v>1192.62</v>
      </c>
      <c r="N16" s="13">
        <f>IF(AND(ISNUMBER(L16),ISNUMBER('Ввод'!B28),'Ввод'!B28&gt;0,ISNUMBER(F16),ISNUMBER(J16)),L16*J16+L16/'Ввод'!B28*SUM('Периодическая работа'!Q8:Q12),IF(L16=0,0,""))</f>
        <v>1174.82153846154</v>
      </c>
      <c r="O16" s="16">
        <f>IF(AND(ISNUMBER('Ввод'!B27),'Ввод'!B27&gt;0,ISNUMBER(M16)),M16/'Ввод'!B27,"")</f>
        <v>0.0484804878048781</v>
      </c>
      <c r="P16" s="16">
        <f>IF(AND(ISNUMBER('Ввод'!B27),'Ввод'!B27&gt;0,ISNUMBER(N16)),N16/'Ввод'!B27,"")</f>
        <v>0.0477569731081926</v>
      </c>
      <c r="Q16" s="16">
        <f>IF(AND(ISNUMBER(I16),I16&gt;0,ISNUMBER(L16)),L16/I16,"")</f>
        <v>0.05</v>
      </c>
      <c r="R16" s="7" t="s">
        <v>444</v>
      </c>
      <c r="S16" s="13">
        <f>IF(AND(ISNUMBER('Ввод'!B27),'Ввод'!B27&gt;0,ISNUMBER(F16),F16&gt;0,ISNUMBER(H16),H16&gt;0,ISNUMBER('Ввод'!B25)),INT(('Ввод'!B27+'Ввод'!B25*F16)/(4*F16+H16)),"")</f>
        <v>10</v>
      </c>
      <c r="T16" s="13">
        <f>IF(ISNUMBER(S16),'Ввод'!B27+'Ввод'!B25*F16-S16*(4*F16+H16),"")</f>
        <v>747.599999999999</v>
      </c>
      <c r="U16" s="13">
        <f>IF(AND(ISNUMBER('Ввод'!B27),'Ввод'!B27&gt;0,ISNUMBER(J16),J16&gt;0,ISNUMBER(H16),H16&gt;0,ISNUMBER('Ввод'!B25)),INT(('Ввод'!B27+'Ввод'!B25*J16)/(4*J16+H16)),"")</f>
        <v>10</v>
      </c>
      <c r="V16" s="13">
        <f>IF(ISNUMBER(U16),'Ввод'!B27+'Ввод'!B25*J16-U16*(4*J16+H16),"")</f>
        <v>1103.56923076923</v>
      </c>
    </row>
    <row r="17" spans="1:22" ht="54" customHeight="1">
      <c r="A17" s="5">
        <v>10</v>
      </c>
      <c r="B17" s="5" t="s">
        <v>142</v>
      </c>
      <c r="C17" s="11" t="s">
        <v>443</v>
      </c>
      <c r="D17" s="13">
        <f>IF(COUNT('Замеры ДО'!S205,'Замеры ДО'!S207)=2,'Замеры ДО'!S205+'Замеры ДО'!S207,"")</f>
        <v>67.704</v>
      </c>
      <c r="E17" s="13">
        <f>'Ассортимент'!R17</f>
        <v>300</v>
      </c>
      <c r="F17" s="13">
        <f>IF(COUNT(D17:E17)=2,D17+E17,"")</f>
        <v>367.704</v>
      </c>
      <c r="G17" s="13">
        <f>'Ввод'!B24</f>
        <v>4</v>
      </c>
      <c r="H17" s="13">
        <f>IF(COUNT('Периодическая работа'!H8:H12)=5,SUM('Периодическая работа'!H8:H12),"")</f>
        <v>915</v>
      </c>
      <c r="I17" s="15">
        <f>IF(AND(ISNUMBER('Ввод'!B27),'Ввод'!B27&gt;0,ISNUMBER(F17),F17&gt;0,ISNUMBER(H17),H17&gt;0,ISNUMBER('Ввод'!B25)),MAX(0,4*S17+MAX(0,MIN(3,INT((T17-IF('Ввод'!B26=1,H17,0))/F17)))-'Ввод'!B25),"")</f>
        <v>40</v>
      </c>
      <c r="J17" s="13">
        <f>'Расчет ЦЕЛЬ'!R17</f>
        <v>358.754908869988</v>
      </c>
      <c r="K17" s="15">
        <f>IF(AND(ISNUMBER('Ввод'!B27),'Ввод'!B27&gt;0,ISNUMBER(J17),J17&gt;0,ISNUMBER(H17),H17&gt;0,ISNUMBER('Ввод'!B25)),MAX(0,4*U17+MAX(0,MIN(3,INT((V17-IF('Ввод'!B26=1,H17,0))/J17)))-'Ввод'!B25),"")</f>
        <v>40</v>
      </c>
      <c r="L17" s="13">
        <f>'Ассортимент'!O17</f>
        <v>3</v>
      </c>
      <c r="M17" s="13">
        <f>IF(AND(ISNUMBER(L17),ISNUMBER('Ввод'!B28),'Ввод'!B28&gt;0,ISNUMBER(F17),ISNUMBER(J17)),L17*F17+L17/'Ввод'!B28*SUM('Периодическая работа'!P8:P12),IF(L17=0,0,""))</f>
        <v>1789.362</v>
      </c>
      <c r="N17" s="13">
        <f>IF(AND(ISNUMBER(L17),ISNUMBER('Ввод'!B28),'Ввод'!B28&gt;0,ISNUMBER(F17),ISNUMBER(J17)),L17*J17+L17/'Ввод'!B28*SUM('Периодическая работа'!Q8:Q12),IF(L17=0,0,""))</f>
        <v>1762.51472660996</v>
      </c>
      <c r="O17" s="16">
        <f>IF(AND(ISNUMBER('Ввод'!B27),'Ввод'!B27&gt;0,ISNUMBER(M17)),M17/'Ввод'!B27,"")</f>
        <v>0.0727382926829268</v>
      </c>
      <c r="P17" s="16">
        <f>IF(AND(ISNUMBER('Ввод'!B27),'Ввод'!B27&gt;0,ISNUMBER(N17)),N17/'Ввод'!B27,"")</f>
        <v>0.0716469401060961</v>
      </c>
      <c r="Q17" s="16">
        <f>IF(AND(ISNUMBER(I17),I17&gt;0,ISNUMBER(L17)),L17/I17,"")</f>
        <v>0.075</v>
      </c>
      <c r="R17" s="7" t="s">
        <v>444</v>
      </c>
      <c r="S17" s="13">
        <f>IF(AND(ISNUMBER('Ввод'!B27),'Ввод'!B27&gt;0,ISNUMBER(F17),F17&gt;0,ISNUMBER(H17),H17&gt;0,ISNUMBER('Ввод'!B25)),INT(('Ввод'!B27+'Ввод'!B25*F17)/(4*F17+H17)),"")</f>
        <v>10</v>
      </c>
      <c r="T17" s="13">
        <f>IF(ISNUMBER(S17),'Ввод'!B27+'Ввод'!B25*F17-S17*(4*F17+H17),"")</f>
        <v>741.839999999997</v>
      </c>
      <c r="U17" s="13">
        <f>IF(AND(ISNUMBER('Ввод'!B27),'Ввод'!B27&gt;0,ISNUMBER(J17),J17&gt;0,ISNUMBER(H17),H17&gt;0,ISNUMBER('Ввод'!B25)),INT(('Ввод'!B27+'Ввод'!B25*J17)/(4*J17+H17)),"")</f>
        <v>10</v>
      </c>
      <c r="V17" s="13">
        <f>IF(ISNUMBER(U17),'Ввод'!B27+'Ввод'!B25*J17-U17*(4*J17+H17),"")</f>
        <v>1099.80364520049</v>
      </c>
    </row>
    <row r="18" spans="1:22" ht="54" customHeight="1">
      <c r="A18" s="5">
        <v>11</v>
      </c>
      <c r="B18" s="5" t="s">
        <v>143</v>
      </c>
      <c r="C18" s="11" t="s">
        <v>443</v>
      </c>
      <c r="D18" s="13">
        <f>IF(COUNT('Замеры ДО'!S226,'Замеры ДО'!S228)=2,'Замеры ДО'!S226+'Замеры ДО'!S228,"")</f>
        <v>67.7890909090909</v>
      </c>
      <c r="E18" s="13">
        <f>'Ассортимент'!R18</f>
        <v>300</v>
      </c>
      <c r="F18" s="13">
        <f>IF(COUNT(D18:E18)=2,D18+E18,"")</f>
        <v>367.789090909091</v>
      </c>
      <c r="G18" s="13">
        <f>'Ввод'!B24</f>
        <v>4</v>
      </c>
      <c r="H18" s="13">
        <f>IF(COUNT('Периодическая работа'!H8:H12)=5,SUM('Периодическая работа'!H8:H12),"")</f>
        <v>915</v>
      </c>
      <c r="I18" s="15">
        <f>IF(AND(ISNUMBER('Ввод'!B27),'Ввод'!B27&gt;0,ISNUMBER(F18),F18&gt;0,ISNUMBER(H18),H18&gt;0,ISNUMBER('Ввод'!B25)),MAX(0,4*S18+MAX(0,MIN(3,INT((T18-IF('Ввод'!B26=1,H18,0))/F18)))-'Ввод'!B25),"")</f>
        <v>40</v>
      </c>
      <c r="J18" s="13">
        <f>'Расчет ЦЕЛЬ'!R18</f>
        <v>358.811112548512</v>
      </c>
      <c r="K18" s="15">
        <f>IF(AND(ISNUMBER('Ввод'!B27),'Ввод'!B27&gt;0,ISNUMBER(J18),J18&gt;0,ISNUMBER(H18),H18&gt;0,ISNUMBER('Ввод'!B25)),MAX(0,4*U18+MAX(0,MIN(3,INT((V18-IF('Ввод'!B26=1,H18,0))/J18)))-'Ввод'!B25),"")</f>
        <v>40</v>
      </c>
      <c r="L18" s="13">
        <f>'Ассортимент'!O18</f>
        <v>4</v>
      </c>
      <c r="M18" s="13">
        <f>IF(AND(ISNUMBER(L18),ISNUMBER('Ввод'!B28),'Ввод'!B28&gt;0,ISNUMBER(F18),ISNUMBER(J18)),L18*F18+L18/'Ввод'!B28*SUM('Периодическая работа'!P8:P12),IF(L18=0,0,""))</f>
        <v>2386.15636363636</v>
      </c>
      <c r="N18" s="13">
        <f>IF(AND(ISNUMBER(L18),ISNUMBER('Ввод'!B28),'Ввод'!B28&gt;0,ISNUMBER(F18),ISNUMBER(J18)),L18*J18+L18/'Ввод'!B28*SUM('Периодическая работа'!Q8:Q12),IF(L18=0,0,""))</f>
        <v>2350.24445019405</v>
      </c>
      <c r="O18" s="16">
        <f>IF(AND(ISNUMBER('Ввод'!B27),'Ввод'!B27&gt;0,ISNUMBER(M18)),M18/'Ввод'!B27,"")</f>
        <v>0.0969982261640798</v>
      </c>
      <c r="P18" s="16">
        <f>IF(AND(ISNUMBER('Ввод'!B27),'Ввод'!B27&gt;0,ISNUMBER(N18)),N18/'Ввод'!B27,"")</f>
        <v>0.0955383922843109</v>
      </c>
      <c r="Q18" s="16">
        <f>IF(AND(ISNUMBER(I18),I18&gt;0,ISNUMBER(L18)),L18/I18,"")</f>
        <v>0.1</v>
      </c>
      <c r="R18" s="7" t="s">
        <v>444</v>
      </c>
      <c r="S18" s="13">
        <f>IF(AND(ISNUMBER('Ввод'!B27),'Ввод'!B27&gt;0,ISNUMBER(F18),F18&gt;0,ISNUMBER(H18),H18&gt;0,ISNUMBER('Ввод'!B25)),INT(('Ввод'!B27+'Ввод'!B25*F18)/(4*F18+H18)),"")</f>
        <v>10</v>
      </c>
      <c r="T18" s="13">
        <f>IF(ISNUMBER(S18),'Ввод'!B27+'Ввод'!B25*F18-S18*(4*F18+H18),"")</f>
        <v>738.436363636363</v>
      </c>
      <c r="U18" s="13">
        <f>IF(AND(ISNUMBER('Ввод'!B27),'Ввод'!B27&gt;0,ISNUMBER(J18),J18&gt;0,ISNUMBER(H18),H18&gt;0,ISNUMBER('Ввод'!B25)),INT(('Ввод'!B27+'Ввод'!B25*J18)/(4*J18+H18)),"")</f>
        <v>10</v>
      </c>
      <c r="V18" s="13">
        <f>IF(ISNUMBER(U18),'Ввод'!B27+'Ввод'!B25*J18-U18*(4*J18+H18),"")</f>
        <v>1097.55549805951</v>
      </c>
    </row>
    <row r="19" spans="1:22" ht="54" customHeight="1">
      <c r="A19" s="5">
        <v>12</v>
      </c>
      <c r="B19" s="5" t="s">
        <v>144</v>
      </c>
      <c r="C19" s="11" t="s">
        <v>443</v>
      </c>
      <c r="D19" s="13">
        <f>IF(COUNT('Замеры ДО'!S247,'Замеры ДО'!S249)=2,'Замеры ДО'!S247+'Замеры ДО'!S249,"")</f>
        <v>67.5931578947369</v>
      </c>
      <c r="E19" s="13">
        <f>'Ассортимент'!R19</f>
        <v>300</v>
      </c>
      <c r="F19" s="13">
        <f>IF(COUNT(D19:E19)=2,D19+E19,"")</f>
        <v>367.593157894737</v>
      </c>
      <c r="G19" s="13">
        <f>'Ввод'!B24</f>
        <v>4</v>
      </c>
      <c r="H19" s="13">
        <f>IF(COUNT('Периодическая работа'!H8:H12)=5,SUM('Периодическая работа'!H8:H12),"")</f>
        <v>915</v>
      </c>
      <c r="I19" s="15">
        <f>IF(AND(ISNUMBER('Ввод'!B27),'Ввод'!B27&gt;0,ISNUMBER(F19),F19&gt;0,ISNUMBER(H19),H19&gt;0,ISNUMBER('Ввод'!B25)),MAX(0,4*S19+MAX(0,MIN(3,INT((T19-IF('Ввод'!B26=1,H19,0))/F19)))-'Ввод'!B25),"")</f>
        <v>40</v>
      </c>
      <c r="J19" s="13">
        <f>'Расчет ЦЕЛЬ'!R19</f>
        <v>358.682338530067</v>
      </c>
      <c r="K19" s="15">
        <f>IF(AND(ISNUMBER('Ввод'!B27),'Ввод'!B27&gt;0,ISNUMBER(J19),J19&gt;0,ISNUMBER(H19),H19&gt;0,ISNUMBER('Ввод'!B25)),MAX(0,4*U19+MAX(0,MIN(3,INT((V19-IF('Ввод'!B26=1,H19,0))/J19)))-'Ввод'!B25),"")</f>
        <v>40</v>
      </c>
      <c r="L19" s="13">
        <f>'Ассортимент'!O19</f>
        <v>1</v>
      </c>
      <c r="M19" s="13">
        <f>IF(AND(ISNUMBER(L19),ISNUMBER('Ввод'!B28),'Ввод'!B28&gt;0,ISNUMBER(F19),ISNUMBER(J19)),L19*F19+L19/'Ввод'!B28*SUM('Периодическая работа'!P8:P12),IF(L19=0,0,""))</f>
        <v>596.343157894737</v>
      </c>
      <c r="N19" s="13">
        <f>IF(AND(ISNUMBER(L19),ISNUMBER('Ввод'!B28),'Ввод'!B28&gt;0,ISNUMBER(F19),ISNUMBER(J19)),L19*J19+L19/'Ввод'!B28*SUM('Периодическая работа'!Q8:Q12),IF(L19=0,0,""))</f>
        <v>587.432338530067</v>
      </c>
      <c r="O19" s="16">
        <f>IF(AND(ISNUMBER('Ввод'!B27),'Ввод'!B27&gt;0,ISNUMBER(M19)),M19/'Ввод'!B27,"")</f>
        <v>0.0242415917843389</v>
      </c>
      <c r="P19" s="16">
        <f>IF(AND(ISNUMBER('Ввод'!B27),'Ввод'!B27&gt;0,ISNUMBER(N19)),N19/'Ввод'!B27,"")</f>
        <v>0.0238793633548808</v>
      </c>
      <c r="Q19" s="16">
        <f>IF(AND(ISNUMBER(I19),I19&gt;0,ISNUMBER(L19)),L19/I19,"")</f>
        <v>0.025</v>
      </c>
      <c r="R19" s="7" t="s">
        <v>444</v>
      </c>
      <c r="S19" s="13">
        <f>IF(AND(ISNUMBER('Ввод'!B27),'Ввод'!B27&gt;0,ISNUMBER(F19),F19&gt;0,ISNUMBER(H19),H19&gt;0,ISNUMBER('Ввод'!B25)),INT(('Ввод'!B27+'Ввод'!B25*F19)/(4*F19+H19)),"")</f>
        <v>10</v>
      </c>
      <c r="T19" s="13">
        <f>IF(ISNUMBER(S19),'Ввод'!B27+'Ввод'!B25*F19-S19*(4*F19+H19),"")</f>
        <v>746.27368421053</v>
      </c>
      <c r="U19" s="13">
        <f>IF(AND(ISNUMBER('Ввод'!B27),'Ввод'!B27&gt;0,ISNUMBER(J19),J19&gt;0,ISNUMBER(H19),H19&gt;0,ISNUMBER('Ввод'!B25)),INT(('Ввод'!B27+'Ввод'!B25*J19)/(4*J19+H19)),"")</f>
        <v>10</v>
      </c>
      <c r="V19" s="13">
        <f>IF(ISNUMBER(U19),'Ввод'!B27+'Ввод'!B25*J19-U19*(4*J19+H19),"")</f>
        <v>1102.70645879733</v>
      </c>
    </row>
    <row r="20" spans="1:22" ht="54" customHeight="1">
      <c r="A20" s="5">
        <v>13</v>
      </c>
      <c r="B20" s="5" t="s">
        <v>145</v>
      </c>
      <c r="C20" s="11" t="s">
        <v>443</v>
      </c>
      <c r="D20" s="13">
        <f>IF(COUNT('Замеры ДО'!S268,'Замеры ДО'!S270)=2,'Замеры ДО'!S268+'Замеры ДО'!S270,"")</f>
        <v>67.5285</v>
      </c>
      <c r="E20" s="13">
        <f>'Ассортимент'!R20</f>
        <v>300</v>
      </c>
      <c r="F20" s="13">
        <f>IF(COUNT(D20:E20)=2,D20+E20,"")</f>
        <v>367.5285</v>
      </c>
      <c r="G20" s="13">
        <f>'Ввод'!B24</f>
        <v>4</v>
      </c>
      <c r="H20" s="13">
        <f>IF(COUNT('Периодическая работа'!H8:H12)=5,SUM('Периодическая работа'!H8:H12),"")</f>
        <v>915</v>
      </c>
      <c r="I20" s="15">
        <f>IF(AND(ISNUMBER('Ввод'!B27),'Ввод'!B27&gt;0,ISNUMBER(F20),F20&gt;0,ISNUMBER(H20),H20&gt;0,ISNUMBER('Ввод'!B25)),MAX(0,4*S20+MAX(0,MIN(3,INT((T20-IF('Ввод'!B26=1,H20,0))/F20)))-'Ввод'!B25),"")</f>
        <v>40</v>
      </c>
      <c r="J20" s="13">
        <f>'Расчет ЦЕЛЬ'!R20</f>
        <v>358.640337552743</v>
      </c>
      <c r="K20" s="15">
        <f>IF(AND(ISNUMBER('Ввод'!B27),'Ввод'!B27&gt;0,ISNUMBER(J20),J20&gt;0,ISNUMBER(H20),H20&gt;0,ISNUMBER('Ввод'!B25)),MAX(0,4*U20+MAX(0,MIN(3,INT((V20-IF('Ввод'!B26=1,H20,0))/J20)))-'Ввод'!B25),"")</f>
        <v>40</v>
      </c>
      <c r="L20" s="13">
        <f>'Ассортимент'!O20</f>
        <v>1</v>
      </c>
      <c r="M20" s="13">
        <f>IF(AND(ISNUMBER(L20),ISNUMBER('Ввод'!B28),'Ввод'!B28&gt;0,ISNUMBER(F20),ISNUMBER(J20)),L20*F20+L20/'Ввод'!B28*SUM('Периодическая работа'!P8:P12),IF(L20=0,0,""))</f>
        <v>596.2785</v>
      </c>
      <c r="N20" s="13">
        <f>IF(AND(ISNUMBER(L20),ISNUMBER('Ввод'!B28),'Ввод'!B28&gt;0,ISNUMBER(F20),ISNUMBER(J20)),L20*J20+L20/'Ввод'!B28*SUM('Периодическая работа'!Q8:Q12),IF(L20=0,0,""))</f>
        <v>587.390337552743</v>
      </c>
      <c r="O20" s="16">
        <f>IF(AND(ISNUMBER('Ввод'!B27),'Ввод'!B27&gt;0,ISNUMBER(M20)),M20/'Ввод'!B27,"")</f>
        <v>0.0242389634146341</v>
      </c>
      <c r="P20" s="16">
        <f>IF(AND(ISNUMBER('Ввод'!B27),'Ввод'!B27&gt;0,ISNUMBER(N20)),N20/'Ввод'!B27,"")</f>
        <v>0.023877655998079</v>
      </c>
      <c r="Q20" s="16">
        <f>IF(AND(ISNUMBER(I20),I20&gt;0,ISNUMBER(L20)),L20/I20,"")</f>
        <v>0.025</v>
      </c>
      <c r="R20" s="7" t="s">
        <v>444</v>
      </c>
      <c r="S20" s="13">
        <f>IF(AND(ISNUMBER('Ввод'!B27),'Ввод'!B27&gt;0,ISNUMBER(F20),F20&gt;0,ISNUMBER(H20),H20&gt;0,ISNUMBER('Ввод'!B25)),INT(('Ввод'!B27+'Ввод'!B25*F20)/(4*F20+H20)),"")</f>
        <v>10</v>
      </c>
      <c r="T20" s="13">
        <f>IF(ISNUMBER(S20),'Ввод'!B27+'Ввод'!B25*F20-S20*(4*F20+H20),"")</f>
        <v>748.860000000001</v>
      </c>
      <c r="U20" s="13">
        <f>IF(AND(ISNUMBER('Ввод'!B27),'Ввод'!B27&gt;0,ISNUMBER(J20),J20&gt;0,ISNUMBER(H20),H20&gt;0,ISNUMBER('Ввод'!B25)),INT(('Ввод'!B27+'Ввод'!B25*J20)/(4*J20+H20)),"")</f>
        <v>10</v>
      </c>
      <c r="V20" s="13">
        <f>IF(ISNUMBER(U20),'Ввод'!B27+'Ввод'!B25*J20-U20*(4*J20+H20),"")</f>
        <v>1104.3864978903</v>
      </c>
    </row>
    <row r="21" spans="1:22" ht="54" customHeight="1">
      <c r="A21" s="5">
        <v>14</v>
      </c>
      <c r="B21" s="5" t="s">
        <v>146</v>
      </c>
      <c r="C21" s="11" t="s">
        <v>443</v>
      </c>
      <c r="D21" s="13">
        <f>IF(COUNT('Замеры ДО'!S289,'Замеры ДО'!S291)=2,'Замеры ДО'!S289+'Замеры ДО'!S291,"")</f>
        <v>67.56</v>
      </c>
      <c r="E21" s="13">
        <f>'Ассортимент'!R21</f>
        <v>300</v>
      </c>
      <c r="F21" s="13">
        <f>IF(COUNT(D21:E21)=2,D21+E21,"")</f>
        <v>367.56</v>
      </c>
      <c r="G21" s="13">
        <f>'Ввод'!B24</f>
        <v>4</v>
      </c>
      <c r="H21" s="13">
        <f>IF(COUNT('Периодическая работа'!H8:H12)=5,SUM('Периодическая работа'!H8:H12),"")</f>
        <v>915</v>
      </c>
      <c r="I21" s="15">
        <f>IF(AND(ISNUMBER('Ввод'!B27),'Ввод'!B27&gt;0,ISNUMBER(F21),F21&gt;0,ISNUMBER(H21),H21&gt;0,ISNUMBER('Ввод'!B25)),MAX(0,4*S21+MAX(0,MIN(3,INT((T21-IF('Ввод'!B26=1,H21,0))/F21)))-'Ввод'!B25),"")</f>
        <v>40</v>
      </c>
      <c r="J21" s="13">
        <f>'Расчет ЦЕЛЬ'!R21</f>
        <v>358.660769230769</v>
      </c>
      <c r="K21" s="15">
        <f>IF(AND(ISNUMBER('Ввод'!B27),'Ввод'!B27&gt;0,ISNUMBER(J21),J21&gt;0,ISNUMBER(H21),H21&gt;0,ISNUMBER('Ввод'!B25)),MAX(0,4*U21+MAX(0,MIN(3,INT((V21-IF('Ввод'!B26=1,H21,0))/J21)))-'Ввод'!B25),"")</f>
        <v>40</v>
      </c>
      <c r="L21" s="13">
        <f>'Ассортимент'!O21</f>
        <v>1</v>
      </c>
      <c r="M21" s="13">
        <f>IF(AND(ISNUMBER(L21),ISNUMBER('Ввод'!B28),'Ввод'!B28&gt;0,ISNUMBER(F21),ISNUMBER(J21)),L21*F21+L21/'Ввод'!B28*SUM('Периодическая работа'!P8:P12),IF(L21=0,0,""))</f>
        <v>596.31</v>
      </c>
      <c r="N21" s="13">
        <f>IF(AND(ISNUMBER(L21),ISNUMBER('Ввод'!B28),'Ввод'!B28&gt;0,ISNUMBER(F21),ISNUMBER(J21)),L21*J21+L21/'Ввод'!B28*SUM('Периодическая работа'!Q8:Q12),IF(L21=0,0,""))</f>
        <v>587.410769230769</v>
      </c>
      <c r="O21" s="16">
        <f>IF(AND(ISNUMBER('Ввод'!B27),'Ввод'!B27&gt;0,ISNUMBER(M21)),M21/'Ввод'!B27,"")</f>
        <v>0.024240243902439</v>
      </c>
      <c r="P21" s="16">
        <f>IF(AND(ISNUMBER('Ввод'!B27),'Ввод'!B27&gt;0,ISNUMBER(N21)),N21/'Ввод'!B27,"")</f>
        <v>0.0238784865540963</v>
      </c>
      <c r="Q21" s="16">
        <f>IF(AND(ISNUMBER(I21),I21&gt;0,ISNUMBER(L21)),L21/I21,"")</f>
        <v>0.025</v>
      </c>
      <c r="R21" s="7" t="s">
        <v>444</v>
      </c>
      <c r="S21" s="13">
        <f>IF(AND(ISNUMBER('Ввод'!B27),'Ввод'!B27&gt;0,ISNUMBER(F21),F21&gt;0,ISNUMBER(H21),H21&gt;0,ISNUMBER('Ввод'!B25)),INT(('Ввод'!B27+'Ввод'!B25*F21)/(4*F21+H21)),"")</f>
        <v>10</v>
      </c>
      <c r="T21" s="13">
        <f>IF(ISNUMBER(S21),'Ввод'!B27+'Ввод'!B25*F21-S21*(4*F21+H21),"")</f>
        <v>747.599999999999</v>
      </c>
      <c r="U21" s="13">
        <f>IF(AND(ISNUMBER('Ввод'!B27),'Ввод'!B27&gt;0,ISNUMBER(J21),J21&gt;0,ISNUMBER(H21),H21&gt;0,ISNUMBER('Ввод'!B25)),INT(('Ввод'!B27+'Ввод'!B25*J21)/(4*J21+H21)),"")</f>
        <v>10</v>
      </c>
      <c r="V21" s="13">
        <f>IF(ISNUMBER(U21),'Ввод'!B27+'Ввод'!B25*J21-U21*(4*J21+H21),"")</f>
        <v>1103.56923076923</v>
      </c>
    </row>
    <row r="22" spans="1:22" ht="54" customHeight="1">
      <c r="A22" s="5">
        <v>15</v>
      </c>
      <c r="B22" s="5" t="s">
        <v>147</v>
      </c>
      <c r="C22" s="11" t="s">
        <v>443</v>
      </c>
      <c r="D22" s="13">
        <f>IF(COUNT('Замеры ДО'!S310,'Замеры ДО'!S312)=2,'Замеры ДО'!S310+'Замеры ДО'!S312,"")</f>
        <v>67.704</v>
      </c>
      <c r="E22" s="13">
        <f>'Ассортимент'!R22</f>
        <v>300</v>
      </c>
      <c r="F22" s="13">
        <f>IF(COUNT(D22:E22)=2,D22+E22,"")</f>
        <v>367.704</v>
      </c>
      <c r="G22" s="13">
        <f>'Ввод'!B24</f>
        <v>4</v>
      </c>
      <c r="H22" s="13">
        <f>IF(COUNT('Периодическая работа'!H8:H12)=5,SUM('Периодическая работа'!H8:H12),"")</f>
        <v>915</v>
      </c>
      <c r="I22" s="15">
        <f>IF(AND(ISNUMBER('Ввод'!B27),'Ввод'!B27&gt;0,ISNUMBER(F22),F22&gt;0,ISNUMBER(H22),H22&gt;0,ISNUMBER('Ввод'!B25)),MAX(0,4*S22+MAX(0,MIN(3,INT((T22-IF('Ввод'!B26=1,H22,0))/F22)))-'Ввод'!B25),"")</f>
        <v>40</v>
      </c>
      <c r="J22" s="13">
        <f>'Расчет ЦЕЛЬ'!R22</f>
        <v>358.754908869988</v>
      </c>
      <c r="K22" s="15">
        <f>IF(AND(ISNUMBER('Ввод'!B27),'Ввод'!B27&gt;0,ISNUMBER(J22),J22&gt;0,ISNUMBER(H22),H22&gt;0,ISNUMBER('Ввод'!B25)),MAX(0,4*U22+MAX(0,MIN(3,INT((V22-IF('Ввод'!B26=1,H22,0))/J22)))-'Ввод'!B25),"")</f>
        <v>40</v>
      </c>
      <c r="L22" s="13">
        <f>'Ассортимент'!O22</f>
        <v>1</v>
      </c>
      <c r="M22" s="13">
        <f>IF(AND(ISNUMBER(L22),ISNUMBER('Ввод'!B28),'Ввод'!B28&gt;0,ISNUMBER(F22),ISNUMBER(J22)),L22*F22+L22/'Ввод'!B28*SUM('Периодическая работа'!P8:P12),IF(L22=0,0,""))</f>
        <v>596.454</v>
      </c>
      <c r="N22" s="13">
        <f>IF(AND(ISNUMBER(L22),ISNUMBER('Ввод'!B28),'Ввод'!B28&gt;0,ISNUMBER(F22),ISNUMBER(J22)),L22*J22+L22/'Ввод'!B28*SUM('Периодическая работа'!Q8:Q12),IF(L22=0,0,""))</f>
        <v>587.504908869988</v>
      </c>
      <c r="O22" s="16">
        <f>IF(AND(ISNUMBER('Ввод'!B27),'Ввод'!B27&gt;0,ISNUMBER(M22)),M22/'Ввод'!B27,"")</f>
        <v>0.0242460975609756</v>
      </c>
      <c r="P22" s="16">
        <f>IF(AND(ISNUMBER('Ввод'!B27),'Ввод'!B27&gt;0,ISNUMBER(N22)),N22/'Ввод'!B27,"")</f>
        <v>0.0238823133686987</v>
      </c>
      <c r="Q22" s="16">
        <f>IF(AND(ISNUMBER(I22),I22&gt;0,ISNUMBER(L22)),L22/I22,"")</f>
        <v>0.025</v>
      </c>
      <c r="R22" s="7" t="s">
        <v>444</v>
      </c>
      <c r="S22" s="13">
        <f>IF(AND(ISNUMBER('Ввод'!B27),'Ввод'!B27&gt;0,ISNUMBER(F22),F22&gt;0,ISNUMBER(H22),H22&gt;0,ISNUMBER('Ввод'!B25)),INT(('Ввод'!B27+'Ввод'!B25*F22)/(4*F22+H22)),"")</f>
        <v>10</v>
      </c>
      <c r="T22" s="13">
        <f>IF(ISNUMBER(S22),'Ввод'!B27+'Ввод'!B25*F22-S22*(4*F22+H22),"")</f>
        <v>741.839999999997</v>
      </c>
      <c r="U22" s="13">
        <f>IF(AND(ISNUMBER('Ввод'!B27),'Ввод'!B27&gt;0,ISNUMBER(J22),J22&gt;0,ISNUMBER(H22),H22&gt;0,ISNUMBER('Ввод'!B25)),INT(('Ввод'!B27+'Ввод'!B25*J22)/(4*J22+H22)),"")</f>
        <v>10</v>
      </c>
      <c r="V22" s="13">
        <f>IF(ISNUMBER(U22),'Ввод'!B27+'Ввод'!B25*J22-U22*(4*J22+H22),"")</f>
        <v>1099.80364520049</v>
      </c>
    </row>
    <row r="23" spans="1:22" ht="54" customHeight="1">
      <c r="A23" s="5">
        <v>16</v>
      </c>
      <c r="B23" s="5" t="s">
        <v>148</v>
      </c>
      <c r="C23" s="11" t="s">
        <v>443</v>
      </c>
      <c r="D23" s="13">
        <f>IF(COUNT('Замеры ДО'!S331,'Замеры ДО'!S333)=2,'Замеры ДО'!S331+'Замеры ДО'!S333,"")</f>
        <v>67.6281081081081</v>
      </c>
      <c r="E23" s="13">
        <f>'Ассортимент'!R23</f>
        <v>300</v>
      </c>
      <c r="F23" s="13">
        <f>IF(COUNT(D23:E23)=2,D23+E23,"")</f>
        <v>367.628108108108</v>
      </c>
      <c r="G23" s="13">
        <f>'Ввод'!B24</f>
        <v>4</v>
      </c>
      <c r="H23" s="13">
        <f>IF(COUNT('Периодическая работа'!H8:H12)=5,SUM('Периодическая работа'!H8:H12),"")</f>
        <v>915</v>
      </c>
      <c r="I23" s="15">
        <f>IF(AND(ISNUMBER('Ввод'!B27),'Ввод'!B27&gt;0,ISNUMBER(F23),F23&gt;0,ISNUMBER(H23),H23&gt;0,ISNUMBER('Ввод'!B25)),MAX(0,4*S23+MAX(0,MIN(3,INT((T23-IF('Ввод'!B26=1,H23,0))/F23)))-'Ввод'!B25),"")</f>
        <v>40</v>
      </c>
      <c r="J23" s="13">
        <f>'Расчет ЦЕЛЬ'!R23</f>
        <v>358.705143184422</v>
      </c>
      <c r="K23" s="15">
        <f>IF(AND(ISNUMBER('Ввод'!B27),'Ввод'!B27&gt;0,ISNUMBER(J23),J23&gt;0,ISNUMBER(H23),H23&gt;0,ISNUMBER('Ввод'!B25)),MAX(0,4*U23+MAX(0,MIN(3,INT((V23-IF('Ввод'!B26=1,H23,0))/J23)))-'Ввод'!B25),"")</f>
        <v>40</v>
      </c>
      <c r="L23" s="13">
        <f>'Ассортимент'!O23</f>
        <v>1</v>
      </c>
      <c r="M23" s="13">
        <f>IF(AND(ISNUMBER(L23),ISNUMBER('Ввод'!B28),'Ввод'!B28&gt;0,ISNUMBER(F23),ISNUMBER(J23)),L23*F23+L23/'Ввод'!B28*SUM('Периодическая работа'!P8:P12),IF(L23=0,0,""))</f>
        <v>596.378108108108</v>
      </c>
      <c r="N23" s="13">
        <f>IF(AND(ISNUMBER(L23),ISNUMBER('Ввод'!B28),'Ввод'!B28&gt;0,ISNUMBER(F23),ISNUMBER(J23)),L23*J23+L23/'Ввод'!B28*SUM('Периодическая работа'!Q8:Q12),IF(L23=0,0,""))</f>
        <v>587.455143184422</v>
      </c>
      <c r="O23" s="16">
        <f>IF(AND(ISNUMBER('Ввод'!B27),'Ввод'!B27&gt;0,ISNUMBER(M23)),M23/'Ввод'!B27,"")</f>
        <v>0.0242430125247198</v>
      </c>
      <c r="P23" s="16">
        <f>IF(AND(ISNUMBER('Ввод'!B27),'Ввод'!B27&gt;0,ISNUMBER(N23)),N23/'Ввод'!B27,"")</f>
        <v>0.0238802903733505</v>
      </c>
      <c r="Q23" s="16">
        <f>IF(AND(ISNUMBER(I23),I23&gt;0,ISNUMBER(L23)),L23/I23,"")</f>
        <v>0.025</v>
      </c>
      <c r="R23" s="7" t="s">
        <v>444</v>
      </c>
      <c r="S23" s="13">
        <f>IF(AND(ISNUMBER('Ввод'!B27),'Ввод'!B27&gt;0,ISNUMBER(F23),F23&gt;0,ISNUMBER(H23),H23&gt;0,ISNUMBER('Ввод'!B25)),INT(('Ввод'!B27+'Ввод'!B25*F23)/(4*F23+H23)),"")</f>
        <v>10</v>
      </c>
      <c r="T23" s="13">
        <f>IF(ISNUMBER(S23),'Ввод'!B27+'Ввод'!B25*F23-S23*(4*F23+H23),"")</f>
        <v>744.875675675677</v>
      </c>
      <c r="U23" s="13">
        <f>IF(AND(ISNUMBER('Ввод'!B27),'Ввод'!B27&gt;0,ISNUMBER(J23),J23&gt;0,ISNUMBER(H23),H23&gt;0,ISNUMBER('Ввод'!B25)),INT(('Ввод'!B27+'Ввод'!B25*J23)/(4*J23+H23)),"")</f>
        <v>10</v>
      </c>
      <c r="V23" s="13">
        <f>IF(ISNUMBER(U23),'Ввод'!B27+'Ввод'!B25*J23-U23*(4*J23+H23),"")</f>
        <v>1101.79427262314</v>
      </c>
    </row>
    <row r="24" spans="1:22" ht="54" customHeight="1">
      <c r="A24" s="5">
        <v>17</v>
      </c>
      <c r="B24" s="5" t="s">
        <v>149</v>
      </c>
      <c r="C24" s="11" t="s">
        <v>443</v>
      </c>
      <c r="D24" s="13">
        <f>IF(COUNT('Замеры ДО'!S352,'Замеры ДО'!S354)=2,'Замеры ДО'!S352+'Замеры ДО'!S354,"")</f>
        <v>67.835625</v>
      </c>
      <c r="E24" s="13">
        <f>'Ассортимент'!R24</f>
        <v>300</v>
      </c>
      <c r="F24" s="13">
        <f>IF(COUNT(D24:E24)=2,D24+E24,"")</f>
        <v>367.835625</v>
      </c>
      <c r="G24" s="13">
        <f>'Ввод'!B24</f>
        <v>4</v>
      </c>
      <c r="H24" s="13">
        <f>IF(COUNT('Периодическая работа'!H8:H12)=5,SUM('Периодическая работа'!H8:H12),"")</f>
        <v>915</v>
      </c>
      <c r="I24" s="15">
        <f>IF(AND(ISNUMBER('Ввод'!B27),'Ввод'!B27&gt;0,ISNUMBER(F24),F24&gt;0,ISNUMBER(H24),H24&gt;0,ISNUMBER('Ввод'!B25)),MAX(0,4*S24+MAX(0,MIN(3,INT((T24-IF('Ввод'!B26=1,H24,0))/F24)))-'Ввод'!B25),"")</f>
        <v>40</v>
      </c>
      <c r="J24" s="13">
        <f>'Расчет ЦЕЛЬ'!R24</f>
        <v>358.842032085562</v>
      </c>
      <c r="K24" s="15">
        <f>IF(AND(ISNUMBER('Ввод'!B27),'Ввод'!B27&gt;0,ISNUMBER(J24),J24&gt;0,ISNUMBER(H24),H24&gt;0,ISNUMBER('Ввод'!B25)),MAX(0,4*U24+MAX(0,MIN(3,INT((V24-IF('Ввод'!B26=1,H24,0))/J24)))-'Ввод'!B25),"")</f>
        <v>40</v>
      </c>
      <c r="L24" s="13">
        <f>'Ассортимент'!O24</f>
        <v>1</v>
      </c>
      <c r="M24" s="13">
        <f>IF(AND(ISNUMBER(L24),ISNUMBER('Ввод'!B28),'Ввод'!B28&gt;0,ISNUMBER(F24),ISNUMBER(J24)),L24*F24+L24/'Ввод'!B28*SUM('Периодическая работа'!P8:P12),IF(L24=0,0,""))</f>
        <v>596.585625</v>
      </c>
      <c r="N24" s="13">
        <f>IF(AND(ISNUMBER(L24),ISNUMBER('Ввод'!B28),'Ввод'!B28&gt;0,ISNUMBER(F24),ISNUMBER(J24)),L24*J24+L24/'Ввод'!B28*SUM('Периодическая работа'!Q8:Q12),IF(L24=0,0,""))</f>
        <v>587.592032085562</v>
      </c>
      <c r="O24" s="16">
        <f>IF(AND(ISNUMBER('Ввод'!B27),'Ввод'!B27&gt;0,ISNUMBER(M24)),M24/'Ввод'!B27,"")</f>
        <v>0.0242514481707317</v>
      </c>
      <c r="P24" s="16">
        <f>IF(AND(ISNUMBER('Ввод'!B27),'Ввод'!B27&gt;0,ISNUMBER(N24)),N24/'Ввод'!B27,"")</f>
        <v>0.0238858549628277</v>
      </c>
      <c r="Q24" s="16">
        <f>IF(AND(ISNUMBER(I24),I24&gt;0,ISNUMBER(L24)),L24/I24,"")</f>
        <v>0.025</v>
      </c>
      <c r="R24" s="7" t="s">
        <v>444</v>
      </c>
      <c r="S24" s="13">
        <f>IF(AND(ISNUMBER('Ввод'!B27),'Ввод'!B27&gt;0,ISNUMBER(F24),F24&gt;0,ISNUMBER(H24),H24&gt;0,ISNUMBER('Ввод'!B25)),INT(('Ввод'!B27+'Ввод'!B25*F24)/(4*F24+H24)),"")</f>
        <v>10</v>
      </c>
      <c r="T24" s="13">
        <f>IF(ISNUMBER(S24),'Ввод'!B27+'Ввод'!B25*F24-S24*(4*F24+H24),"")</f>
        <v>736.575000000004</v>
      </c>
      <c r="U24" s="13">
        <f>IF(AND(ISNUMBER('Ввод'!B27),'Ввод'!B27&gt;0,ISNUMBER(J24),J24&gt;0,ISNUMBER(H24),H24&gt;0,ISNUMBER('Ввод'!B25)),INT(('Ввод'!B27+'Ввод'!B25*J24)/(4*J24+H24)),"")</f>
        <v>10</v>
      </c>
      <c r="V24" s="13">
        <f>IF(ISNUMBER(U24),'Ввод'!B27+'Ввод'!B25*J24-U24*(4*J24+H24),"")</f>
        <v>1096.31871657754</v>
      </c>
    </row>
    <row r="25" spans="1:22" ht="54" customHeight="1">
      <c r="A25" s="5">
        <v>18</v>
      </c>
      <c r="B25" s="5" t="s">
        <v>150</v>
      </c>
      <c r="C25" s="11" t="s">
        <v>443</v>
      </c>
      <c r="D25" s="13">
        <f>IF(COUNT('Замеры ДО'!S373,'Замеры ДО'!S375)=2,'Замеры ДО'!S373+'Замеры ДО'!S375,"")</f>
        <v>67.835625</v>
      </c>
      <c r="E25" s="13">
        <f>'Ассортимент'!R25</f>
        <v>300</v>
      </c>
      <c r="F25" s="13">
        <f>IF(COUNT(D25:E25)=2,D25+E25,"")</f>
        <v>367.835625</v>
      </c>
      <c r="G25" s="13">
        <f>'Ввод'!B24</f>
        <v>4</v>
      </c>
      <c r="H25" s="13">
        <f>IF(COUNT('Периодическая работа'!H8:H12)=5,SUM('Периодическая работа'!H8:H12),"")</f>
        <v>915</v>
      </c>
      <c r="I25" s="15">
        <f>IF(AND(ISNUMBER('Ввод'!B27),'Ввод'!B27&gt;0,ISNUMBER(F25),F25&gt;0,ISNUMBER(H25),H25&gt;0,ISNUMBER('Ввод'!B25)),MAX(0,4*S25+MAX(0,MIN(3,INT((T25-IF('Ввод'!B26=1,H25,0))/F25)))-'Ввод'!B25),"")</f>
        <v>40</v>
      </c>
      <c r="J25" s="13">
        <f>'Расчет ЦЕЛЬ'!R25</f>
        <v>358.842032085562</v>
      </c>
      <c r="K25" s="15">
        <f>IF(AND(ISNUMBER('Ввод'!B27),'Ввод'!B27&gt;0,ISNUMBER(J25),J25&gt;0,ISNUMBER(H25),H25&gt;0,ISNUMBER('Ввод'!B25)),MAX(0,4*U25+MAX(0,MIN(3,INT((V25-IF('Ввод'!B26=1,H25,0))/J25)))-'Ввод'!B25),"")</f>
        <v>40</v>
      </c>
      <c r="L25" s="13">
        <f>'Ассортимент'!O25</f>
        <v>1</v>
      </c>
      <c r="M25" s="13">
        <f>IF(AND(ISNUMBER(L25),ISNUMBER('Ввод'!B28),'Ввод'!B28&gt;0,ISNUMBER(F25),ISNUMBER(J25)),L25*F25+L25/'Ввод'!B28*SUM('Периодическая работа'!P8:P12),IF(L25=0,0,""))</f>
        <v>596.585625</v>
      </c>
      <c r="N25" s="13">
        <f>IF(AND(ISNUMBER(L25),ISNUMBER('Ввод'!B28),'Ввод'!B28&gt;0,ISNUMBER(F25),ISNUMBER(J25)),L25*J25+L25/'Ввод'!B28*SUM('Периодическая работа'!Q8:Q12),IF(L25=0,0,""))</f>
        <v>587.592032085562</v>
      </c>
      <c r="O25" s="16">
        <f>IF(AND(ISNUMBER('Ввод'!B27),'Ввод'!B27&gt;0,ISNUMBER(M25)),M25/'Ввод'!B27,"")</f>
        <v>0.0242514481707317</v>
      </c>
      <c r="P25" s="16">
        <f>IF(AND(ISNUMBER('Ввод'!B27),'Ввод'!B27&gt;0,ISNUMBER(N25)),N25/'Ввод'!B27,"")</f>
        <v>0.0238858549628277</v>
      </c>
      <c r="Q25" s="16">
        <f>IF(AND(ISNUMBER(I25),I25&gt;0,ISNUMBER(L25)),L25/I25,"")</f>
        <v>0.025</v>
      </c>
      <c r="R25" s="7" t="s">
        <v>444</v>
      </c>
      <c r="S25" s="13">
        <f>IF(AND(ISNUMBER('Ввод'!B27),'Ввод'!B27&gt;0,ISNUMBER(F25),F25&gt;0,ISNUMBER(H25),H25&gt;0,ISNUMBER('Ввод'!B25)),INT(('Ввод'!B27+'Ввод'!B25*F25)/(4*F25+H25)),"")</f>
        <v>10</v>
      </c>
      <c r="T25" s="13">
        <f>IF(ISNUMBER(S25),'Ввод'!B27+'Ввод'!B25*F25-S25*(4*F25+H25),"")</f>
        <v>736.575000000004</v>
      </c>
      <c r="U25" s="13">
        <f>IF(AND(ISNUMBER('Ввод'!B27),'Ввод'!B27&gt;0,ISNUMBER(J25),J25&gt;0,ISNUMBER(H25),H25&gt;0,ISNUMBER('Ввод'!B25)),INT(('Ввод'!B27+'Ввод'!B25*J25)/(4*J25+H25)),"")</f>
        <v>10</v>
      </c>
      <c r="V25" s="13">
        <f>IF(ISNUMBER(U25),'Ввод'!B27+'Ввод'!B25*J25-U25*(4*J25+H25),"")</f>
        <v>1096.31871657754</v>
      </c>
    </row>
    <row r="27" spans="1:22" ht="23" customHeight="1">
      <c r="B27" s="4" t="s">
        <v>445</v>
      </c>
      <c r="M27" s="6">
        <f>IF(COUNT(M8:M25)=18,SUM(M8:M25),"")</f>
        <v>18723.5030054034</v>
      </c>
      <c r="N27" s="6">
        <f>IF(COUNT(N8:N25)=18,SUM(N8:N25),"")</f>
        <v>18438.1501813799</v>
      </c>
      <c r="O27" s="16">
        <f>IF(COUNT(O8:O25)=18,SUM(O8:O25),"")</f>
        <v>0.761118008349732</v>
      </c>
      <c r="P27" s="16">
        <f>IF(COUNT(P8:P25)=18,SUM(P8:P25),"")</f>
        <v>0.749518300056092</v>
      </c>
    </row>
    <row r="29" spans="1:22" ht="23" customHeight="1">
      <c r="A29" s="2" t="s">
        <v>446</v>
      </c>
      <c r="B29" s="2"/>
      <c r="C29" s="2"/>
      <c r="D29" s="2"/>
      <c r="E29" s="2"/>
      <c r="F29" s="2"/>
      <c r="G29" s="2"/>
      <c r="H29" s="2"/>
      <c r="I29" s="2"/>
      <c r="J29" s="2"/>
      <c r="K29" s="2"/>
      <c r="L29" s="2"/>
      <c r="M29" s="2"/>
      <c r="N29" s="2"/>
      <c r="O29" s="2"/>
      <c r="P29" s="2"/>
      <c r="Q29" s="2"/>
      <c r="R29" s="2"/>
    </row>
    <row r="30" spans="1:22" ht="23" customHeight="1">
      <c r="A30" s="2"/>
      <c r="B30" s="2"/>
      <c r="C30" s="2"/>
      <c r="D30" s="2"/>
      <c r="E30" s="2"/>
      <c r="F30" s="2"/>
      <c r="G30" s="2"/>
      <c r="H30" s="2"/>
      <c r="I30" s="2"/>
      <c r="J30" s="2"/>
      <c r="K30" s="2"/>
      <c r="L30" s="2"/>
      <c r="M30" s="2"/>
      <c r="N30" s="2"/>
      <c r="O30" s="2"/>
      <c r="P30" s="2"/>
      <c r="Q30" s="2"/>
      <c r="R30" s="2"/>
    </row>
    <row r="31" spans="1:22" ht="23" customHeight="1">
      <c r="A31" s="2"/>
      <c r="B31" s="2"/>
      <c r="C31" s="2"/>
      <c r="D31" s="2"/>
      <c r="E31" s="2"/>
      <c r="F31" s="2"/>
      <c r="G31" s="2"/>
      <c r="H31" s="2"/>
      <c r="I31" s="2"/>
      <c r="J31" s="2"/>
      <c r="K31" s="2"/>
      <c r="L31" s="2"/>
      <c r="M31" s="2"/>
      <c r="N31" s="2"/>
      <c r="O31" s="2"/>
      <c r="P31" s="2"/>
      <c r="Q31" s="2"/>
      <c r="R31" s="2"/>
    </row>
    <row r="33" spans="1:18" ht="23" customHeight="1">
      <c r="B33" s="6">
        <f>'Ввод'!B22</f>
        <v>1</v>
      </c>
      <c r="C33" s="5" t="s">
        <v>447</v>
      </c>
      <c r="D33" s="5"/>
      <c r="E33" s="5"/>
      <c r="F33" s="5"/>
      <c r="G33" s="5"/>
      <c r="H33" s="5"/>
    </row>
    <row r="34" spans="1:18" ht="23" customHeight="1">
      <c r="B34" s="6">
        <f>'Расчет ДО'!B43</f>
        <v>1</v>
      </c>
      <c r="C34" s="5" t="s">
        <v>448</v>
      </c>
      <c r="D34" s="5"/>
      <c r="E34" s="5"/>
      <c r="F34" s="5"/>
      <c r="G34" s="5"/>
      <c r="H34" s="5"/>
    </row>
    <row r="35" spans="1:18" ht="23" customHeight="1">
      <c r="B35" s="6">
        <f>'Расчет ЦЕЛЬ'!B43</f>
        <v>1</v>
      </c>
      <c r="C35" s="5" t="s">
        <v>449</v>
      </c>
      <c r="D35" s="5"/>
      <c r="E35" s="5"/>
      <c r="F35" s="5"/>
      <c r="G35" s="5"/>
      <c r="H35" s="5"/>
    </row>
    <row r="37" spans="1:18" ht="23" customHeight="1">
      <c r="A37" s="7" t="s">
        <v>450</v>
      </c>
      <c r="B37" s="7"/>
      <c r="C37" s="7"/>
      <c r="D37" s="7"/>
      <c r="E37" s="7"/>
      <c r="F37" s="7"/>
      <c r="G37" s="7"/>
      <c r="H37" s="7"/>
      <c r="I37" s="7"/>
      <c r="J37" s="7"/>
      <c r="K37" s="7"/>
      <c r="L37" s="7"/>
      <c r="M37" s="7"/>
      <c r="N37" s="7"/>
      <c r="O37" s="7"/>
      <c r="P37" s="7"/>
      <c r="Q37" s="7"/>
      <c r="R37" s="7"/>
    </row>
    <row r="38" spans="1:18" ht="23" customHeight="1">
      <c r="A38" s="7"/>
      <c r="B38" s="7"/>
      <c r="C38" s="7"/>
      <c r="D38" s="7"/>
      <c r="E38" s="7"/>
      <c r="F38" s="7"/>
      <c r="G38" s="7"/>
      <c r="H38" s="7"/>
      <c r="I38" s="7"/>
      <c r="J38" s="7"/>
      <c r="K38" s="7"/>
      <c r="L38" s="7"/>
      <c r="M38" s="7"/>
      <c r="N38" s="7"/>
      <c r="O38" s="7"/>
      <c r="P38" s="7"/>
      <c r="Q38" s="7"/>
      <c r="R38" s="7"/>
    </row>
    <row r="39" spans="1:18" ht="23" customHeight="1">
      <c r="A39" s="7"/>
      <c r="B39" s="7"/>
      <c r="C39" s="7"/>
      <c r="D39" s="7"/>
      <c r="E39" s="7"/>
      <c r="F39" s="7"/>
      <c r="G39" s="7"/>
      <c r="H39" s="7"/>
      <c r="I39" s="7"/>
      <c r="J39" s="7"/>
      <c r="K39" s="7"/>
      <c r="L39" s="7"/>
      <c r="M39" s="7"/>
      <c r="N39" s="7"/>
      <c r="O39" s="7"/>
      <c r="P39" s="7"/>
      <c r="Q39" s="7"/>
      <c r="R39" s="7"/>
    </row>
  </sheetData>
  <sheetProtection sheet="1" objects="1" scenarios="1" sort="0" autoFilter="0"/>
  <mergeCells count="9">
    <mergeCell ref="A1:R1"/>
    <mergeCell ref="A2:R2"/>
    <mergeCell ref="B3:R3"/>
    <mergeCell ref="A5:R5"/>
    <mergeCell ref="A29:R31"/>
    <mergeCell ref="C33:H33"/>
    <mergeCell ref="C34:H34"/>
    <mergeCell ref="C35:H35"/>
    <mergeCell ref="A37:R39"/>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&amp;LПроизводственная способность&amp;RСтр. &amp;P / &amp;N</oddFooter>
  </headerFooter>
</worksheet>
</file>

<file path=xl/worksheets/sheet15.xml><?xml version="1.0" encoding="utf-8"?>
<worksheet xmlns="http://schemas.openxmlformats.org/spreadsheetml/2006/main" xmlns:r="http://schemas.openxmlformats.org/officeDocument/2006/relationships">
  <sheetPr>
    <tabColor rgb="FF147D92"/>
    <pageSetUpPr fitToPage="1"/>
  </sheetPr>
  <dimension ref="A1:AS3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5.7109375" customWidth="1"/>
    <col min="2" max="2" width="45.7109375" customWidth="1"/>
    <col min="3" max="8" width="12.7109375" customWidth="1"/>
    <col min="9" max="9" width="23.7109375" customWidth="1"/>
    <col min="10" max="45" width="3.42578125" customWidth="1"/>
  </cols>
  <sheetData>
    <row r="1" spans="1:45" ht="35" customHeight="1">
      <c r="A1" s="1" t="s">
        <v>451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1"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ht="23" customHeight="1">
      <c r="A3" s="3" t="s">
        <v>2</v>
      </c>
      <c r="B3" s="7" t="s">
        <v>3</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row>
    <row r="4" spans="1:45"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ht="23" customHeight="1">
      <c r="A6" s="7" t="s">
        <v>452</v>
      </c>
      <c r="B6" s="7"/>
      <c r="C6" s="7"/>
      <c r="D6" s="7"/>
      <c r="E6" s="7"/>
      <c r="F6" s="7"/>
      <c r="G6" s="13">
        <f>IF(AND(ISNUMBER(IF('Ввод'!$B$29&gt;0,INDEX('Замеры ДО'!$O$1:$O$382,7+('Ввод'!$B$29-1)*21+17),"")),ISNUMBER('Ввод'!B30)),MAX('Ввод'!B30,(IF('Ввод'!$B$29&gt;0,INDEX('Замеры ДО'!$O$1:$O$382,7+('Ввод'!$B$29-1)*21+17),""))*1.05)/36,1)</f>
        <v>21.3610833333333</v>
      </c>
      <c r="H6" s="7" t="s">
        <v>453</v>
      </c>
    </row>
    <row r="8" spans="1:45" ht="44" customHeight="1">
      <c r="A8" s="8" t="s">
        <v>113</v>
      </c>
      <c r="B8" s="8" t="s">
        <v>156</v>
      </c>
      <c r="C8" s="8" t="s">
        <v>287</v>
      </c>
      <c r="D8" s="8" t="s">
        <v>429</v>
      </c>
      <c r="E8" s="8" t="s">
        <v>454</v>
      </c>
      <c r="F8" s="8" t="s">
        <v>455</v>
      </c>
      <c r="G8" s="8" t="s">
        <v>456</v>
      </c>
      <c r="H8" s="8" t="s">
        <v>457</v>
      </c>
      <c r="I8" s="8" t="s">
        <v>458</v>
      </c>
      <c r="J8" s="15">
        <f>0*$G$6</f>
        <v>0</v>
      </c>
      <c r="K8" s="15">
        <f>1*$G$6</f>
        <v>21.3610833333333</v>
      </c>
      <c r="L8" s="15">
        <f>2*$G$6</f>
        <v>42.7221666666667</v>
      </c>
      <c r="M8" s="15">
        <f>3*$G$6</f>
        <v>64.08325</v>
      </c>
      <c r="N8" s="15">
        <f>4*$G$6</f>
        <v>85.4443333333333</v>
      </c>
      <c r="O8" s="15">
        <f>5*$G$6</f>
        <v>106.805416666667</v>
      </c>
      <c r="P8" s="15">
        <f>6*$G$6</f>
        <v>128.1665</v>
      </c>
      <c r="Q8" s="15">
        <f>7*$G$6</f>
        <v>149.527583333333</v>
      </c>
      <c r="R8" s="15">
        <f>8*$G$6</f>
        <v>170.888666666667</v>
      </c>
      <c r="S8" s="15">
        <f>9*$G$6</f>
        <v>192.24975</v>
      </c>
      <c r="T8" s="15">
        <f>10*$G$6</f>
        <v>213.610833333333</v>
      </c>
      <c r="U8" s="15">
        <f>11*$G$6</f>
        <v>234.971916666667</v>
      </c>
      <c r="V8" s="15">
        <f>12*$G$6</f>
        <v>256.333</v>
      </c>
      <c r="W8" s="15">
        <f>13*$G$6</f>
        <v>277.694083333333</v>
      </c>
      <c r="X8" s="15">
        <f>14*$G$6</f>
        <v>299.055166666667</v>
      </c>
      <c r="Y8" s="15">
        <f>15*$G$6</f>
        <v>320.41625</v>
      </c>
      <c r="Z8" s="15">
        <f>16*$G$6</f>
        <v>341.777333333333</v>
      </c>
      <c r="AA8" s="15">
        <f>17*$G$6</f>
        <v>363.138416666667</v>
      </c>
      <c r="AB8" s="15">
        <f>18*$G$6</f>
        <v>384.4995</v>
      </c>
      <c r="AC8" s="15">
        <f>19*$G$6</f>
        <v>405.860583333333</v>
      </c>
      <c r="AD8" s="15">
        <f>20*$G$6</f>
        <v>427.221666666667</v>
      </c>
      <c r="AE8" s="15">
        <f>21*$G$6</f>
        <v>448.58275</v>
      </c>
      <c r="AF8" s="15">
        <f>22*$G$6</f>
        <v>469.943833333333</v>
      </c>
      <c r="AG8" s="15">
        <f>23*$G$6</f>
        <v>491.304916666667</v>
      </c>
      <c r="AH8" s="15">
        <f>24*$G$6</f>
        <v>512.666</v>
      </c>
      <c r="AI8" s="15">
        <f>25*$G$6</f>
        <v>534.027083333333</v>
      </c>
      <c r="AJ8" s="15">
        <f>26*$G$6</f>
        <v>555.388166666667</v>
      </c>
      <c r="AK8" s="15">
        <f>27*$G$6</f>
        <v>576.74925</v>
      </c>
      <c r="AL8" s="15">
        <f>28*$G$6</f>
        <v>598.110333333333</v>
      </c>
      <c r="AM8" s="15">
        <f>29*$G$6</f>
        <v>619.471416666667</v>
      </c>
      <c r="AN8" s="15">
        <f>30*$G$6</f>
        <v>640.8325</v>
      </c>
      <c r="AO8" s="15">
        <f>31*$G$6</f>
        <v>662.193583333333</v>
      </c>
      <c r="AP8" s="15">
        <f>32*$G$6</f>
        <v>683.554666666667</v>
      </c>
      <c r="AQ8" s="15">
        <f>33*$G$6</f>
        <v>704.91575</v>
      </c>
      <c r="AR8" s="15">
        <f>34*$G$6</f>
        <v>726.276833333333</v>
      </c>
      <c r="AS8" s="15">
        <f>35*$G$6</f>
        <v>747.637916666667</v>
      </c>
    </row>
    <row r="9" spans="1:45" ht="43" customHeight="1">
      <c r="A9" s="5">
        <v>1</v>
      </c>
      <c r="B9" s="5" t="s">
        <v>182</v>
      </c>
      <c r="C9" s="13">
        <f>IF('Ввод'!$B$29&gt;0,INDEX('Замеры ДО'!$S$1:$S$382,7+('Ввод'!$B$29-1)*21+5),"")</f>
        <v>25.9108695652174</v>
      </c>
      <c r="D9" s="13">
        <f>0</f>
        <v>0</v>
      </c>
      <c r="E9" s="13">
        <f>0</f>
        <v>0</v>
      </c>
      <c r="F9" s="13">
        <f>0</f>
        <v>0</v>
      </c>
      <c r="G9" s="13">
        <f>0</f>
        <v>0</v>
      </c>
      <c r="H9" s="13">
        <f>IF(COUNT(C9:G9)=5,G9+C9+F9+MAX(D9,E9),"")</f>
        <v>25.9108695652174</v>
      </c>
      <c r="I9" s="5" t="s">
        <v>459</v>
      </c>
      <c r="J9" s="5" t="str">
        <f>IF(AND(J$8&lt;$H9,J$8+$G$6&gt;$G9),"■","")</f>
        <v>■</v>
      </c>
      <c r="K9" s="5" t="str">
        <f>IF(AND(K$8&lt;$H9,K$8+$G$6&gt;$G9),"■","")</f>
        <v>■</v>
      </c>
      <c r="L9" s="5" t="str">
        <f>IF(AND(L$8&lt;$H9,L$8+$G$6&gt;$G9),"■","")</f>
        <v/>
      </c>
      <c r="M9" s="5" t="str">
        <f>IF(AND(M$8&lt;$H9,M$8+$G$6&gt;$G9),"■","")</f>
        <v/>
      </c>
      <c r="N9" s="5" t="str">
        <f>IF(AND(N$8&lt;$H9,N$8+$G$6&gt;$G9),"■","")</f>
        <v/>
      </c>
      <c r="O9" s="5" t="str">
        <f>IF(AND(O$8&lt;$H9,O$8+$G$6&gt;$G9),"■","")</f>
        <v/>
      </c>
      <c r="P9" s="5" t="str">
        <f>IF(AND(P$8&lt;$H9,P$8+$G$6&gt;$G9),"■","")</f>
        <v/>
      </c>
      <c r="Q9" s="5" t="str">
        <f>IF(AND(Q$8&lt;$H9,Q$8+$G$6&gt;$G9),"■","")</f>
        <v/>
      </c>
      <c r="R9" s="5" t="str">
        <f>IF(AND(R$8&lt;$H9,R$8+$G$6&gt;$G9),"■","")</f>
        <v/>
      </c>
      <c r="S9" s="5" t="str">
        <f>IF(AND(S$8&lt;$H9,S$8+$G$6&gt;$G9),"■","")</f>
        <v/>
      </c>
      <c r="T9" s="5" t="str">
        <f>IF(AND(T$8&lt;$H9,T$8+$G$6&gt;$G9),"■","")</f>
        <v/>
      </c>
      <c r="U9" s="5" t="str">
        <f>IF(AND(U$8&lt;$H9,U$8+$G$6&gt;$G9),"■","")</f>
        <v/>
      </c>
      <c r="V9" s="5" t="str">
        <f>IF(AND(V$8&lt;$H9,V$8+$G$6&gt;$G9),"■","")</f>
        <v/>
      </c>
      <c r="W9" s="5" t="str">
        <f>IF(AND(W$8&lt;$H9,W$8+$G$6&gt;$G9),"■","")</f>
        <v/>
      </c>
      <c r="X9" s="5" t="str">
        <f>IF(AND(X$8&lt;$H9,X$8+$G$6&gt;$G9),"■","")</f>
        <v/>
      </c>
      <c r="Y9" s="5" t="str">
        <f>IF(AND(Y$8&lt;$H9,Y$8+$G$6&gt;$G9),"■","")</f>
        <v/>
      </c>
      <c r="Z9" s="5" t="str">
        <f>IF(AND(Z$8&lt;$H9,Z$8+$G$6&gt;$G9),"■","")</f>
        <v/>
      </c>
      <c r="AA9" s="5" t="str">
        <f>IF(AND(AA$8&lt;$H9,AA$8+$G$6&gt;$G9),"■","")</f>
        <v/>
      </c>
      <c r="AB9" s="5" t="str">
        <f>IF(AND(AB$8&lt;$H9,AB$8+$G$6&gt;$G9),"■","")</f>
        <v/>
      </c>
      <c r="AC9" s="5" t="str">
        <f>IF(AND(AC$8&lt;$H9,AC$8+$G$6&gt;$G9),"■","")</f>
        <v/>
      </c>
      <c r="AD9" s="5" t="str">
        <f>IF(AND(AD$8&lt;$H9,AD$8+$G$6&gt;$G9),"■","")</f>
        <v/>
      </c>
      <c r="AE9" s="5" t="str">
        <f>IF(AND(AE$8&lt;$H9,AE$8+$G$6&gt;$G9),"■","")</f>
        <v/>
      </c>
      <c r="AF9" s="5" t="str">
        <f>IF(AND(AF$8&lt;$H9,AF$8+$G$6&gt;$G9),"■","")</f>
        <v/>
      </c>
      <c r="AG9" s="5" t="str">
        <f>IF(AND(AG$8&lt;$H9,AG$8+$G$6&gt;$G9),"■","")</f>
        <v/>
      </c>
      <c r="AH9" s="5" t="str">
        <f>IF(AND(AH$8&lt;$H9,AH$8+$G$6&gt;$G9),"■","")</f>
        <v/>
      </c>
      <c r="AI9" s="5" t="str">
        <f>IF(AND(AI$8&lt;$H9,AI$8+$G$6&gt;$G9),"■","")</f>
        <v/>
      </c>
      <c r="AJ9" s="5" t="str">
        <f>IF(AND(AJ$8&lt;$H9,AJ$8+$G$6&gt;$G9),"■","")</f>
        <v/>
      </c>
      <c r="AK9" s="5" t="str">
        <f>IF(AND(AK$8&lt;$H9,AK$8+$G$6&gt;$G9),"■","")</f>
        <v/>
      </c>
      <c r="AL9" s="5" t="str">
        <f>IF(AND(AL$8&lt;$H9,AL$8+$G$6&gt;$G9),"■","")</f>
        <v/>
      </c>
      <c r="AM9" s="5" t="str">
        <f>IF(AND(AM$8&lt;$H9,AM$8+$G$6&gt;$G9),"■","")</f>
        <v/>
      </c>
      <c r="AN9" s="5" t="str">
        <f>IF(AND(AN$8&lt;$H9,AN$8+$G$6&gt;$G9),"■","")</f>
        <v/>
      </c>
      <c r="AO9" s="5" t="str">
        <f>IF(AND(AO$8&lt;$H9,AO$8+$G$6&gt;$G9),"■","")</f>
        <v/>
      </c>
      <c r="AP9" s="5" t="str">
        <f>IF(AND(AP$8&lt;$H9,AP$8+$G$6&gt;$G9),"■","")</f>
        <v/>
      </c>
      <c r="AQ9" s="5" t="str">
        <f>IF(AND(AQ$8&lt;$H9,AQ$8+$G$6&gt;$G9),"■","")</f>
        <v/>
      </c>
      <c r="AR9" s="5" t="str">
        <f>IF(AND(AR$8&lt;$H9,AR$8+$G$6&gt;$G9),"■","")</f>
        <v/>
      </c>
      <c r="AS9" s="5" t="str">
        <f>IF(AND(AS$8&lt;$H9,AS$8+$G$6&gt;$G9),"■","")</f>
        <v/>
      </c>
    </row>
    <row r="10" spans="1:45" ht="43" customHeight="1">
      <c r="A10" s="5">
        <v>2</v>
      </c>
      <c r="B10" s="5" t="s">
        <v>185</v>
      </c>
      <c r="C10" s="13">
        <f>IF('Ввод'!$B$29&gt;0,INDEX('Замеры ДО'!$S$1:$S$382,7+('Ввод'!$B$29-1)*21+6),"")</f>
        <v>103.64347826087</v>
      </c>
      <c r="D10" s="13">
        <f>0</f>
        <v>0</v>
      </c>
      <c r="E10" s="13">
        <f>0</f>
        <v>0</v>
      </c>
      <c r="F10" s="13">
        <f>0</f>
        <v>0</v>
      </c>
      <c r="G10" s="13">
        <f>H9</f>
        <v>25.9108695652174</v>
      </c>
      <c r="H10" s="13">
        <f>IF(COUNT(C10:G10)=5,G10+C10+F10+MAX(D10,E10),"")</f>
        <v>129.554347826087</v>
      </c>
      <c r="I10" s="5" t="s">
        <v>459</v>
      </c>
      <c r="J10" s="5" t="str">
        <f>IF(AND(J$8&lt;$H10,J$8+$G$6&gt;$G10),"■","")</f>
        <v/>
      </c>
      <c r="K10" s="5" t="str">
        <f>IF(AND(K$8&lt;$H10,K$8+$G$6&gt;$G10),"■","")</f>
        <v>■</v>
      </c>
      <c r="L10" s="5" t="str">
        <f>IF(AND(L$8&lt;$H10,L$8+$G$6&gt;$G10),"■","")</f>
        <v>■</v>
      </c>
      <c r="M10" s="5" t="str">
        <f>IF(AND(M$8&lt;$H10,M$8+$G$6&gt;$G10),"■","")</f>
        <v>■</v>
      </c>
      <c r="N10" s="5" t="str">
        <f>IF(AND(N$8&lt;$H10,N$8+$G$6&gt;$G10),"■","")</f>
        <v>■</v>
      </c>
      <c r="O10" s="5" t="str">
        <f>IF(AND(O$8&lt;$H10,O$8+$G$6&gt;$G10),"■","")</f>
        <v>■</v>
      </c>
      <c r="P10" s="5" t="str">
        <f>IF(AND(P$8&lt;$H10,P$8+$G$6&gt;$G10),"■","")</f>
        <v>■</v>
      </c>
      <c r="Q10" s="5" t="str">
        <f>IF(AND(Q$8&lt;$H10,Q$8+$G$6&gt;$G10),"■","")</f>
        <v/>
      </c>
      <c r="R10" s="5" t="str">
        <f>IF(AND(R$8&lt;$H10,R$8+$G$6&gt;$G10),"■","")</f>
        <v/>
      </c>
      <c r="S10" s="5" t="str">
        <f>IF(AND(S$8&lt;$H10,S$8+$G$6&gt;$G10),"■","")</f>
        <v/>
      </c>
      <c r="T10" s="5" t="str">
        <f>IF(AND(T$8&lt;$H10,T$8+$G$6&gt;$G10),"■","")</f>
        <v/>
      </c>
      <c r="U10" s="5" t="str">
        <f>IF(AND(U$8&lt;$H10,U$8+$G$6&gt;$G10),"■","")</f>
        <v/>
      </c>
      <c r="V10" s="5" t="str">
        <f>IF(AND(V$8&lt;$H10,V$8+$G$6&gt;$G10),"■","")</f>
        <v/>
      </c>
      <c r="W10" s="5" t="str">
        <f>IF(AND(W$8&lt;$H10,W$8+$G$6&gt;$G10),"■","")</f>
        <v/>
      </c>
      <c r="X10" s="5" t="str">
        <f>IF(AND(X$8&lt;$H10,X$8+$G$6&gt;$G10),"■","")</f>
        <v/>
      </c>
      <c r="Y10" s="5" t="str">
        <f>IF(AND(Y$8&lt;$H10,Y$8+$G$6&gt;$G10),"■","")</f>
        <v/>
      </c>
      <c r="Z10" s="5" t="str">
        <f>IF(AND(Z$8&lt;$H10,Z$8+$G$6&gt;$G10),"■","")</f>
        <v/>
      </c>
      <c r="AA10" s="5" t="str">
        <f>IF(AND(AA$8&lt;$H10,AA$8+$G$6&gt;$G10),"■","")</f>
        <v/>
      </c>
      <c r="AB10" s="5" t="str">
        <f>IF(AND(AB$8&lt;$H10,AB$8+$G$6&gt;$G10),"■","")</f>
        <v/>
      </c>
      <c r="AC10" s="5" t="str">
        <f>IF(AND(AC$8&lt;$H10,AC$8+$G$6&gt;$G10),"■","")</f>
        <v/>
      </c>
      <c r="AD10" s="5" t="str">
        <f>IF(AND(AD$8&lt;$H10,AD$8+$G$6&gt;$G10),"■","")</f>
        <v/>
      </c>
      <c r="AE10" s="5" t="str">
        <f>IF(AND(AE$8&lt;$H10,AE$8+$G$6&gt;$G10),"■","")</f>
        <v/>
      </c>
      <c r="AF10" s="5" t="str">
        <f>IF(AND(AF$8&lt;$H10,AF$8+$G$6&gt;$G10),"■","")</f>
        <v/>
      </c>
      <c r="AG10" s="5" t="str">
        <f>IF(AND(AG$8&lt;$H10,AG$8+$G$6&gt;$G10),"■","")</f>
        <v/>
      </c>
      <c r="AH10" s="5" t="str">
        <f>IF(AND(AH$8&lt;$H10,AH$8+$G$6&gt;$G10),"■","")</f>
        <v/>
      </c>
      <c r="AI10" s="5" t="str">
        <f>IF(AND(AI$8&lt;$H10,AI$8+$G$6&gt;$G10),"■","")</f>
        <v/>
      </c>
      <c r="AJ10" s="5" t="str">
        <f>IF(AND(AJ$8&lt;$H10,AJ$8+$G$6&gt;$G10),"■","")</f>
        <v/>
      </c>
      <c r="AK10" s="5" t="str">
        <f>IF(AND(AK$8&lt;$H10,AK$8+$G$6&gt;$G10),"■","")</f>
        <v/>
      </c>
      <c r="AL10" s="5" t="str">
        <f>IF(AND(AL$8&lt;$H10,AL$8+$G$6&gt;$G10),"■","")</f>
        <v/>
      </c>
      <c r="AM10" s="5" t="str">
        <f>IF(AND(AM$8&lt;$H10,AM$8+$G$6&gt;$G10),"■","")</f>
        <v/>
      </c>
      <c r="AN10" s="5" t="str">
        <f>IF(AND(AN$8&lt;$H10,AN$8+$G$6&gt;$G10),"■","")</f>
        <v/>
      </c>
      <c r="AO10" s="5" t="str">
        <f>IF(AND(AO$8&lt;$H10,AO$8+$G$6&gt;$G10),"■","")</f>
        <v/>
      </c>
      <c r="AP10" s="5" t="str">
        <f>IF(AND(AP$8&lt;$H10,AP$8+$G$6&gt;$G10),"■","")</f>
        <v/>
      </c>
      <c r="AQ10" s="5" t="str">
        <f>IF(AND(AQ$8&lt;$H10,AQ$8+$G$6&gt;$G10),"■","")</f>
        <v/>
      </c>
      <c r="AR10" s="5" t="str">
        <f>IF(AND(AR$8&lt;$H10,AR$8+$G$6&gt;$G10),"■","")</f>
        <v/>
      </c>
      <c r="AS10" s="5" t="str">
        <f>IF(AND(AS$8&lt;$H10,AS$8+$G$6&gt;$G10),"■","")</f>
        <v/>
      </c>
    </row>
    <row r="11" spans="1:45" ht="43" customHeight="1">
      <c r="A11" s="5">
        <v>3</v>
      </c>
      <c r="B11" s="5" t="s">
        <v>187</v>
      </c>
      <c r="C11" s="13">
        <f>IF('Ввод'!$B$29&gt;0,INDEX('Замеры ДО'!$S$1:$S$382,7+('Ввод'!$B$29-1)*21+7),"")</f>
        <v>22.8015652173913</v>
      </c>
      <c r="D11" s="13">
        <f>0</f>
        <v>0</v>
      </c>
      <c r="E11" s="13">
        <f>0</f>
        <v>0</v>
      </c>
      <c r="F11" s="13">
        <f>0</f>
        <v>0</v>
      </c>
      <c r="G11" s="13">
        <f>H10</f>
        <v>129.554347826087</v>
      </c>
      <c r="H11" s="13">
        <f>IF(COUNT(C11:G11)=5,G11+C11+F11+MAX(D11,E11),"")</f>
        <v>152.355913043478</v>
      </c>
      <c r="I11" s="5" t="s">
        <v>459</v>
      </c>
      <c r="J11" s="5" t="str">
        <f>IF(AND(J$8&lt;$H11,J$8+$G$6&gt;$G11),"■","")</f>
        <v/>
      </c>
      <c r="K11" s="5" t="str">
        <f>IF(AND(K$8&lt;$H11,K$8+$G$6&gt;$G11),"■","")</f>
        <v/>
      </c>
      <c r="L11" s="5" t="str">
        <f>IF(AND(L$8&lt;$H11,L$8+$G$6&gt;$G11),"■","")</f>
        <v/>
      </c>
      <c r="M11" s="5" t="str">
        <f>IF(AND(M$8&lt;$H11,M$8+$G$6&gt;$G11),"■","")</f>
        <v/>
      </c>
      <c r="N11" s="5" t="str">
        <f>IF(AND(N$8&lt;$H11,N$8+$G$6&gt;$G11),"■","")</f>
        <v/>
      </c>
      <c r="O11" s="5" t="str">
        <f>IF(AND(O$8&lt;$H11,O$8+$G$6&gt;$G11),"■","")</f>
        <v/>
      </c>
      <c r="P11" s="5" t="str">
        <f>IF(AND(P$8&lt;$H11,P$8+$G$6&gt;$G11),"■","")</f>
        <v>■</v>
      </c>
      <c r="Q11" s="5" t="str">
        <f>IF(AND(Q$8&lt;$H11,Q$8+$G$6&gt;$G11),"■","")</f>
        <v>■</v>
      </c>
      <c r="R11" s="5" t="str">
        <f>IF(AND(R$8&lt;$H11,R$8+$G$6&gt;$G11),"■","")</f>
        <v/>
      </c>
      <c r="S11" s="5" t="str">
        <f>IF(AND(S$8&lt;$H11,S$8+$G$6&gt;$G11),"■","")</f>
        <v/>
      </c>
      <c r="T11" s="5" t="str">
        <f>IF(AND(T$8&lt;$H11,T$8+$G$6&gt;$G11),"■","")</f>
        <v/>
      </c>
      <c r="U11" s="5" t="str">
        <f>IF(AND(U$8&lt;$H11,U$8+$G$6&gt;$G11),"■","")</f>
        <v/>
      </c>
      <c r="V11" s="5" t="str">
        <f>IF(AND(V$8&lt;$H11,V$8+$G$6&gt;$G11),"■","")</f>
        <v/>
      </c>
      <c r="W11" s="5" t="str">
        <f>IF(AND(W$8&lt;$H11,W$8+$G$6&gt;$G11),"■","")</f>
        <v/>
      </c>
      <c r="X11" s="5" t="str">
        <f>IF(AND(X$8&lt;$H11,X$8+$G$6&gt;$G11),"■","")</f>
        <v/>
      </c>
      <c r="Y11" s="5" t="str">
        <f>IF(AND(Y$8&lt;$H11,Y$8+$G$6&gt;$G11),"■","")</f>
        <v/>
      </c>
      <c r="Z11" s="5" t="str">
        <f>IF(AND(Z$8&lt;$H11,Z$8+$G$6&gt;$G11),"■","")</f>
        <v/>
      </c>
      <c r="AA11" s="5" t="str">
        <f>IF(AND(AA$8&lt;$H11,AA$8+$G$6&gt;$G11),"■","")</f>
        <v/>
      </c>
      <c r="AB11" s="5" t="str">
        <f>IF(AND(AB$8&lt;$H11,AB$8+$G$6&gt;$G11),"■","")</f>
        <v/>
      </c>
      <c r="AC11" s="5" t="str">
        <f>IF(AND(AC$8&lt;$H11,AC$8+$G$6&gt;$G11),"■","")</f>
        <v/>
      </c>
      <c r="AD11" s="5" t="str">
        <f>IF(AND(AD$8&lt;$H11,AD$8+$G$6&gt;$G11),"■","")</f>
        <v/>
      </c>
      <c r="AE11" s="5" t="str">
        <f>IF(AND(AE$8&lt;$H11,AE$8+$G$6&gt;$G11),"■","")</f>
        <v/>
      </c>
      <c r="AF11" s="5" t="str">
        <f>IF(AND(AF$8&lt;$H11,AF$8+$G$6&gt;$G11),"■","")</f>
        <v/>
      </c>
      <c r="AG11" s="5" t="str">
        <f>IF(AND(AG$8&lt;$H11,AG$8+$G$6&gt;$G11),"■","")</f>
        <v/>
      </c>
      <c r="AH11" s="5" t="str">
        <f>IF(AND(AH$8&lt;$H11,AH$8+$G$6&gt;$G11),"■","")</f>
        <v/>
      </c>
      <c r="AI11" s="5" t="str">
        <f>IF(AND(AI$8&lt;$H11,AI$8+$G$6&gt;$G11),"■","")</f>
        <v/>
      </c>
      <c r="AJ11" s="5" t="str">
        <f>IF(AND(AJ$8&lt;$H11,AJ$8+$G$6&gt;$G11),"■","")</f>
        <v/>
      </c>
      <c r="AK11" s="5" t="str">
        <f>IF(AND(AK$8&lt;$H11,AK$8+$G$6&gt;$G11),"■","")</f>
        <v/>
      </c>
      <c r="AL11" s="5" t="str">
        <f>IF(AND(AL$8&lt;$H11,AL$8+$G$6&gt;$G11),"■","")</f>
        <v/>
      </c>
      <c r="AM11" s="5" t="str">
        <f>IF(AND(AM$8&lt;$H11,AM$8+$G$6&gt;$G11),"■","")</f>
        <v/>
      </c>
      <c r="AN11" s="5" t="str">
        <f>IF(AND(AN$8&lt;$H11,AN$8+$G$6&gt;$G11),"■","")</f>
        <v/>
      </c>
      <c r="AO11" s="5" t="str">
        <f>IF(AND(AO$8&lt;$H11,AO$8+$G$6&gt;$G11),"■","")</f>
        <v/>
      </c>
      <c r="AP11" s="5" t="str">
        <f>IF(AND(AP$8&lt;$H11,AP$8+$G$6&gt;$G11),"■","")</f>
        <v/>
      </c>
      <c r="AQ11" s="5" t="str">
        <f>IF(AND(AQ$8&lt;$H11,AQ$8+$G$6&gt;$G11),"■","")</f>
        <v/>
      </c>
      <c r="AR11" s="5" t="str">
        <f>IF(AND(AR$8&lt;$H11,AR$8+$G$6&gt;$G11),"■","")</f>
        <v/>
      </c>
      <c r="AS11" s="5" t="str">
        <f>IF(AND(AS$8&lt;$H11,AS$8+$G$6&gt;$G11),"■","")</f>
        <v/>
      </c>
    </row>
    <row r="12" spans="1:45" ht="43" customHeight="1">
      <c r="A12" s="5" t="s">
        <v>189</v>
      </c>
      <c r="B12" s="5" t="s">
        <v>190</v>
      </c>
      <c r="C12" s="13">
        <f>0</f>
        <v>0</v>
      </c>
      <c r="D12" s="13">
        <f>0</f>
        <v>0</v>
      </c>
      <c r="E12" s="13">
        <f>0</f>
        <v>0</v>
      </c>
      <c r="F12" s="13">
        <f>IF('Ввод'!$B$29&gt;0,INDEX('Замеры ДО'!$S$1:$S$382,7+('Ввод'!$B$29-1)*21+8),"")</f>
        <v>12</v>
      </c>
      <c r="G12" s="13">
        <f>H11</f>
        <v>152.355913043478</v>
      </c>
      <c r="H12" s="13">
        <f>IF(COUNT(C12:G12)=5,G12+C12+F12+MAX(D12,E12),"")</f>
        <v>164.355913043478</v>
      </c>
      <c r="I12" s="5" t="s">
        <v>459</v>
      </c>
      <c r="J12" s="5" t="str">
        <f>IF(AND(J$8&lt;$H12,J$8+$G$6&gt;$G12),"■","")</f>
        <v/>
      </c>
      <c r="K12" s="5" t="str">
        <f>IF(AND(K$8&lt;$H12,K$8+$G$6&gt;$G12),"■","")</f>
        <v/>
      </c>
      <c r="L12" s="5" t="str">
        <f>IF(AND(L$8&lt;$H12,L$8+$G$6&gt;$G12),"■","")</f>
        <v/>
      </c>
      <c r="M12" s="5" t="str">
        <f>IF(AND(M$8&lt;$H12,M$8+$G$6&gt;$G12),"■","")</f>
        <v/>
      </c>
      <c r="N12" s="5" t="str">
        <f>IF(AND(N$8&lt;$H12,N$8+$G$6&gt;$G12),"■","")</f>
        <v/>
      </c>
      <c r="O12" s="5" t="str">
        <f>IF(AND(O$8&lt;$H12,O$8+$G$6&gt;$G12),"■","")</f>
        <v/>
      </c>
      <c r="P12" s="5" t="str">
        <f>IF(AND(P$8&lt;$H12,P$8+$G$6&gt;$G12),"■","")</f>
        <v/>
      </c>
      <c r="Q12" s="5" t="str">
        <f>IF(AND(Q$8&lt;$H12,Q$8+$G$6&gt;$G12),"■","")</f>
        <v>■</v>
      </c>
      <c r="R12" s="5" t="str">
        <f>IF(AND(R$8&lt;$H12,R$8+$G$6&gt;$G12),"■","")</f>
        <v/>
      </c>
      <c r="S12" s="5" t="str">
        <f>IF(AND(S$8&lt;$H12,S$8+$G$6&gt;$G12),"■","")</f>
        <v/>
      </c>
      <c r="T12" s="5" t="str">
        <f>IF(AND(T$8&lt;$H12,T$8+$G$6&gt;$G12),"■","")</f>
        <v/>
      </c>
      <c r="U12" s="5" t="str">
        <f>IF(AND(U$8&lt;$H12,U$8+$G$6&gt;$G12),"■","")</f>
        <v/>
      </c>
      <c r="V12" s="5" t="str">
        <f>IF(AND(V$8&lt;$H12,V$8+$G$6&gt;$G12),"■","")</f>
        <v/>
      </c>
      <c r="W12" s="5" t="str">
        <f>IF(AND(W$8&lt;$H12,W$8+$G$6&gt;$G12),"■","")</f>
        <v/>
      </c>
      <c r="X12" s="5" t="str">
        <f>IF(AND(X$8&lt;$H12,X$8+$G$6&gt;$G12),"■","")</f>
        <v/>
      </c>
      <c r="Y12" s="5" t="str">
        <f>IF(AND(Y$8&lt;$H12,Y$8+$G$6&gt;$G12),"■","")</f>
        <v/>
      </c>
      <c r="Z12" s="5" t="str">
        <f>IF(AND(Z$8&lt;$H12,Z$8+$G$6&gt;$G12),"■","")</f>
        <v/>
      </c>
      <c r="AA12" s="5" t="str">
        <f>IF(AND(AA$8&lt;$H12,AA$8+$G$6&gt;$G12),"■","")</f>
        <v/>
      </c>
      <c r="AB12" s="5" t="str">
        <f>IF(AND(AB$8&lt;$H12,AB$8+$G$6&gt;$G12),"■","")</f>
        <v/>
      </c>
      <c r="AC12" s="5" t="str">
        <f>IF(AND(AC$8&lt;$H12,AC$8+$G$6&gt;$G12),"■","")</f>
        <v/>
      </c>
      <c r="AD12" s="5" t="str">
        <f>IF(AND(AD$8&lt;$H12,AD$8+$G$6&gt;$G12),"■","")</f>
        <v/>
      </c>
      <c r="AE12" s="5" t="str">
        <f>IF(AND(AE$8&lt;$H12,AE$8+$G$6&gt;$G12),"■","")</f>
        <v/>
      </c>
      <c r="AF12" s="5" t="str">
        <f>IF(AND(AF$8&lt;$H12,AF$8+$G$6&gt;$G12),"■","")</f>
        <v/>
      </c>
      <c r="AG12" s="5" t="str">
        <f>IF(AND(AG$8&lt;$H12,AG$8+$G$6&gt;$G12),"■","")</f>
        <v/>
      </c>
      <c r="AH12" s="5" t="str">
        <f>IF(AND(AH$8&lt;$H12,AH$8+$G$6&gt;$G12),"■","")</f>
        <v/>
      </c>
      <c r="AI12" s="5" t="str">
        <f>IF(AND(AI$8&lt;$H12,AI$8+$G$6&gt;$G12),"■","")</f>
        <v/>
      </c>
      <c r="AJ12" s="5" t="str">
        <f>IF(AND(AJ$8&lt;$H12,AJ$8+$G$6&gt;$G12),"■","")</f>
        <v/>
      </c>
      <c r="AK12" s="5" t="str">
        <f>IF(AND(AK$8&lt;$H12,AK$8+$G$6&gt;$G12),"■","")</f>
        <v/>
      </c>
      <c r="AL12" s="5" t="str">
        <f>IF(AND(AL$8&lt;$H12,AL$8+$G$6&gt;$G12),"■","")</f>
        <v/>
      </c>
      <c r="AM12" s="5" t="str">
        <f>IF(AND(AM$8&lt;$H12,AM$8+$G$6&gt;$G12),"■","")</f>
        <v/>
      </c>
      <c r="AN12" s="5" t="str">
        <f>IF(AND(AN$8&lt;$H12,AN$8+$G$6&gt;$G12),"■","")</f>
        <v/>
      </c>
      <c r="AO12" s="5" t="str">
        <f>IF(AND(AO$8&lt;$H12,AO$8+$G$6&gt;$G12),"■","")</f>
        <v/>
      </c>
      <c r="AP12" s="5" t="str">
        <f>IF(AND(AP$8&lt;$H12,AP$8+$G$6&gt;$G12),"■","")</f>
        <v/>
      </c>
      <c r="AQ12" s="5" t="str">
        <f>IF(AND(AQ$8&lt;$H12,AQ$8+$G$6&gt;$G12),"■","")</f>
        <v/>
      </c>
      <c r="AR12" s="5" t="str">
        <f>IF(AND(AR$8&lt;$H12,AR$8+$G$6&gt;$G12),"■","")</f>
        <v/>
      </c>
      <c r="AS12" s="5" t="str">
        <f>IF(AND(AS$8&lt;$H12,AS$8+$G$6&gt;$G12),"■","")</f>
        <v/>
      </c>
    </row>
    <row r="13" spans="1:45" ht="43" customHeight="1">
      <c r="A13" s="5">
        <v>5</v>
      </c>
      <c r="B13" s="5" t="s">
        <v>193</v>
      </c>
      <c r="C13" s="13">
        <f>IF('Ввод'!$B$29&gt;0,INDEX('Замеры ДО'!$S$1:$S$382,7+('Ввод'!$B$29-1)*21+9),"")</f>
        <v>36.2752173913044</v>
      </c>
      <c r="D13" s="13">
        <f>0</f>
        <v>0</v>
      </c>
      <c r="E13" s="13">
        <f>0</f>
        <v>0</v>
      </c>
      <c r="F13" s="13">
        <f>0</f>
        <v>0</v>
      </c>
      <c r="G13" s="13">
        <f>H12</f>
        <v>164.355913043478</v>
      </c>
      <c r="H13" s="13">
        <f>IF(COUNT(C13:G13)=5,G13+C13+F13+MAX(D13,E13),"")</f>
        <v>200.631130434783</v>
      </c>
      <c r="I13" s="5" t="s">
        <v>459</v>
      </c>
      <c r="J13" s="5" t="str">
        <f>IF(AND(J$8&lt;$H13,J$8+$G$6&gt;$G13),"■","")</f>
        <v/>
      </c>
      <c r="K13" s="5" t="str">
        <f>IF(AND(K$8&lt;$H13,K$8+$G$6&gt;$G13),"■","")</f>
        <v/>
      </c>
      <c r="L13" s="5" t="str">
        <f>IF(AND(L$8&lt;$H13,L$8+$G$6&gt;$G13),"■","")</f>
        <v/>
      </c>
      <c r="M13" s="5" t="str">
        <f>IF(AND(M$8&lt;$H13,M$8+$G$6&gt;$G13),"■","")</f>
        <v/>
      </c>
      <c r="N13" s="5" t="str">
        <f>IF(AND(N$8&lt;$H13,N$8+$G$6&gt;$G13),"■","")</f>
        <v/>
      </c>
      <c r="O13" s="5" t="str">
        <f>IF(AND(O$8&lt;$H13,O$8+$G$6&gt;$G13),"■","")</f>
        <v/>
      </c>
      <c r="P13" s="5" t="str">
        <f>IF(AND(P$8&lt;$H13,P$8+$G$6&gt;$G13),"■","")</f>
        <v/>
      </c>
      <c r="Q13" s="5" t="str">
        <f>IF(AND(Q$8&lt;$H13,Q$8+$G$6&gt;$G13),"■","")</f>
        <v>■</v>
      </c>
      <c r="R13" s="5" t="str">
        <f>IF(AND(R$8&lt;$H13,R$8+$G$6&gt;$G13),"■","")</f>
        <v>■</v>
      </c>
      <c r="S13" s="5" t="str">
        <f>IF(AND(S$8&lt;$H13,S$8+$G$6&gt;$G13),"■","")</f>
        <v>■</v>
      </c>
      <c r="T13" s="5" t="str">
        <f>IF(AND(T$8&lt;$H13,T$8+$G$6&gt;$G13),"■","")</f>
        <v/>
      </c>
      <c r="U13" s="5" t="str">
        <f>IF(AND(U$8&lt;$H13,U$8+$G$6&gt;$G13),"■","")</f>
        <v/>
      </c>
      <c r="V13" s="5" t="str">
        <f>IF(AND(V$8&lt;$H13,V$8+$G$6&gt;$G13),"■","")</f>
        <v/>
      </c>
      <c r="W13" s="5" t="str">
        <f>IF(AND(W$8&lt;$H13,W$8+$G$6&gt;$G13),"■","")</f>
        <v/>
      </c>
      <c r="X13" s="5" t="str">
        <f>IF(AND(X$8&lt;$H13,X$8+$G$6&gt;$G13),"■","")</f>
        <v/>
      </c>
      <c r="Y13" s="5" t="str">
        <f>IF(AND(Y$8&lt;$H13,Y$8+$G$6&gt;$G13),"■","")</f>
        <v/>
      </c>
      <c r="Z13" s="5" t="str">
        <f>IF(AND(Z$8&lt;$H13,Z$8+$G$6&gt;$G13),"■","")</f>
        <v/>
      </c>
      <c r="AA13" s="5" t="str">
        <f>IF(AND(AA$8&lt;$H13,AA$8+$G$6&gt;$G13),"■","")</f>
        <v/>
      </c>
      <c r="AB13" s="5" t="str">
        <f>IF(AND(AB$8&lt;$H13,AB$8+$G$6&gt;$G13),"■","")</f>
        <v/>
      </c>
      <c r="AC13" s="5" t="str">
        <f>IF(AND(AC$8&lt;$H13,AC$8+$G$6&gt;$G13),"■","")</f>
        <v/>
      </c>
      <c r="AD13" s="5" t="str">
        <f>IF(AND(AD$8&lt;$H13,AD$8+$G$6&gt;$G13),"■","")</f>
        <v/>
      </c>
      <c r="AE13" s="5" t="str">
        <f>IF(AND(AE$8&lt;$H13,AE$8+$G$6&gt;$G13),"■","")</f>
        <v/>
      </c>
      <c r="AF13" s="5" t="str">
        <f>IF(AND(AF$8&lt;$H13,AF$8+$G$6&gt;$G13),"■","")</f>
        <v/>
      </c>
      <c r="AG13" s="5" t="str">
        <f>IF(AND(AG$8&lt;$H13,AG$8+$G$6&gt;$G13),"■","")</f>
        <v/>
      </c>
      <c r="AH13" s="5" t="str">
        <f>IF(AND(AH$8&lt;$H13,AH$8+$G$6&gt;$G13),"■","")</f>
        <v/>
      </c>
      <c r="AI13" s="5" t="str">
        <f>IF(AND(AI$8&lt;$H13,AI$8+$G$6&gt;$G13),"■","")</f>
        <v/>
      </c>
      <c r="AJ13" s="5" t="str">
        <f>IF(AND(AJ$8&lt;$H13,AJ$8+$G$6&gt;$G13),"■","")</f>
        <v/>
      </c>
      <c r="AK13" s="5" t="str">
        <f>IF(AND(AK$8&lt;$H13,AK$8+$G$6&gt;$G13),"■","")</f>
        <v/>
      </c>
      <c r="AL13" s="5" t="str">
        <f>IF(AND(AL$8&lt;$H13,AL$8+$G$6&gt;$G13),"■","")</f>
        <v/>
      </c>
      <c r="AM13" s="5" t="str">
        <f>IF(AND(AM$8&lt;$H13,AM$8+$G$6&gt;$G13),"■","")</f>
        <v/>
      </c>
      <c r="AN13" s="5" t="str">
        <f>IF(AND(AN$8&lt;$H13,AN$8+$G$6&gt;$G13),"■","")</f>
        <v/>
      </c>
      <c r="AO13" s="5" t="str">
        <f>IF(AND(AO$8&lt;$H13,AO$8+$G$6&gt;$G13),"■","")</f>
        <v/>
      </c>
      <c r="AP13" s="5" t="str">
        <f>IF(AND(AP$8&lt;$H13,AP$8+$G$6&gt;$G13),"■","")</f>
        <v/>
      </c>
      <c r="AQ13" s="5" t="str">
        <f>IF(AND(AQ$8&lt;$H13,AQ$8+$G$6&gt;$G13),"■","")</f>
        <v/>
      </c>
      <c r="AR13" s="5" t="str">
        <f>IF(AND(AR$8&lt;$H13,AR$8+$G$6&gt;$G13),"■","")</f>
        <v/>
      </c>
      <c r="AS13" s="5" t="str">
        <f>IF(AND(AS$8&lt;$H13,AS$8+$G$6&gt;$G13),"■","")</f>
        <v/>
      </c>
    </row>
    <row r="14" spans="1:45" ht="43" customHeight="1">
      <c r="A14" s="5" t="s">
        <v>189</v>
      </c>
      <c r="B14" s="5" t="s">
        <v>195</v>
      </c>
      <c r="C14" s="13">
        <f>0</f>
        <v>0</v>
      </c>
      <c r="D14" s="13">
        <f>IF('Ввод'!$B$29&gt;0,INDEX('Замеры ДО'!$S$1:$S$382,7+('Ввод'!$B$29-1)*21+10),"")</f>
        <v>450</v>
      </c>
      <c r="E14" s="13">
        <f>IF('Ввод'!$B$29&gt;0,INDEX('Замеры ДО'!$S$1:$S$382,7+('Ввод'!$B$29-1)*21+10),"")</f>
        <v>450</v>
      </c>
      <c r="F14" s="13">
        <f>0</f>
        <v>0</v>
      </c>
      <c r="G14" s="13">
        <f>H13</f>
        <v>200.631130434783</v>
      </c>
      <c r="H14" s="13">
        <f>IF(COUNT(C14:G14)=5,G14+C14+F14+MAX(D14,E14),"")</f>
        <v>650.631130434783</v>
      </c>
      <c r="I14" s="5" t="s">
        <v>460</v>
      </c>
      <c r="J14" s="5" t="str">
        <f>IF(AND(J$8&lt;$H14,J$8+$G$6&gt;$G14),"■","")</f>
        <v/>
      </c>
      <c r="K14" s="5" t="str">
        <f>IF(AND(K$8&lt;$H14,K$8+$G$6&gt;$G14),"■","")</f>
        <v/>
      </c>
      <c r="L14" s="5" t="str">
        <f>IF(AND(L$8&lt;$H14,L$8+$G$6&gt;$G14),"■","")</f>
        <v/>
      </c>
      <c r="M14" s="5" t="str">
        <f>IF(AND(M$8&lt;$H14,M$8+$G$6&gt;$G14),"■","")</f>
        <v/>
      </c>
      <c r="N14" s="5" t="str">
        <f>IF(AND(N$8&lt;$H14,N$8+$G$6&gt;$G14),"■","")</f>
        <v/>
      </c>
      <c r="O14" s="5" t="str">
        <f>IF(AND(O$8&lt;$H14,O$8+$G$6&gt;$G14),"■","")</f>
        <v/>
      </c>
      <c r="P14" s="5" t="str">
        <f>IF(AND(P$8&lt;$H14,P$8+$G$6&gt;$G14),"■","")</f>
        <v/>
      </c>
      <c r="Q14" s="5" t="str">
        <f>IF(AND(Q$8&lt;$H14,Q$8+$G$6&gt;$G14),"■","")</f>
        <v/>
      </c>
      <c r="R14" s="5" t="str">
        <f>IF(AND(R$8&lt;$H14,R$8+$G$6&gt;$G14),"■","")</f>
        <v/>
      </c>
      <c r="S14" s="5" t="str">
        <f>IF(AND(S$8&lt;$H14,S$8+$G$6&gt;$G14),"■","")</f>
        <v>■</v>
      </c>
      <c r="T14" s="5" t="str">
        <f>IF(AND(T$8&lt;$H14,T$8+$G$6&gt;$G14),"■","")</f>
        <v>■</v>
      </c>
      <c r="U14" s="5" t="str">
        <f>IF(AND(U$8&lt;$H14,U$8+$G$6&gt;$G14),"■","")</f>
        <v>■</v>
      </c>
      <c r="V14" s="5" t="str">
        <f>IF(AND(V$8&lt;$H14,V$8+$G$6&gt;$G14),"■","")</f>
        <v>■</v>
      </c>
      <c r="W14" s="5" t="str">
        <f>IF(AND(W$8&lt;$H14,W$8+$G$6&gt;$G14),"■","")</f>
        <v>■</v>
      </c>
      <c r="X14" s="5" t="str">
        <f>IF(AND(X$8&lt;$H14,X$8+$G$6&gt;$G14),"■","")</f>
        <v>■</v>
      </c>
      <c r="Y14" s="5" t="str">
        <f>IF(AND(Y$8&lt;$H14,Y$8+$G$6&gt;$G14),"■","")</f>
        <v>■</v>
      </c>
      <c r="Z14" s="5" t="str">
        <f>IF(AND(Z$8&lt;$H14,Z$8+$G$6&gt;$G14),"■","")</f>
        <v>■</v>
      </c>
      <c r="AA14" s="5" t="str">
        <f>IF(AND(AA$8&lt;$H14,AA$8+$G$6&gt;$G14),"■","")</f>
        <v>■</v>
      </c>
      <c r="AB14" s="5" t="str">
        <f>IF(AND(AB$8&lt;$H14,AB$8+$G$6&gt;$G14),"■","")</f>
        <v>■</v>
      </c>
      <c r="AC14" s="5" t="str">
        <f>IF(AND(AC$8&lt;$H14,AC$8+$G$6&gt;$G14),"■","")</f>
        <v>■</v>
      </c>
      <c r="AD14" s="5" t="str">
        <f>IF(AND(AD$8&lt;$H14,AD$8+$G$6&gt;$G14),"■","")</f>
        <v>■</v>
      </c>
      <c r="AE14" s="5" t="str">
        <f>IF(AND(AE$8&lt;$H14,AE$8+$G$6&gt;$G14),"■","")</f>
        <v>■</v>
      </c>
      <c r="AF14" s="5" t="str">
        <f>IF(AND(AF$8&lt;$H14,AF$8+$G$6&gt;$G14),"■","")</f>
        <v>■</v>
      </c>
      <c r="AG14" s="5" t="str">
        <f>IF(AND(AG$8&lt;$H14,AG$8+$G$6&gt;$G14),"■","")</f>
        <v>■</v>
      </c>
      <c r="AH14" s="5" t="str">
        <f>IF(AND(AH$8&lt;$H14,AH$8+$G$6&gt;$G14),"■","")</f>
        <v>■</v>
      </c>
      <c r="AI14" s="5" t="str">
        <f>IF(AND(AI$8&lt;$H14,AI$8+$G$6&gt;$G14),"■","")</f>
        <v>■</v>
      </c>
      <c r="AJ14" s="5" t="str">
        <f>IF(AND(AJ$8&lt;$H14,AJ$8+$G$6&gt;$G14),"■","")</f>
        <v>■</v>
      </c>
      <c r="AK14" s="5" t="str">
        <f>IF(AND(AK$8&lt;$H14,AK$8+$G$6&gt;$G14),"■","")</f>
        <v>■</v>
      </c>
      <c r="AL14" s="5" t="str">
        <f>IF(AND(AL$8&lt;$H14,AL$8+$G$6&gt;$G14),"■","")</f>
        <v>■</v>
      </c>
      <c r="AM14" s="5" t="str">
        <f>IF(AND(AM$8&lt;$H14,AM$8+$G$6&gt;$G14),"■","")</f>
        <v>■</v>
      </c>
      <c r="AN14" s="5" t="str">
        <f>IF(AND(AN$8&lt;$H14,AN$8+$G$6&gt;$G14),"■","")</f>
        <v>■</v>
      </c>
      <c r="AO14" s="5" t="str">
        <f>IF(AND(AO$8&lt;$H14,AO$8+$G$6&gt;$G14),"■","")</f>
        <v/>
      </c>
      <c r="AP14" s="5" t="str">
        <f>IF(AND(AP$8&lt;$H14,AP$8+$G$6&gt;$G14),"■","")</f>
        <v/>
      </c>
      <c r="AQ14" s="5" t="str">
        <f>IF(AND(AQ$8&lt;$H14,AQ$8+$G$6&gt;$G14),"■","")</f>
        <v/>
      </c>
      <c r="AR14" s="5" t="str">
        <f>IF(AND(AR$8&lt;$H14,AR$8+$G$6&gt;$G14),"■","")</f>
        <v/>
      </c>
      <c r="AS14" s="5" t="str">
        <f>IF(AND(AS$8&lt;$H14,AS$8+$G$6&gt;$G14),"■","")</f>
        <v/>
      </c>
    </row>
    <row r="15" spans="1:45" ht="43" customHeight="1">
      <c r="A15" s="5">
        <v>7</v>
      </c>
      <c r="B15" s="5" t="s">
        <v>198</v>
      </c>
      <c r="C15" s="13">
        <f>IF('Ввод'!$B$29&gt;0,INDEX('Замеры ДО'!$S$1:$S$382,7+('Ввод'!$B$29-1)*21+11),"")</f>
        <v>31.0930434782609</v>
      </c>
      <c r="D15" s="13">
        <f>0</f>
        <v>0</v>
      </c>
      <c r="E15" s="13">
        <f>0</f>
        <v>0</v>
      </c>
      <c r="F15" s="13">
        <f>0</f>
        <v>0</v>
      </c>
      <c r="G15" s="13">
        <f>H14</f>
        <v>650.631130434783</v>
      </c>
      <c r="H15" s="13">
        <f>IF(COUNT(C15:G15)=5,G15+C15+F15+MAX(D15,E15),"")</f>
        <v>681.724173913044</v>
      </c>
      <c r="I15" s="5" t="s">
        <v>459</v>
      </c>
      <c r="J15" s="5" t="str">
        <f>IF(AND(J$8&lt;$H15,J$8+$G$6&gt;$G15),"■","")</f>
        <v/>
      </c>
      <c r="K15" s="5" t="str">
        <f>IF(AND(K$8&lt;$H15,K$8+$G$6&gt;$G15),"■","")</f>
        <v/>
      </c>
      <c r="L15" s="5" t="str">
        <f>IF(AND(L$8&lt;$H15,L$8+$G$6&gt;$G15),"■","")</f>
        <v/>
      </c>
      <c r="M15" s="5" t="str">
        <f>IF(AND(M$8&lt;$H15,M$8+$G$6&gt;$G15),"■","")</f>
        <v/>
      </c>
      <c r="N15" s="5" t="str">
        <f>IF(AND(N$8&lt;$H15,N$8+$G$6&gt;$G15),"■","")</f>
        <v/>
      </c>
      <c r="O15" s="5" t="str">
        <f>IF(AND(O$8&lt;$H15,O$8+$G$6&gt;$G15),"■","")</f>
        <v/>
      </c>
      <c r="P15" s="5" t="str">
        <f>IF(AND(P$8&lt;$H15,P$8+$G$6&gt;$G15),"■","")</f>
        <v/>
      </c>
      <c r="Q15" s="5" t="str">
        <f>IF(AND(Q$8&lt;$H15,Q$8+$G$6&gt;$G15),"■","")</f>
        <v/>
      </c>
      <c r="R15" s="5" t="str">
        <f>IF(AND(R$8&lt;$H15,R$8+$G$6&gt;$G15),"■","")</f>
        <v/>
      </c>
      <c r="S15" s="5" t="str">
        <f>IF(AND(S$8&lt;$H15,S$8+$G$6&gt;$G15),"■","")</f>
        <v/>
      </c>
      <c r="T15" s="5" t="str">
        <f>IF(AND(T$8&lt;$H15,T$8+$G$6&gt;$G15),"■","")</f>
        <v/>
      </c>
      <c r="U15" s="5" t="str">
        <f>IF(AND(U$8&lt;$H15,U$8+$G$6&gt;$G15),"■","")</f>
        <v/>
      </c>
      <c r="V15" s="5" t="str">
        <f>IF(AND(V$8&lt;$H15,V$8+$G$6&gt;$G15),"■","")</f>
        <v/>
      </c>
      <c r="W15" s="5" t="str">
        <f>IF(AND(W$8&lt;$H15,W$8+$G$6&gt;$G15),"■","")</f>
        <v/>
      </c>
      <c r="X15" s="5" t="str">
        <f>IF(AND(X$8&lt;$H15,X$8+$G$6&gt;$G15),"■","")</f>
        <v/>
      </c>
      <c r="Y15" s="5" t="str">
        <f>IF(AND(Y$8&lt;$H15,Y$8+$G$6&gt;$G15),"■","")</f>
        <v/>
      </c>
      <c r="Z15" s="5" t="str">
        <f>IF(AND(Z$8&lt;$H15,Z$8+$G$6&gt;$G15),"■","")</f>
        <v/>
      </c>
      <c r="AA15" s="5" t="str">
        <f>IF(AND(AA$8&lt;$H15,AA$8+$G$6&gt;$G15),"■","")</f>
        <v/>
      </c>
      <c r="AB15" s="5" t="str">
        <f>IF(AND(AB$8&lt;$H15,AB$8+$G$6&gt;$G15),"■","")</f>
        <v/>
      </c>
      <c r="AC15" s="5" t="str">
        <f>IF(AND(AC$8&lt;$H15,AC$8+$G$6&gt;$G15),"■","")</f>
        <v/>
      </c>
      <c r="AD15" s="5" t="str">
        <f>IF(AND(AD$8&lt;$H15,AD$8+$G$6&gt;$G15),"■","")</f>
        <v/>
      </c>
      <c r="AE15" s="5" t="str">
        <f>IF(AND(AE$8&lt;$H15,AE$8+$G$6&gt;$G15),"■","")</f>
        <v/>
      </c>
      <c r="AF15" s="5" t="str">
        <f>IF(AND(AF$8&lt;$H15,AF$8+$G$6&gt;$G15),"■","")</f>
        <v/>
      </c>
      <c r="AG15" s="5" t="str">
        <f>IF(AND(AG$8&lt;$H15,AG$8+$G$6&gt;$G15),"■","")</f>
        <v/>
      </c>
      <c r="AH15" s="5" t="str">
        <f>IF(AND(AH$8&lt;$H15,AH$8+$G$6&gt;$G15),"■","")</f>
        <v/>
      </c>
      <c r="AI15" s="5" t="str">
        <f>IF(AND(AI$8&lt;$H15,AI$8+$G$6&gt;$G15),"■","")</f>
        <v/>
      </c>
      <c r="AJ15" s="5" t="str">
        <f>IF(AND(AJ$8&lt;$H15,AJ$8+$G$6&gt;$G15),"■","")</f>
        <v/>
      </c>
      <c r="AK15" s="5" t="str">
        <f>IF(AND(AK$8&lt;$H15,AK$8+$G$6&gt;$G15),"■","")</f>
        <v/>
      </c>
      <c r="AL15" s="5" t="str">
        <f>IF(AND(AL$8&lt;$H15,AL$8+$G$6&gt;$G15),"■","")</f>
        <v/>
      </c>
      <c r="AM15" s="5" t="str">
        <f>IF(AND(AM$8&lt;$H15,AM$8+$G$6&gt;$G15),"■","")</f>
        <v/>
      </c>
      <c r="AN15" s="5" t="str">
        <f>IF(AND(AN$8&lt;$H15,AN$8+$G$6&gt;$G15),"■","")</f>
        <v>■</v>
      </c>
      <c r="AO15" s="5" t="str">
        <f>IF(AND(AO$8&lt;$H15,AO$8+$G$6&gt;$G15),"■","")</f>
        <v>■</v>
      </c>
      <c r="AP15" s="5" t="str">
        <f>IF(AND(AP$8&lt;$H15,AP$8+$G$6&gt;$G15),"■","")</f>
        <v/>
      </c>
      <c r="AQ15" s="5" t="str">
        <f>IF(AND(AQ$8&lt;$H15,AQ$8+$G$6&gt;$G15),"■","")</f>
        <v/>
      </c>
      <c r="AR15" s="5" t="str">
        <f>IF(AND(AR$8&lt;$H15,AR$8+$G$6&gt;$G15),"■","")</f>
        <v/>
      </c>
      <c r="AS15" s="5" t="str">
        <f>IF(AND(AS$8&lt;$H15,AS$8+$G$6&gt;$G15),"■","")</f>
        <v/>
      </c>
    </row>
    <row r="16" spans="1:45" ht="43" customHeight="1">
      <c r="A16" s="5">
        <v>8</v>
      </c>
      <c r="B16" s="5" t="s">
        <v>200</v>
      </c>
      <c r="C16" s="13">
        <f>IF('Ввод'!$B$29&gt;0,INDEX('Замеры ДО'!$S$1:$S$382,7+('Ввод'!$B$29-1)*21+12),"")</f>
        <v>18.6558260869565</v>
      </c>
      <c r="D16" s="13">
        <f>0</f>
        <v>0</v>
      </c>
      <c r="E16" s="13">
        <f>0</f>
        <v>0</v>
      </c>
      <c r="F16" s="13">
        <f>0</f>
        <v>0</v>
      </c>
      <c r="G16" s="13">
        <f>H15</f>
        <v>681.724173913044</v>
      </c>
      <c r="H16" s="13">
        <f>IF(COUNT(C16:G16)=5,G16+C16+F16+MAX(D16,E16),"")</f>
        <v>700.38</v>
      </c>
      <c r="I16" s="5" t="s">
        <v>459</v>
      </c>
      <c r="J16" s="5" t="str">
        <f>IF(AND(J$8&lt;$H16,J$8+$G$6&gt;$G16),"■","")</f>
        <v/>
      </c>
      <c r="K16" s="5" t="str">
        <f>IF(AND(K$8&lt;$H16,K$8+$G$6&gt;$G16),"■","")</f>
        <v/>
      </c>
      <c r="L16" s="5" t="str">
        <f>IF(AND(L$8&lt;$H16,L$8+$G$6&gt;$G16),"■","")</f>
        <v/>
      </c>
      <c r="M16" s="5" t="str">
        <f>IF(AND(M$8&lt;$H16,M$8+$G$6&gt;$G16),"■","")</f>
        <v/>
      </c>
      <c r="N16" s="5" t="str">
        <f>IF(AND(N$8&lt;$H16,N$8+$G$6&gt;$G16),"■","")</f>
        <v/>
      </c>
      <c r="O16" s="5" t="str">
        <f>IF(AND(O$8&lt;$H16,O$8+$G$6&gt;$G16),"■","")</f>
        <v/>
      </c>
      <c r="P16" s="5" t="str">
        <f>IF(AND(P$8&lt;$H16,P$8+$G$6&gt;$G16),"■","")</f>
        <v/>
      </c>
      <c r="Q16" s="5" t="str">
        <f>IF(AND(Q$8&lt;$H16,Q$8+$G$6&gt;$G16),"■","")</f>
        <v/>
      </c>
      <c r="R16" s="5" t="str">
        <f>IF(AND(R$8&lt;$H16,R$8+$G$6&gt;$G16),"■","")</f>
        <v/>
      </c>
      <c r="S16" s="5" t="str">
        <f>IF(AND(S$8&lt;$H16,S$8+$G$6&gt;$G16),"■","")</f>
        <v/>
      </c>
      <c r="T16" s="5" t="str">
        <f>IF(AND(T$8&lt;$H16,T$8+$G$6&gt;$G16),"■","")</f>
        <v/>
      </c>
      <c r="U16" s="5" t="str">
        <f>IF(AND(U$8&lt;$H16,U$8+$G$6&gt;$G16),"■","")</f>
        <v/>
      </c>
      <c r="V16" s="5" t="str">
        <f>IF(AND(V$8&lt;$H16,V$8+$G$6&gt;$G16),"■","")</f>
        <v/>
      </c>
      <c r="W16" s="5" t="str">
        <f>IF(AND(W$8&lt;$H16,W$8+$G$6&gt;$G16),"■","")</f>
        <v/>
      </c>
      <c r="X16" s="5" t="str">
        <f>IF(AND(X$8&lt;$H16,X$8+$G$6&gt;$G16),"■","")</f>
        <v/>
      </c>
      <c r="Y16" s="5" t="str">
        <f>IF(AND(Y$8&lt;$H16,Y$8+$G$6&gt;$G16),"■","")</f>
        <v/>
      </c>
      <c r="Z16" s="5" t="str">
        <f>IF(AND(Z$8&lt;$H16,Z$8+$G$6&gt;$G16),"■","")</f>
        <v/>
      </c>
      <c r="AA16" s="5" t="str">
        <f>IF(AND(AA$8&lt;$H16,AA$8+$G$6&gt;$G16),"■","")</f>
        <v/>
      </c>
      <c r="AB16" s="5" t="str">
        <f>IF(AND(AB$8&lt;$H16,AB$8+$G$6&gt;$G16),"■","")</f>
        <v/>
      </c>
      <c r="AC16" s="5" t="str">
        <f>IF(AND(AC$8&lt;$H16,AC$8+$G$6&gt;$G16),"■","")</f>
        <v/>
      </c>
      <c r="AD16" s="5" t="str">
        <f>IF(AND(AD$8&lt;$H16,AD$8+$G$6&gt;$G16),"■","")</f>
        <v/>
      </c>
      <c r="AE16" s="5" t="str">
        <f>IF(AND(AE$8&lt;$H16,AE$8+$G$6&gt;$G16),"■","")</f>
        <v/>
      </c>
      <c r="AF16" s="5" t="str">
        <f>IF(AND(AF$8&lt;$H16,AF$8+$G$6&gt;$G16),"■","")</f>
        <v/>
      </c>
      <c r="AG16" s="5" t="str">
        <f>IF(AND(AG$8&lt;$H16,AG$8+$G$6&gt;$G16),"■","")</f>
        <v/>
      </c>
      <c r="AH16" s="5" t="str">
        <f>IF(AND(AH$8&lt;$H16,AH$8+$G$6&gt;$G16),"■","")</f>
        <v/>
      </c>
      <c r="AI16" s="5" t="str">
        <f>IF(AND(AI$8&lt;$H16,AI$8+$G$6&gt;$G16),"■","")</f>
        <v/>
      </c>
      <c r="AJ16" s="5" t="str">
        <f>IF(AND(AJ$8&lt;$H16,AJ$8+$G$6&gt;$G16),"■","")</f>
        <v/>
      </c>
      <c r="AK16" s="5" t="str">
        <f>IF(AND(AK$8&lt;$H16,AK$8+$G$6&gt;$G16),"■","")</f>
        <v/>
      </c>
      <c r="AL16" s="5" t="str">
        <f>IF(AND(AL$8&lt;$H16,AL$8+$G$6&gt;$G16),"■","")</f>
        <v/>
      </c>
      <c r="AM16" s="5" t="str">
        <f>IF(AND(AM$8&lt;$H16,AM$8+$G$6&gt;$G16),"■","")</f>
        <v/>
      </c>
      <c r="AN16" s="5" t="str">
        <f>IF(AND(AN$8&lt;$H16,AN$8+$G$6&gt;$G16),"■","")</f>
        <v/>
      </c>
      <c r="AO16" s="5" t="str">
        <f>IF(AND(AO$8&lt;$H16,AO$8+$G$6&gt;$G16),"■","")</f>
        <v>■</v>
      </c>
      <c r="AP16" s="5" t="str">
        <f>IF(AND(AP$8&lt;$H16,AP$8+$G$6&gt;$G16),"■","")</f>
        <v>■</v>
      </c>
      <c r="AQ16" s="5" t="str">
        <f>IF(AND(AQ$8&lt;$H16,AQ$8+$G$6&gt;$G16),"■","")</f>
        <v/>
      </c>
      <c r="AR16" s="5" t="str">
        <f>IF(AND(AR$8&lt;$H16,AR$8+$G$6&gt;$G16),"■","")</f>
        <v/>
      </c>
      <c r="AS16" s="5" t="str">
        <f>IF(AND(AS$8&lt;$H16,AS$8+$G$6&gt;$G16),"■","")</f>
        <v/>
      </c>
    </row>
    <row r="17" spans="1:45" ht="43" customHeight="1">
      <c r="A17" s="5" t="s">
        <v>189</v>
      </c>
      <c r="B17" s="5" t="s">
        <v>202</v>
      </c>
      <c r="C17" s="13">
        <f>0</f>
        <v>0</v>
      </c>
      <c r="D17" s="13">
        <f>0</f>
        <v>0</v>
      </c>
      <c r="E17" s="13">
        <f>0</f>
        <v>0</v>
      </c>
      <c r="F17" s="13">
        <f>IF('Ввод'!$B$29&gt;0,INDEX('Замеры ДО'!$S$1:$S$382,7+('Ввод'!$B$29-1)*21+13),"")</f>
        <v>10</v>
      </c>
      <c r="G17" s="13">
        <f>H16</f>
        <v>700.38</v>
      </c>
      <c r="H17" s="13">
        <f>IF(COUNT(C17:G17)=5,G17+C17+F17+MAX(D17,E17),"")</f>
        <v>710.38</v>
      </c>
      <c r="I17" s="5" t="s">
        <v>459</v>
      </c>
      <c r="J17" s="5" t="str">
        <f>IF(AND(J$8&lt;$H17,J$8+$G$6&gt;$G17),"■","")</f>
        <v/>
      </c>
      <c r="K17" s="5" t="str">
        <f>IF(AND(K$8&lt;$H17,K$8+$G$6&gt;$G17),"■","")</f>
        <v/>
      </c>
      <c r="L17" s="5" t="str">
        <f>IF(AND(L$8&lt;$H17,L$8+$G$6&gt;$G17),"■","")</f>
        <v/>
      </c>
      <c r="M17" s="5" t="str">
        <f>IF(AND(M$8&lt;$H17,M$8+$G$6&gt;$G17),"■","")</f>
        <v/>
      </c>
      <c r="N17" s="5" t="str">
        <f>IF(AND(N$8&lt;$H17,N$8+$G$6&gt;$G17),"■","")</f>
        <v/>
      </c>
      <c r="O17" s="5" t="str">
        <f>IF(AND(O$8&lt;$H17,O$8+$G$6&gt;$G17),"■","")</f>
        <v/>
      </c>
      <c r="P17" s="5" t="str">
        <f>IF(AND(P$8&lt;$H17,P$8+$G$6&gt;$G17),"■","")</f>
        <v/>
      </c>
      <c r="Q17" s="5" t="str">
        <f>IF(AND(Q$8&lt;$H17,Q$8+$G$6&gt;$G17),"■","")</f>
        <v/>
      </c>
      <c r="R17" s="5" t="str">
        <f>IF(AND(R$8&lt;$H17,R$8+$G$6&gt;$G17),"■","")</f>
        <v/>
      </c>
      <c r="S17" s="5" t="str">
        <f>IF(AND(S$8&lt;$H17,S$8+$G$6&gt;$G17),"■","")</f>
        <v/>
      </c>
      <c r="T17" s="5" t="str">
        <f>IF(AND(T$8&lt;$H17,T$8+$G$6&gt;$G17),"■","")</f>
        <v/>
      </c>
      <c r="U17" s="5" t="str">
        <f>IF(AND(U$8&lt;$H17,U$8+$G$6&gt;$G17),"■","")</f>
        <v/>
      </c>
      <c r="V17" s="5" t="str">
        <f>IF(AND(V$8&lt;$H17,V$8+$G$6&gt;$G17),"■","")</f>
        <v/>
      </c>
      <c r="W17" s="5" t="str">
        <f>IF(AND(W$8&lt;$H17,W$8+$G$6&gt;$G17),"■","")</f>
        <v/>
      </c>
      <c r="X17" s="5" t="str">
        <f>IF(AND(X$8&lt;$H17,X$8+$G$6&gt;$G17),"■","")</f>
        <v/>
      </c>
      <c r="Y17" s="5" t="str">
        <f>IF(AND(Y$8&lt;$H17,Y$8+$G$6&gt;$G17),"■","")</f>
        <v/>
      </c>
      <c r="Z17" s="5" t="str">
        <f>IF(AND(Z$8&lt;$H17,Z$8+$G$6&gt;$G17),"■","")</f>
        <v/>
      </c>
      <c r="AA17" s="5" t="str">
        <f>IF(AND(AA$8&lt;$H17,AA$8+$G$6&gt;$G17),"■","")</f>
        <v/>
      </c>
      <c r="AB17" s="5" t="str">
        <f>IF(AND(AB$8&lt;$H17,AB$8+$G$6&gt;$G17),"■","")</f>
        <v/>
      </c>
      <c r="AC17" s="5" t="str">
        <f>IF(AND(AC$8&lt;$H17,AC$8+$G$6&gt;$G17),"■","")</f>
        <v/>
      </c>
      <c r="AD17" s="5" t="str">
        <f>IF(AND(AD$8&lt;$H17,AD$8+$G$6&gt;$G17),"■","")</f>
        <v/>
      </c>
      <c r="AE17" s="5" t="str">
        <f>IF(AND(AE$8&lt;$H17,AE$8+$G$6&gt;$G17),"■","")</f>
        <v/>
      </c>
      <c r="AF17" s="5" t="str">
        <f>IF(AND(AF$8&lt;$H17,AF$8+$G$6&gt;$G17),"■","")</f>
        <v/>
      </c>
      <c r="AG17" s="5" t="str">
        <f>IF(AND(AG$8&lt;$H17,AG$8+$G$6&gt;$G17),"■","")</f>
        <v/>
      </c>
      <c r="AH17" s="5" t="str">
        <f>IF(AND(AH$8&lt;$H17,AH$8+$G$6&gt;$G17),"■","")</f>
        <v/>
      </c>
      <c r="AI17" s="5" t="str">
        <f>IF(AND(AI$8&lt;$H17,AI$8+$G$6&gt;$G17),"■","")</f>
        <v/>
      </c>
      <c r="AJ17" s="5" t="str">
        <f>IF(AND(AJ$8&lt;$H17,AJ$8+$G$6&gt;$G17),"■","")</f>
        <v/>
      </c>
      <c r="AK17" s="5" t="str">
        <f>IF(AND(AK$8&lt;$H17,AK$8+$G$6&gt;$G17),"■","")</f>
        <v/>
      </c>
      <c r="AL17" s="5" t="str">
        <f>IF(AND(AL$8&lt;$H17,AL$8+$G$6&gt;$G17),"■","")</f>
        <v/>
      </c>
      <c r="AM17" s="5" t="str">
        <f>IF(AND(AM$8&lt;$H17,AM$8+$G$6&gt;$G17),"■","")</f>
        <v/>
      </c>
      <c r="AN17" s="5" t="str">
        <f>IF(AND(AN$8&lt;$H17,AN$8+$G$6&gt;$G17),"■","")</f>
        <v/>
      </c>
      <c r="AO17" s="5" t="str">
        <f>IF(AND(AO$8&lt;$H17,AO$8+$G$6&gt;$G17),"■","")</f>
        <v/>
      </c>
      <c r="AP17" s="5" t="str">
        <f>IF(AND(AP$8&lt;$H17,AP$8+$G$6&gt;$G17),"■","")</f>
        <v>■</v>
      </c>
      <c r="AQ17" s="5" t="str">
        <f>IF(AND(AQ$8&lt;$H17,AQ$8+$G$6&gt;$G17),"■","")</f>
        <v>■</v>
      </c>
      <c r="AR17" s="5" t="str">
        <f>IF(AND(AR$8&lt;$H17,AR$8+$G$6&gt;$G17),"■","")</f>
        <v/>
      </c>
      <c r="AS17" s="5" t="str">
        <f>IF(AND(AS$8&lt;$H17,AS$8+$G$6&gt;$G17),"■","")</f>
        <v/>
      </c>
    </row>
    <row r="18" spans="1:45" ht="43" customHeight="1">
      <c r="A18" s="5" t="s">
        <v>189</v>
      </c>
      <c r="B18" s="5" t="s">
        <v>204</v>
      </c>
      <c r="C18" s="13">
        <f>0</f>
        <v>0</v>
      </c>
      <c r="D18" s="13">
        <f>0</f>
        <v>0</v>
      </c>
      <c r="E18" s="13">
        <f>0</f>
        <v>0</v>
      </c>
      <c r="F18" s="13">
        <f>IF('Ввод'!$B$29&gt;0,INDEX('Замеры ДО'!$S$1:$S$382,7+('Ввод'!$B$29-1)*21+14),"")</f>
        <v>10</v>
      </c>
      <c r="G18" s="13">
        <f>H17</f>
        <v>710.38</v>
      </c>
      <c r="H18" s="13">
        <f>IF(COUNT(C18:G18)=5,G18+C18+F18+MAX(D18,E18),"")</f>
        <v>720.38</v>
      </c>
      <c r="I18" s="5" t="s">
        <v>459</v>
      </c>
      <c r="J18" s="5" t="str">
        <f>IF(AND(J$8&lt;$H18,J$8+$G$6&gt;$G18),"■","")</f>
        <v/>
      </c>
      <c r="K18" s="5" t="str">
        <f>IF(AND(K$8&lt;$H18,K$8+$G$6&gt;$G18),"■","")</f>
        <v/>
      </c>
      <c r="L18" s="5" t="str">
        <f>IF(AND(L$8&lt;$H18,L$8+$G$6&gt;$G18),"■","")</f>
        <v/>
      </c>
      <c r="M18" s="5" t="str">
        <f>IF(AND(M$8&lt;$H18,M$8+$G$6&gt;$G18),"■","")</f>
        <v/>
      </c>
      <c r="N18" s="5" t="str">
        <f>IF(AND(N$8&lt;$H18,N$8+$G$6&gt;$G18),"■","")</f>
        <v/>
      </c>
      <c r="O18" s="5" t="str">
        <f>IF(AND(O$8&lt;$H18,O$8+$G$6&gt;$G18),"■","")</f>
        <v/>
      </c>
      <c r="P18" s="5" t="str">
        <f>IF(AND(P$8&lt;$H18,P$8+$G$6&gt;$G18),"■","")</f>
        <v/>
      </c>
      <c r="Q18" s="5" t="str">
        <f>IF(AND(Q$8&lt;$H18,Q$8+$G$6&gt;$G18),"■","")</f>
        <v/>
      </c>
      <c r="R18" s="5" t="str">
        <f>IF(AND(R$8&lt;$H18,R$8+$G$6&gt;$G18),"■","")</f>
        <v/>
      </c>
      <c r="S18" s="5" t="str">
        <f>IF(AND(S$8&lt;$H18,S$8+$G$6&gt;$G18),"■","")</f>
        <v/>
      </c>
      <c r="T18" s="5" t="str">
        <f>IF(AND(T$8&lt;$H18,T$8+$G$6&gt;$G18),"■","")</f>
        <v/>
      </c>
      <c r="U18" s="5" t="str">
        <f>IF(AND(U$8&lt;$H18,U$8+$G$6&gt;$G18),"■","")</f>
        <v/>
      </c>
      <c r="V18" s="5" t="str">
        <f>IF(AND(V$8&lt;$H18,V$8+$G$6&gt;$G18),"■","")</f>
        <v/>
      </c>
      <c r="W18" s="5" t="str">
        <f>IF(AND(W$8&lt;$H18,W$8+$G$6&gt;$G18),"■","")</f>
        <v/>
      </c>
      <c r="X18" s="5" t="str">
        <f>IF(AND(X$8&lt;$H18,X$8+$G$6&gt;$G18),"■","")</f>
        <v/>
      </c>
      <c r="Y18" s="5" t="str">
        <f>IF(AND(Y$8&lt;$H18,Y$8+$G$6&gt;$G18),"■","")</f>
        <v/>
      </c>
      <c r="Z18" s="5" t="str">
        <f>IF(AND(Z$8&lt;$H18,Z$8+$G$6&gt;$G18),"■","")</f>
        <v/>
      </c>
      <c r="AA18" s="5" t="str">
        <f>IF(AND(AA$8&lt;$H18,AA$8+$G$6&gt;$G18),"■","")</f>
        <v/>
      </c>
      <c r="AB18" s="5" t="str">
        <f>IF(AND(AB$8&lt;$H18,AB$8+$G$6&gt;$G18),"■","")</f>
        <v/>
      </c>
      <c r="AC18" s="5" t="str">
        <f>IF(AND(AC$8&lt;$H18,AC$8+$G$6&gt;$G18),"■","")</f>
        <v/>
      </c>
      <c r="AD18" s="5" t="str">
        <f>IF(AND(AD$8&lt;$H18,AD$8+$G$6&gt;$G18),"■","")</f>
        <v/>
      </c>
      <c r="AE18" s="5" t="str">
        <f>IF(AND(AE$8&lt;$H18,AE$8+$G$6&gt;$G18),"■","")</f>
        <v/>
      </c>
      <c r="AF18" s="5" t="str">
        <f>IF(AND(AF$8&lt;$H18,AF$8+$G$6&gt;$G18),"■","")</f>
        <v/>
      </c>
      <c r="AG18" s="5" t="str">
        <f>IF(AND(AG$8&lt;$H18,AG$8+$G$6&gt;$G18),"■","")</f>
        <v/>
      </c>
      <c r="AH18" s="5" t="str">
        <f>IF(AND(AH$8&lt;$H18,AH$8+$G$6&gt;$G18),"■","")</f>
        <v/>
      </c>
      <c r="AI18" s="5" t="str">
        <f>IF(AND(AI$8&lt;$H18,AI$8+$G$6&gt;$G18),"■","")</f>
        <v/>
      </c>
      <c r="AJ18" s="5" t="str">
        <f>IF(AND(AJ$8&lt;$H18,AJ$8+$G$6&gt;$G18),"■","")</f>
        <v/>
      </c>
      <c r="AK18" s="5" t="str">
        <f>IF(AND(AK$8&lt;$H18,AK$8+$G$6&gt;$G18),"■","")</f>
        <v/>
      </c>
      <c r="AL18" s="5" t="str">
        <f>IF(AND(AL$8&lt;$H18,AL$8+$G$6&gt;$G18),"■","")</f>
        <v/>
      </c>
      <c r="AM18" s="5" t="str">
        <f>IF(AND(AM$8&lt;$H18,AM$8+$G$6&gt;$G18),"■","")</f>
        <v/>
      </c>
      <c r="AN18" s="5" t="str">
        <f>IF(AND(AN$8&lt;$H18,AN$8+$G$6&gt;$G18),"■","")</f>
        <v/>
      </c>
      <c r="AO18" s="5" t="str">
        <f>IF(AND(AO$8&lt;$H18,AO$8+$G$6&gt;$G18),"■","")</f>
        <v/>
      </c>
      <c r="AP18" s="5" t="str">
        <f>IF(AND(AP$8&lt;$H18,AP$8+$G$6&gt;$G18),"■","")</f>
        <v/>
      </c>
      <c r="AQ18" s="5" t="str">
        <f>IF(AND(AQ$8&lt;$H18,AQ$8+$G$6&gt;$G18),"■","")</f>
        <v>■</v>
      </c>
      <c r="AR18" s="5" t="str">
        <f>IF(AND(AR$8&lt;$H18,AR$8+$G$6&gt;$G18),"■","")</f>
        <v/>
      </c>
      <c r="AS18" s="5" t="str">
        <f>IF(AND(AS$8&lt;$H18,AS$8+$G$6&gt;$G18),"■","")</f>
        <v/>
      </c>
    </row>
    <row r="19" spans="1:45" ht="43" customHeight="1">
      <c r="A19" s="5" t="s">
        <v>189</v>
      </c>
      <c r="B19" s="5" t="s">
        <v>206</v>
      </c>
      <c r="C19" s="13">
        <f>0</f>
        <v>0</v>
      </c>
      <c r="D19" s="13">
        <f>0</f>
        <v>0</v>
      </c>
      <c r="E19" s="13">
        <f>IF('Ввод'!$B$29&gt;0,INDEX('Замеры ДО'!$S$1:$S$382,7+('Ввод'!$B$29-1)*21+15),"")</f>
        <v>12</v>
      </c>
      <c r="F19" s="13">
        <f>0</f>
        <v>0</v>
      </c>
      <c r="G19" s="13">
        <f>H18</f>
        <v>720.38</v>
      </c>
      <c r="H19" s="13">
        <f>IF(COUNT(C19:G19)=5,G19+C19+F19+MAX(D19,E19),"")</f>
        <v>732.38</v>
      </c>
      <c r="I19" s="5" t="s">
        <v>459</v>
      </c>
      <c r="J19" s="5" t="str">
        <f>IF(AND(J$8&lt;$H19,J$8+$G$6&gt;$G19),"■","")</f>
        <v/>
      </c>
      <c r="K19" s="5" t="str">
        <f>IF(AND(K$8&lt;$H19,K$8+$G$6&gt;$G19),"■","")</f>
        <v/>
      </c>
      <c r="L19" s="5" t="str">
        <f>IF(AND(L$8&lt;$H19,L$8+$G$6&gt;$G19),"■","")</f>
        <v/>
      </c>
      <c r="M19" s="5" t="str">
        <f>IF(AND(M$8&lt;$H19,M$8+$G$6&gt;$G19),"■","")</f>
        <v/>
      </c>
      <c r="N19" s="5" t="str">
        <f>IF(AND(N$8&lt;$H19,N$8+$G$6&gt;$G19),"■","")</f>
        <v/>
      </c>
      <c r="O19" s="5" t="str">
        <f>IF(AND(O$8&lt;$H19,O$8+$G$6&gt;$G19),"■","")</f>
        <v/>
      </c>
      <c r="P19" s="5" t="str">
        <f>IF(AND(P$8&lt;$H19,P$8+$G$6&gt;$G19),"■","")</f>
        <v/>
      </c>
      <c r="Q19" s="5" t="str">
        <f>IF(AND(Q$8&lt;$H19,Q$8+$G$6&gt;$G19),"■","")</f>
        <v/>
      </c>
      <c r="R19" s="5" t="str">
        <f>IF(AND(R$8&lt;$H19,R$8+$G$6&gt;$G19),"■","")</f>
        <v/>
      </c>
      <c r="S19" s="5" t="str">
        <f>IF(AND(S$8&lt;$H19,S$8+$G$6&gt;$G19),"■","")</f>
        <v/>
      </c>
      <c r="T19" s="5" t="str">
        <f>IF(AND(T$8&lt;$H19,T$8+$G$6&gt;$G19),"■","")</f>
        <v/>
      </c>
      <c r="U19" s="5" t="str">
        <f>IF(AND(U$8&lt;$H19,U$8+$G$6&gt;$G19),"■","")</f>
        <v/>
      </c>
      <c r="V19" s="5" t="str">
        <f>IF(AND(V$8&lt;$H19,V$8+$G$6&gt;$G19),"■","")</f>
        <v/>
      </c>
      <c r="W19" s="5" t="str">
        <f>IF(AND(W$8&lt;$H19,W$8+$G$6&gt;$G19),"■","")</f>
        <v/>
      </c>
      <c r="X19" s="5" t="str">
        <f>IF(AND(X$8&lt;$H19,X$8+$G$6&gt;$G19),"■","")</f>
        <v/>
      </c>
      <c r="Y19" s="5" t="str">
        <f>IF(AND(Y$8&lt;$H19,Y$8+$G$6&gt;$G19),"■","")</f>
        <v/>
      </c>
      <c r="Z19" s="5" t="str">
        <f>IF(AND(Z$8&lt;$H19,Z$8+$G$6&gt;$G19),"■","")</f>
        <v/>
      </c>
      <c r="AA19" s="5" t="str">
        <f>IF(AND(AA$8&lt;$H19,AA$8+$G$6&gt;$G19),"■","")</f>
        <v/>
      </c>
      <c r="AB19" s="5" t="str">
        <f>IF(AND(AB$8&lt;$H19,AB$8+$G$6&gt;$G19),"■","")</f>
        <v/>
      </c>
      <c r="AC19" s="5" t="str">
        <f>IF(AND(AC$8&lt;$H19,AC$8+$G$6&gt;$G19),"■","")</f>
        <v/>
      </c>
      <c r="AD19" s="5" t="str">
        <f>IF(AND(AD$8&lt;$H19,AD$8+$G$6&gt;$G19),"■","")</f>
        <v/>
      </c>
      <c r="AE19" s="5" t="str">
        <f>IF(AND(AE$8&lt;$H19,AE$8+$G$6&gt;$G19),"■","")</f>
        <v/>
      </c>
      <c r="AF19" s="5" t="str">
        <f>IF(AND(AF$8&lt;$H19,AF$8+$G$6&gt;$G19),"■","")</f>
        <v/>
      </c>
      <c r="AG19" s="5" t="str">
        <f>IF(AND(AG$8&lt;$H19,AG$8+$G$6&gt;$G19),"■","")</f>
        <v/>
      </c>
      <c r="AH19" s="5" t="str">
        <f>IF(AND(AH$8&lt;$H19,AH$8+$G$6&gt;$G19),"■","")</f>
        <v/>
      </c>
      <c r="AI19" s="5" t="str">
        <f>IF(AND(AI$8&lt;$H19,AI$8+$G$6&gt;$G19),"■","")</f>
        <v/>
      </c>
      <c r="AJ19" s="5" t="str">
        <f>IF(AND(AJ$8&lt;$H19,AJ$8+$G$6&gt;$G19),"■","")</f>
        <v/>
      </c>
      <c r="AK19" s="5" t="str">
        <f>IF(AND(AK$8&lt;$H19,AK$8+$G$6&gt;$G19),"■","")</f>
        <v/>
      </c>
      <c r="AL19" s="5" t="str">
        <f>IF(AND(AL$8&lt;$H19,AL$8+$G$6&gt;$G19),"■","")</f>
        <v/>
      </c>
      <c r="AM19" s="5" t="str">
        <f>IF(AND(AM$8&lt;$H19,AM$8+$G$6&gt;$G19),"■","")</f>
        <v/>
      </c>
      <c r="AN19" s="5" t="str">
        <f>IF(AND(AN$8&lt;$H19,AN$8+$G$6&gt;$G19),"■","")</f>
        <v/>
      </c>
      <c r="AO19" s="5" t="str">
        <f>IF(AND(AO$8&lt;$H19,AO$8+$G$6&gt;$G19),"■","")</f>
        <v/>
      </c>
      <c r="AP19" s="5" t="str">
        <f>IF(AND(AP$8&lt;$H19,AP$8+$G$6&gt;$G19),"■","")</f>
        <v/>
      </c>
      <c r="AQ19" s="5" t="str">
        <f>IF(AND(AQ$8&lt;$H19,AQ$8+$G$6&gt;$G19),"■","")</f>
        <v>■</v>
      </c>
      <c r="AR19" s="5" t="str">
        <f>IF(AND(AR$8&lt;$H19,AR$8+$G$6&gt;$G19),"■","")</f>
        <v>■</v>
      </c>
      <c r="AS19" s="5" t="str">
        <f>IF(AND(AS$8&lt;$H19,AS$8+$G$6&gt;$G19),"■","")</f>
        <v/>
      </c>
    </row>
    <row r="21" spans="1:45" ht="23" customHeight="1">
      <c r="B21" s="4" t="s">
        <v>461</v>
      </c>
      <c r="C21" s="6">
        <f>SUM(C9:C19)</f>
        <v>238.38</v>
      </c>
      <c r="D21" s="6">
        <f>SUM(D9:D19)</f>
        <v>450</v>
      </c>
      <c r="E21" s="6">
        <f>SUM(E9:E19)</f>
        <v>462</v>
      </c>
      <c r="F21" s="6">
        <f>SUM(F9:F19)</f>
        <v>32</v>
      </c>
      <c r="H21" s="6">
        <f>H19</f>
        <v>732.38</v>
      </c>
    </row>
    <row r="23" spans="1:45" ht="23" customHeight="1">
      <c r="B23" s="5" t="s">
        <v>373</v>
      </c>
      <c r="C23" s="6">
        <f>'Ввод'!B30</f>
        <v>768.75</v>
      </c>
    </row>
    <row r="24" spans="1:45" ht="23" customHeight="1">
      <c r="B24" s="5" t="s">
        <v>462</v>
      </c>
      <c r="C24" s="6">
        <f>IF(COUNT(C23,H21)=2,C23-H21,"")</f>
        <v>36.3699999999999</v>
      </c>
    </row>
    <row r="25" spans="1:45" ht="23" customHeight="1">
      <c r="B25" s="5" t="s">
        <v>463</v>
      </c>
      <c r="C25" s="13">
        <f>'Периодическая работа'!I15</f>
        <v>236.25</v>
      </c>
    </row>
    <row r="26" spans="1:45" ht="23" customHeight="1">
      <c r="B26" s="5" t="s">
        <v>464</v>
      </c>
      <c r="C26" s="6">
        <f>IF(COUNT(H21,C25)=2,H21+C25,"")</f>
        <v>968.63</v>
      </c>
    </row>
    <row r="27" spans="1:45" ht="23" customHeight="1">
      <c r="B27" s="5" t="s">
        <v>465</v>
      </c>
      <c r="C27" s="6">
        <f>IF(ISNUMBER(H21),H21-(IF('Ввод'!$B$29&gt;0,INDEX('Замеры ДО'!$O$1:$O$382,7+('Ввод'!$B$29-1)*21+17),"")),"")</f>
        <v>0</v>
      </c>
    </row>
    <row r="29" spans="1:45" ht="23" customHeight="1">
      <c r="A29" s="2" t="s">
        <v>466</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spans="1:45" ht="23"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spans="1:45" ht="23"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3" spans="1:45" ht="23" customHeight="1">
      <c r="A33" s="7" t="s">
        <v>467</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23"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23"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sheetData>
  <sheetProtection sheet="1" objects="1" scenarios="1" sort="0" autoFilter="0"/>
  <mergeCells count="8">
    <mergeCell ref="A1:AS1"/>
    <mergeCell ref="A2:AS2"/>
    <mergeCell ref="B3:AS3"/>
    <mergeCell ref="A4:AS4"/>
    <mergeCell ref="A5:AS5"/>
    <mergeCell ref="A6:F6"/>
    <mergeCell ref="A29:AS31"/>
    <mergeCell ref="A33:AS35"/>
  </mergeCells>
  <conditionalFormatting sqref="AA10">
    <cfRule type="containsText" dxfId="4" priority="54" operator="containsText" text="■">
      <formula>NOT(ISERROR(SEARCH("■",AA10)))</formula>
    </cfRule>
  </conditionalFormatting>
  <conditionalFormatting sqref="AA11">
    <cfRule type="containsText" dxfId="4" priority="90" operator="containsText" text="■">
      <formula>NOT(ISERROR(SEARCH("■",AA11)))</formula>
    </cfRule>
  </conditionalFormatting>
  <conditionalFormatting sqref="AA12">
    <cfRule type="containsText" dxfId="5" priority="126" operator="containsText" text="■">
      <formula>NOT(ISERROR(SEARCH("■",AA12)))</formula>
    </cfRule>
  </conditionalFormatting>
  <conditionalFormatting sqref="AA13">
    <cfRule type="containsText" dxfId="4" priority="162" operator="containsText" text="■">
      <formula>NOT(ISERROR(SEARCH("■",AA13)))</formula>
    </cfRule>
  </conditionalFormatting>
  <conditionalFormatting sqref="AA14">
    <cfRule type="containsText" dxfId="6" priority="198" operator="containsText" text="■">
      <formula>NOT(ISERROR(SEARCH("■",AA14)))</formula>
    </cfRule>
  </conditionalFormatting>
  <conditionalFormatting sqref="AA15">
    <cfRule type="containsText" dxfId="4" priority="234" operator="containsText" text="■">
      <formula>NOT(ISERROR(SEARCH("■",AA15)))</formula>
    </cfRule>
  </conditionalFormatting>
  <conditionalFormatting sqref="AA16">
    <cfRule type="containsText" dxfId="4" priority="270" operator="containsText" text="■">
      <formula>NOT(ISERROR(SEARCH("■",AA16)))</formula>
    </cfRule>
  </conditionalFormatting>
  <conditionalFormatting sqref="AA17">
    <cfRule type="containsText" dxfId="5" priority="306" operator="containsText" text="■">
      <formula>NOT(ISERROR(SEARCH("■",AA17)))</formula>
    </cfRule>
  </conditionalFormatting>
  <conditionalFormatting sqref="AA18">
    <cfRule type="containsText" dxfId="5" priority="342" operator="containsText" text="■">
      <formula>NOT(ISERROR(SEARCH("■",AA18)))</formula>
    </cfRule>
  </conditionalFormatting>
  <conditionalFormatting sqref="AA19">
    <cfRule type="containsText" dxfId="7" priority="378" operator="containsText" text="■">
      <formula>NOT(ISERROR(SEARCH("■",AA19)))</formula>
    </cfRule>
  </conditionalFormatting>
  <conditionalFormatting sqref="AA9">
    <cfRule type="containsText" dxfId="4" priority="18" operator="containsText" text="■">
      <formula>NOT(ISERROR(SEARCH("■",AA9)))</formula>
    </cfRule>
  </conditionalFormatting>
  <conditionalFormatting sqref="AB10">
    <cfRule type="containsText" dxfId="4" priority="55" operator="containsText" text="■">
      <formula>NOT(ISERROR(SEARCH("■",AB10)))</formula>
    </cfRule>
  </conditionalFormatting>
  <conditionalFormatting sqref="AB11">
    <cfRule type="containsText" dxfId="4" priority="91" operator="containsText" text="■">
      <formula>NOT(ISERROR(SEARCH("■",AB11)))</formula>
    </cfRule>
  </conditionalFormatting>
  <conditionalFormatting sqref="AB12">
    <cfRule type="containsText" dxfId="5" priority="127" operator="containsText" text="■">
      <formula>NOT(ISERROR(SEARCH("■",AB12)))</formula>
    </cfRule>
  </conditionalFormatting>
  <conditionalFormatting sqref="AB13">
    <cfRule type="containsText" dxfId="4" priority="163" operator="containsText" text="■">
      <formula>NOT(ISERROR(SEARCH("■",AB13)))</formula>
    </cfRule>
  </conditionalFormatting>
  <conditionalFormatting sqref="AB14">
    <cfRule type="containsText" dxfId="6" priority="199" operator="containsText" text="■">
      <formula>NOT(ISERROR(SEARCH("■",AB14)))</formula>
    </cfRule>
  </conditionalFormatting>
  <conditionalFormatting sqref="AB15">
    <cfRule type="containsText" dxfId="4" priority="235" operator="containsText" text="■">
      <formula>NOT(ISERROR(SEARCH("■",AB15)))</formula>
    </cfRule>
  </conditionalFormatting>
  <conditionalFormatting sqref="AB16">
    <cfRule type="containsText" dxfId="4" priority="271" operator="containsText" text="■">
      <formula>NOT(ISERROR(SEARCH("■",AB16)))</formula>
    </cfRule>
  </conditionalFormatting>
  <conditionalFormatting sqref="AB17">
    <cfRule type="containsText" dxfId="5" priority="307" operator="containsText" text="■">
      <formula>NOT(ISERROR(SEARCH("■",AB17)))</formula>
    </cfRule>
  </conditionalFormatting>
  <conditionalFormatting sqref="AB18">
    <cfRule type="containsText" dxfId="5" priority="343" operator="containsText" text="■">
      <formula>NOT(ISERROR(SEARCH("■",AB18)))</formula>
    </cfRule>
  </conditionalFormatting>
  <conditionalFormatting sqref="AB19">
    <cfRule type="containsText" dxfId="7" priority="379" operator="containsText" text="■">
      <formula>NOT(ISERROR(SEARCH("■",AB19)))</formula>
    </cfRule>
  </conditionalFormatting>
  <conditionalFormatting sqref="AB9">
    <cfRule type="containsText" dxfId="4" priority="19" operator="containsText" text="■">
      <formula>NOT(ISERROR(SEARCH("■",AB9)))</formula>
    </cfRule>
  </conditionalFormatting>
  <conditionalFormatting sqref="AC10">
    <cfRule type="containsText" dxfId="4" priority="56" operator="containsText" text="■">
      <formula>NOT(ISERROR(SEARCH("■",AC10)))</formula>
    </cfRule>
  </conditionalFormatting>
  <conditionalFormatting sqref="AC11">
    <cfRule type="containsText" dxfId="4" priority="92" operator="containsText" text="■">
      <formula>NOT(ISERROR(SEARCH("■",AC11)))</formula>
    </cfRule>
  </conditionalFormatting>
  <conditionalFormatting sqref="AC12">
    <cfRule type="containsText" dxfId="5" priority="128" operator="containsText" text="■">
      <formula>NOT(ISERROR(SEARCH("■",AC12)))</formula>
    </cfRule>
  </conditionalFormatting>
  <conditionalFormatting sqref="AC13">
    <cfRule type="containsText" dxfId="4" priority="164" operator="containsText" text="■">
      <formula>NOT(ISERROR(SEARCH("■",AC13)))</formula>
    </cfRule>
  </conditionalFormatting>
  <conditionalFormatting sqref="AC14">
    <cfRule type="containsText" dxfId="6" priority="200" operator="containsText" text="■">
      <formula>NOT(ISERROR(SEARCH("■",AC14)))</formula>
    </cfRule>
  </conditionalFormatting>
  <conditionalFormatting sqref="AC15">
    <cfRule type="containsText" dxfId="4" priority="236" operator="containsText" text="■">
      <formula>NOT(ISERROR(SEARCH("■",AC15)))</formula>
    </cfRule>
  </conditionalFormatting>
  <conditionalFormatting sqref="AC16">
    <cfRule type="containsText" dxfId="4" priority="272" operator="containsText" text="■">
      <formula>NOT(ISERROR(SEARCH("■",AC16)))</formula>
    </cfRule>
  </conditionalFormatting>
  <conditionalFormatting sqref="AC17">
    <cfRule type="containsText" dxfId="5" priority="308" operator="containsText" text="■">
      <formula>NOT(ISERROR(SEARCH("■",AC17)))</formula>
    </cfRule>
  </conditionalFormatting>
  <conditionalFormatting sqref="AC18">
    <cfRule type="containsText" dxfId="5" priority="344" operator="containsText" text="■">
      <formula>NOT(ISERROR(SEARCH("■",AC18)))</formula>
    </cfRule>
  </conditionalFormatting>
  <conditionalFormatting sqref="AC19">
    <cfRule type="containsText" dxfId="7" priority="380" operator="containsText" text="■">
      <formula>NOT(ISERROR(SEARCH("■",AC19)))</formula>
    </cfRule>
  </conditionalFormatting>
  <conditionalFormatting sqref="AC9">
    <cfRule type="containsText" dxfId="4" priority="20" operator="containsText" text="■">
      <formula>NOT(ISERROR(SEARCH("■",AC9)))</formula>
    </cfRule>
  </conditionalFormatting>
  <conditionalFormatting sqref="AD10">
    <cfRule type="containsText" dxfId="4" priority="57" operator="containsText" text="■">
      <formula>NOT(ISERROR(SEARCH("■",AD10)))</formula>
    </cfRule>
  </conditionalFormatting>
  <conditionalFormatting sqref="AD11">
    <cfRule type="containsText" dxfId="4" priority="93" operator="containsText" text="■">
      <formula>NOT(ISERROR(SEARCH("■",AD11)))</formula>
    </cfRule>
  </conditionalFormatting>
  <conditionalFormatting sqref="AD12">
    <cfRule type="containsText" dxfId="5" priority="129" operator="containsText" text="■">
      <formula>NOT(ISERROR(SEARCH("■",AD12)))</formula>
    </cfRule>
  </conditionalFormatting>
  <conditionalFormatting sqref="AD13">
    <cfRule type="containsText" dxfId="4" priority="165" operator="containsText" text="■">
      <formula>NOT(ISERROR(SEARCH("■",AD13)))</formula>
    </cfRule>
  </conditionalFormatting>
  <conditionalFormatting sqref="AD14">
    <cfRule type="containsText" dxfId="6" priority="201" operator="containsText" text="■">
      <formula>NOT(ISERROR(SEARCH("■",AD14)))</formula>
    </cfRule>
  </conditionalFormatting>
  <conditionalFormatting sqref="AD15">
    <cfRule type="containsText" dxfId="4" priority="237" operator="containsText" text="■">
      <formula>NOT(ISERROR(SEARCH("■",AD15)))</formula>
    </cfRule>
  </conditionalFormatting>
  <conditionalFormatting sqref="AD16">
    <cfRule type="containsText" dxfId="4" priority="273" operator="containsText" text="■">
      <formula>NOT(ISERROR(SEARCH("■",AD16)))</formula>
    </cfRule>
  </conditionalFormatting>
  <conditionalFormatting sqref="AD17">
    <cfRule type="containsText" dxfId="5" priority="309" operator="containsText" text="■">
      <formula>NOT(ISERROR(SEARCH("■",AD17)))</formula>
    </cfRule>
  </conditionalFormatting>
  <conditionalFormatting sqref="AD18">
    <cfRule type="containsText" dxfId="5" priority="345" operator="containsText" text="■">
      <formula>NOT(ISERROR(SEARCH("■",AD18)))</formula>
    </cfRule>
  </conditionalFormatting>
  <conditionalFormatting sqref="AD19">
    <cfRule type="containsText" dxfId="7" priority="381" operator="containsText" text="■">
      <formula>NOT(ISERROR(SEARCH("■",AD19)))</formula>
    </cfRule>
  </conditionalFormatting>
  <conditionalFormatting sqref="AD9">
    <cfRule type="containsText" dxfId="4" priority="21" operator="containsText" text="■">
      <formula>NOT(ISERROR(SEARCH("■",AD9)))</formula>
    </cfRule>
  </conditionalFormatting>
  <conditionalFormatting sqref="AE10">
    <cfRule type="containsText" dxfId="4" priority="58" operator="containsText" text="■">
      <formula>NOT(ISERROR(SEARCH("■",AE10)))</formula>
    </cfRule>
  </conditionalFormatting>
  <conditionalFormatting sqref="AE11">
    <cfRule type="containsText" dxfId="4" priority="94" operator="containsText" text="■">
      <formula>NOT(ISERROR(SEARCH("■",AE11)))</formula>
    </cfRule>
  </conditionalFormatting>
  <conditionalFormatting sqref="AE12">
    <cfRule type="containsText" dxfId="5" priority="130" operator="containsText" text="■">
      <formula>NOT(ISERROR(SEARCH("■",AE12)))</formula>
    </cfRule>
  </conditionalFormatting>
  <conditionalFormatting sqref="AE13">
    <cfRule type="containsText" dxfId="4" priority="166" operator="containsText" text="■">
      <formula>NOT(ISERROR(SEARCH("■",AE13)))</formula>
    </cfRule>
  </conditionalFormatting>
  <conditionalFormatting sqref="AE14">
    <cfRule type="containsText" dxfId="6" priority="202" operator="containsText" text="■">
      <formula>NOT(ISERROR(SEARCH("■",AE14)))</formula>
    </cfRule>
  </conditionalFormatting>
  <conditionalFormatting sqref="AE15">
    <cfRule type="containsText" dxfId="4" priority="238" operator="containsText" text="■">
      <formula>NOT(ISERROR(SEARCH("■",AE15)))</formula>
    </cfRule>
  </conditionalFormatting>
  <conditionalFormatting sqref="AE16">
    <cfRule type="containsText" dxfId="4" priority="274" operator="containsText" text="■">
      <formula>NOT(ISERROR(SEARCH("■",AE16)))</formula>
    </cfRule>
  </conditionalFormatting>
  <conditionalFormatting sqref="AE17">
    <cfRule type="containsText" dxfId="5" priority="310" operator="containsText" text="■">
      <formula>NOT(ISERROR(SEARCH("■",AE17)))</formula>
    </cfRule>
  </conditionalFormatting>
  <conditionalFormatting sqref="AE18">
    <cfRule type="containsText" dxfId="5" priority="346" operator="containsText" text="■">
      <formula>NOT(ISERROR(SEARCH("■",AE18)))</formula>
    </cfRule>
  </conditionalFormatting>
  <conditionalFormatting sqref="AE19">
    <cfRule type="containsText" dxfId="7" priority="382" operator="containsText" text="■">
      <formula>NOT(ISERROR(SEARCH("■",AE19)))</formula>
    </cfRule>
  </conditionalFormatting>
  <conditionalFormatting sqref="AE9">
    <cfRule type="containsText" dxfId="4" priority="22" operator="containsText" text="■">
      <formula>NOT(ISERROR(SEARCH("■",AE9)))</formula>
    </cfRule>
  </conditionalFormatting>
  <conditionalFormatting sqref="AF10">
    <cfRule type="containsText" dxfId="4" priority="59" operator="containsText" text="■">
      <formula>NOT(ISERROR(SEARCH("■",AF10)))</formula>
    </cfRule>
  </conditionalFormatting>
  <conditionalFormatting sqref="AF11">
    <cfRule type="containsText" dxfId="4" priority="95" operator="containsText" text="■">
      <formula>NOT(ISERROR(SEARCH("■",AF11)))</formula>
    </cfRule>
  </conditionalFormatting>
  <conditionalFormatting sqref="AF12">
    <cfRule type="containsText" dxfId="5" priority="131" operator="containsText" text="■">
      <formula>NOT(ISERROR(SEARCH("■",AF12)))</formula>
    </cfRule>
  </conditionalFormatting>
  <conditionalFormatting sqref="AF13">
    <cfRule type="containsText" dxfId="4" priority="167" operator="containsText" text="■">
      <formula>NOT(ISERROR(SEARCH("■",AF13)))</formula>
    </cfRule>
  </conditionalFormatting>
  <conditionalFormatting sqref="AF14">
    <cfRule type="containsText" dxfId="6" priority="203" operator="containsText" text="■">
      <formula>NOT(ISERROR(SEARCH("■",AF14)))</formula>
    </cfRule>
  </conditionalFormatting>
  <conditionalFormatting sqref="AF15">
    <cfRule type="containsText" dxfId="4" priority="239" operator="containsText" text="■">
      <formula>NOT(ISERROR(SEARCH("■",AF15)))</formula>
    </cfRule>
  </conditionalFormatting>
  <conditionalFormatting sqref="AF16">
    <cfRule type="containsText" dxfId="4" priority="275" operator="containsText" text="■">
      <formula>NOT(ISERROR(SEARCH("■",AF16)))</formula>
    </cfRule>
  </conditionalFormatting>
  <conditionalFormatting sqref="AF17">
    <cfRule type="containsText" dxfId="5" priority="311" operator="containsText" text="■">
      <formula>NOT(ISERROR(SEARCH("■",AF17)))</formula>
    </cfRule>
  </conditionalFormatting>
  <conditionalFormatting sqref="AF18">
    <cfRule type="containsText" dxfId="5" priority="347" operator="containsText" text="■">
      <formula>NOT(ISERROR(SEARCH("■",AF18)))</formula>
    </cfRule>
  </conditionalFormatting>
  <conditionalFormatting sqref="AF19">
    <cfRule type="containsText" dxfId="7" priority="383" operator="containsText" text="■">
      <formula>NOT(ISERROR(SEARCH("■",AF19)))</formula>
    </cfRule>
  </conditionalFormatting>
  <conditionalFormatting sqref="AF9">
    <cfRule type="containsText" dxfId="4" priority="23" operator="containsText" text="■">
      <formula>NOT(ISERROR(SEARCH("■",AF9)))</formula>
    </cfRule>
  </conditionalFormatting>
  <conditionalFormatting sqref="AG10">
    <cfRule type="containsText" dxfId="4" priority="60" operator="containsText" text="■">
      <formula>NOT(ISERROR(SEARCH("■",AG10)))</formula>
    </cfRule>
  </conditionalFormatting>
  <conditionalFormatting sqref="AG11">
    <cfRule type="containsText" dxfId="4" priority="96" operator="containsText" text="■">
      <formula>NOT(ISERROR(SEARCH("■",AG11)))</formula>
    </cfRule>
  </conditionalFormatting>
  <conditionalFormatting sqref="AG12">
    <cfRule type="containsText" dxfId="5" priority="132" operator="containsText" text="■">
      <formula>NOT(ISERROR(SEARCH("■",AG12)))</formula>
    </cfRule>
  </conditionalFormatting>
  <conditionalFormatting sqref="AG13">
    <cfRule type="containsText" dxfId="4" priority="168" operator="containsText" text="■">
      <formula>NOT(ISERROR(SEARCH("■",AG13)))</formula>
    </cfRule>
  </conditionalFormatting>
  <conditionalFormatting sqref="AG14">
    <cfRule type="containsText" dxfId="6" priority="204" operator="containsText" text="■">
      <formula>NOT(ISERROR(SEARCH("■",AG14)))</formula>
    </cfRule>
  </conditionalFormatting>
  <conditionalFormatting sqref="AG15">
    <cfRule type="containsText" dxfId="4" priority="240" operator="containsText" text="■">
      <formula>NOT(ISERROR(SEARCH("■",AG15)))</formula>
    </cfRule>
  </conditionalFormatting>
  <conditionalFormatting sqref="AG16">
    <cfRule type="containsText" dxfId="4" priority="276" operator="containsText" text="■">
      <formula>NOT(ISERROR(SEARCH("■",AG16)))</formula>
    </cfRule>
  </conditionalFormatting>
  <conditionalFormatting sqref="AG17">
    <cfRule type="containsText" dxfId="5" priority="312" operator="containsText" text="■">
      <formula>NOT(ISERROR(SEARCH("■",AG17)))</formula>
    </cfRule>
  </conditionalFormatting>
  <conditionalFormatting sqref="AG18">
    <cfRule type="containsText" dxfId="5" priority="348" operator="containsText" text="■">
      <formula>NOT(ISERROR(SEARCH("■",AG18)))</formula>
    </cfRule>
  </conditionalFormatting>
  <conditionalFormatting sqref="AG19">
    <cfRule type="containsText" dxfId="7" priority="384" operator="containsText" text="■">
      <formula>NOT(ISERROR(SEARCH("■",AG19)))</formula>
    </cfRule>
  </conditionalFormatting>
  <conditionalFormatting sqref="AG9">
    <cfRule type="containsText" dxfId="4" priority="24" operator="containsText" text="■">
      <formula>NOT(ISERROR(SEARCH("■",AG9)))</formula>
    </cfRule>
  </conditionalFormatting>
  <conditionalFormatting sqref="AH10">
    <cfRule type="containsText" dxfId="4" priority="61" operator="containsText" text="■">
      <formula>NOT(ISERROR(SEARCH("■",AH10)))</formula>
    </cfRule>
  </conditionalFormatting>
  <conditionalFormatting sqref="AH11">
    <cfRule type="containsText" dxfId="4" priority="97" operator="containsText" text="■">
      <formula>NOT(ISERROR(SEARCH("■",AH11)))</formula>
    </cfRule>
  </conditionalFormatting>
  <conditionalFormatting sqref="AH12">
    <cfRule type="containsText" dxfId="5" priority="133" operator="containsText" text="■">
      <formula>NOT(ISERROR(SEARCH("■",AH12)))</formula>
    </cfRule>
  </conditionalFormatting>
  <conditionalFormatting sqref="AH13">
    <cfRule type="containsText" dxfId="4" priority="169" operator="containsText" text="■">
      <formula>NOT(ISERROR(SEARCH("■",AH13)))</formula>
    </cfRule>
  </conditionalFormatting>
  <conditionalFormatting sqref="AH14">
    <cfRule type="containsText" dxfId="6" priority="205" operator="containsText" text="■">
      <formula>NOT(ISERROR(SEARCH("■",AH14)))</formula>
    </cfRule>
  </conditionalFormatting>
  <conditionalFormatting sqref="AH15">
    <cfRule type="containsText" dxfId="4" priority="241" operator="containsText" text="■">
      <formula>NOT(ISERROR(SEARCH("■",AH15)))</formula>
    </cfRule>
  </conditionalFormatting>
  <conditionalFormatting sqref="AH16">
    <cfRule type="containsText" dxfId="4" priority="277" operator="containsText" text="■">
      <formula>NOT(ISERROR(SEARCH("■",AH16)))</formula>
    </cfRule>
  </conditionalFormatting>
  <conditionalFormatting sqref="AH17">
    <cfRule type="containsText" dxfId="5" priority="313" operator="containsText" text="■">
      <formula>NOT(ISERROR(SEARCH("■",AH17)))</formula>
    </cfRule>
  </conditionalFormatting>
  <conditionalFormatting sqref="AH18">
    <cfRule type="containsText" dxfId="5" priority="349" operator="containsText" text="■">
      <formula>NOT(ISERROR(SEARCH("■",AH18)))</formula>
    </cfRule>
  </conditionalFormatting>
  <conditionalFormatting sqref="AH19">
    <cfRule type="containsText" dxfId="7" priority="385" operator="containsText" text="■">
      <formula>NOT(ISERROR(SEARCH("■",AH19)))</formula>
    </cfRule>
  </conditionalFormatting>
  <conditionalFormatting sqref="AH9">
    <cfRule type="containsText" dxfId="4" priority="25" operator="containsText" text="■">
      <formula>NOT(ISERROR(SEARCH("■",AH9)))</formula>
    </cfRule>
  </conditionalFormatting>
  <conditionalFormatting sqref="AI10">
    <cfRule type="containsText" dxfId="4" priority="62" operator="containsText" text="■">
      <formula>NOT(ISERROR(SEARCH("■",AI10)))</formula>
    </cfRule>
  </conditionalFormatting>
  <conditionalFormatting sqref="AI11">
    <cfRule type="containsText" dxfId="4" priority="98" operator="containsText" text="■">
      <formula>NOT(ISERROR(SEARCH("■",AI11)))</formula>
    </cfRule>
  </conditionalFormatting>
  <conditionalFormatting sqref="AI12">
    <cfRule type="containsText" dxfId="5" priority="134" operator="containsText" text="■">
      <formula>NOT(ISERROR(SEARCH("■",AI12)))</formula>
    </cfRule>
  </conditionalFormatting>
  <conditionalFormatting sqref="AI13">
    <cfRule type="containsText" dxfId="4" priority="170" operator="containsText" text="■">
      <formula>NOT(ISERROR(SEARCH("■",AI13)))</formula>
    </cfRule>
  </conditionalFormatting>
  <conditionalFormatting sqref="AI14">
    <cfRule type="containsText" dxfId="6" priority="206" operator="containsText" text="■">
      <formula>NOT(ISERROR(SEARCH("■",AI14)))</formula>
    </cfRule>
  </conditionalFormatting>
  <conditionalFormatting sqref="AI15">
    <cfRule type="containsText" dxfId="4" priority="242" operator="containsText" text="■">
      <formula>NOT(ISERROR(SEARCH("■",AI15)))</formula>
    </cfRule>
  </conditionalFormatting>
  <conditionalFormatting sqref="AI16">
    <cfRule type="containsText" dxfId="4" priority="278" operator="containsText" text="■">
      <formula>NOT(ISERROR(SEARCH("■",AI16)))</formula>
    </cfRule>
  </conditionalFormatting>
  <conditionalFormatting sqref="AI17">
    <cfRule type="containsText" dxfId="5" priority="314" operator="containsText" text="■">
      <formula>NOT(ISERROR(SEARCH("■",AI17)))</formula>
    </cfRule>
  </conditionalFormatting>
  <conditionalFormatting sqref="AI18">
    <cfRule type="containsText" dxfId="5" priority="350" operator="containsText" text="■">
      <formula>NOT(ISERROR(SEARCH("■",AI18)))</formula>
    </cfRule>
  </conditionalFormatting>
  <conditionalFormatting sqref="AI19">
    <cfRule type="containsText" dxfId="7" priority="386" operator="containsText" text="■">
      <formula>NOT(ISERROR(SEARCH("■",AI19)))</formula>
    </cfRule>
  </conditionalFormatting>
  <conditionalFormatting sqref="AI9">
    <cfRule type="containsText" dxfId="4" priority="26" operator="containsText" text="■">
      <formula>NOT(ISERROR(SEARCH("■",AI9)))</formula>
    </cfRule>
  </conditionalFormatting>
  <conditionalFormatting sqref="AJ10">
    <cfRule type="containsText" dxfId="4" priority="63" operator="containsText" text="■">
      <formula>NOT(ISERROR(SEARCH("■",AJ10)))</formula>
    </cfRule>
  </conditionalFormatting>
  <conditionalFormatting sqref="AJ11">
    <cfRule type="containsText" dxfId="4" priority="99" operator="containsText" text="■">
      <formula>NOT(ISERROR(SEARCH("■",AJ11)))</formula>
    </cfRule>
  </conditionalFormatting>
  <conditionalFormatting sqref="AJ12">
    <cfRule type="containsText" dxfId="5" priority="135" operator="containsText" text="■">
      <formula>NOT(ISERROR(SEARCH("■",AJ12)))</formula>
    </cfRule>
  </conditionalFormatting>
  <conditionalFormatting sqref="AJ13">
    <cfRule type="containsText" dxfId="4" priority="171" operator="containsText" text="■">
      <formula>NOT(ISERROR(SEARCH("■",AJ13)))</formula>
    </cfRule>
  </conditionalFormatting>
  <conditionalFormatting sqref="AJ14">
    <cfRule type="containsText" dxfId="6" priority="207" operator="containsText" text="■">
      <formula>NOT(ISERROR(SEARCH("■",AJ14)))</formula>
    </cfRule>
  </conditionalFormatting>
  <conditionalFormatting sqref="AJ15">
    <cfRule type="containsText" dxfId="4" priority="243" operator="containsText" text="■">
      <formula>NOT(ISERROR(SEARCH("■",AJ15)))</formula>
    </cfRule>
  </conditionalFormatting>
  <conditionalFormatting sqref="AJ16">
    <cfRule type="containsText" dxfId="4" priority="279" operator="containsText" text="■">
      <formula>NOT(ISERROR(SEARCH("■",AJ16)))</formula>
    </cfRule>
  </conditionalFormatting>
  <conditionalFormatting sqref="AJ17">
    <cfRule type="containsText" dxfId="5" priority="315" operator="containsText" text="■">
      <formula>NOT(ISERROR(SEARCH("■",AJ17)))</formula>
    </cfRule>
  </conditionalFormatting>
  <conditionalFormatting sqref="AJ18">
    <cfRule type="containsText" dxfId="5" priority="351" operator="containsText" text="■">
      <formula>NOT(ISERROR(SEARCH("■",AJ18)))</formula>
    </cfRule>
  </conditionalFormatting>
  <conditionalFormatting sqref="AJ19">
    <cfRule type="containsText" dxfId="7" priority="387" operator="containsText" text="■">
      <formula>NOT(ISERROR(SEARCH("■",AJ19)))</formula>
    </cfRule>
  </conditionalFormatting>
  <conditionalFormatting sqref="AJ9">
    <cfRule type="containsText" dxfId="4" priority="27" operator="containsText" text="■">
      <formula>NOT(ISERROR(SEARCH("■",AJ9)))</formula>
    </cfRule>
  </conditionalFormatting>
  <conditionalFormatting sqref="AK10">
    <cfRule type="containsText" dxfId="4" priority="64" operator="containsText" text="■">
      <formula>NOT(ISERROR(SEARCH("■",AK10)))</formula>
    </cfRule>
  </conditionalFormatting>
  <conditionalFormatting sqref="AK11">
    <cfRule type="containsText" dxfId="4" priority="100" operator="containsText" text="■">
      <formula>NOT(ISERROR(SEARCH("■",AK11)))</formula>
    </cfRule>
  </conditionalFormatting>
  <conditionalFormatting sqref="AK12">
    <cfRule type="containsText" dxfId="5" priority="136" operator="containsText" text="■">
      <formula>NOT(ISERROR(SEARCH("■",AK12)))</formula>
    </cfRule>
  </conditionalFormatting>
  <conditionalFormatting sqref="AK13">
    <cfRule type="containsText" dxfId="4" priority="172" operator="containsText" text="■">
      <formula>NOT(ISERROR(SEARCH("■",AK13)))</formula>
    </cfRule>
  </conditionalFormatting>
  <conditionalFormatting sqref="AK14">
    <cfRule type="containsText" dxfId="6" priority="208" operator="containsText" text="■">
      <formula>NOT(ISERROR(SEARCH("■",AK14)))</formula>
    </cfRule>
  </conditionalFormatting>
  <conditionalFormatting sqref="AK15">
    <cfRule type="containsText" dxfId="4" priority="244" operator="containsText" text="■">
      <formula>NOT(ISERROR(SEARCH("■",AK15)))</formula>
    </cfRule>
  </conditionalFormatting>
  <conditionalFormatting sqref="AK16">
    <cfRule type="containsText" dxfId="4" priority="280" operator="containsText" text="■">
      <formula>NOT(ISERROR(SEARCH("■",AK16)))</formula>
    </cfRule>
  </conditionalFormatting>
  <conditionalFormatting sqref="AK17">
    <cfRule type="containsText" dxfId="5" priority="316" operator="containsText" text="■">
      <formula>NOT(ISERROR(SEARCH("■",AK17)))</formula>
    </cfRule>
  </conditionalFormatting>
  <conditionalFormatting sqref="AK18">
    <cfRule type="containsText" dxfId="5" priority="352" operator="containsText" text="■">
      <formula>NOT(ISERROR(SEARCH("■",AK18)))</formula>
    </cfRule>
  </conditionalFormatting>
  <conditionalFormatting sqref="AK19">
    <cfRule type="containsText" dxfId="7" priority="388" operator="containsText" text="■">
      <formula>NOT(ISERROR(SEARCH("■",AK19)))</formula>
    </cfRule>
  </conditionalFormatting>
  <conditionalFormatting sqref="AK9">
    <cfRule type="containsText" dxfId="4" priority="28" operator="containsText" text="■">
      <formula>NOT(ISERROR(SEARCH("■",AK9)))</formula>
    </cfRule>
  </conditionalFormatting>
  <conditionalFormatting sqref="AL10">
    <cfRule type="containsText" dxfId="4" priority="65" operator="containsText" text="■">
      <formula>NOT(ISERROR(SEARCH("■",AL10)))</formula>
    </cfRule>
  </conditionalFormatting>
  <conditionalFormatting sqref="AL11">
    <cfRule type="containsText" dxfId="4" priority="101" operator="containsText" text="■">
      <formula>NOT(ISERROR(SEARCH("■",AL11)))</formula>
    </cfRule>
  </conditionalFormatting>
  <conditionalFormatting sqref="AL12">
    <cfRule type="containsText" dxfId="5" priority="137" operator="containsText" text="■">
      <formula>NOT(ISERROR(SEARCH("■",AL12)))</formula>
    </cfRule>
  </conditionalFormatting>
  <conditionalFormatting sqref="AL13">
    <cfRule type="containsText" dxfId="4" priority="173" operator="containsText" text="■">
      <formula>NOT(ISERROR(SEARCH("■",AL13)))</formula>
    </cfRule>
  </conditionalFormatting>
  <conditionalFormatting sqref="AL14">
    <cfRule type="containsText" dxfId="6" priority="209" operator="containsText" text="■">
      <formula>NOT(ISERROR(SEARCH("■",AL14)))</formula>
    </cfRule>
  </conditionalFormatting>
  <conditionalFormatting sqref="AL15">
    <cfRule type="containsText" dxfId="4" priority="245" operator="containsText" text="■">
      <formula>NOT(ISERROR(SEARCH("■",AL15)))</formula>
    </cfRule>
  </conditionalFormatting>
  <conditionalFormatting sqref="AL16">
    <cfRule type="containsText" dxfId="4" priority="281" operator="containsText" text="■">
      <formula>NOT(ISERROR(SEARCH("■",AL16)))</formula>
    </cfRule>
  </conditionalFormatting>
  <conditionalFormatting sqref="AL17">
    <cfRule type="containsText" dxfId="5" priority="317" operator="containsText" text="■">
      <formula>NOT(ISERROR(SEARCH("■",AL17)))</formula>
    </cfRule>
  </conditionalFormatting>
  <conditionalFormatting sqref="AL18">
    <cfRule type="containsText" dxfId="5" priority="353" operator="containsText" text="■">
      <formula>NOT(ISERROR(SEARCH("■",AL18)))</formula>
    </cfRule>
  </conditionalFormatting>
  <conditionalFormatting sqref="AL19">
    <cfRule type="containsText" dxfId="7" priority="389" operator="containsText" text="■">
      <formula>NOT(ISERROR(SEARCH("■",AL19)))</formula>
    </cfRule>
  </conditionalFormatting>
  <conditionalFormatting sqref="AL9">
    <cfRule type="containsText" dxfId="4" priority="29" operator="containsText" text="■">
      <formula>NOT(ISERROR(SEARCH("■",AL9)))</formula>
    </cfRule>
  </conditionalFormatting>
  <conditionalFormatting sqref="AM10">
    <cfRule type="containsText" dxfId="4" priority="66" operator="containsText" text="■">
      <formula>NOT(ISERROR(SEARCH("■",AM10)))</formula>
    </cfRule>
  </conditionalFormatting>
  <conditionalFormatting sqref="AM11">
    <cfRule type="containsText" dxfId="4" priority="102" operator="containsText" text="■">
      <formula>NOT(ISERROR(SEARCH("■",AM11)))</formula>
    </cfRule>
  </conditionalFormatting>
  <conditionalFormatting sqref="AM12">
    <cfRule type="containsText" dxfId="5" priority="138" operator="containsText" text="■">
      <formula>NOT(ISERROR(SEARCH("■",AM12)))</formula>
    </cfRule>
  </conditionalFormatting>
  <conditionalFormatting sqref="AM13">
    <cfRule type="containsText" dxfId="4" priority="174" operator="containsText" text="■">
      <formula>NOT(ISERROR(SEARCH("■",AM13)))</formula>
    </cfRule>
  </conditionalFormatting>
  <conditionalFormatting sqref="AM14">
    <cfRule type="containsText" dxfId="6" priority="210" operator="containsText" text="■">
      <formula>NOT(ISERROR(SEARCH("■",AM14)))</formula>
    </cfRule>
  </conditionalFormatting>
  <conditionalFormatting sqref="AM15">
    <cfRule type="containsText" dxfId="4" priority="246" operator="containsText" text="■">
      <formula>NOT(ISERROR(SEARCH("■",AM15)))</formula>
    </cfRule>
  </conditionalFormatting>
  <conditionalFormatting sqref="AM16">
    <cfRule type="containsText" dxfId="4" priority="282" operator="containsText" text="■">
      <formula>NOT(ISERROR(SEARCH("■",AM16)))</formula>
    </cfRule>
  </conditionalFormatting>
  <conditionalFormatting sqref="AM17">
    <cfRule type="containsText" dxfId="5" priority="318" operator="containsText" text="■">
      <formula>NOT(ISERROR(SEARCH("■",AM17)))</formula>
    </cfRule>
  </conditionalFormatting>
  <conditionalFormatting sqref="AM18">
    <cfRule type="containsText" dxfId="5" priority="354" operator="containsText" text="■">
      <formula>NOT(ISERROR(SEARCH("■",AM18)))</formula>
    </cfRule>
  </conditionalFormatting>
  <conditionalFormatting sqref="AM19">
    <cfRule type="containsText" dxfId="7" priority="390" operator="containsText" text="■">
      <formula>NOT(ISERROR(SEARCH("■",AM19)))</formula>
    </cfRule>
  </conditionalFormatting>
  <conditionalFormatting sqref="AM9">
    <cfRule type="containsText" dxfId="4" priority="30" operator="containsText" text="■">
      <formula>NOT(ISERROR(SEARCH("■",AM9)))</formula>
    </cfRule>
  </conditionalFormatting>
  <conditionalFormatting sqref="AN10">
    <cfRule type="containsText" dxfId="4" priority="67" operator="containsText" text="■">
      <formula>NOT(ISERROR(SEARCH("■",AN10)))</formula>
    </cfRule>
  </conditionalFormatting>
  <conditionalFormatting sqref="AN11">
    <cfRule type="containsText" dxfId="4" priority="103" operator="containsText" text="■">
      <formula>NOT(ISERROR(SEARCH("■",AN11)))</formula>
    </cfRule>
  </conditionalFormatting>
  <conditionalFormatting sqref="AN12">
    <cfRule type="containsText" dxfId="5" priority="139" operator="containsText" text="■">
      <formula>NOT(ISERROR(SEARCH("■",AN12)))</formula>
    </cfRule>
  </conditionalFormatting>
  <conditionalFormatting sqref="AN13">
    <cfRule type="containsText" dxfId="4" priority="175" operator="containsText" text="■">
      <formula>NOT(ISERROR(SEARCH("■",AN13)))</formula>
    </cfRule>
  </conditionalFormatting>
  <conditionalFormatting sqref="AN14">
    <cfRule type="containsText" dxfId="6" priority="211" operator="containsText" text="■">
      <formula>NOT(ISERROR(SEARCH("■",AN14)))</formula>
    </cfRule>
  </conditionalFormatting>
  <conditionalFormatting sqref="AN15">
    <cfRule type="containsText" dxfId="4" priority="247" operator="containsText" text="■">
      <formula>NOT(ISERROR(SEARCH("■",AN15)))</formula>
    </cfRule>
  </conditionalFormatting>
  <conditionalFormatting sqref="AN16">
    <cfRule type="containsText" dxfId="4" priority="283" operator="containsText" text="■">
      <formula>NOT(ISERROR(SEARCH("■",AN16)))</formula>
    </cfRule>
  </conditionalFormatting>
  <conditionalFormatting sqref="AN17">
    <cfRule type="containsText" dxfId="5" priority="319" operator="containsText" text="■">
      <formula>NOT(ISERROR(SEARCH("■",AN17)))</formula>
    </cfRule>
  </conditionalFormatting>
  <conditionalFormatting sqref="AN18">
    <cfRule type="containsText" dxfId="5" priority="355" operator="containsText" text="■">
      <formula>NOT(ISERROR(SEARCH("■",AN18)))</formula>
    </cfRule>
  </conditionalFormatting>
  <conditionalFormatting sqref="AN19">
    <cfRule type="containsText" dxfId="7" priority="391" operator="containsText" text="■">
      <formula>NOT(ISERROR(SEARCH("■",AN19)))</formula>
    </cfRule>
  </conditionalFormatting>
  <conditionalFormatting sqref="AN9">
    <cfRule type="containsText" dxfId="4" priority="31" operator="containsText" text="■">
      <formula>NOT(ISERROR(SEARCH("■",AN9)))</formula>
    </cfRule>
  </conditionalFormatting>
  <conditionalFormatting sqref="AO10">
    <cfRule type="containsText" dxfId="4" priority="68" operator="containsText" text="■">
      <formula>NOT(ISERROR(SEARCH("■",AO10)))</formula>
    </cfRule>
  </conditionalFormatting>
  <conditionalFormatting sqref="AO11">
    <cfRule type="containsText" dxfId="4" priority="104" operator="containsText" text="■">
      <formula>NOT(ISERROR(SEARCH("■",AO11)))</formula>
    </cfRule>
  </conditionalFormatting>
  <conditionalFormatting sqref="AO12">
    <cfRule type="containsText" dxfId="5" priority="140" operator="containsText" text="■">
      <formula>NOT(ISERROR(SEARCH("■",AO12)))</formula>
    </cfRule>
  </conditionalFormatting>
  <conditionalFormatting sqref="AO13">
    <cfRule type="containsText" dxfId="4" priority="176" operator="containsText" text="■">
      <formula>NOT(ISERROR(SEARCH("■",AO13)))</formula>
    </cfRule>
  </conditionalFormatting>
  <conditionalFormatting sqref="AO14">
    <cfRule type="containsText" dxfId="6" priority="212" operator="containsText" text="■">
      <formula>NOT(ISERROR(SEARCH("■",AO14)))</formula>
    </cfRule>
  </conditionalFormatting>
  <conditionalFormatting sqref="AO15">
    <cfRule type="containsText" dxfId="4" priority="248" operator="containsText" text="■">
      <formula>NOT(ISERROR(SEARCH("■",AO15)))</formula>
    </cfRule>
  </conditionalFormatting>
  <conditionalFormatting sqref="AO16">
    <cfRule type="containsText" dxfId="4" priority="284" operator="containsText" text="■">
      <formula>NOT(ISERROR(SEARCH("■",AO16)))</formula>
    </cfRule>
  </conditionalFormatting>
  <conditionalFormatting sqref="AO17">
    <cfRule type="containsText" dxfId="5" priority="320" operator="containsText" text="■">
      <formula>NOT(ISERROR(SEARCH("■",AO17)))</formula>
    </cfRule>
  </conditionalFormatting>
  <conditionalFormatting sqref="AO18">
    <cfRule type="containsText" dxfId="5" priority="356" operator="containsText" text="■">
      <formula>NOT(ISERROR(SEARCH("■",AO18)))</formula>
    </cfRule>
  </conditionalFormatting>
  <conditionalFormatting sqref="AO19">
    <cfRule type="containsText" dxfId="7" priority="392" operator="containsText" text="■">
      <formula>NOT(ISERROR(SEARCH("■",AO19)))</formula>
    </cfRule>
  </conditionalFormatting>
  <conditionalFormatting sqref="AO9">
    <cfRule type="containsText" dxfId="4" priority="32" operator="containsText" text="■">
      <formula>NOT(ISERROR(SEARCH("■",AO9)))</formula>
    </cfRule>
  </conditionalFormatting>
  <conditionalFormatting sqref="AP10">
    <cfRule type="containsText" dxfId="4" priority="69" operator="containsText" text="■">
      <formula>NOT(ISERROR(SEARCH("■",AP10)))</formula>
    </cfRule>
  </conditionalFormatting>
  <conditionalFormatting sqref="AP11">
    <cfRule type="containsText" dxfId="4" priority="105" operator="containsText" text="■">
      <formula>NOT(ISERROR(SEARCH("■",AP11)))</formula>
    </cfRule>
  </conditionalFormatting>
  <conditionalFormatting sqref="AP12">
    <cfRule type="containsText" dxfId="5" priority="141" operator="containsText" text="■">
      <formula>NOT(ISERROR(SEARCH("■",AP12)))</formula>
    </cfRule>
  </conditionalFormatting>
  <conditionalFormatting sqref="AP13">
    <cfRule type="containsText" dxfId="4" priority="177" operator="containsText" text="■">
      <formula>NOT(ISERROR(SEARCH("■",AP13)))</formula>
    </cfRule>
  </conditionalFormatting>
  <conditionalFormatting sqref="AP14">
    <cfRule type="containsText" dxfId="6" priority="213" operator="containsText" text="■">
      <formula>NOT(ISERROR(SEARCH("■",AP14)))</formula>
    </cfRule>
  </conditionalFormatting>
  <conditionalFormatting sqref="AP15">
    <cfRule type="containsText" dxfId="4" priority="249" operator="containsText" text="■">
      <formula>NOT(ISERROR(SEARCH("■",AP15)))</formula>
    </cfRule>
  </conditionalFormatting>
  <conditionalFormatting sqref="AP16">
    <cfRule type="containsText" dxfId="4" priority="285" operator="containsText" text="■">
      <formula>NOT(ISERROR(SEARCH("■",AP16)))</formula>
    </cfRule>
  </conditionalFormatting>
  <conditionalFormatting sqref="AP17">
    <cfRule type="containsText" dxfId="5" priority="321" operator="containsText" text="■">
      <formula>NOT(ISERROR(SEARCH("■",AP17)))</formula>
    </cfRule>
  </conditionalFormatting>
  <conditionalFormatting sqref="AP18">
    <cfRule type="containsText" dxfId="5" priority="357" operator="containsText" text="■">
      <formula>NOT(ISERROR(SEARCH("■",AP18)))</formula>
    </cfRule>
  </conditionalFormatting>
  <conditionalFormatting sqref="AP19">
    <cfRule type="containsText" dxfId="7" priority="393" operator="containsText" text="■">
      <formula>NOT(ISERROR(SEARCH("■",AP19)))</formula>
    </cfRule>
  </conditionalFormatting>
  <conditionalFormatting sqref="AP9">
    <cfRule type="containsText" dxfId="4" priority="33" operator="containsText" text="■">
      <formula>NOT(ISERROR(SEARCH("■",AP9)))</formula>
    </cfRule>
  </conditionalFormatting>
  <conditionalFormatting sqref="AQ10">
    <cfRule type="containsText" dxfId="4" priority="70" operator="containsText" text="■">
      <formula>NOT(ISERROR(SEARCH("■",AQ10)))</formula>
    </cfRule>
  </conditionalFormatting>
  <conditionalFormatting sqref="AQ11">
    <cfRule type="containsText" dxfId="4" priority="106" operator="containsText" text="■">
      <formula>NOT(ISERROR(SEARCH("■",AQ11)))</formula>
    </cfRule>
  </conditionalFormatting>
  <conditionalFormatting sqref="AQ12">
    <cfRule type="containsText" dxfId="5" priority="142" operator="containsText" text="■">
      <formula>NOT(ISERROR(SEARCH("■",AQ12)))</formula>
    </cfRule>
  </conditionalFormatting>
  <conditionalFormatting sqref="AQ13">
    <cfRule type="containsText" dxfId="4" priority="178" operator="containsText" text="■">
      <formula>NOT(ISERROR(SEARCH("■",AQ13)))</formula>
    </cfRule>
  </conditionalFormatting>
  <conditionalFormatting sqref="AQ14">
    <cfRule type="containsText" dxfId="6" priority="214" operator="containsText" text="■">
      <formula>NOT(ISERROR(SEARCH("■",AQ14)))</formula>
    </cfRule>
  </conditionalFormatting>
  <conditionalFormatting sqref="AQ15">
    <cfRule type="containsText" dxfId="4" priority="250" operator="containsText" text="■">
      <formula>NOT(ISERROR(SEARCH("■",AQ15)))</formula>
    </cfRule>
  </conditionalFormatting>
  <conditionalFormatting sqref="AQ16">
    <cfRule type="containsText" dxfId="4" priority="286" operator="containsText" text="■">
      <formula>NOT(ISERROR(SEARCH("■",AQ16)))</formula>
    </cfRule>
  </conditionalFormatting>
  <conditionalFormatting sqref="AQ17">
    <cfRule type="containsText" dxfId="5" priority="322" operator="containsText" text="■">
      <formula>NOT(ISERROR(SEARCH("■",AQ17)))</formula>
    </cfRule>
  </conditionalFormatting>
  <conditionalFormatting sqref="AQ18">
    <cfRule type="containsText" dxfId="5" priority="358" operator="containsText" text="■">
      <formula>NOT(ISERROR(SEARCH("■",AQ18)))</formula>
    </cfRule>
  </conditionalFormatting>
  <conditionalFormatting sqref="AQ19">
    <cfRule type="containsText" dxfId="7" priority="394" operator="containsText" text="■">
      <formula>NOT(ISERROR(SEARCH("■",AQ19)))</formula>
    </cfRule>
  </conditionalFormatting>
  <conditionalFormatting sqref="AQ9">
    <cfRule type="containsText" dxfId="4" priority="34" operator="containsText" text="■">
      <formula>NOT(ISERROR(SEARCH("■",AQ9)))</formula>
    </cfRule>
  </conditionalFormatting>
  <conditionalFormatting sqref="AR10">
    <cfRule type="containsText" dxfId="4" priority="71" operator="containsText" text="■">
      <formula>NOT(ISERROR(SEARCH("■",AR10)))</formula>
    </cfRule>
  </conditionalFormatting>
  <conditionalFormatting sqref="AR11">
    <cfRule type="containsText" dxfId="4" priority="107" operator="containsText" text="■">
      <formula>NOT(ISERROR(SEARCH("■",AR11)))</formula>
    </cfRule>
  </conditionalFormatting>
  <conditionalFormatting sqref="AR12">
    <cfRule type="containsText" dxfId="5" priority="143" operator="containsText" text="■">
      <formula>NOT(ISERROR(SEARCH("■",AR12)))</formula>
    </cfRule>
  </conditionalFormatting>
  <conditionalFormatting sqref="AR13">
    <cfRule type="containsText" dxfId="4" priority="179" operator="containsText" text="■">
      <formula>NOT(ISERROR(SEARCH("■",AR13)))</formula>
    </cfRule>
  </conditionalFormatting>
  <conditionalFormatting sqref="AR14">
    <cfRule type="containsText" dxfId="6" priority="215" operator="containsText" text="■">
      <formula>NOT(ISERROR(SEARCH("■",AR14)))</formula>
    </cfRule>
  </conditionalFormatting>
  <conditionalFormatting sqref="AR15">
    <cfRule type="containsText" dxfId="4" priority="251" operator="containsText" text="■">
      <formula>NOT(ISERROR(SEARCH("■",AR15)))</formula>
    </cfRule>
  </conditionalFormatting>
  <conditionalFormatting sqref="AR16">
    <cfRule type="containsText" dxfId="4" priority="287" operator="containsText" text="■">
      <formula>NOT(ISERROR(SEARCH("■",AR16)))</formula>
    </cfRule>
  </conditionalFormatting>
  <conditionalFormatting sqref="AR17">
    <cfRule type="containsText" dxfId="5" priority="323" operator="containsText" text="■">
      <formula>NOT(ISERROR(SEARCH("■",AR17)))</formula>
    </cfRule>
  </conditionalFormatting>
  <conditionalFormatting sqref="AR18">
    <cfRule type="containsText" dxfId="5" priority="359" operator="containsText" text="■">
      <formula>NOT(ISERROR(SEARCH("■",AR18)))</formula>
    </cfRule>
  </conditionalFormatting>
  <conditionalFormatting sqref="AR19">
    <cfRule type="containsText" dxfId="7" priority="395" operator="containsText" text="■">
      <formula>NOT(ISERROR(SEARCH("■",AR19)))</formula>
    </cfRule>
  </conditionalFormatting>
  <conditionalFormatting sqref="AR9">
    <cfRule type="containsText" dxfId="4" priority="35" operator="containsText" text="■">
      <formula>NOT(ISERROR(SEARCH("■",AR9)))</formula>
    </cfRule>
  </conditionalFormatting>
  <conditionalFormatting sqref="AS10">
    <cfRule type="containsText" dxfId="4" priority="72" operator="containsText" text="■">
      <formula>NOT(ISERROR(SEARCH("■",AS10)))</formula>
    </cfRule>
  </conditionalFormatting>
  <conditionalFormatting sqref="AS11">
    <cfRule type="containsText" dxfId="4" priority="108" operator="containsText" text="■">
      <formula>NOT(ISERROR(SEARCH("■",AS11)))</formula>
    </cfRule>
  </conditionalFormatting>
  <conditionalFormatting sqref="AS12">
    <cfRule type="containsText" dxfId="5" priority="144" operator="containsText" text="■">
      <formula>NOT(ISERROR(SEARCH("■",AS12)))</formula>
    </cfRule>
  </conditionalFormatting>
  <conditionalFormatting sqref="AS13">
    <cfRule type="containsText" dxfId="4" priority="180" operator="containsText" text="■">
      <formula>NOT(ISERROR(SEARCH("■",AS13)))</formula>
    </cfRule>
  </conditionalFormatting>
  <conditionalFormatting sqref="AS14">
    <cfRule type="containsText" dxfId="6" priority="216" operator="containsText" text="■">
      <formula>NOT(ISERROR(SEARCH("■",AS14)))</formula>
    </cfRule>
  </conditionalFormatting>
  <conditionalFormatting sqref="AS15">
    <cfRule type="containsText" dxfId="4" priority="252" operator="containsText" text="■">
      <formula>NOT(ISERROR(SEARCH("■",AS15)))</formula>
    </cfRule>
  </conditionalFormatting>
  <conditionalFormatting sqref="AS16">
    <cfRule type="containsText" dxfId="4" priority="288" operator="containsText" text="■">
      <formula>NOT(ISERROR(SEARCH("■",AS16)))</formula>
    </cfRule>
  </conditionalFormatting>
  <conditionalFormatting sqref="AS17">
    <cfRule type="containsText" dxfId="5" priority="324" operator="containsText" text="■">
      <formula>NOT(ISERROR(SEARCH("■",AS17)))</formula>
    </cfRule>
  </conditionalFormatting>
  <conditionalFormatting sqref="AS18">
    <cfRule type="containsText" dxfId="5" priority="360" operator="containsText" text="■">
      <formula>NOT(ISERROR(SEARCH("■",AS18)))</formula>
    </cfRule>
  </conditionalFormatting>
  <conditionalFormatting sqref="AS19">
    <cfRule type="containsText" dxfId="7" priority="396" operator="containsText" text="■">
      <formula>NOT(ISERROR(SEARCH("■",AS19)))</formula>
    </cfRule>
  </conditionalFormatting>
  <conditionalFormatting sqref="AS9">
    <cfRule type="containsText" dxfId="4" priority="36" operator="containsText" text="■">
      <formula>NOT(ISERROR(SEARCH("■",AS9)))</formula>
    </cfRule>
  </conditionalFormatting>
  <conditionalFormatting sqref="J10">
    <cfRule type="containsText" dxfId="4" priority="37" operator="containsText" text="■">
      <formula>NOT(ISERROR(SEARCH("■",J10)))</formula>
    </cfRule>
  </conditionalFormatting>
  <conditionalFormatting sqref="J11">
    <cfRule type="containsText" dxfId="4" priority="73" operator="containsText" text="■">
      <formula>NOT(ISERROR(SEARCH("■",J11)))</formula>
    </cfRule>
  </conditionalFormatting>
  <conditionalFormatting sqref="J12">
    <cfRule type="containsText" dxfId="5" priority="109" operator="containsText" text="■">
      <formula>NOT(ISERROR(SEARCH("■",J12)))</formula>
    </cfRule>
  </conditionalFormatting>
  <conditionalFormatting sqref="J13">
    <cfRule type="containsText" dxfId="4" priority="145" operator="containsText" text="■">
      <formula>NOT(ISERROR(SEARCH("■",J13)))</formula>
    </cfRule>
  </conditionalFormatting>
  <conditionalFormatting sqref="J14">
    <cfRule type="containsText" dxfId="6" priority="181" operator="containsText" text="■">
      <formula>NOT(ISERROR(SEARCH("■",J14)))</formula>
    </cfRule>
  </conditionalFormatting>
  <conditionalFormatting sqref="J15">
    <cfRule type="containsText" dxfId="4" priority="217" operator="containsText" text="■">
      <formula>NOT(ISERROR(SEARCH("■",J15)))</formula>
    </cfRule>
  </conditionalFormatting>
  <conditionalFormatting sqref="J16">
    <cfRule type="containsText" dxfId="4" priority="253" operator="containsText" text="■">
      <formula>NOT(ISERROR(SEARCH("■",J16)))</formula>
    </cfRule>
  </conditionalFormatting>
  <conditionalFormatting sqref="J17">
    <cfRule type="containsText" dxfId="5" priority="289" operator="containsText" text="■">
      <formula>NOT(ISERROR(SEARCH("■",J17)))</formula>
    </cfRule>
  </conditionalFormatting>
  <conditionalFormatting sqref="J18">
    <cfRule type="containsText" dxfId="5" priority="325" operator="containsText" text="■">
      <formula>NOT(ISERROR(SEARCH("■",J18)))</formula>
    </cfRule>
  </conditionalFormatting>
  <conditionalFormatting sqref="J19">
    <cfRule type="containsText" dxfId="7" priority="361" operator="containsText" text="■">
      <formula>NOT(ISERROR(SEARCH("■",J19)))</formula>
    </cfRule>
  </conditionalFormatting>
  <conditionalFormatting sqref="J9">
    <cfRule type="containsText" dxfId="4" priority="1" operator="containsText" text="■">
      <formula>NOT(ISERROR(SEARCH("■",J9)))</formula>
    </cfRule>
  </conditionalFormatting>
  <conditionalFormatting sqref="K10">
    <cfRule type="containsText" dxfId="4" priority="38" operator="containsText" text="■">
      <formula>NOT(ISERROR(SEARCH("■",K10)))</formula>
    </cfRule>
  </conditionalFormatting>
  <conditionalFormatting sqref="K11">
    <cfRule type="containsText" dxfId="4" priority="74" operator="containsText" text="■">
      <formula>NOT(ISERROR(SEARCH("■",K11)))</formula>
    </cfRule>
  </conditionalFormatting>
  <conditionalFormatting sqref="K12">
    <cfRule type="containsText" dxfId="5" priority="110" operator="containsText" text="■">
      <formula>NOT(ISERROR(SEARCH("■",K12)))</formula>
    </cfRule>
  </conditionalFormatting>
  <conditionalFormatting sqref="K13">
    <cfRule type="containsText" dxfId="4" priority="146" operator="containsText" text="■">
      <formula>NOT(ISERROR(SEARCH("■",K13)))</formula>
    </cfRule>
  </conditionalFormatting>
  <conditionalFormatting sqref="K14">
    <cfRule type="containsText" dxfId="6" priority="182" operator="containsText" text="■">
      <formula>NOT(ISERROR(SEARCH("■",K14)))</formula>
    </cfRule>
  </conditionalFormatting>
  <conditionalFormatting sqref="K15">
    <cfRule type="containsText" dxfId="4" priority="218" operator="containsText" text="■">
      <formula>NOT(ISERROR(SEARCH("■",K15)))</formula>
    </cfRule>
  </conditionalFormatting>
  <conditionalFormatting sqref="K16">
    <cfRule type="containsText" dxfId="4" priority="254" operator="containsText" text="■">
      <formula>NOT(ISERROR(SEARCH("■",K16)))</formula>
    </cfRule>
  </conditionalFormatting>
  <conditionalFormatting sqref="K17">
    <cfRule type="containsText" dxfId="5" priority="290" operator="containsText" text="■">
      <formula>NOT(ISERROR(SEARCH("■",K17)))</formula>
    </cfRule>
  </conditionalFormatting>
  <conditionalFormatting sqref="K18">
    <cfRule type="containsText" dxfId="5" priority="326" operator="containsText" text="■">
      <formula>NOT(ISERROR(SEARCH("■",K18)))</formula>
    </cfRule>
  </conditionalFormatting>
  <conditionalFormatting sqref="K19">
    <cfRule type="containsText" dxfId="7" priority="362" operator="containsText" text="■">
      <formula>NOT(ISERROR(SEARCH("■",K19)))</formula>
    </cfRule>
  </conditionalFormatting>
  <conditionalFormatting sqref="K9">
    <cfRule type="containsText" dxfId="4" priority="2" operator="containsText" text="■">
      <formula>NOT(ISERROR(SEARCH("■",K9)))</formula>
    </cfRule>
  </conditionalFormatting>
  <conditionalFormatting sqref="L10">
    <cfRule type="containsText" dxfId="4" priority="39" operator="containsText" text="■">
      <formula>NOT(ISERROR(SEARCH("■",L10)))</formula>
    </cfRule>
  </conditionalFormatting>
  <conditionalFormatting sqref="L11">
    <cfRule type="containsText" dxfId="4" priority="75" operator="containsText" text="■">
      <formula>NOT(ISERROR(SEARCH("■",L11)))</formula>
    </cfRule>
  </conditionalFormatting>
  <conditionalFormatting sqref="L12">
    <cfRule type="containsText" dxfId="5" priority="111" operator="containsText" text="■">
      <formula>NOT(ISERROR(SEARCH("■",L12)))</formula>
    </cfRule>
  </conditionalFormatting>
  <conditionalFormatting sqref="L13">
    <cfRule type="containsText" dxfId="4" priority="147" operator="containsText" text="■">
      <formula>NOT(ISERROR(SEARCH("■",L13)))</formula>
    </cfRule>
  </conditionalFormatting>
  <conditionalFormatting sqref="L14">
    <cfRule type="containsText" dxfId="6" priority="183" operator="containsText" text="■">
      <formula>NOT(ISERROR(SEARCH("■",L14)))</formula>
    </cfRule>
  </conditionalFormatting>
  <conditionalFormatting sqref="L15">
    <cfRule type="containsText" dxfId="4" priority="219" operator="containsText" text="■">
      <formula>NOT(ISERROR(SEARCH("■",L15)))</formula>
    </cfRule>
  </conditionalFormatting>
  <conditionalFormatting sqref="L16">
    <cfRule type="containsText" dxfId="4" priority="255" operator="containsText" text="■">
      <formula>NOT(ISERROR(SEARCH("■",L16)))</formula>
    </cfRule>
  </conditionalFormatting>
  <conditionalFormatting sqref="L17">
    <cfRule type="containsText" dxfId="5" priority="291" operator="containsText" text="■">
      <formula>NOT(ISERROR(SEARCH("■",L17)))</formula>
    </cfRule>
  </conditionalFormatting>
  <conditionalFormatting sqref="L18">
    <cfRule type="containsText" dxfId="5" priority="327" operator="containsText" text="■">
      <formula>NOT(ISERROR(SEARCH("■",L18)))</formula>
    </cfRule>
  </conditionalFormatting>
  <conditionalFormatting sqref="L19">
    <cfRule type="containsText" dxfId="7" priority="363" operator="containsText" text="■">
      <formula>NOT(ISERROR(SEARCH("■",L19)))</formula>
    </cfRule>
  </conditionalFormatting>
  <conditionalFormatting sqref="L9">
    <cfRule type="containsText" dxfId="4" priority="3" operator="containsText" text="■">
      <formula>NOT(ISERROR(SEARCH("■",L9)))</formula>
    </cfRule>
  </conditionalFormatting>
  <conditionalFormatting sqref="M10">
    <cfRule type="containsText" dxfId="4" priority="40" operator="containsText" text="■">
      <formula>NOT(ISERROR(SEARCH("■",M10)))</formula>
    </cfRule>
  </conditionalFormatting>
  <conditionalFormatting sqref="M11">
    <cfRule type="containsText" dxfId="4" priority="76" operator="containsText" text="■">
      <formula>NOT(ISERROR(SEARCH("■",M11)))</formula>
    </cfRule>
  </conditionalFormatting>
  <conditionalFormatting sqref="M12">
    <cfRule type="containsText" dxfId="5" priority="112" operator="containsText" text="■">
      <formula>NOT(ISERROR(SEARCH("■",M12)))</formula>
    </cfRule>
  </conditionalFormatting>
  <conditionalFormatting sqref="M13">
    <cfRule type="containsText" dxfId="4" priority="148" operator="containsText" text="■">
      <formula>NOT(ISERROR(SEARCH("■",M13)))</formula>
    </cfRule>
  </conditionalFormatting>
  <conditionalFormatting sqref="M14">
    <cfRule type="containsText" dxfId="6" priority="184" operator="containsText" text="■">
      <formula>NOT(ISERROR(SEARCH("■",M14)))</formula>
    </cfRule>
  </conditionalFormatting>
  <conditionalFormatting sqref="M15">
    <cfRule type="containsText" dxfId="4" priority="220" operator="containsText" text="■">
      <formula>NOT(ISERROR(SEARCH("■",M15)))</formula>
    </cfRule>
  </conditionalFormatting>
  <conditionalFormatting sqref="M16">
    <cfRule type="containsText" dxfId="4" priority="256" operator="containsText" text="■">
      <formula>NOT(ISERROR(SEARCH("■",M16)))</formula>
    </cfRule>
  </conditionalFormatting>
  <conditionalFormatting sqref="M17">
    <cfRule type="containsText" dxfId="5" priority="292" operator="containsText" text="■">
      <formula>NOT(ISERROR(SEARCH("■",M17)))</formula>
    </cfRule>
  </conditionalFormatting>
  <conditionalFormatting sqref="M18">
    <cfRule type="containsText" dxfId="5" priority="328" operator="containsText" text="■">
      <formula>NOT(ISERROR(SEARCH("■",M18)))</formula>
    </cfRule>
  </conditionalFormatting>
  <conditionalFormatting sqref="M19">
    <cfRule type="containsText" dxfId="7" priority="364" operator="containsText" text="■">
      <formula>NOT(ISERROR(SEARCH("■",M19)))</formula>
    </cfRule>
  </conditionalFormatting>
  <conditionalFormatting sqref="M9">
    <cfRule type="containsText" dxfId="4" priority="4" operator="containsText" text="■">
      <formula>NOT(ISERROR(SEARCH("■",M9)))</formula>
    </cfRule>
  </conditionalFormatting>
  <conditionalFormatting sqref="N10">
    <cfRule type="containsText" dxfId="4" priority="41" operator="containsText" text="■">
      <formula>NOT(ISERROR(SEARCH("■",N10)))</formula>
    </cfRule>
  </conditionalFormatting>
  <conditionalFormatting sqref="N11">
    <cfRule type="containsText" dxfId="4" priority="77" operator="containsText" text="■">
      <formula>NOT(ISERROR(SEARCH("■",N11)))</formula>
    </cfRule>
  </conditionalFormatting>
  <conditionalFormatting sqref="N12">
    <cfRule type="containsText" dxfId="5" priority="113" operator="containsText" text="■">
      <formula>NOT(ISERROR(SEARCH("■",N12)))</formula>
    </cfRule>
  </conditionalFormatting>
  <conditionalFormatting sqref="N13">
    <cfRule type="containsText" dxfId="4" priority="149" operator="containsText" text="■">
      <formula>NOT(ISERROR(SEARCH("■",N13)))</formula>
    </cfRule>
  </conditionalFormatting>
  <conditionalFormatting sqref="N14">
    <cfRule type="containsText" dxfId="6" priority="185" operator="containsText" text="■">
      <formula>NOT(ISERROR(SEARCH("■",N14)))</formula>
    </cfRule>
  </conditionalFormatting>
  <conditionalFormatting sqref="N15">
    <cfRule type="containsText" dxfId="4" priority="221" operator="containsText" text="■">
      <formula>NOT(ISERROR(SEARCH("■",N15)))</formula>
    </cfRule>
  </conditionalFormatting>
  <conditionalFormatting sqref="N16">
    <cfRule type="containsText" dxfId="4" priority="257" operator="containsText" text="■">
      <formula>NOT(ISERROR(SEARCH("■",N16)))</formula>
    </cfRule>
  </conditionalFormatting>
  <conditionalFormatting sqref="N17">
    <cfRule type="containsText" dxfId="5" priority="293" operator="containsText" text="■">
      <formula>NOT(ISERROR(SEARCH("■",N17)))</formula>
    </cfRule>
  </conditionalFormatting>
  <conditionalFormatting sqref="N18">
    <cfRule type="containsText" dxfId="5" priority="329" operator="containsText" text="■">
      <formula>NOT(ISERROR(SEARCH("■",N18)))</formula>
    </cfRule>
  </conditionalFormatting>
  <conditionalFormatting sqref="N19">
    <cfRule type="containsText" dxfId="7" priority="365" operator="containsText" text="■">
      <formula>NOT(ISERROR(SEARCH("■",N19)))</formula>
    </cfRule>
  </conditionalFormatting>
  <conditionalFormatting sqref="N9">
    <cfRule type="containsText" dxfId="4" priority="5" operator="containsText" text="■">
      <formula>NOT(ISERROR(SEARCH("■",N9)))</formula>
    </cfRule>
  </conditionalFormatting>
  <conditionalFormatting sqref="O10">
    <cfRule type="containsText" dxfId="4" priority="42" operator="containsText" text="■">
      <formula>NOT(ISERROR(SEARCH("■",O10)))</formula>
    </cfRule>
  </conditionalFormatting>
  <conditionalFormatting sqref="O11">
    <cfRule type="containsText" dxfId="4" priority="78" operator="containsText" text="■">
      <formula>NOT(ISERROR(SEARCH("■",O11)))</formula>
    </cfRule>
  </conditionalFormatting>
  <conditionalFormatting sqref="O12">
    <cfRule type="containsText" dxfId="5" priority="114" operator="containsText" text="■">
      <formula>NOT(ISERROR(SEARCH("■",O12)))</formula>
    </cfRule>
  </conditionalFormatting>
  <conditionalFormatting sqref="O13">
    <cfRule type="containsText" dxfId="4" priority="150" operator="containsText" text="■">
      <formula>NOT(ISERROR(SEARCH("■",O13)))</formula>
    </cfRule>
  </conditionalFormatting>
  <conditionalFormatting sqref="O14">
    <cfRule type="containsText" dxfId="6" priority="186" operator="containsText" text="■">
      <formula>NOT(ISERROR(SEARCH("■",O14)))</formula>
    </cfRule>
  </conditionalFormatting>
  <conditionalFormatting sqref="O15">
    <cfRule type="containsText" dxfId="4" priority="222" operator="containsText" text="■">
      <formula>NOT(ISERROR(SEARCH("■",O15)))</formula>
    </cfRule>
  </conditionalFormatting>
  <conditionalFormatting sqref="O16">
    <cfRule type="containsText" dxfId="4" priority="258" operator="containsText" text="■">
      <formula>NOT(ISERROR(SEARCH("■",O16)))</formula>
    </cfRule>
  </conditionalFormatting>
  <conditionalFormatting sqref="O17">
    <cfRule type="containsText" dxfId="5" priority="294" operator="containsText" text="■">
      <formula>NOT(ISERROR(SEARCH("■",O17)))</formula>
    </cfRule>
  </conditionalFormatting>
  <conditionalFormatting sqref="O18">
    <cfRule type="containsText" dxfId="5" priority="330" operator="containsText" text="■">
      <formula>NOT(ISERROR(SEARCH("■",O18)))</formula>
    </cfRule>
  </conditionalFormatting>
  <conditionalFormatting sqref="O19">
    <cfRule type="containsText" dxfId="7" priority="366" operator="containsText" text="■">
      <formula>NOT(ISERROR(SEARCH("■",O19)))</formula>
    </cfRule>
  </conditionalFormatting>
  <conditionalFormatting sqref="O9">
    <cfRule type="containsText" dxfId="4" priority="6" operator="containsText" text="■">
      <formula>NOT(ISERROR(SEARCH("■",O9)))</formula>
    </cfRule>
  </conditionalFormatting>
  <conditionalFormatting sqref="P10">
    <cfRule type="containsText" dxfId="4" priority="43" operator="containsText" text="■">
      <formula>NOT(ISERROR(SEARCH("■",P10)))</formula>
    </cfRule>
  </conditionalFormatting>
  <conditionalFormatting sqref="P11">
    <cfRule type="containsText" dxfId="4" priority="79" operator="containsText" text="■">
      <formula>NOT(ISERROR(SEARCH("■",P11)))</formula>
    </cfRule>
  </conditionalFormatting>
  <conditionalFormatting sqref="P12">
    <cfRule type="containsText" dxfId="5" priority="115" operator="containsText" text="■">
      <formula>NOT(ISERROR(SEARCH("■",P12)))</formula>
    </cfRule>
  </conditionalFormatting>
  <conditionalFormatting sqref="P13">
    <cfRule type="containsText" dxfId="4" priority="151" operator="containsText" text="■">
      <formula>NOT(ISERROR(SEARCH("■",P13)))</formula>
    </cfRule>
  </conditionalFormatting>
  <conditionalFormatting sqref="P14">
    <cfRule type="containsText" dxfId="6" priority="187" operator="containsText" text="■">
      <formula>NOT(ISERROR(SEARCH("■",P14)))</formula>
    </cfRule>
  </conditionalFormatting>
  <conditionalFormatting sqref="P15">
    <cfRule type="containsText" dxfId="4" priority="223" operator="containsText" text="■">
      <formula>NOT(ISERROR(SEARCH("■",P15)))</formula>
    </cfRule>
  </conditionalFormatting>
  <conditionalFormatting sqref="P16">
    <cfRule type="containsText" dxfId="4" priority="259" operator="containsText" text="■">
      <formula>NOT(ISERROR(SEARCH("■",P16)))</formula>
    </cfRule>
  </conditionalFormatting>
  <conditionalFormatting sqref="P17">
    <cfRule type="containsText" dxfId="5" priority="295" operator="containsText" text="■">
      <formula>NOT(ISERROR(SEARCH("■",P17)))</formula>
    </cfRule>
  </conditionalFormatting>
  <conditionalFormatting sqref="P18">
    <cfRule type="containsText" dxfId="5" priority="331" operator="containsText" text="■">
      <formula>NOT(ISERROR(SEARCH("■",P18)))</formula>
    </cfRule>
  </conditionalFormatting>
  <conditionalFormatting sqref="P19">
    <cfRule type="containsText" dxfId="7" priority="367" operator="containsText" text="■">
      <formula>NOT(ISERROR(SEARCH("■",P19)))</formula>
    </cfRule>
  </conditionalFormatting>
  <conditionalFormatting sqref="P9">
    <cfRule type="containsText" dxfId="4" priority="7" operator="containsText" text="■">
      <formula>NOT(ISERROR(SEARCH("■",P9)))</formula>
    </cfRule>
  </conditionalFormatting>
  <conditionalFormatting sqref="Q10">
    <cfRule type="containsText" dxfId="4" priority="44" operator="containsText" text="■">
      <formula>NOT(ISERROR(SEARCH("■",Q10)))</formula>
    </cfRule>
  </conditionalFormatting>
  <conditionalFormatting sqref="Q11">
    <cfRule type="containsText" dxfId="4" priority="80" operator="containsText" text="■">
      <formula>NOT(ISERROR(SEARCH("■",Q11)))</formula>
    </cfRule>
  </conditionalFormatting>
  <conditionalFormatting sqref="Q12">
    <cfRule type="containsText" dxfId="5" priority="116" operator="containsText" text="■">
      <formula>NOT(ISERROR(SEARCH("■",Q12)))</formula>
    </cfRule>
  </conditionalFormatting>
  <conditionalFormatting sqref="Q13">
    <cfRule type="containsText" dxfId="4" priority="152" operator="containsText" text="■">
      <formula>NOT(ISERROR(SEARCH("■",Q13)))</formula>
    </cfRule>
  </conditionalFormatting>
  <conditionalFormatting sqref="Q14">
    <cfRule type="containsText" dxfId="6" priority="188" operator="containsText" text="■">
      <formula>NOT(ISERROR(SEARCH("■",Q14)))</formula>
    </cfRule>
  </conditionalFormatting>
  <conditionalFormatting sqref="Q15">
    <cfRule type="containsText" dxfId="4" priority="224" operator="containsText" text="■">
      <formula>NOT(ISERROR(SEARCH("■",Q15)))</formula>
    </cfRule>
  </conditionalFormatting>
  <conditionalFormatting sqref="Q16">
    <cfRule type="containsText" dxfId="4" priority="260" operator="containsText" text="■">
      <formula>NOT(ISERROR(SEARCH("■",Q16)))</formula>
    </cfRule>
  </conditionalFormatting>
  <conditionalFormatting sqref="Q17">
    <cfRule type="containsText" dxfId="5" priority="296" operator="containsText" text="■">
      <formula>NOT(ISERROR(SEARCH("■",Q17)))</formula>
    </cfRule>
  </conditionalFormatting>
  <conditionalFormatting sqref="Q18">
    <cfRule type="containsText" dxfId="5" priority="332" operator="containsText" text="■">
      <formula>NOT(ISERROR(SEARCH("■",Q18)))</formula>
    </cfRule>
  </conditionalFormatting>
  <conditionalFormatting sqref="Q19">
    <cfRule type="containsText" dxfId="7" priority="368" operator="containsText" text="■">
      <formula>NOT(ISERROR(SEARCH("■",Q19)))</formula>
    </cfRule>
  </conditionalFormatting>
  <conditionalFormatting sqref="Q9">
    <cfRule type="containsText" dxfId="4" priority="8" operator="containsText" text="■">
      <formula>NOT(ISERROR(SEARCH("■",Q9)))</formula>
    </cfRule>
  </conditionalFormatting>
  <conditionalFormatting sqref="R10">
    <cfRule type="containsText" dxfId="4" priority="45" operator="containsText" text="■">
      <formula>NOT(ISERROR(SEARCH("■",R10)))</formula>
    </cfRule>
  </conditionalFormatting>
  <conditionalFormatting sqref="R11">
    <cfRule type="containsText" dxfId="4" priority="81" operator="containsText" text="■">
      <formula>NOT(ISERROR(SEARCH("■",R11)))</formula>
    </cfRule>
  </conditionalFormatting>
  <conditionalFormatting sqref="R12">
    <cfRule type="containsText" dxfId="5" priority="117" operator="containsText" text="■">
      <formula>NOT(ISERROR(SEARCH("■",R12)))</formula>
    </cfRule>
  </conditionalFormatting>
  <conditionalFormatting sqref="R13">
    <cfRule type="containsText" dxfId="4" priority="153" operator="containsText" text="■">
      <formula>NOT(ISERROR(SEARCH("■",R13)))</formula>
    </cfRule>
  </conditionalFormatting>
  <conditionalFormatting sqref="R14">
    <cfRule type="containsText" dxfId="6" priority="189" operator="containsText" text="■">
      <formula>NOT(ISERROR(SEARCH("■",R14)))</formula>
    </cfRule>
  </conditionalFormatting>
  <conditionalFormatting sqref="R15">
    <cfRule type="containsText" dxfId="4" priority="225" operator="containsText" text="■">
      <formula>NOT(ISERROR(SEARCH("■",R15)))</formula>
    </cfRule>
  </conditionalFormatting>
  <conditionalFormatting sqref="R16">
    <cfRule type="containsText" dxfId="4" priority="261" operator="containsText" text="■">
      <formula>NOT(ISERROR(SEARCH("■",R16)))</formula>
    </cfRule>
  </conditionalFormatting>
  <conditionalFormatting sqref="R17">
    <cfRule type="containsText" dxfId="5" priority="297" operator="containsText" text="■">
      <formula>NOT(ISERROR(SEARCH("■",R17)))</formula>
    </cfRule>
  </conditionalFormatting>
  <conditionalFormatting sqref="R18">
    <cfRule type="containsText" dxfId="5" priority="333" operator="containsText" text="■">
      <formula>NOT(ISERROR(SEARCH("■",R18)))</formula>
    </cfRule>
  </conditionalFormatting>
  <conditionalFormatting sqref="R19">
    <cfRule type="containsText" dxfId="7" priority="369" operator="containsText" text="■">
      <formula>NOT(ISERROR(SEARCH("■",R19)))</formula>
    </cfRule>
  </conditionalFormatting>
  <conditionalFormatting sqref="R9">
    <cfRule type="containsText" dxfId="4" priority="9" operator="containsText" text="■">
      <formula>NOT(ISERROR(SEARCH("■",R9)))</formula>
    </cfRule>
  </conditionalFormatting>
  <conditionalFormatting sqref="S10">
    <cfRule type="containsText" dxfId="4" priority="46" operator="containsText" text="■">
      <formula>NOT(ISERROR(SEARCH("■",S10)))</formula>
    </cfRule>
  </conditionalFormatting>
  <conditionalFormatting sqref="S11">
    <cfRule type="containsText" dxfId="4" priority="82" operator="containsText" text="■">
      <formula>NOT(ISERROR(SEARCH("■",S11)))</formula>
    </cfRule>
  </conditionalFormatting>
  <conditionalFormatting sqref="S12">
    <cfRule type="containsText" dxfId="5" priority="118" operator="containsText" text="■">
      <formula>NOT(ISERROR(SEARCH("■",S12)))</formula>
    </cfRule>
  </conditionalFormatting>
  <conditionalFormatting sqref="S13">
    <cfRule type="containsText" dxfId="4" priority="154" operator="containsText" text="■">
      <formula>NOT(ISERROR(SEARCH("■",S13)))</formula>
    </cfRule>
  </conditionalFormatting>
  <conditionalFormatting sqref="S14">
    <cfRule type="containsText" dxfId="6" priority="190" operator="containsText" text="■">
      <formula>NOT(ISERROR(SEARCH("■",S14)))</formula>
    </cfRule>
  </conditionalFormatting>
  <conditionalFormatting sqref="S15">
    <cfRule type="containsText" dxfId="4" priority="226" operator="containsText" text="■">
      <formula>NOT(ISERROR(SEARCH("■",S15)))</formula>
    </cfRule>
  </conditionalFormatting>
  <conditionalFormatting sqref="S16">
    <cfRule type="containsText" dxfId="4" priority="262" operator="containsText" text="■">
      <formula>NOT(ISERROR(SEARCH("■",S16)))</formula>
    </cfRule>
  </conditionalFormatting>
  <conditionalFormatting sqref="S17">
    <cfRule type="containsText" dxfId="5" priority="298" operator="containsText" text="■">
      <formula>NOT(ISERROR(SEARCH("■",S17)))</formula>
    </cfRule>
  </conditionalFormatting>
  <conditionalFormatting sqref="S18">
    <cfRule type="containsText" dxfId="5" priority="334" operator="containsText" text="■">
      <formula>NOT(ISERROR(SEARCH("■",S18)))</formula>
    </cfRule>
  </conditionalFormatting>
  <conditionalFormatting sqref="S19">
    <cfRule type="containsText" dxfId="7" priority="370" operator="containsText" text="■">
      <formula>NOT(ISERROR(SEARCH("■",S19)))</formula>
    </cfRule>
  </conditionalFormatting>
  <conditionalFormatting sqref="S9">
    <cfRule type="containsText" dxfId="4" priority="10" operator="containsText" text="■">
      <formula>NOT(ISERROR(SEARCH("■",S9)))</formula>
    </cfRule>
  </conditionalFormatting>
  <conditionalFormatting sqref="T10">
    <cfRule type="containsText" dxfId="4" priority="47" operator="containsText" text="■">
      <formula>NOT(ISERROR(SEARCH("■",T10)))</formula>
    </cfRule>
  </conditionalFormatting>
  <conditionalFormatting sqref="T11">
    <cfRule type="containsText" dxfId="4" priority="83" operator="containsText" text="■">
      <formula>NOT(ISERROR(SEARCH("■",T11)))</formula>
    </cfRule>
  </conditionalFormatting>
  <conditionalFormatting sqref="T12">
    <cfRule type="containsText" dxfId="5" priority="119" operator="containsText" text="■">
      <formula>NOT(ISERROR(SEARCH("■",T12)))</formula>
    </cfRule>
  </conditionalFormatting>
  <conditionalFormatting sqref="T13">
    <cfRule type="containsText" dxfId="4" priority="155" operator="containsText" text="■">
      <formula>NOT(ISERROR(SEARCH("■",T13)))</formula>
    </cfRule>
  </conditionalFormatting>
  <conditionalFormatting sqref="T14">
    <cfRule type="containsText" dxfId="6" priority="191" operator="containsText" text="■">
      <formula>NOT(ISERROR(SEARCH("■",T14)))</formula>
    </cfRule>
  </conditionalFormatting>
  <conditionalFormatting sqref="T15">
    <cfRule type="containsText" dxfId="4" priority="227" operator="containsText" text="■">
      <formula>NOT(ISERROR(SEARCH("■",T15)))</formula>
    </cfRule>
  </conditionalFormatting>
  <conditionalFormatting sqref="T16">
    <cfRule type="containsText" dxfId="4" priority="263" operator="containsText" text="■">
      <formula>NOT(ISERROR(SEARCH("■",T16)))</formula>
    </cfRule>
  </conditionalFormatting>
  <conditionalFormatting sqref="T17">
    <cfRule type="containsText" dxfId="5" priority="299" operator="containsText" text="■">
      <formula>NOT(ISERROR(SEARCH("■",T17)))</formula>
    </cfRule>
  </conditionalFormatting>
  <conditionalFormatting sqref="T18">
    <cfRule type="containsText" dxfId="5" priority="335" operator="containsText" text="■">
      <formula>NOT(ISERROR(SEARCH("■",T18)))</formula>
    </cfRule>
  </conditionalFormatting>
  <conditionalFormatting sqref="T19">
    <cfRule type="containsText" dxfId="7" priority="371" operator="containsText" text="■">
      <formula>NOT(ISERROR(SEARCH("■",T19)))</formula>
    </cfRule>
  </conditionalFormatting>
  <conditionalFormatting sqref="T9">
    <cfRule type="containsText" dxfId="4" priority="11" operator="containsText" text="■">
      <formula>NOT(ISERROR(SEARCH("■",T9)))</formula>
    </cfRule>
  </conditionalFormatting>
  <conditionalFormatting sqref="U10">
    <cfRule type="containsText" dxfId="4" priority="48" operator="containsText" text="■">
      <formula>NOT(ISERROR(SEARCH("■",U10)))</formula>
    </cfRule>
  </conditionalFormatting>
  <conditionalFormatting sqref="U11">
    <cfRule type="containsText" dxfId="4" priority="84" operator="containsText" text="■">
      <formula>NOT(ISERROR(SEARCH("■",U11)))</formula>
    </cfRule>
  </conditionalFormatting>
  <conditionalFormatting sqref="U12">
    <cfRule type="containsText" dxfId="5" priority="120" operator="containsText" text="■">
      <formula>NOT(ISERROR(SEARCH("■",U12)))</formula>
    </cfRule>
  </conditionalFormatting>
  <conditionalFormatting sqref="U13">
    <cfRule type="containsText" dxfId="4" priority="156" operator="containsText" text="■">
      <formula>NOT(ISERROR(SEARCH("■",U13)))</formula>
    </cfRule>
  </conditionalFormatting>
  <conditionalFormatting sqref="U14">
    <cfRule type="containsText" dxfId="6" priority="192" operator="containsText" text="■">
      <formula>NOT(ISERROR(SEARCH("■",U14)))</formula>
    </cfRule>
  </conditionalFormatting>
  <conditionalFormatting sqref="U15">
    <cfRule type="containsText" dxfId="4" priority="228" operator="containsText" text="■">
      <formula>NOT(ISERROR(SEARCH("■",U15)))</formula>
    </cfRule>
  </conditionalFormatting>
  <conditionalFormatting sqref="U16">
    <cfRule type="containsText" dxfId="4" priority="264" operator="containsText" text="■">
      <formula>NOT(ISERROR(SEARCH("■",U16)))</formula>
    </cfRule>
  </conditionalFormatting>
  <conditionalFormatting sqref="U17">
    <cfRule type="containsText" dxfId="5" priority="300" operator="containsText" text="■">
      <formula>NOT(ISERROR(SEARCH("■",U17)))</formula>
    </cfRule>
  </conditionalFormatting>
  <conditionalFormatting sqref="U18">
    <cfRule type="containsText" dxfId="5" priority="336" operator="containsText" text="■">
      <formula>NOT(ISERROR(SEARCH("■",U18)))</formula>
    </cfRule>
  </conditionalFormatting>
  <conditionalFormatting sqref="U19">
    <cfRule type="containsText" dxfId="7" priority="372" operator="containsText" text="■">
      <formula>NOT(ISERROR(SEARCH("■",U19)))</formula>
    </cfRule>
  </conditionalFormatting>
  <conditionalFormatting sqref="U9">
    <cfRule type="containsText" dxfId="4" priority="12" operator="containsText" text="■">
      <formula>NOT(ISERROR(SEARCH("■",U9)))</formula>
    </cfRule>
  </conditionalFormatting>
  <conditionalFormatting sqref="V10">
    <cfRule type="containsText" dxfId="4" priority="49" operator="containsText" text="■">
      <formula>NOT(ISERROR(SEARCH("■",V10)))</formula>
    </cfRule>
  </conditionalFormatting>
  <conditionalFormatting sqref="V11">
    <cfRule type="containsText" dxfId="4" priority="85" operator="containsText" text="■">
      <formula>NOT(ISERROR(SEARCH("■",V11)))</formula>
    </cfRule>
  </conditionalFormatting>
  <conditionalFormatting sqref="V12">
    <cfRule type="containsText" dxfId="5" priority="121" operator="containsText" text="■">
      <formula>NOT(ISERROR(SEARCH("■",V12)))</formula>
    </cfRule>
  </conditionalFormatting>
  <conditionalFormatting sqref="V13">
    <cfRule type="containsText" dxfId="4" priority="157" operator="containsText" text="■">
      <formula>NOT(ISERROR(SEARCH("■",V13)))</formula>
    </cfRule>
  </conditionalFormatting>
  <conditionalFormatting sqref="V14">
    <cfRule type="containsText" dxfId="6" priority="193" operator="containsText" text="■">
      <formula>NOT(ISERROR(SEARCH("■",V14)))</formula>
    </cfRule>
  </conditionalFormatting>
  <conditionalFormatting sqref="V15">
    <cfRule type="containsText" dxfId="4" priority="229" operator="containsText" text="■">
      <formula>NOT(ISERROR(SEARCH("■",V15)))</formula>
    </cfRule>
  </conditionalFormatting>
  <conditionalFormatting sqref="V16">
    <cfRule type="containsText" dxfId="4" priority="265" operator="containsText" text="■">
      <formula>NOT(ISERROR(SEARCH("■",V16)))</formula>
    </cfRule>
  </conditionalFormatting>
  <conditionalFormatting sqref="V17">
    <cfRule type="containsText" dxfId="5" priority="301" operator="containsText" text="■">
      <formula>NOT(ISERROR(SEARCH("■",V17)))</formula>
    </cfRule>
  </conditionalFormatting>
  <conditionalFormatting sqref="V18">
    <cfRule type="containsText" dxfId="5" priority="337" operator="containsText" text="■">
      <formula>NOT(ISERROR(SEARCH("■",V18)))</formula>
    </cfRule>
  </conditionalFormatting>
  <conditionalFormatting sqref="V19">
    <cfRule type="containsText" dxfId="7" priority="373" operator="containsText" text="■">
      <formula>NOT(ISERROR(SEARCH("■",V19)))</formula>
    </cfRule>
  </conditionalFormatting>
  <conditionalFormatting sqref="V9">
    <cfRule type="containsText" dxfId="4" priority="13" operator="containsText" text="■">
      <formula>NOT(ISERROR(SEARCH("■",V9)))</formula>
    </cfRule>
  </conditionalFormatting>
  <conditionalFormatting sqref="W10">
    <cfRule type="containsText" dxfId="4" priority="50" operator="containsText" text="■">
      <formula>NOT(ISERROR(SEARCH("■",W10)))</formula>
    </cfRule>
  </conditionalFormatting>
  <conditionalFormatting sqref="W11">
    <cfRule type="containsText" dxfId="4" priority="86" operator="containsText" text="■">
      <formula>NOT(ISERROR(SEARCH("■",W11)))</formula>
    </cfRule>
  </conditionalFormatting>
  <conditionalFormatting sqref="W12">
    <cfRule type="containsText" dxfId="5" priority="122" operator="containsText" text="■">
      <formula>NOT(ISERROR(SEARCH("■",W12)))</formula>
    </cfRule>
  </conditionalFormatting>
  <conditionalFormatting sqref="W13">
    <cfRule type="containsText" dxfId="4" priority="158" operator="containsText" text="■">
      <formula>NOT(ISERROR(SEARCH("■",W13)))</formula>
    </cfRule>
  </conditionalFormatting>
  <conditionalFormatting sqref="W14">
    <cfRule type="containsText" dxfId="6" priority="194" operator="containsText" text="■">
      <formula>NOT(ISERROR(SEARCH("■",W14)))</formula>
    </cfRule>
  </conditionalFormatting>
  <conditionalFormatting sqref="W15">
    <cfRule type="containsText" dxfId="4" priority="230" operator="containsText" text="■">
      <formula>NOT(ISERROR(SEARCH("■",W15)))</formula>
    </cfRule>
  </conditionalFormatting>
  <conditionalFormatting sqref="W16">
    <cfRule type="containsText" dxfId="4" priority="266" operator="containsText" text="■">
      <formula>NOT(ISERROR(SEARCH("■",W16)))</formula>
    </cfRule>
  </conditionalFormatting>
  <conditionalFormatting sqref="W17">
    <cfRule type="containsText" dxfId="5" priority="302" operator="containsText" text="■">
      <formula>NOT(ISERROR(SEARCH("■",W17)))</formula>
    </cfRule>
  </conditionalFormatting>
  <conditionalFormatting sqref="W18">
    <cfRule type="containsText" dxfId="5" priority="338" operator="containsText" text="■">
      <formula>NOT(ISERROR(SEARCH("■",W18)))</formula>
    </cfRule>
  </conditionalFormatting>
  <conditionalFormatting sqref="W19">
    <cfRule type="containsText" dxfId="7" priority="374" operator="containsText" text="■">
      <formula>NOT(ISERROR(SEARCH("■",W19)))</formula>
    </cfRule>
  </conditionalFormatting>
  <conditionalFormatting sqref="W9">
    <cfRule type="containsText" dxfId="4" priority="14" operator="containsText" text="■">
      <formula>NOT(ISERROR(SEARCH("■",W9)))</formula>
    </cfRule>
  </conditionalFormatting>
  <conditionalFormatting sqref="X10">
    <cfRule type="containsText" dxfId="4" priority="51" operator="containsText" text="■">
      <formula>NOT(ISERROR(SEARCH("■",X10)))</formula>
    </cfRule>
  </conditionalFormatting>
  <conditionalFormatting sqref="X11">
    <cfRule type="containsText" dxfId="4" priority="87" operator="containsText" text="■">
      <formula>NOT(ISERROR(SEARCH("■",X11)))</formula>
    </cfRule>
  </conditionalFormatting>
  <conditionalFormatting sqref="X12">
    <cfRule type="containsText" dxfId="5" priority="123" operator="containsText" text="■">
      <formula>NOT(ISERROR(SEARCH("■",X12)))</formula>
    </cfRule>
  </conditionalFormatting>
  <conditionalFormatting sqref="X13">
    <cfRule type="containsText" dxfId="4" priority="159" operator="containsText" text="■">
      <formula>NOT(ISERROR(SEARCH("■",X13)))</formula>
    </cfRule>
  </conditionalFormatting>
  <conditionalFormatting sqref="X14">
    <cfRule type="containsText" dxfId="6" priority="195" operator="containsText" text="■">
      <formula>NOT(ISERROR(SEARCH("■",X14)))</formula>
    </cfRule>
  </conditionalFormatting>
  <conditionalFormatting sqref="X15">
    <cfRule type="containsText" dxfId="4" priority="231" operator="containsText" text="■">
      <formula>NOT(ISERROR(SEARCH("■",X15)))</formula>
    </cfRule>
  </conditionalFormatting>
  <conditionalFormatting sqref="X16">
    <cfRule type="containsText" dxfId="4" priority="267" operator="containsText" text="■">
      <formula>NOT(ISERROR(SEARCH("■",X16)))</formula>
    </cfRule>
  </conditionalFormatting>
  <conditionalFormatting sqref="X17">
    <cfRule type="containsText" dxfId="5" priority="303" operator="containsText" text="■">
      <formula>NOT(ISERROR(SEARCH("■",X17)))</formula>
    </cfRule>
  </conditionalFormatting>
  <conditionalFormatting sqref="X18">
    <cfRule type="containsText" dxfId="5" priority="339" operator="containsText" text="■">
      <formula>NOT(ISERROR(SEARCH("■",X18)))</formula>
    </cfRule>
  </conditionalFormatting>
  <conditionalFormatting sqref="X19">
    <cfRule type="containsText" dxfId="7" priority="375" operator="containsText" text="■">
      <formula>NOT(ISERROR(SEARCH("■",X19)))</formula>
    </cfRule>
  </conditionalFormatting>
  <conditionalFormatting sqref="X9">
    <cfRule type="containsText" dxfId="4" priority="15" operator="containsText" text="■">
      <formula>NOT(ISERROR(SEARCH("■",X9)))</formula>
    </cfRule>
  </conditionalFormatting>
  <conditionalFormatting sqref="Y10">
    <cfRule type="containsText" dxfId="4" priority="52" operator="containsText" text="■">
      <formula>NOT(ISERROR(SEARCH("■",Y10)))</formula>
    </cfRule>
  </conditionalFormatting>
  <conditionalFormatting sqref="Y11">
    <cfRule type="containsText" dxfId="4" priority="88" operator="containsText" text="■">
      <formula>NOT(ISERROR(SEARCH("■",Y11)))</formula>
    </cfRule>
  </conditionalFormatting>
  <conditionalFormatting sqref="Y12">
    <cfRule type="containsText" dxfId="5" priority="124" operator="containsText" text="■">
      <formula>NOT(ISERROR(SEARCH("■",Y12)))</formula>
    </cfRule>
  </conditionalFormatting>
  <conditionalFormatting sqref="Y13">
    <cfRule type="containsText" dxfId="4" priority="160" operator="containsText" text="■">
      <formula>NOT(ISERROR(SEARCH("■",Y13)))</formula>
    </cfRule>
  </conditionalFormatting>
  <conditionalFormatting sqref="Y14">
    <cfRule type="containsText" dxfId="6" priority="196" operator="containsText" text="■">
      <formula>NOT(ISERROR(SEARCH("■",Y14)))</formula>
    </cfRule>
  </conditionalFormatting>
  <conditionalFormatting sqref="Y15">
    <cfRule type="containsText" dxfId="4" priority="232" operator="containsText" text="■">
      <formula>NOT(ISERROR(SEARCH("■",Y15)))</formula>
    </cfRule>
  </conditionalFormatting>
  <conditionalFormatting sqref="Y16">
    <cfRule type="containsText" dxfId="4" priority="268" operator="containsText" text="■">
      <formula>NOT(ISERROR(SEARCH("■",Y16)))</formula>
    </cfRule>
  </conditionalFormatting>
  <conditionalFormatting sqref="Y17">
    <cfRule type="containsText" dxfId="5" priority="304" operator="containsText" text="■">
      <formula>NOT(ISERROR(SEARCH("■",Y17)))</formula>
    </cfRule>
  </conditionalFormatting>
  <conditionalFormatting sqref="Y18">
    <cfRule type="containsText" dxfId="5" priority="340" operator="containsText" text="■">
      <formula>NOT(ISERROR(SEARCH("■",Y18)))</formula>
    </cfRule>
  </conditionalFormatting>
  <conditionalFormatting sqref="Y19">
    <cfRule type="containsText" dxfId="7" priority="376" operator="containsText" text="■">
      <formula>NOT(ISERROR(SEARCH("■",Y19)))</formula>
    </cfRule>
  </conditionalFormatting>
  <conditionalFormatting sqref="Y9">
    <cfRule type="containsText" dxfId="4" priority="16" operator="containsText" text="■">
      <formula>NOT(ISERROR(SEARCH("■",Y9)))</formula>
    </cfRule>
  </conditionalFormatting>
  <conditionalFormatting sqref="Z10">
    <cfRule type="containsText" dxfId="4" priority="53" operator="containsText" text="■">
      <formula>NOT(ISERROR(SEARCH("■",Z10)))</formula>
    </cfRule>
  </conditionalFormatting>
  <conditionalFormatting sqref="Z11">
    <cfRule type="containsText" dxfId="4" priority="89" operator="containsText" text="■">
      <formula>NOT(ISERROR(SEARCH("■",Z11)))</formula>
    </cfRule>
  </conditionalFormatting>
  <conditionalFormatting sqref="Z12">
    <cfRule type="containsText" dxfId="5" priority="125" operator="containsText" text="■">
      <formula>NOT(ISERROR(SEARCH("■",Z12)))</formula>
    </cfRule>
  </conditionalFormatting>
  <conditionalFormatting sqref="Z13">
    <cfRule type="containsText" dxfId="4" priority="161" operator="containsText" text="■">
      <formula>NOT(ISERROR(SEARCH("■",Z13)))</formula>
    </cfRule>
  </conditionalFormatting>
  <conditionalFormatting sqref="Z14">
    <cfRule type="containsText" dxfId="6" priority="197" operator="containsText" text="■">
      <formula>NOT(ISERROR(SEARCH("■",Z14)))</formula>
    </cfRule>
  </conditionalFormatting>
  <conditionalFormatting sqref="Z15">
    <cfRule type="containsText" dxfId="4" priority="233" operator="containsText" text="■">
      <formula>NOT(ISERROR(SEARCH("■",Z15)))</formula>
    </cfRule>
  </conditionalFormatting>
  <conditionalFormatting sqref="Z16">
    <cfRule type="containsText" dxfId="4" priority="269" operator="containsText" text="■">
      <formula>NOT(ISERROR(SEARCH("■",Z16)))</formula>
    </cfRule>
  </conditionalFormatting>
  <conditionalFormatting sqref="Z17">
    <cfRule type="containsText" dxfId="5" priority="305" operator="containsText" text="■">
      <formula>NOT(ISERROR(SEARCH("■",Z17)))</formula>
    </cfRule>
  </conditionalFormatting>
  <conditionalFormatting sqref="Z18">
    <cfRule type="containsText" dxfId="5" priority="341" operator="containsText" text="■">
      <formula>NOT(ISERROR(SEARCH("■",Z18)))</formula>
    </cfRule>
  </conditionalFormatting>
  <conditionalFormatting sqref="Z19">
    <cfRule type="containsText" dxfId="7" priority="377" operator="containsText" text="■">
      <formula>NOT(ISERROR(SEARCH("■",Z19)))</formula>
    </cfRule>
  </conditionalFormatting>
  <conditionalFormatting sqref="Z9">
    <cfRule type="containsText" dxfId="4" priority="17" operator="containsText" text="■">
      <formula>NOT(ISERROR(SEARCH("■",Z9)))</formula>
    </cfRule>
  </conditionalFormatting>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&amp;LОТ ДО&amp;RСтр. &amp;P / &amp;N</oddFooter>
  </headerFooter>
</worksheet>
</file>

<file path=xl/worksheets/sheet16.xml><?xml version="1.0" encoding="utf-8"?>
<worksheet xmlns="http://schemas.openxmlformats.org/spreadsheetml/2006/main" xmlns:r="http://schemas.openxmlformats.org/officeDocument/2006/relationships">
  <sheetPr>
    <tabColor rgb="FF147D92"/>
    <pageSetUpPr fitToPage="1"/>
  </sheetPr>
  <dimension ref="A1:AS3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5.7109375" customWidth="1"/>
    <col min="2" max="2" width="45.7109375" customWidth="1"/>
    <col min="3" max="8" width="12.7109375" customWidth="1"/>
    <col min="9" max="9" width="23.7109375" customWidth="1"/>
    <col min="10" max="45" width="3.42578125" customWidth="1"/>
  </cols>
  <sheetData>
    <row r="1" spans="1:45" ht="35" customHeight="1">
      <c r="A1" s="1" t="s">
        <v>468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row>
    <row r="2" spans="1:45" ht="31" customHeight="1">
      <c r="A2" s="2" t="s">
        <v>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spans="1:45" ht="23" customHeight="1">
      <c r="A3" s="3" t="s">
        <v>2</v>
      </c>
      <c r="B3" s="7" t="s">
        <v>3</v>
      </c>
      <c r="C3" s="7"/>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row>
    <row r="4" spans="1:45"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row>
    <row r="5" spans="1:45"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row>
    <row r="6" spans="1:45" ht="23" customHeight="1">
      <c r="A6" s="7" t="s">
        <v>452</v>
      </c>
      <c r="B6" s="7"/>
      <c r="C6" s="7"/>
      <c r="D6" s="7"/>
      <c r="E6" s="7"/>
      <c r="F6" s="7"/>
      <c r="G6" s="13">
        <f>IF(AND(ISNUMBER(IF('Ввод'!$B$29&gt;0,INDEX('Замеры ЦЕЛЬ'!$O$1:$O$382,7+('Ввод'!$B$29-1)*21+17),"")),ISNUMBER('Ввод'!B30)),MAX('Ввод'!B30,(IF('Ввод'!$B$29&gt;0,INDEX('Замеры ЦЕЛЬ'!$O$1:$O$382,7+('Ввод'!$B$29-1)*21+17),""))*1.05)/36,1)</f>
        <v>21.3541666666667</v>
      </c>
      <c r="H6" s="7" t="s">
        <v>453</v>
      </c>
    </row>
    <row r="8" spans="1:45" ht="44" customHeight="1">
      <c r="A8" s="8" t="s">
        <v>113</v>
      </c>
      <c r="B8" s="8" t="s">
        <v>156</v>
      </c>
      <c r="C8" s="8" t="s">
        <v>287</v>
      </c>
      <c r="D8" s="8" t="s">
        <v>429</v>
      </c>
      <c r="E8" s="8" t="s">
        <v>454</v>
      </c>
      <c r="F8" s="8" t="s">
        <v>455</v>
      </c>
      <c r="G8" s="8" t="s">
        <v>456</v>
      </c>
      <c r="H8" s="8" t="s">
        <v>457</v>
      </c>
      <c r="I8" s="8" t="s">
        <v>458</v>
      </c>
      <c r="J8" s="15">
        <f>0*$G$6</f>
        <v>0</v>
      </c>
      <c r="K8" s="15">
        <f>1*$G$6</f>
        <v>21.3541666666667</v>
      </c>
      <c r="L8" s="15">
        <f>2*$G$6</f>
        <v>42.7083333333333</v>
      </c>
      <c r="M8" s="15">
        <f>3*$G$6</f>
        <v>64.0625</v>
      </c>
      <c r="N8" s="15">
        <f>4*$G$6</f>
        <v>85.4166666666667</v>
      </c>
      <c r="O8" s="15">
        <f>5*$G$6</f>
        <v>106.770833333333</v>
      </c>
      <c r="P8" s="15">
        <f>6*$G$6</f>
        <v>128.125</v>
      </c>
      <c r="Q8" s="15">
        <f>7*$G$6</f>
        <v>149.479166666667</v>
      </c>
      <c r="R8" s="15">
        <f>8*$G$6</f>
        <v>170.833333333333</v>
      </c>
      <c r="S8" s="15">
        <f>9*$G$6</f>
        <v>192.1875</v>
      </c>
      <c r="T8" s="15">
        <f>10*$G$6</f>
        <v>213.541666666667</v>
      </c>
      <c r="U8" s="15">
        <f>11*$G$6</f>
        <v>234.895833333333</v>
      </c>
      <c r="V8" s="15">
        <f>12*$G$6</f>
        <v>256.25</v>
      </c>
      <c r="W8" s="15">
        <f>13*$G$6</f>
        <v>277.604166666667</v>
      </c>
      <c r="X8" s="15">
        <f>14*$G$6</f>
        <v>298.958333333333</v>
      </c>
      <c r="Y8" s="15">
        <f>15*$G$6</f>
        <v>320.3125</v>
      </c>
      <c r="Z8" s="15">
        <f>16*$G$6</f>
        <v>341.666666666667</v>
      </c>
      <c r="AA8" s="15">
        <f>17*$G$6</f>
        <v>363.020833333333</v>
      </c>
      <c r="AB8" s="15">
        <f>18*$G$6</f>
        <v>384.375</v>
      </c>
      <c r="AC8" s="15">
        <f>19*$G$6</f>
        <v>405.729166666667</v>
      </c>
      <c r="AD8" s="15">
        <f>20*$G$6</f>
        <v>427.083333333333</v>
      </c>
      <c r="AE8" s="15">
        <f>21*$G$6</f>
        <v>448.4375</v>
      </c>
      <c r="AF8" s="15">
        <f>22*$G$6</f>
        <v>469.791666666667</v>
      </c>
      <c r="AG8" s="15">
        <f>23*$G$6</f>
        <v>491.145833333333</v>
      </c>
      <c r="AH8" s="15">
        <f>24*$G$6</f>
        <v>512.5</v>
      </c>
      <c r="AI8" s="15">
        <f>25*$G$6</f>
        <v>533.854166666667</v>
      </c>
      <c r="AJ8" s="15">
        <f>26*$G$6</f>
        <v>555.208333333333</v>
      </c>
      <c r="AK8" s="15">
        <f>27*$G$6</f>
        <v>576.5625</v>
      </c>
      <c r="AL8" s="15">
        <f>28*$G$6</f>
        <v>597.916666666667</v>
      </c>
      <c r="AM8" s="15">
        <f>29*$G$6</f>
        <v>619.270833333333</v>
      </c>
      <c r="AN8" s="15">
        <f>30*$G$6</f>
        <v>640.625</v>
      </c>
      <c r="AO8" s="15">
        <f>31*$G$6</f>
        <v>661.979166666667</v>
      </c>
      <c r="AP8" s="15">
        <f>32*$G$6</f>
        <v>683.333333333333</v>
      </c>
      <c r="AQ8" s="15">
        <f>33*$G$6</f>
        <v>704.6875</v>
      </c>
      <c r="AR8" s="15">
        <f>34*$G$6</f>
        <v>726.041666666667</v>
      </c>
      <c r="AS8" s="15">
        <f>35*$G$6</f>
        <v>747.395833333333</v>
      </c>
    </row>
    <row r="9" spans="1:45" ht="43" customHeight="1">
      <c r="A9" s="5">
        <v>1</v>
      </c>
      <c r="B9" s="5" t="s">
        <v>182</v>
      </c>
      <c r="C9" s="13">
        <f>IF('Ввод'!$B$29&gt;0,INDEX('Замеры ЦЕЛЬ'!$S$1:$S$382,7+('Ввод'!$B$29-1)*21+5),"")</f>
        <v>25.7866575591985</v>
      </c>
      <c r="D9" s="13">
        <f>0</f>
        <v>0</v>
      </c>
      <c r="E9" s="13">
        <f>0</f>
        <v>0</v>
      </c>
      <c r="F9" s="13">
        <f>0</f>
        <v>0</v>
      </c>
      <c r="G9" s="13">
        <f>0</f>
        <v>0</v>
      </c>
      <c r="H9" s="13">
        <f>IF(COUNT(C9:G9)=5,G9+C9+F9+MAX(D9,E9),"")</f>
        <v>25.7866575591985</v>
      </c>
      <c r="I9" s="5" t="s">
        <v>459</v>
      </c>
      <c r="J9" s="5" t="str">
        <f>IF(AND(J$8&lt;$H9,J$8+$G$6&gt;$G9),"■","")</f>
        <v>■</v>
      </c>
      <c r="K9" s="5" t="str">
        <f>IF(AND(K$8&lt;$H9,K$8+$G$6&gt;$G9),"■","")</f>
        <v>■</v>
      </c>
      <c r="L9" s="5" t="str">
        <f>IF(AND(L$8&lt;$H9,L$8+$G$6&gt;$G9),"■","")</f>
        <v/>
      </c>
      <c r="M9" s="5" t="str">
        <f>IF(AND(M$8&lt;$H9,M$8+$G$6&gt;$G9),"■","")</f>
        <v/>
      </c>
      <c r="N9" s="5" t="str">
        <f>IF(AND(N$8&lt;$H9,N$8+$G$6&gt;$G9),"■","")</f>
        <v/>
      </c>
      <c r="O9" s="5" t="str">
        <f>IF(AND(O$8&lt;$H9,O$8+$G$6&gt;$G9),"■","")</f>
        <v/>
      </c>
      <c r="P9" s="5" t="str">
        <f>IF(AND(P$8&lt;$H9,P$8+$G$6&gt;$G9),"■","")</f>
        <v/>
      </c>
      <c r="Q9" s="5" t="str">
        <f>IF(AND(Q$8&lt;$H9,Q$8+$G$6&gt;$G9),"■","")</f>
        <v/>
      </c>
      <c r="R9" s="5" t="str">
        <f>IF(AND(R$8&lt;$H9,R$8+$G$6&gt;$G9),"■","")</f>
        <v/>
      </c>
      <c r="S9" s="5" t="str">
        <f>IF(AND(S$8&lt;$H9,S$8+$G$6&gt;$G9),"■","")</f>
        <v/>
      </c>
      <c r="T9" s="5" t="str">
        <f>IF(AND(T$8&lt;$H9,T$8+$G$6&gt;$G9),"■","")</f>
        <v/>
      </c>
      <c r="U9" s="5" t="str">
        <f>IF(AND(U$8&lt;$H9,U$8+$G$6&gt;$G9),"■","")</f>
        <v/>
      </c>
      <c r="V9" s="5" t="str">
        <f>IF(AND(V$8&lt;$H9,V$8+$G$6&gt;$G9),"■","")</f>
        <v/>
      </c>
      <c r="W9" s="5" t="str">
        <f>IF(AND(W$8&lt;$H9,W$8+$G$6&gt;$G9),"■","")</f>
        <v/>
      </c>
      <c r="X9" s="5" t="str">
        <f>IF(AND(X$8&lt;$H9,X$8+$G$6&gt;$G9),"■","")</f>
        <v/>
      </c>
      <c r="Y9" s="5" t="str">
        <f>IF(AND(Y$8&lt;$H9,Y$8+$G$6&gt;$G9),"■","")</f>
        <v/>
      </c>
      <c r="Z9" s="5" t="str">
        <f>IF(AND(Z$8&lt;$H9,Z$8+$G$6&gt;$G9),"■","")</f>
        <v/>
      </c>
      <c r="AA9" s="5" t="str">
        <f>IF(AND(AA$8&lt;$H9,AA$8+$G$6&gt;$G9),"■","")</f>
        <v/>
      </c>
      <c r="AB9" s="5" t="str">
        <f>IF(AND(AB$8&lt;$H9,AB$8+$G$6&gt;$G9),"■","")</f>
        <v/>
      </c>
      <c r="AC9" s="5" t="str">
        <f>IF(AND(AC$8&lt;$H9,AC$8+$G$6&gt;$G9),"■","")</f>
        <v/>
      </c>
      <c r="AD9" s="5" t="str">
        <f>IF(AND(AD$8&lt;$H9,AD$8+$G$6&gt;$G9),"■","")</f>
        <v/>
      </c>
      <c r="AE9" s="5" t="str">
        <f>IF(AND(AE$8&lt;$H9,AE$8+$G$6&gt;$G9),"■","")</f>
        <v/>
      </c>
      <c r="AF9" s="5" t="str">
        <f>IF(AND(AF$8&lt;$H9,AF$8+$G$6&gt;$G9),"■","")</f>
        <v/>
      </c>
      <c r="AG9" s="5" t="str">
        <f>IF(AND(AG$8&lt;$H9,AG$8+$G$6&gt;$G9),"■","")</f>
        <v/>
      </c>
      <c r="AH9" s="5" t="str">
        <f>IF(AND(AH$8&lt;$H9,AH$8+$G$6&gt;$G9),"■","")</f>
        <v/>
      </c>
      <c r="AI9" s="5" t="str">
        <f>IF(AND(AI$8&lt;$H9,AI$8+$G$6&gt;$G9),"■","")</f>
        <v/>
      </c>
      <c r="AJ9" s="5" t="str">
        <f>IF(AND(AJ$8&lt;$H9,AJ$8+$G$6&gt;$G9),"■","")</f>
        <v/>
      </c>
      <c r="AK9" s="5" t="str">
        <f>IF(AND(AK$8&lt;$H9,AK$8+$G$6&gt;$G9),"■","")</f>
        <v/>
      </c>
      <c r="AL9" s="5" t="str">
        <f>IF(AND(AL$8&lt;$H9,AL$8+$G$6&gt;$G9),"■","")</f>
        <v/>
      </c>
      <c r="AM9" s="5" t="str">
        <f>IF(AND(AM$8&lt;$H9,AM$8+$G$6&gt;$G9),"■","")</f>
        <v/>
      </c>
      <c r="AN9" s="5" t="str">
        <f>IF(AND(AN$8&lt;$H9,AN$8+$G$6&gt;$G9),"■","")</f>
        <v/>
      </c>
      <c r="AO9" s="5" t="str">
        <f>IF(AND(AO$8&lt;$H9,AO$8+$G$6&gt;$G9),"■","")</f>
        <v/>
      </c>
      <c r="AP9" s="5" t="str">
        <f>IF(AND(AP$8&lt;$H9,AP$8+$G$6&gt;$G9),"■","")</f>
        <v/>
      </c>
      <c r="AQ9" s="5" t="str">
        <f>IF(AND(AQ$8&lt;$H9,AQ$8+$G$6&gt;$G9),"■","")</f>
        <v/>
      </c>
      <c r="AR9" s="5" t="str">
        <f>IF(AND(AR$8&lt;$H9,AR$8+$G$6&gt;$G9),"■","")</f>
        <v/>
      </c>
      <c r="AS9" s="5" t="str">
        <f>IF(AND(AS$8&lt;$H9,AS$8+$G$6&gt;$G9),"■","")</f>
        <v/>
      </c>
    </row>
    <row r="10" spans="1:45" ht="43" customHeight="1">
      <c r="A10" s="5">
        <v>2</v>
      </c>
      <c r="B10" s="5" t="s">
        <v>185</v>
      </c>
      <c r="C10" s="13">
        <f>IF('Ввод'!$B$29&gt;0,INDEX('Замеры ЦЕЛЬ'!$S$1:$S$382,7+('Ввод'!$B$29-1)*21+6),"")</f>
        <v>103.146630236794</v>
      </c>
      <c r="D10" s="13">
        <f>0</f>
        <v>0</v>
      </c>
      <c r="E10" s="13">
        <f>0</f>
        <v>0</v>
      </c>
      <c r="F10" s="13">
        <f>0</f>
        <v>0</v>
      </c>
      <c r="G10" s="13">
        <f>H9</f>
        <v>25.7866575591985</v>
      </c>
      <c r="H10" s="13">
        <f>IF(COUNT(C10:G10)=5,G10+C10+F10+MAX(D10,E10),"")</f>
        <v>128.933287795993</v>
      </c>
      <c r="I10" s="5" t="s">
        <v>459</v>
      </c>
      <c r="J10" s="5" t="str">
        <f>IF(AND(J$8&lt;$H10,J$8+$G$6&gt;$G10),"■","")</f>
        <v/>
      </c>
      <c r="K10" s="5" t="str">
        <f>IF(AND(K$8&lt;$H10,K$8+$G$6&gt;$G10),"■","")</f>
        <v>■</v>
      </c>
      <c r="L10" s="5" t="str">
        <f>IF(AND(L$8&lt;$H10,L$8+$G$6&gt;$G10),"■","")</f>
        <v>■</v>
      </c>
      <c r="M10" s="5" t="str">
        <f>IF(AND(M$8&lt;$H10,M$8+$G$6&gt;$G10),"■","")</f>
        <v>■</v>
      </c>
      <c r="N10" s="5" t="str">
        <f>IF(AND(N$8&lt;$H10,N$8+$G$6&gt;$G10),"■","")</f>
        <v>■</v>
      </c>
      <c r="O10" s="5" t="str">
        <f>IF(AND(O$8&lt;$H10,O$8+$G$6&gt;$G10),"■","")</f>
        <v>■</v>
      </c>
      <c r="P10" s="5" t="str">
        <f>IF(AND(P$8&lt;$H10,P$8+$G$6&gt;$G10),"■","")</f>
        <v>■</v>
      </c>
      <c r="Q10" s="5" t="str">
        <f>IF(AND(Q$8&lt;$H10,Q$8+$G$6&gt;$G10),"■","")</f>
        <v/>
      </c>
      <c r="R10" s="5" t="str">
        <f>IF(AND(R$8&lt;$H10,R$8+$G$6&gt;$G10),"■","")</f>
        <v/>
      </c>
      <c r="S10" s="5" t="str">
        <f>IF(AND(S$8&lt;$H10,S$8+$G$6&gt;$G10),"■","")</f>
        <v/>
      </c>
      <c r="T10" s="5" t="str">
        <f>IF(AND(T$8&lt;$H10,T$8+$G$6&gt;$G10),"■","")</f>
        <v/>
      </c>
      <c r="U10" s="5" t="str">
        <f>IF(AND(U$8&lt;$H10,U$8+$G$6&gt;$G10),"■","")</f>
        <v/>
      </c>
      <c r="V10" s="5" t="str">
        <f>IF(AND(V$8&lt;$H10,V$8+$G$6&gt;$G10),"■","")</f>
        <v/>
      </c>
      <c r="W10" s="5" t="str">
        <f>IF(AND(W$8&lt;$H10,W$8+$G$6&gt;$G10),"■","")</f>
        <v/>
      </c>
      <c r="X10" s="5" t="str">
        <f>IF(AND(X$8&lt;$H10,X$8+$G$6&gt;$G10),"■","")</f>
        <v/>
      </c>
      <c r="Y10" s="5" t="str">
        <f>IF(AND(Y$8&lt;$H10,Y$8+$G$6&gt;$G10),"■","")</f>
        <v/>
      </c>
      <c r="Z10" s="5" t="str">
        <f>IF(AND(Z$8&lt;$H10,Z$8+$G$6&gt;$G10),"■","")</f>
        <v/>
      </c>
      <c r="AA10" s="5" t="str">
        <f>IF(AND(AA$8&lt;$H10,AA$8+$G$6&gt;$G10),"■","")</f>
        <v/>
      </c>
      <c r="AB10" s="5" t="str">
        <f>IF(AND(AB$8&lt;$H10,AB$8+$G$6&gt;$G10),"■","")</f>
        <v/>
      </c>
      <c r="AC10" s="5" t="str">
        <f>IF(AND(AC$8&lt;$H10,AC$8+$G$6&gt;$G10),"■","")</f>
        <v/>
      </c>
      <c r="AD10" s="5" t="str">
        <f>IF(AND(AD$8&lt;$H10,AD$8+$G$6&gt;$G10),"■","")</f>
        <v/>
      </c>
      <c r="AE10" s="5" t="str">
        <f>IF(AND(AE$8&lt;$H10,AE$8+$G$6&gt;$G10),"■","")</f>
        <v/>
      </c>
      <c r="AF10" s="5" t="str">
        <f>IF(AND(AF$8&lt;$H10,AF$8+$G$6&gt;$G10),"■","")</f>
        <v/>
      </c>
      <c r="AG10" s="5" t="str">
        <f>IF(AND(AG$8&lt;$H10,AG$8+$G$6&gt;$G10),"■","")</f>
        <v/>
      </c>
      <c r="AH10" s="5" t="str">
        <f>IF(AND(AH$8&lt;$H10,AH$8+$G$6&gt;$G10),"■","")</f>
        <v/>
      </c>
      <c r="AI10" s="5" t="str">
        <f>IF(AND(AI$8&lt;$H10,AI$8+$G$6&gt;$G10),"■","")</f>
        <v/>
      </c>
      <c r="AJ10" s="5" t="str">
        <f>IF(AND(AJ$8&lt;$H10,AJ$8+$G$6&gt;$G10),"■","")</f>
        <v/>
      </c>
      <c r="AK10" s="5" t="str">
        <f>IF(AND(AK$8&lt;$H10,AK$8+$G$6&gt;$G10),"■","")</f>
        <v/>
      </c>
      <c r="AL10" s="5" t="str">
        <f>IF(AND(AL$8&lt;$H10,AL$8+$G$6&gt;$G10),"■","")</f>
        <v/>
      </c>
      <c r="AM10" s="5" t="str">
        <f>IF(AND(AM$8&lt;$H10,AM$8+$G$6&gt;$G10),"■","")</f>
        <v/>
      </c>
      <c r="AN10" s="5" t="str">
        <f>IF(AND(AN$8&lt;$H10,AN$8+$G$6&gt;$G10),"■","")</f>
        <v/>
      </c>
      <c r="AO10" s="5" t="str">
        <f>IF(AND(AO$8&lt;$H10,AO$8+$G$6&gt;$G10),"■","")</f>
        <v/>
      </c>
      <c r="AP10" s="5" t="str">
        <f>IF(AND(AP$8&lt;$H10,AP$8+$G$6&gt;$G10),"■","")</f>
        <v/>
      </c>
      <c r="AQ10" s="5" t="str">
        <f>IF(AND(AQ$8&lt;$H10,AQ$8+$G$6&gt;$G10),"■","")</f>
        <v/>
      </c>
      <c r="AR10" s="5" t="str">
        <f>IF(AND(AR$8&lt;$H10,AR$8+$G$6&gt;$G10),"■","")</f>
        <v/>
      </c>
      <c r="AS10" s="5" t="str">
        <f>IF(AND(AS$8&lt;$H10,AS$8+$G$6&gt;$G10),"■","")</f>
        <v/>
      </c>
    </row>
    <row r="11" spans="1:45" ht="43" customHeight="1">
      <c r="A11" s="5">
        <v>3</v>
      </c>
      <c r="B11" s="5" t="s">
        <v>187</v>
      </c>
      <c r="C11" s="13">
        <f>IF('Ввод'!$B$29&gt;0,INDEX('Замеры ЦЕЛЬ'!$S$1:$S$382,7+('Ввод'!$B$29-1)*21+7),"")</f>
        <v>20.4230327868852</v>
      </c>
      <c r="D11" s="13">
        <f>0</f>
        <v>0</v>
      </c>
      <c r="E11" s="13">
        <f>0</f>
        <v>0</v>
      </c>
      <c r="F11" s="13">
        <f>0</f>
        <v>0</v>
      </c>
      <c r="G11" s="13">
        <f>H10</f>
        <v>128.933287795993</v>
      </c>
      <c r="H11" s="13">
        <f>IF(COUNT(C11:G11)=5,G11+C11+F11+MAX(D11,E11),"")</f>
        <v>149.356320582878</v>
      </c>
      <c r="I11" s="5" t="s">
        <v>459</v>
      </c>
      <c r="J11" s="5" t="str">
        <f>IF(AND(J$8&lt;$H11,J$8+$G$6&gt;$G11),"■","")</f>
        <v/>
      </c>
      <c r="K11" s="5" t="str">
        <f>IF(AND(K$8&lt;$H11,K$8+$G$6&gt;$G11),"■","")</f>
        <v/>
      </c>
      <c r="L11" s="5" t="str">
        <f>IF(AND(L$8&lt;$H11,L$8+$G$6&gt;$G11),"■","")</f>
        <v/>
      </c>
      <c r="M11" s="5" t="str">
        <f>IF(AND(M$8&lt;$H11,M$8+$G$6&gt;$G11),"■","")</f>
        <v/>
      </c>
      <c r="N11" s="5" t="str">
        <f>IF(AND(N$8&lt;$H11,N$8+$G$6&gt;$G11),"■","")</f>
        <v/>
      </c>
      <c r="O11" s="5" t="str">
        <f>IF(AND(O$8&lt;$H11,O$8+$G$6&gt;$G11),"■","")</f>
        <v/>
      </c>
      <c r="P11" s="5" t="str">
        <f>IF(AND(P$8&lt;$H11,P$8+$G$6&gt;$G11),"■","")</f>
        <v>■</v>
      </c>
      <c r="Q11" s="5" t="str">
        <f>IF(AND(Q$8&lt;$H11,Q$8+$G$6&gt;$G11),"■","")</f>
        <v/>
      </c>
      <c r="R11" s="5" t="str">
        <f>IF(AND(R$8&lt;$H11,R$8+$G$6&gt;$G11),"■","")</f>
        <v/>
      </c>
      <c r="S11" s="5" t="str">
        <f>IF(AND(S$8&lt;$H11,S$8+$G$6&gt;$G11),"■","")</f>
        <v/>
      </c>
      <c r="T11" s="5" t="str">
        <f>IF(AND(T$8&lt;$H11,T$8+$G$6&gt;$G11),"■","")</f>
        <v/>
      </c>
      <c r="U11" s="5" t="str">
        <f>IF(AND(U$8&lt;$H11,U$8+$G$6&gt;$G11),"■","")</f>
        <v/>
      </c>
      <c r="V11" s="5" t="str">
        <f>IF(AND(V$8&lt;$H11,V$8+$G$6&gt;$G11),"■","")</f>
        <v/>
      </c>
      <c r="W11" s="5" t="str">
        <f>IF(AND(W$8&lt;$H11,W$8+$G$6&gt;$G11),"■","")</f>
        <v/>
      </c>
      <c r="X11" s="5" t="str">
        <f>IF(AND(X$8&lt;$H11,X$8+$G$6&gt;$G11),"■","")</f>
        <v/>
      </c>
      <c r="Y11" s="5" t="str">
        <f>IF(AND(Y$8&lt;$H11,Y$8+$G$6&gt;$G11),"■","")</f>
        <v/>
      </c>
      <c r="Z11" s="5" t="str">
        <f>IF(AND(Z$8&lt;$H11,Z$8+$G$6&gt;$G11),"■","")</f>
        <v/>
      </c>
      <c r="AA11" s="5" t="str">
        <f>IF(AND(AA$8&lt;$H11,AA$8+$G$6&gt;$G11),"■","")</f>
        <v/>
      </c>
      <c r="AB11" s="5" t="str">
        <f>IF(AND(AB$8&lt;$H11,AB$8+$G$6&gt;$G11),"■","")</f>
        <v/>
      </c>
      <c r="AC11" s="5" t="str">
        <f>IF(AND(AC$8&lt;$H11,AC$8+$G$6&gt;$G11),"■","")</f>
        <v/>
      </c>
      <c r="AD11" s="5" t="str">
        <f>IF(AND(AD$8&lt;$H11,AD$8+$G$6&gt;$G11),"■","")</f>
        <v/>
      </c>
      <c r="AE11" s="5" t="str">
        <f>IF(AND(AE$8&lt;$H11,AE$8+$G$6&gt;$G11),"■","")</f>
        <v/>
      </c>
      <c r="AF11" s="5" t="str">
        <f>IF(AND(AF$8&lt;$H11,AF$8+$G$6&gt;$G11),"■","")</f>
        <v/>
      </c>
      <c r="AG11" s="5" t="str">
        <f>IF(AND(AG$8&lt;$H11,AG$8+$G$6&gt;$G11),"■","")</f>
        <v/>
      </c>
      <c r="AH11" s="5" t="str">
        <f>IF(AND(AH$8&lt;$H11,AH$8+$G$6&gt;$G11),"■","")</f>
        <v/>
      </c>
      <c r="AI11" s="5" t="str">
        <f>IF(AND(AI$8&lt;$H11,AI$8+$G$6&gt;$G11),"■","")</f>
        <v/>
      </c>
      <c r="AJ11" s="5" t="str">
        <f>IF(AND(AJ$8&lt;$H11,AJ$8+$G$6&gt;$G11),"■","")</f>
        <v/>
      </c>
      <c r="AK11" s="5" t="str">
        <f>IF(AND(AK$8&lt;$H11,AK$8+$G$6&gt;$G11),"■","")</f>
        <v/>
      </c>
      <c r="AL11" s="5" t="str">
        <f>IF(AND(AL$8&lt;$H11,AL$8+$G$6&gt;$G11),"■","")</f>
        <v/>
      </c>
      <c r="AM11" s="5" t="str">
        <f>IF(AND(AM$8&lt;$H11,AM$8+$G$6&gt;$G11),"■","")</f>
        <v/>
      </c>
      <c r="AN11" s="5" t="str">
        <f>IF(AND(AN$8&lt;$H11,AN$8+$G$6&gt;$G11),"■","")</f>
        <v/>
      </c>
      <c r="AO11" s="5" t="str">
        <f>IF(AND(AO$8&lt;$H11,AO$8+$G$6&gt;$G11),"■","")</f>
        <v/>
      </c>
      <c r="AP11" s="5" t="str">
        <f>IF(AND(AP$8&lt;$H11,AP$8+$G$6&gt;$G11),"■","")</f>
        <v/>
      </c>
      <c r="AQ11" s="5" t="str">
        <f>IF(AND(AQ$8&lt;$H11,AQ$8+$G$6&gt;$G11),"■","")</f>
        <v/>
      </c>
      <c r="AR11" s="5" t="str">
        <f>IF(AND(AR$8&lt;$H11,AR$8+$G$6&gt;$G11),"■","")</f>
        <v/>
      </c>
      <c r="AS11" s="5" t="str">
        <f>IF(AND(AS$8&lt;$H11,AS$8+$G$6&gt;$G11),"■","")</f>
        <v/>
      </c>
    </row>
    <row r="12" spans="1:45" ht="43" customHeight="1">
      <c r="A12" s="5" t="s">
        <v>189</v>
      </c>
      <c r="B12" s="5" t="s">
        <v>190</v>
      </c>
      <c r="C12" s="13">
        <f>0</f>
        <v>0</v>
      </c>
      <c r="D12" s="13">
        <f>0</f>
        <v>0</v>
      </c>
      <c r="E12" s="13">
        <f>0</f>
        <v>0</v>
      </c>
      <c r="F12" s="13">
        <f>IF('Ввод'!$B$29&gt;0,INDEX('Замеры ЦЕЛЬ'!$S$1:$S$382,7+('Ввод'!$B$29-1)*21+8),"")</f>
        <v>6</v>
      </c>
      <c r="G12" s="13">
        <f>H11</f>
        <v>149.356320582878</v>
      </c>
      <c r="H12" s="13">
        <f>IF(COUNT(C12:G12)=5,G12+C12+F12+MAX(D12,E12),"")</f>
        <v>155.356320582878</v>
      </c>
      <c r="I12" s="5" t="s">
        <v>459</v>
      </c>
      <c r="J12" s="5" t="str">
        <f>IF(AND(J$8&lt;$H12,J$8+$G$6&gt;$G12),"■","")</f>
        <v/>
      </c>
      <c r="K12" s="5" t="str">
        <f>IF(AND(K$8&lt;$H12,K$8+$G$6&gt;$G12),"■","")</f>
        <v/>
      </c>
      <c r="L12" s="5" t="str">
        <f>IF(AND(L$8&lt;$H12,L$8+$G$6&gt;$G12),"■","")</f>
        <v/>
      </c>
      <c r="M12" s="5" t="str">
        <f>IF(AND(M$8&lt;$H12,M$8+$G$6&gt;$G12),"■","")</f>
        <v/>
      </c>
      <c r="N12" s="5" t="str">
        <f>IF(AND(N$8&lt;$H12,N$8+$G$6&gt;$G12),"■","")</f>
        <v/>
      </c>
      <c r="O12" s="5" t="str">
        <f>IF(AND(O$8&lt;$H12,O$8+$G$6&gt;$G12),"■","")</f>
        <v/>
      </c>
      <c r="P12" s="5" t="str">
        <f>IF(AND(P$8&lt;$H12,P$8+$G$6&gt;$G12),"■","")</f>
        <v>■</v>
      </c>
      <c r="Q12" s="5" t="str">
        <f>IF(AND(Q$8&lt;$H12,Q$8+$G$6&gt;$G12),"■","")</f>
        <v>■</v>
      </c>
      <c r="R12" s="5" t="str">
        <f>IF(AND(R$8&lt;$H12,R$8+$G$6&gt;$G12),"■","")</f>
        <v/>
      </c>
      <c r="S12" s="5" t="str">
        <f>IF(AND(S$8&lt;$H12,S$8+$G$6&gt;$G12),"■","")</f>
        <v/>
      </c>
      <c r="T12" s="5" t="str">
        <f>IF(AND(T$8&lt;$H12,T$8+$G$6&gt;$G12),"■","")</f>
        <v/>
      </c>
      <c r="U12" s="5" t="str">
        <f>IF(AND(U$8&lt;$H12,U$8+$G$6&gt;$G12),"■","")</f>
        <v/>
      </c>
      <c r="V12" s="5" t="str">
        <f>IF(AND(V$8&lt;$H12,V$8+$G$6&gt;$G12),"■","")</f>
        <v/>
      </c>
      <c r="W12" s="5" t="str">
        <f>IF(AND(W$8&lt;$H12,W$8+$G$6&gt;$G12),"■","")</f>
        <v/>
      </c>
      <c r="X12" s="5" t="str">
        <f>IF(AND(X$8&lt;$H12,X$8+$G$6&gt;$G12),"■","")</f>
        <v/>
      </c>
      <c r="Y12" s="5" t="str">
        <f>IF(AND(Y$8&lt;$H12,Y$8+$G$6&gt;$G12),"■","")</f>
        <v/>
      </c>
      <c r="Z12" s="5" t="str">
        <f>IF(AND(Z$8&lt;$H12,Z$8+$G$6&gt;$G12),"■","")</f>
        <v/>
      </c>
      <c r="AA12" s="5" t="str">
        <f>IF(AND(AA$8&lt;$H12,AA$8+$G$6&gt;$G12),"■","")</f>
        <v/>
      </c>
      <c r="AB12" s="5" t="str">
        <f>IF(AND(AB$8&lt;$H12,AB$8+$G$6&gt;$G12),"■","")</f>
        <v/>
      </c>
      <c r="AC12" s="5" t="str">
        <f>IF(AND(AC$8&lt;$H12,AC$8+$G$6&gt;$G12),"■","")</f>
        <v/>
      </c>
      <c r="AD12" s="5" t="str">
        <f>IF(AND(AD$8&lt;$H12,AD$8+$G$6&gt;$G12),"■","")</f>
        <v/>
      </c>
      <c r="AE12" s="5" t="str">
        <f>IF(AND(AE$8&lt;$H12,AE$8+$G$6&gt;$G12),"■","")</f>
        <v/>
      </c>
      <c r="AF12" s="5" t="str">
        <f>IF(AND(AF$8&lt;$H12,AF$8+$G$6&gt;$G12),"■","")</f>
        <v/>
      </c>
      <c r="AG12" s="5" t="str">
        <f>IF(AND(AG$8&lt;$H12,AG$8+$G$6&gt;$G12),"■","")</f>
        <v/>
      </c>
      <c r="AH12" s="5" t="str">
        <f>IF(AND(AH$8&lt;$H12,AH$8+$G$6&gt;$G12),"■","")</f>
        <v/>
      </c>
      <c r="AI12" s="5" t="str">
        <f>IF(AND(AI$8&lt;$H12,AI$8+$G$6&gt;$G12),"■","")</f>
        <v/>
      </c>
      <c r="AJ12" s="5" t="str">
        <f>IF(AND(AJ$8&lt;$H12,AJ$8+$G$6&gt;$G12),"■","")</f>
        <v/>
      </c>
      <c r="AK12" s="5" t="str">
        <f>IF(AND(AK$8&lt;$H12,AK$8+$G$6&gt;$G12),"■","")</f>
        <v/>
      </c>
      <c r="AL12" s="5" t="str">
        <f>IF(AND(AL$8&lt;$H12,AL$8+$G$6&gt;$G12),"■","")</f>
        <v/>
      </c>
      <c r="AM12" s="5" t="str">
        <f>IF(AND(AM$8&lt;$H12,AM$8+$G$6&gt;$G12),"■","")</f>
        <v/>
      </c>
      <c r="AN12" s="5" t="str">
        <f>IF(AND(AN$8&lt;$H12,AN$8+$G$6&gt;$G12),"■","")</f>
        <v/>
      </c>
      <c r="AO12" s="5" t="str">
        <f>IF(AND(AO$8&lt;$H12,AO$8+$G$6&gt;$G12),"■","")</f>
        <v/>
      </c>
      <c r="AP12" s="5" t="str">
        <f>IF(AND(AP$8&lt;$H12,AP$8+$G$6&gt;$G12),"■","")</f>
        <v/>
      </c>
      <c r="AQ12" s="5" t="str">
        <f>IF(AND(AQ$8&lt;$H12,AQ$8+$G$6&gt;$G12),"■","")</f>
        <v/>
      </c>
      <c r="AR12" s="5" t="str">
        <f>IF(AND(AR$8&lt;$H12,AR$8+$G$6&gt;$G12),"■","")</f>
        <v/>
      </c>
      <c r="AS12" s="5" t="str">
        <f>IF(AND(AS$8&lt;$H12,AS$8+$G$6&gt;$G12),"■","")</f>
        <v/>
      </c>
    </row>
    <row r="13" spans="1:45" ht="43" customHeight="1">
      <c r="A13" s="5">
        <v>5</v>
      </c>
      <c r="B13" s="5" t="s">
        <v>193</v>
      </c>
      <c r="C13" s="13">
        <f>IF('Ввод'!$B$29&gt;0,INDEX('Замеры ЦЕЛЬ'!$S$1:$S$382,7+('Ввод'!$B$29-1)*21+9),"")</f>
        <v>30.6876958105647</v>
      </c>
      <c r="D13" s="13">
        <f>0</f>
        <v>0</v>
      </c>
      <c r="E13" s="13">
        <f>0</f>
        <v>0</v>
      </c>
      <c r="F13" s="13">
        <f>0</f>
        <v>0</v>
      </c>
      <c r="G13" s="13">
        <f>H12</f>
        <v>155.356320582878</v>
      </c>
      <c r="H13" s="13">
        <f>IF(COUNT(C13:G13)=5,G13+C13+F13+MAX(D13,E13),"")</f>
        <v>186.044016393443</v>
      </c>
      <c r="I13" s="5" t="s">
        <v>459</v>
      </c>
      <c r="J13" s="5" t="str">
        <f>IF(AND(J$8&lt;$H13,J$8+$G$6&gt;$G13),"■","")</f>
        <v/>
      </c>
      <c r="K13" s="5" t="str">
        <f>IF(AND(K$8&lt;$H13,K$8+$G$6&gt;$G13),"■","")</f>
        <v/>
      </c>
      <c r="L13" s="5" t="str">
        <f>IF(AND(L$8&lt;$H13,L$8+$G$6&gt;$G13),"■","")</f>
        <v/>
      </c>
      <c r="M13" s="5" t="str">
        <f>IF(AND(M$8&lt;$H13,M$8+$G$6&gt;$G13),"■","")</f>
        <v/>
      </c>
      <c r="N13" s="5" t="str">
        <f>IF(AND(N$8&lt;$H13,N$8+$G$6&gt;$G13),"■","")</f>
        <v/>
      </c>
      <c r="O13" s="5" t="str">
        <f>IF(AND(O$8&lt;$H13,O$8+$G$6&gt;$G13),"■","")</f>
        <v/>
      </c>
      <c r="P13" s="5" t="str">
        <f>IF(AND(P$8&lt;$H13,P$8+$G$6&gt;$G13),"■","")</f>
        <v/>
      </c>
      <c r="Q13" s="5" t="str">
        <f>IF(AND(Q$8&lt;$H13,Q$8+$G$6&gt;$G13),"■","")</f>
        <v>■</v>
      </c>
      <c r="R13" s="5" t="str">
        <f>IF(AND(R$8&lt;$H13,R$8+$G$6&gt;$G13),"■","")</f>
        <v>■</v>
      </c>
      <c r="S13" s="5" t="str">
        <f>IF(AND(S$8&lt;$H13,S$8+$G$6&gt;$G13),"■","")</f>
        <v/>
      </c>
      <c r="T13" s="5" t="str">
        <f>IF(AND(T$8&lt;$H13,T$8+$G$6&gt;$G13),"■","")</f>
        <v/>
      </c>
      <c r="U13" s="5" t="str">
        <f>IF(AND(U$8&lt;$H13,U$8+$G$6&gt;$G13),"■","")</f>
        <v/>
      </c>
      <c r="V13" s="5" t="str">
        <f>IF(AND(V$8&lt;$H13,V$8+$G$6&gt;$G13),"■","")</f>
        <v/>
      </c>
      <c r="W13" s="5" t="str">
        <f>IF(AND(W$8&lt;$H13,W$8+$G$6&gt;$G13),"■","")</f>
        <v/>
      </c>
      <c r="X13" s="5" t="str">
        <f>IF(AND(X$8&lt;$H13,X$8+$G$6&gt;$G13),"■","")</f>
        <v/>
      </c>
      <c r="Y13" s="5" t="str">
        <f>IF(AND(Y$8&lt;$H13,Y$8+$G$6&gt;$G13),"■","")</f>
        <v/>
      </c>
      <c r="Z13" s="5" t="str">
        <f>IF(AND(Z$8&lt;$H13,Z$8+$G$6&gt;$G13),"■","")</f>
        <v/>
      </c>
      <c r="AA13" s="5" t="str">
        <f>IF(AND(AA$8&lt;$H13,AA$8+$G$6&gt;$G13),"■","")</f>
        <v/>
      </c>
      <c r="AB13" s="5" t="str">
        <f>IF(AND(AB$8&lt;$H13,AB$8+$G$6&gt;$G13),"■","")</f>
        <v/>
      </c>
      <c r="AC13" s="5" t="str">
        <f>IF(AND(AC$8&lt;$H13,AC$8+$G$6&gt;$G13),"■","")</f>
        <v/>
      </c>
      <c r="AD13" s="5" t="str">
        <f>IF(AND(AD$8&lt;$H13,AD$8+$G$6&gt;$G13),"■","")</f>
        <v/>
      </c>
      <c r="AE13" s="5" t="str">
        <f>IF(AND(AE$8&lt;$H13,AE$8+$G$6&gt;$G13),"■","")</f>
        <v/>
      </c>
      <c r="AF13" s="5" t="str">
        <f>IF(AND(AF$8&lt;$H13,AF$8+$G$6&gt;$G13),"■","")</f>
        <v/>
      </c>
      <c r="AG13" s="5" t="str">
        <f>IF(AND(AG$8&lt;$H13,AG$8+$G$6&gt;$G13),"■","")</f>
        <v/>
      </c>
      <c r="AH13" s="5" t="str">
        <f>IF(AND(AH$8&lt;$H13,AH$8+$G$6&gt;$G13),"■","")</f>
        <v/>
      </c>
      <c r="AI13" s="5" t="str">
        <f>IF(AND(AI$8&lt;$H13,AI$8+$G$6&gt;$G13),"■","")</f>
        <v/>
      </c>
      <c r="AJ13" s="5" t="str">
        <f>IF(AND(AJ$8&lt;$H13,AJ$8+$G$6&gt;$G13),"■","")</f>
        <v/>
      </c>
      <c r="AK13" s="5" t="str">
        <f>IF(AND(AK$8&lt;$H13,AK$8+$G$6&gt;$G13),"■","")</f>
        <v/>
      </c>
      <c r="AL13" s="5" t="str">
        <f>IF(AND(AL$8&lt;$H13,AL$8+$G$6&gt;$G13),"■","")</f>
        <v/>
      </c>
      <c r="AM13" s="5" t="str">
        <f>IF(AND(AM$8&lt;$H13,AM$8+$G$6&gt;$G13),"■","")</f>
        <v/>
      </c>
      <c r="AN13" s="5" t="str">
        <f>IF(AND(AN$8&lt;$H13,AN$8+$G$6&gt;$G13),"■","")</f>
        <v/>
      </c>
      <c r="AO13" s="5" t="str">
        <f>IF(AND(AO$8&lt;$H13,AO$8+$G$6&gt;$G13),"■","")</f>
        <v/>
      </c>
      <c r="AP13" s="5" t="str">
        <f>IF(AND(AP$8&lt;$H13,AP$8+$G$6&gt;$G13),"■","")</f>
        <v/>
      </c>
      <c r="AQ13" s="5" t="str">
        <f>IF(AND(AQ$8&lt;$H13,AQ$8+$G$6&gt;$G13),"■","")</f>
        <v/>
      </c>
      <c r="AR13" s="5" t="str">
        <f>IF(AND(AR$8&lt;$H13,AR$8+$G$6&gt;$G13),"■","")</f>
        <v/>
      </c>
      <c r="AS13" s="5" t="str">
        <f>IF(AND(AS$8&lt;$H13,AS$8+$G$6&gt;$G13),"■","")</f>
        <v/>
      </c>
    </row>
    <row r="14" spans="1:45" ht="43" customHeight="1">
      <c r="A14" s="5" t="s">
        <v>189</v>
      </c>
      <c r="B14" s="5" t="s">
        <v>195</v>
      </c>
      <c r="C14" s="13">
        <f>0</f>
        <v>0</v>
      </c>
      <c r="D14" s="13">
        <f>IF('Ввод'!$B$29&gt;0,INDEX('Замеры ЦЕЛЬ'!$S$1:$S$382,7+('Ввод'!$B$29-1)*21+10),"")</f>
        <v>450</v>
      </c>
      <c r="E14" s="13">
        <f>IF('Ввод'!$B$29&gt;0,INDEX('Замеры ЦЕЛЬ'!$S$1:$S$382,7+('Ввод'!$B$29-1)*21+10),"")</f>
        <v>450</v>
      </c>
      <c r="F14" s="13">
        <f>0</f>
        <v>0</v>
      </c>
      <c r="G14" s="13">
        <f>H13</f>
        <v>186.044016393443</v>
      </c>
      <c r="H14" s="13">
        <f>IF(COUNT(C14:G14)=5,G14+C14+F14+MAX(D14,E14),"")</f>
        <v>636.044016393443</v>
      </c>
      <c r="I14" s="5" t="s">
        <v>460</v>
      </c>
      <c r="J14" s="5" t="str">
        <f>IF(AND(J$8&lt;$H14,J$8+$G$6&gt;$G14),"■","")</f>
        <v/>
      </c>
      <c r="K14" s="5" t="str">
        <f>IF(AND(K$8&lt;$H14,K$8+$G$6&gt;$G14),"■","")</f>
        <v/>
      </c>
      <c r="L14" s="5" t="str">
        <f>IF(AND(L$8&lt;$H14,L$8+$G$6&gt;$G14),"■","")</f>
        <v/>
      </c>
      <c r="M14" s="5" t="str">
        <f>IF(AND(M$8&lt;$H14,M$8+$G$6&gt;$G14),"■","")</f>
        <v/>
      </c>
      <c r="N14" s="5" t="str">
        <f>IF(AND(N$8&lt;$H14,N$8+$G$6&gt;$G14),"■","")</f>
        <v/>
      </c>
      <c r="O14" s="5" t="str">
        <f>IF(AND(O$8&lt;$H14,O$8+$G$6&gt;$G14),"■","")</f>
        <v/>
      </c>
      <c r="P14" s="5" t="str">
        <f>IF(AND(P$8&lt;$H14,P$8+$G$6&gt;$G14),"■","")</f>
        <v/>
      </c>
      <c r="Q14" s="5" t="str">
        <f>IF(AND(Q$8&lt;$H14,Q$8+$G$6&gt;$G14),"■","")</f>
        <v/>
      </c>
      <c r="R14" s="5" t="str">
        <f>IF(AND(R$8&lt;$H14,R$8+$G$6&gt;$G14),"■","")</f>
        <v>■</v>
      </c>
      <c r="S14" s="5" t="str">
        <f>IF(AND(S$8&lt;$H14,S$8+$G$6&gt;$G14),"■","")</f>
        <v>■</v>
      </c>
      <c r="T14" s="5" t="str">
        <f>IF(AND(T$8&lt;$H14,T$8+$G$6&gt;$G14),"■","")</f>
        <v>■</v>
      </c>
      <c r="U14" s="5" t="str">
        <f>IF(AND(U$8&lt;$H14,U$8+$G$6&gt;$G14),"■","")</f>
        <v>■</v>
      </c>
      <c r="V14" s="5" t="str">
        <f>IF(AND(V$8&lt;$H14,V$8+$G$6&gt;$G14),"■","")</f>
        <v>■</v>
      </c>
      <c r="W14" s="5" t="str">
        <f>IF(AND(W$8&lt;$H14,W$8+$G$6&gt;$G14),"■","")</f>
        <v>■</v>
      </c>
      <c r="X14" s="5" t="str">
        <f>IF(AND(X$8&lt;$H14,X$8+$G$6&gt;$G14),"■","")</f>
        <v>■</v>
      </c>
      <c r="Y14" s="5" t="str">
        <f>IF(AND(Y$8&lt;$H14,Y$8+$G$6&gt;$G14),"■","")</f>
        <v>■</v>
      </c>
      <c r="Z14" s="5" t="str">
        <f>IF(AND(Z$8&lt;$H14,Z$8+$G$6&gt;$G14),"■","")</f>
        <v>■</v>
      </c>
      <c r="AA14" s="5" t="str">
        <f>IF(AND(AA$8&lt;$H14,AA$8+$G$6&gt;$G14),"■","")</f>
        <v>■</v>
      </c>
      <c r="AB14" s="5" t="str">
        <f>IF(AND(AB$8&lt;$H14,AB$8+$G$6&gt;$G14),"■","")</f>
        <v>■</v>
      </c>
      <c r="AC14" s="5" t="str">
        <f>IF(AND(AC$8&lt;$H14,AC$8+$G$6&gt;$G14),"■","")</f>
        <v>■</v>
      </c>
      <c r="AD14" s="5" t="str">
        <f>IF(AND(AD$8&lt;$H14,AD$8+$G$6&gt;$G14),"■","")</f>
        <v>■</v>
      </c>
      <c r="AE14" s="5" t="str">
        <f>IF(AND(AE$8&lt;$H14,AE$8+$G$6&gt;$G14),"■","")</f>
        <v>■</v>
      </c>
      <c r="AF14" s="5" t="str">
        <f>IF(AND(AF$8&lt;$H14,AF$8+$G$6&gt;$G14),"■","")</f>
        <v>■</v>
      </c>
      <c r="AG14" s="5" t="str">
        <f>IF(AND(AG$8&lt;$H14,AG$8+$G$6&gt;$G14),"■","")</f>
        <v>■</v>
      </c>
      <c r="AH14" s="5" t="str">
        <f>IF(AND(AH$8&lt;$H14,AH$8+$G$6&gt;$G14),"■","")</f>
        <v>■</v>
      </c>
      <c r="AI14" s="5" t="str">
        <f>IF(AND(AI$8&lt;$H14,AI$8+$G$6&gt;$G14),"■","")</f>
        <v>■</v>
      </c>
      <c r="AJ14" s="5" t="str">
        <f>IF(AND(AJ$8&lt;$H14,AJ$8+$G$6&gt;$G14),"■","")</f>
        <v>■</v>
      </c>
      <c r="AK14" s="5" t="str">
        <f>IF(AND(AK$8&lt;$H14,AK$8+$G$6&gt;$G14),"■","")</f>
        <v>■</v>
      </c>
      <c r="AL14" s="5" t="str">
        <f>IF(AND(AL$8&lt;$H14,AL$8+$G$6&gt;$G14),"■","")</f>
        <v>■</v>
      </c>
      <c r="AM14" s="5" t="str">
        <f>IF(AND(AM$8&lt;$H14,AM$8+$G$6&gt;$G14),"■","")</f>
        <v>■</v>
      </c>
      <c r="AN14" s="5" t="str">
        <f>IF(AND(AN$8&lt;$H14,AN$8+$G$6&gt;$G14),"■","")</f>
        <v/>
      </c>
      <c r="AO14" s="5" t="str">
        <f>IF(AND(AO$8&lt;$H14,AO$8+$G$6&gt;$G14),"■","")</f>
        <v/>
      </c>
      <c r="AP14" s="5" t="str">
        <f>IF(AND(AP$8&lt;$H14,AP$8+$G$6&gt;$G14),"■","")</f>
        <v/>
      </c>
      <c r="AQ14" s="5" t="str">
        <f>IF(AND(AQ$8&lt;$H14,AQ$8+$G$6&gt;$G14),"■","")</f>
        <v/>
      </c>
      <c r="AR14" s="5" t="str">
        <f>IF(AND(AR$8&lt;$H14,AR$8+$G$6&gt;$G14),"■","")</f>
        <v/>
      </c>
      <c r="AS14" s="5" t="str">
        <f>IF(AND(AS$8&lt;$H14,AS$8+$G$6&gt;$G14),"■","")</f>
        <v/>
      </c>
    </row>
    <row r="15" spans="1:45" ht="43" customHeight="1">
      <c r="A15" s="5">
        <v>7</v>
      </c>
      <c r="B15" s="5" t="s">
        <v>198</v>
      </c>
      <c r="C15" s="13">
        <f>IF('Ввод'!$B$29&gt;0,INDEX('Замеры ЦЕЛЬ'!$S$1:$S$382,7+('Ввод'!$B$29-1)*21+11),"")</f>
        <v>27.8495901639344</v>
      </c>
      <c r="D15" s="13">
        <f>0</f>
        <v>0</v>
      </c>
      <c r="E15" s="13">
        <f>0</f>
        <v>0</v>
      </c>
      <c r="F15" s="13">
        <f>0</f>
        <v>0</v>
      </c>
      <c r="G15" s="13">
        <f>H14</f>
        <v>636.044016393443</v>
      </c>
      <c r="H15" s="13">
        <f>IF(COUNT(C15:G15)=5,G15+C15+F15+MAX(D15,E15),"")</f>
        <v>663.893606557377</v>
      </c>
      <c r="I15" s="5" t="s">
        <v>459</v>
      </c>
      <c r="J15" s="5" t="str">
        <f>IF(AND(J$8&lt;$H15,J$8+$G$6&gt;$G15),"■","")</f>
        <v/>
      </c>
      <c r="K15" s="5" t="str">
        <f>IF(AND(K$8&lt;$H15,K$8+$G$6&gt;$G15),"■","")</f>
        <v/>
      </c>
      <c r="L15" s="5" t="str">
        <f>IF(AND(L$8&lt;$H15,L$8+$G$6&gt;$G15),"■","")</f>
        <v/>
      </c>
      <c r="M15" s="5" t="str">
        <f>IF(AND(M$8&lt;$H15,M$8+$G$6&gt;$G15),"■","")</f>
        <v/>
      </c>
      <c r="N15" s="5" t="str">
        <f>IF(AND(N$8&lt;$H15,N$8+$G$6&gt;$G15),"■","")</f>
        <v/>
      </c>
      <c r="O15" s="5" t="str">
        <f>IF(AND(O$8&lt;$H15,O$8+$G$6&gt;$G15),"■","")</f>
        <v/>
      </c>
      <c r="P15" s="5" t="str">
        <f>IF(AND(P$8&lt;$H15,P$8+$G$6&gt;$G15),"■","")</f>
        <v/>
      </c>
      <c r="Q15" s="5" t="str">
        <f>IF(AND(Q$8&lt;$H15,Q$8+$G$6&gt;$G15),"■","")</f>
        <v/>
      </c>
      <c r="R15" s="5" t="str">
        <f>IF(AND(R$8&lt;$H15,R$8+$G$6&gt;$G15),"■","")</f>
        <v/>
      </c>
      <c r="S15" s="5" t="str">
        <f>IF(AND(S$8&lt;$H15,S$8+$G$6&gt;$G15),"■","")</f>
        <v/>
      </c>
      <c r="T15" s="5" t="str">
        <f>IF(AND(T$8&lt;$H15,T$8+$G$6&gt;$G15),"■","")</f>
        <v/>
      </c>
      <c r="U15" s="5" t="str">
        <f>IF(AND(U$8&lt;$H15,U$8+$G$6&gt;$G15),"■","")</f>
        <v/>
      </c>
      <c r="V15" s="5" t="str">
        <f>IF(AND(V$8&lt;$H15,V$8+$G$6&gt;$G15),"■","")</f>
        <v/>
      </c>
      <c r="W15" s="5" t="str">
        <f>IF(AND(W$8&lt;$H15,W$8+$G$6&gt;$G15),"■","")</f>
        <v/>
      </c>
      <c r="X15" s="5" t="str">
        <f>IF(AND(X$8&lt;$H15,X$8+$G$6&gt;$G15),"■","")</f>
        <v/>
      </c>
      <c r="Y15" s="5" t="str">
        <f>IF(AND(Y$8&lt;$H15,Y$8+$G$6&gt;$G15),"■","")</f>
        <v/>
      </c>
      <c r="Z15" s="5" t="str">
        <f>IF(AND(Z$8&lt;$H15,Z$8+$G$6&gt;$G15),"■","")</f>
        <v/>
      </c>
      <c r="AA15" s="5" t="str">
        <f>IF(AND(AA$8&lt;$H15,AA$8+$G$6&gt;$G15),"■","")</f>
        <v/>
      </c>
      <c r="AB15" s="5" t="str">
        <f>IF(AND(AB$8&lt;$H15,AB$8+$G$6&gt;$G15),"■","")</f>
        <v/>
      </c>
      <c r="AC15" s="5" t="str">
        <f>IF(AND(AC$8&lt;$H15,AC$8+$G$6&gt;$G15),"■","")</f>
        <v/>
      </c>
      <c r="AD15" s="5" t="str">
        <f>IF(AND(AD$8&lt;$H15,AD$8+$G$6&gt;$G15),"■","")</f>
        <v/>
      </c>
      <c r="AE15" s="5" t="str">
        <f>IF(AND(AE$8&lt;$H15,AE$8+$G$6&gt;$G15),"■","")</f>
        <v/>
      </c>
      <c r="AF15" s="5" t="str">
        <f>IF(AND(AF$8&lt;$H15,AF$8+$G$6&gt;$G15),"■","")</f>
        <v/>
      </c>
      <c r="AG15" s="5" t="str">
        <f>IF(AND(AG$8&lt;$H15,AG$8+$G$6&gt;$G15),"■","")</f>
        <v/>
      </c>
      <c r="AH15" s="5" t="str">
        <f>IF(AND(AH$8&lt;$H15,AH$8+$G$6&gt;$G15),"■","")</f>
        <v/>
      </c>
      <c r="AI15" s="5" t="str">
        <f>IF(AND(AI$8&lt;$H15,AI$8+$G$6&gt;$G15),"■","")</f>
        <v/>
      </c>
      <c r="AJ15" s="5" t="str">
        <f>IF(AND(AJ$8&lt;$H15,AJ$8+$G$6&gt;$G15),"■","")</f>
        <v/>
      </c>
      <c r="AK15" s="5" t="str">
        <f>IF(AND(AK$8&lt;$H15,AK$8+$G$6&gt;$G15),"■","")</f>
        <v/>
      </c>
      <c r="AL15" s="5" t="str">
        <f>IF(AND(AL$8&lt;$H15,AL$8+$G$6&gt;$G15),"■","")</f>
        <v/>
      </c>
      <c r="AM15" s="5" t="str">
        <f>IF(AND(AM$8&lt;$H15,AM$8+$G$6&gt;$G15),"■","")</f>
        <v>■</v>
      </c>
      <c r="AN15" s="5" t="str">
        <f>IF(AND(AN$8&lt;$H15,AN$8+$G$6&gt;$G15),"■","")</f>
        <v>■</v>
      </c>
      <c r="AO15" s="5" t="str">
        <f>IF(AND(AO$8&lt;$H15,AO$8+$G$6&gt;$G15),"■","")</f>
        <v>■</v>
      </c>
      <c r="AP15" s="5" t="str">
        <f>IF(AND(AP$8&lt;$H15,AP$8+$G$6&gt;$G15),"■","")</f>
        <v/>
      </c>
      <c r="AQ15" s="5" t="str">
        <f>IF(AND(AQ$8&lt;$H15,AQ$8+$G$6&gt;$G15),"■","")</f>
        <v/>
      </c>
      <c r="AR15" s="5" t="str">
        <f>IF(AND(AR$8&lt;$H15,AR$8+$G$6&gt;$G15),"■","")</f>
        <v/>
      </c>
      <c r="AS15" s="5" t="str">
        <f>IF(AND(AS$8&lt;$H15,AS$8+$G$6&gt;$G15),"■","")</f>
        <v/>
      </c>
    </row>
    <row r="16" spans="1:45" ht="43" customHeight="1">
      <c r="A16" s="5">
        <v>8</v>
      </c>
      <c r="B16" s="5" t="s">
        <v>200</v>
      </c>
      <c r="C16" s="13">
        <f>IF('Ввод'!$B$29&gt;0,INDEX('Замеры ЦЕЛЬ'!$S$1:$S$382,7+('Ввод'!$B$29-1)*21+12),"")</f>
        <v>18.5663934426229</v>
      </c>
      <c r="D16" s="13">
        <f>0</f>
        <v>0</v>
      </c>
      <c r="E16" s="13">
        <f>0</f>
        <v>0</v>
      </c>
      <c r="F16" s="13">
        <f>0</f>
        <v>0</v>
      </c>
      <c r="G16" s="13">
        <f>H15</f>
        <v>663.893606557377</v>
      </c>
      <c r="H16" s="13">
        <f>IF(COUNT(C16:G16)=5,G16+C16+F16+MAX(D16,E16),"")</f>
        <v>682.46</v>
      </c>
      <c r="I16" s="5" t="s">
        <v>459</v>
      </c>
      <c r="J16" s="5" t="str">
        <f>IF(AND(J$8&lt;$H16,J$8+$G$6&gt;$G16),"■","")</f>
        <v/>
      </c>
      <c r="K16" s="5" t="str">
        <f>IF(AND(K$8&lt;$H16,K$8+$G$6&gt;$G16),"■","")</f>
        <v/>
      </c>
      <c r="L16" s="5" t="str">
        <f>IF(AND(L$8&lt;$H16,L$8+$G$6&gt;$G16),"■","")</f>
        <v/>
      </c>
      <c r="M16" s="5" t="str">
        <f>IF(AND(M$8&lt;$H16,M$8+$G$6&gt;$G16),"■","")</f>
        <v/>
      </c>
      <c r="N16" s="5" t="str">
        <f>IF(AND(N$8&lt;$H16,N$8+$G$6&gt;$G16),"■","")</f>
        <v/>
      </c>
      <c r="O16" s="5" t="str">
        <f>IF(AND(O$8&lt;$H16,O$8+$G$6&gt;$G16),"■","")</f>
        <v/>
      </c>
      <c r="P16" s="5" t="str">
        <f>IF(AND(P$8&lt;$H16,P$8+$G$6&gt;$G16),"■","")</f>
        <v/>
      </c>
      <c r="Q16" s="5" t="str">
        <f>IF(AND(Q$8&lt;$H16,Q$8+$G$6&gt;$G16),"■","")</f>
        <v/>
      </c>
      <c r="R16" s="5" t="str">
        <f>IF(AND(R$8&lt;$H16,R$8+$G$6&gt;$G16),"■","")</f>
        <v/>
      </c>
      <c r="S16" s="5" t="str">
        <f>IF(AND(S$8&lt;$H16,S$8+$G$6&gt;$G16),"■","")</f>
        <v/>
      </c>
      <c r="T16" s="5" t="str">
        <f>IF(AND(T$8&lt;$H16,T$8+$G$6&gt;$G16),"■","")</f>
        <v/>
      </c>
      <c r="U16" s="5" t="str">
        <f>IF(AND(U$8&lt;$H16,U$8+$G$6&gt;$G16),"■","")</f>
        <v/>
      </c>
      <c r="V16" s="5" t="str">
        <f>IF(AND(V$8&lt;$H16,V$8+$G$6&gt;$G16),"■","")</f>
        <v/>
      </c>
      <c r="W16" s="5" t="str">
        <f>IF(AND(W$8&lt;$H16,W$8+$G$6&gt;$G16),"■","")</f>
        <v/>
      </c>
      <c r="X16" s="5" t="str">
        <f>IF(AND(X$8&lt;$H16,X$8+$G$6&gt;$G16),"■","")</f>
        <v/>
      </c>
      <c r="Y16" s="5" t="str">
        <f>IF(AND(Y$8&lt;$H16,Y$8+$G$6&gt;$G16),"■","")</f>
        <v/>
      </c>
      <c r="Z16" s="5" t="str">
        <f>IF(AND(Z$8&lt;$H16,Z$8+$G$6&gt;$G16),"■","")</f>
        <v/>
      </c>
      <c r="AA16" s="5" t="str">
        <f>IF(AND(AA$8&lt;$H16,AA$8+$G$6&gt;$G16),"■","")</f>
        <v/>
      </c>
      <c r="AB16" s="5" t="str">
        <f>IF(AND(AB$8&lt;$H16,AB$8+$G$6&gt;$G16),"■","")</f>
        <v/>
      </c>
      <c r="AC16" s="5" t="str">
        <f>IF(AND(AC$8&lt;$H16,AC$8+$G$6&gt;$G16),"■","")</f>
        <v/>
      </c>
      <c r="AD16" s="5" t="str">
        <f>IF(AND(AD$8&lt;$H16,AD$8+$G$6&gt;$G16),"■","")</f>
        <v/>
      </c>
      <c r="AE16" s="5" t="str">
        <f>IF(AND(AE$8&lt;$H16,AE$8+$G$6&gt;$G16),"■","")</f>
        <v/>
      </c>
      <c r="AF16" s="5" t="str">
        <f>IF(AND(AF$8&lt;$H16,AF$8+$G$6&gt;$G16),"■","")</f>
        <v/>
      </c>
      <c r="AG16" s="5" t="str">
        <f>IF(AND(AG$8&lt;$H16,AG$8+$G$6&gt;$G16),"■","")</f>
        <v/>
      </c>
      <c r="AH16" s="5" t="str">
        <f>IF(AND(AH$8&lt;$H16,AH$8+$G$6&gt;$G16),"■","")</f>
        <v/>
      </c>
      <c r="AI16" s="5" t="str">
        <f>IF(AND(AI$8&lt;$H16,AI$8+$G$6&gt;$G16),"■","")</f>
        <v/>
      </c>
      <c r="AJ16" s="5" t="str">
        <f>IF(AND(AJ$8&lt;$H16,AJ$8+$G$6&gt;$G16),"■","")</f>
        <v/>
      </c>
      <c r="AK16" s="5" t="str">
        <f>IF(AND(AK$8&lt;$H16,AK$8+$G$6&gt;$G16),"■","")</f>
        <v/>
      </c>
      <c r="AL16" s="5" t="str">
        <f>IF(AND(AL$8&lt;$H16,AL$8+$G$6&gt;$G16),"■","")</f>
        <v/>
      </c>
      <c r="AM16" s="5" t="str">
        <f>IF(AND(AM$8&lt;$H16,AM$8+$G$6&gt;$G16),"■","")</f>
        <v/>
      </c>
      <c r="AN16" s="5" t="str">
        <f>IF(AND(AN$8&lt;$H16,AN$8+$G$6&gt;$G16),"■","")</f>
        <v/>
      </c>
      <c r="AO16" s="5" t="str">
        <f>IF(AND(AO$8&lt;$H16,AO$8+$G$6&gt;$G16),"■","")</f>
        <v>■</v>
      </c>
      <c r="AP16" s="5" t="str">
        <f>IF(AND(AP$8&lt;$H16,AP$8+$G$6&gt;$G16),"■","")</f>
        <v/>
      </c>
      <c r="AQ16" s="5" t="str">
        <f>IF(AND(AQ$8&lt;$H16,AQ$8+$G$6&gt;$G16),"■","")</f>
        <v/>
      </c>
      <c r="AR16" s="5" t="str">
        <f>IF(AND(AR$8&lt;$H16,AR$8+$G$6&gt;$G16),"■","")</f>
        <v/>
      </c>
      <c r="AS16" s="5" t="str">
        <f>IF(AND(AS$8&lt;$H16,AS$8+$G$6&gt;$G16),"■","")</f>
        <v/>
      </c>
    </row>
    <row r="17" spans="1:45" ht="43" customHeight="1">
      <c r="A17" s="5" t="s">
        <v>189</v>
      </c>
      <c r="B17" s="5" t="s">
        <v>202</v>
      </c>
      <c r="C17" s="13">
        <f>0</f>
        <v>0</v>
      </c>
      <c r="D17" s="13">
        <f>0</f>
        <v>0</v>
      </c>
      <c r="E17" s="13">
        <f>0</f>
        <v>0</v>
      </c>
      <c r="F17" s="13">
        <f>IF('Ввод'!$B$29&gt;0,INDEX('Замеры ЦЕЛЬ'!$S$1:$S$382,7+('Ввод'!$B$29-1)*21+13),"")</f>
        <v>5</v>
      </c>
      <c r="G17" s="13">
        <f>H16</f>
        <v>682.46</v>
      </c>
      <c r="H17" s="13">
        <f>IF(COUNT(C17:G17)=5,G17+C17+F17+MAX(D17,E17),"")</f>
        <v>687.46</v>
      </c>
      <c r="I17" s="5" t="s">
        <v>459</v>
      </c>
      <c r="J17" s="5" t="str">
        <f>IF(AND(J$8&lt;$H17,J$8+$G$6&gt;$G17),"■","")</f>
        <v/>
      </c>
      <c r="K17" s="5" t="str">
        <f>IF(AND(K$8&lt;$H17,K$8+$G$6&gt;$G17),"■","")</f>
        <v/>
      </c>
      <c r="L17" s="5" t="str">
        <f>IF(AND(L$8&lt;$H17,L$8+$G$6&gt;$G17),"■","")</f>
        <v/>
      </c>
      <c r="M17" s="5" t="str">
        <f>IF(AND(M$8&lt;$H17,M$8+$G$6&gt;$G17),"■","")</f>
        <v/>
      </c>
      <c r="N17" s="5" t="str">
        <f>IF(AND(N$8&lt;$H17,N$8+$G$6&gt;$G17),"■","")</f>
        <v/>
      </c>
      <c r="O17" s="5" t="str">
        <f>IF(AND(O$8&lt;$H17,O$8+$G$6&gt;$G17),"■","")</f>
        <v/>
      </c>
      <c r="P17" s="5" t="str">
        <f>IF(AND(P$8&lt;$H17,P$8+$G$6&gt;$G17),"■","")</f>
        <v/>
      </c>
      <c r="Q17" s="5" t="str">
        <f>IF(AND(Q$8&lt;$H17,Q$8+$G$6&gt;$G17),"■","")</f>
        <v/>
      </c>
      <c r="R17" s="5" t="str">
        <f>IF(AND(R$8&lt;$H17,R$8+$G$6&gt;$G17),"■","")</f>
        <v/>
      </c>
      <c r="S17" s="5" t="str">
        <f>IF(AND(S$8&lt;$H17,S$8+$G$6&gt;$G17),"■","")</f>
        <v/>
      </c>
      <c r="T17" s="5" t="str">
        <f>IF(AND(T$8&lt;$H17,T$8+$G$6&gt;$G17),"■","")</f>
        <v/>
      </c>
      <c r="U17" s="5" t="str">
        <f>IF(AND(U$8&lt;$H17,U$8+$G$6&gt;$G17),"■","")</f>
        <v/>
      </c>
      <c r="V17" s="5" t="str">
        <f>IF(AND(V$8&lt;$H17,V$8+$G$6&gt;$G17),"■","")</f>
        <v/>
      </c>
      <c r="W17" s="5" t="str">
        <f>IF(AND(W$8&lt;$H17,W$8+$G$6&gt;$G17),"■","")</f>
        <v/>
      </c>
      <c r="X17" s="5" t="str">
        <f>IF(AND(X$8&lt;$H17,X$8+$G$6&gt;$G17),"■","")</f>
        <v/>
      </c>
      <c r="Y17" s="5" t="str">
        <f>IF(AND(Y$8&lt;$H17,Y$8+$G$6&gt;$G17),"■","")</f>
        <v/>
      </c>
      <c r="Z17" s="5" t="str">
        <f>IF(AND(Z$8&lt;$H17,Z$8+$G$6&gt;$G17),"■","")</f>
        <v/>
      </c>
      <c r="AA17" s="5" t="str">
        <f>IF(AND(AA$8&lt;$H17,AA$8+$G$6&gt;$G17),"■","")</f>
        <v/>
      </c>
      <c r="AB17" s="5" t="str">
        <f>IF(AND(AB$8&lt;$H17,AB$8+$G$6&gt;$G17),"■","")</f>
        <v/>
      </c>
      <c r="AC17" s="5" t="str">
        <f>IF(AND(AC$8&lt;$H17,AC$8+$G$6&gt;$G17),"■","")</f>
        <v/>
      </c>
      <c r="AD17" s="5" t="str">
        <f>IF(AND(AD$8&lt;$H17,AD$8+$G$6&gt;$G17),"■","")</f>
        <v/>
      </c>
      <c r="AE17" s="5" t="str">
        <f>IF(AND(AE$8&lt;$H17,AE$8+$G$6&gt;$G17),"■","")</f>
        <v/>
      </c>
      <c r="AF17" s="5" t="str">
        <f>IF(AND(AF$8&lt;$H17,AF$8+$G$6&gt;$G17),"■","")</f>
        <v/>
      </c>
      <c r="AG17" s="5" t="str">
        <f>IF(AND(AG$8&lt;$H17,AG$8+$G$6&gt;$G17),"■","")</f>
        <v/>
      </c>
      <c r="AH17" s="5" t="str">
        <f>IF(AND(AH$8&lt;$H17,AH$8+$G$6&gt;$G17),"■","")</f>
        <v/>
      </c>
      <c r="AI17" s="5" t="str">
        <f>IF(AND(AI$8&lt;$H17,AI$8+$G$6&gt;$G17),"■","")</f>
        <v/>
      </c>
      <c r="AJ17" s="5" t="str">
        <f>IF(AND(AJ$8&lt;$H17,AJ$8+$G$6&gt;$G17),"■","")</f>
        <v/>
      </c>
      <c r="AK17" s="5" t="str">
        <f>IF(AND(AK$8&lt;$H17,AK$8+$G$6&gt;$G17),"■","")</f>
        <v/>
      </c>
      <c r="AL17" s="5" t="str">
        <f>IF(AND(AL$8&lt;$H17,AL$8+$G$6&gt;$G17),"■","")</f>
        <v/>
      </c>
      <c r="AM17" s="5" t="str">
        <f>IF(AND(AM$8&lt;$H17,AM$8+$G$6&gt;$G17),"■","")</f>
        <v/>
      </c>
      <c r="AN17" s="5" t="str">
        <f>IF(AND(AN$8&lt;$H17,AN$8+$G$6&gt;$G17),"■","")</f>
        <v/>
      </c>
      <c r="AO17" s="5" t="str">
        <f>IF(AND(AO$8&lt;$H17,AO$8+$G$6&gt;$G17),"■","")</f>
        <v>■</v>
      </c>
      <c r="AP17" s="5" t="str">
        <f>IF(AND(AP$8&lt;$H17,AP$8+$G$6&gt;$G17),"■","")</f>
        <v>■</v>
      </c>
      <c r="AQ17" s="5" t="str">
        <f>IF(AND(AQ$8&lt;$H17,AQ$8+$G$6&gt;$G17),"■","")</f>
        <v/>
      </c>
      <c r="AR17" s="5" t="str">
        <f>IF(AND(AR$8&lt;$H17,AR$8+$G$6&gt;$G17),"■","")</f>
        <v/>
      </c>
      <c r="AS17" s="5" t="str">
        <f>IF(AND(AS$8&lt;$H17,AS$8+$G$6&gt;$G17),"■","")</f>
        <v/>
      </c>
    </row>
    <row r="18" spans="1:45" ht="43" customHeight="1">
      <c r="A18" s="5" t="s">
        <v>189</v>
      </c>
      <c r="B18" s="5" t="s">
        <v>204</v>
      </c>
      <c r="C18" s="13">
        <f>0</f>
        <v>0</v>
      </c>
      <c r="D18" s="13">
        <f>0</f>
        <v>0</v>
      </c>
      <c r="E18" s="13">
        <f>0</f>
        <v>0</v>
      </c>
      <c r="F18" s="13">
        <f>IF('Ввод'!$B$29&gt;0,INDEX('Замеры ЦЕЛЬ'!$S$1:$S$382,7+('Ввод'!$B$29-1)*21+14),"")</f>
        <v>5</v>
      </c>
      <c r="G18" s="13">
        <f>H17</f>
        <v>687.46</v>
      </c>
      <c r="H18" s="13">
        <f>IF(COUNT(C18:G18)=5,G18+C18+F18+MAX(D18,E18),"")</f>
        <v>692.46</v>
      </c>
      <c r="I18" s="5" t="s">
        <v>459</v>
      </c>
      <c r="J18" s="5" t="str">
        <f>IF(AND(J$8&lt;$H18,J$8+$G$6&gt;$G18),"■","")</f>
        <v/>
      </c>
      <c r="K18" s="5" t="str">
        <f>IF(AND(K$8&lt;$H18,K$8+$G$6&gt;$G18),"■","")</f>
        <v/>
      </c>
      <c r="L18" s="5" t="str">
        <f>IF(AND(L$8&lt;$H18,L$8+$G$6&gt;$G18),"■","")</f>
        <v/>
      </c>
      <c r="M18" s="5" t="str">
        <f>IF(AND(M$8&lt;$H18,M$8+$G$6&gt;$G18),"■","")</f>
        <v/>
      </c>
      <c r="N18" s="5" t="str">
        <f>IF(AND(N$8&lt;$H18,N$8+$G$6&gt;$G18),"■","")</f>
        <v/>
      </c>
      <c r="O18" s="5" t="str">
        <f>IF(AND(O$8&lt;$H18,O$8+$G$6&gt;$G18),"■","")</f>
        <v/>
      </c>
      <c r="P18" s="5" t="str">
        <f>IF(AND(P$8&lt;$H18,P$8+$G$6&gt;$G18),"■","")</f>
        <v/>
      </c>
      <c r="Q18" s="5" t="str">
        <f>IF(AND(Q$8&lt;$H18,Q$8+$G$6&gt;$G18),"■","")</f>
        <v/>
      </c>
      <c r="R18" s="5" t="str">
        <f>IF(AND(R$8&lt;$H18,R$8+$G$6&gt;$G18),"■","")</f>
        <v/>
      </c>
      <c r="S18" s="5" t="str">
        <f>IF(AND(S$8&lt;$H18,S$8+$G$6&gt;$G18),"■","")</f>
        <v/>
      </c>
      <c r="T18" s="5" t="str">
        <f>IF(AND(T$8&lt;$H18,T$8+$G$6&gt;$G18),"■","")</f>
        <v/>
      </c>
      <c r="U18" s="5" t="str">
        <f>IF(AND(U$8&lt;$H18,U$8+$G$6&gt;$G18),"■","")</f>
        <v/>
      </c>
      <c r="V18" s="5" t="str">
        <f>IF(AND(V$8&lt;$H18,V$8+$G$6&gt;$G18),"■","")</f>
        <v/>
      </c>
      <c r="W18" s="5" t="str">
        <f>IF(AND(W$8&lt;$H18,W$8+$G$6&gt;$G18),"■","")</f>
        <v/>
      </c>
      <c r="X18" s="5" t="str">
        <f>IF(AND(X$8&lt;$H18,X$8+$G$6&gt;$G18),"■","")</f>
        <v/>
      </c>
      <c r="Y18" s="5" t="str">
        <f>IF(AND(Y$8&lt;$H18,Y$8+$G$6&gt;$G18),"■","")</f>
        <v/>
      </c>
      <c r="Z18" s="5" t="str">
        <f>IF(AND(Z$8&lt;$H18,Z$8+$G$6&gt;$G18),"■","")</f>
        <v/>
      </c>
      <c r="AA18" s="5" t="str">
        <f>IF(AND(AA$8&lt;$H18,AA$8+$G$6&gt;$G18),"■","")</f>
        <v/>
      </c>
      <c r="AB18" s="5" t="str">
        <f>IF(AND(AB$8&lt;$H18,AB$8+$G$6&gt;$G18),"■","")</f>
        <v/>
      </c>
      <c r="AC18" s="5" t="str">
        <f>IF(AND(AC$8&lt;$H18,AC$8+$G$6&gt;$G18),"■","")</f>
        <v/>
      </c>
      <c r="AD18" s="5" t="str">
        <f>IF(AND(AD$8&lt;$H18,AD$8+$G$6&gt;$G18),"■","")</f>
        <v/>
      </c>
      <c r="AE18" s="5" t="str">
        <f>IF(AND(AE$8&lt;$H18,AE$8+$G$6&gt;$G18),"■","")</f>
        <v/>
      </c>
      <c r="AF18" s="5" t="str">
        <f>IF(AND(AF$8&lt;$H18,AF$8+$G$6&gt;$G18),"■","")</f>
        <v/>
      </c>
      <c r="AG18" s="5" t="str">
        <f>IF(AND(AG$8&lt;$H18,AG$8+$G$6&gt;$G18),"■","")</f>
        <v/>
      </c>
      <c r="AH18" s="5" t="str">
        <f>IF(AND(AH$8&lt;$H18,AH$8+$G$6&gt;$G18),"■","")</f>
        <v/>
      </c>
      <c r="AI18" s="5" t="str">
        <f>IF(AND(AI$8&lt;$H18,AI$8+$G$6&gt;$G18),"■","")</f>
        <v/>
      </c>
      <c r="AJ18" s="5" t="str">
        <f>IF(AND(AJ$8&lt;$H18,AJ$8+$G$6&gt;$G18),"■","")</f>
        <v/>
      </c>
      <c r="AK18" s="5" t="str">
        <f>IF(AND(AK$8&lt;$H18,AK$8+$G$6&gt;$G18),"■","")</f>
        <v/>
      </c>
      <c r="AL18" s="5" t="str">
        <f>IF(AND(AL$8&lt;$H18,AL$8+$G$6&gt;$G18),"■","")</f>
        <v/>
      </c>
      <c r="AM18" s="5" t="str">
        <f>IF(AND(AM$8&lt;$H18,AM$8+$G$6&gt;$G18),"■","")</f>
        <v/>
      </c>
      <c r="AN18" s="5" t="str">
        <f>IF(AND(AN$8&lt;$H18,AN$8+$G$6&gt;$G18),"■","")</f>
        <v/>
      </c>
      <c r="AO18" s="5" t="str">
        <f>IF(AND(AO$8&lt;$H18,AO$8+$G$6&gt;$G18),"■","")</f>
        <v/>
      </c>
      <c r="AP18" s="5" t="str">
        <f>IF(AND(AP$8&lt;$H18,AP$8+$G$6&gt;$G18),"■","")</f>
        <v>■</v>
      </c>
      <c r="AQ18" s="5" t="str">
        <f>IF(AND(AQ$8&lt;$H18,AQ$8+$G$6&gt;$G18),"■","")</f>
        <v/>
      </c>
      <c r="AR18" s="5" t="str">
        <f>IF(AND(AR$8&lt;$H18,AR$8+$G$6&gt;$G18),"■","")</f>
        <v/>
      </c>
      <c r="AS18" s="5" t="str">
        <f>IF(AND(AS$8&lt;$H18,AS$8+$G$6&gt;$G18),"■","")</f>
        <v/>
      </c>
    </row>
    <row r="19" spans="1:45" ht="43" customHeight="1">
      <c r="A19" s="5" t="s">
        <v>189</v>
      </c>
      <c r="B19" s="5" t="s">
        <v>206</v>
      </c>
      <c r="C19" s="13">
        <f>0</f>
        <v>0</v>
      </c>
      <c r="D19" s="13">
        <f>0</f>
        <v>0</v>
      </c>
      <c r="E19" s="13">
        <f>IF('Ввод'!$B$29&gt;0,INDEX('Замеры ЦЕЛЬ'!$S$1:$S$382,7+('Ввод'!$B$29-1)*21+15),"")</f>
        <v>0</v>
      </c>
      <c r="F19" s="13">
        <f>0</f>
        <v>0</v>
      </c>
      <c r="G19" s="13">
        <f>H18</f>
        <v>692.46</v>
      </c>
      <c r="H19" s="13">
        <f>IF(COUNT(C19:G19)=5,G19+C19+F19+MAX(D19,E19),"")</f>
        <v>692.46</v>
      </c>
      <c r="I19" s="5" t="s">
        <v>459</v>
      </c>
      <c r="J19" s="5" t="str">
        <f>IF(AND(J$8&lt;$H19,J$8+$G$6&gt;$G19),"■","")</f>
        <v/>
      </c>
      <c r="K19" s="5" t="str">
        <f>IF(AND(K$8&lt;$H19,K$8+$G$6&gt;$G19),"■","")</f>
        <v/>
      </c>
      <c r="L19" s="5" t="str">
        <f>IF(AND(L$8&lt;$H19,L$8+$G$6&gt;$G19),"■","")</f>
        <v/>
      </c>
      <c r="M19" s="5" t="str">
        <f>IF(AND(M$8&lt;$H19,M$8+$G$6&gt;$G19),"■","")</f>
        <v/>
      </c>
      <c r="N19" s="5" t="str">
        <f>IF(AND(N$8&lt;$H19,N$8+$G$6&gt;$G19),"■","")</f>
        <v/>
      </c>
      <c r="O19" s="5" t="str">
        <f>IF(AND(O$8&lt;$H19,O$8+$G$6&gt;$G19),"■","")</f>
        <v/>
      </c>
      <c r="P19" s="5" t="str">
        <f>IF(AND(P$8&lt;$H19,P$8+$G$6&gt;$G19),"■","")</f>
        <v/>
      </c>
      <c r="Q19" s="5" t="str">
        <f>IF(AND(Q$8&lt;$H19,Q$8+$G$6&gt;$G19),"■","")</f>
        <v/>
      </c>
      <c r="R19" s="5" t="str">
        <f>IF(AND(R$8&lt;$H19,R$8+$G$6&gt;$G19),"■","")</f>
        <v/>
      </c>
      <c r="S19" s="5" t="str">
        <f>IF(AND(S$8&lt;$H19,S$8+$G$6&gt;$G19),"■","")</f>
        <v/>
      </c>
      <c r="T19" s="5" t="str">
        <f>IF(AND(T$8&lt;$H19,T$8+$G$6&gt;$G19),"■","")</f>
        <v/>
      </c>
      <c r="U19" s="5" t="str">
        <f>IF(AND(U$8&lt;$H19,U$8+$G$6&gt;$G19),"■","")</f>
        <v/>
      </c>
      <c r="V19" s="5" t="str">
        <f>IF(AND(V$8&lt;$H19,V$8+$G$6&gt;$G19),"■","")</f>
        <v/>
      </c>
      <c r="W19" s="5" t="str">
        <f>IF(AND(W$8&lt;$H19,W$8+$G$6&gt;$G19),"■","")</f>
        <v/>
      </c>
      <c r="X19" s="5" t="str">
        <f>IF(AND(X$8&lt;$H19,X$8+$G$6&gt;$G19),"■","")</f>
        <v/>
      </c>
      <c r="Y19" s="5" t="str">
        <f>IF(AND(Y$8&lt;$H19,Y$8+$G$6&gt;$G19),"■","")</f>
        <v/>
      </c>
      <c r="Z19" s="5" t="str">
        <f>IF(AND(Z$8&lt;$H19,Z$8+$G$6&gt;$G19),"■","")</f>
        <v/>
      </c>
      <c r="AA19" s="5" t="str">
        <f>IF(AND(AA$8&lt;$H19,AA$8+$G$6&gt;$G19),"■","")</f>
        <v/>
      </c>
      <c r="AB19" s="5" t="str">
        <f>IF(AND(AB$8&lt;$H19,AB$8+$G$6&gt;$G19),"■","")</f>
        <v/>
      </c>
      <c r="AC19" s="5" t="str">
        <f>IF(AND(AC$8&lt;$H19,AC$8+$G$6&gt;$G19),"■","")</f>
        <v/>
      </c>
      <c r="AD19" s="5" t="str">
        <f>IF(AND(AD$8&lt;$H19,AD$8+$G$6&gt;$G19),"■","")</f>
        <v/>
      </c>
      <c r="AE19" s="5" t="str">
        <f>IF(AND(AE$8&lt;$H19,AE$8+$G$6&gt;$G19),"■","")</f>
        <v/>
      </c>
      <c r="AF19" s="5" t="str">
        <f>IF(AND(AF$8&lt;$H19,AF$8+$G$6&gt;$G19),"■","")</f>
        <v/>
      </c>
      <c r="AG19" s="5" t="str">
        <f>IF(AND(AG$8&lt;$H19,AG$8+$G$6&gt;$G19),"■","")</f>
        <v/>
      </c>
      <c r="AH19" s="5" t="str">
        <f>IF(AND(AH$8&lt;$H19,AH$8+$G$6&gt;$G19),"■","")</f>
        <v/>
      </c>
      <c r="AI19" s="5" t="str">
        <f>IF(AND(AI$8&lt;$H19,AI$8+$G$6&gt;$G19),"■","")</f>
        <v/>
      </c>
      <c r="AJ19" s="5" t="str">
        <f>IF(AND(AJ$8&lt;$H19,AJ$8+$G$6&gt;$G19),"■","")</f>
        <v/>
      </c>
      <c r="AK19" s="5" t="str">
        <f>IF(AND(AK$8&lt;$H19,AK$8+$G$6&gt;$G19),"■","")</f>
        <v/>
      </c>
      <c r="AL19" s="5" t="str">
        <f>IF(AND(AL$8&lt;$H19,AL$8+$G$6&gt;$G19),"■","")</f>
        <v/>
      </c>
      <c r="AM19" s="5" t="str">
        <f>IF(AND(AM$8&lt;$H19,AM$8+$G$6&gt;$G19),"■","")</f>
        <v/>
      </c>
      <c r="AN19" s="5" t="str">
        <f>IF(AND(AN$8&lt;$H19,AN$8+$G$6&gt;$G19),"■","")</f>
        <v/>
      </c>
      <c r="AO19" s="5" t="str">
        <f>IF(AND(AO$8&lt;$H19,AO$8+$G$6&gt;$G19),"■","")</f>
        <v/>
      </c>
      <c r="AP19" s="5" t="str">
        <f>IF(AND(AP$8&lt;$H19,AP$8+$G$6&gt;$G19),"■","")</f>
        <v>■</v>
      </c>
      <c r="AQ19" s="5" t="str">
        <f>IF(AND(AQ$8&lt;$H19,AQ$8+$G$6&gt;$G19),"■","")</f>
        <v/>
      </c>
      <c r="AR19" s="5" t="str">
        <f>IF(AND(AR$8&lt;$H19,AR$8+$G$6&gt;$G19),"■","")</f>
        <v/>
      </c>
      <c r="AS19" s="5" t="str">
        <f>IF(AND(AS$8&lt;$H19,AS$8+$G$6&gt;$G19),"■","")</f>
        <v/>
      </c>
    </row>
    <row r="21" spans="1:45" ht="23" customHeight="1">
      <c r="B21" s="4" t="s">
        <v>461</v>
      </c>
      <c r="C21" s="6">
        <f>SUM(C9:C19)</f>
        <v>226.46</v>
      </c>
      <c r="D21" s="6">
        <f>SUM(D9:D19)</f>
        <v>450</v>
      </c>
      <c r="E21" s="6">
        <f>SUM(E9:E19)</f>
        <v>450</v>
      </c>
      <c r="F21" s="6">
        <f>SUM(F9:F19)</f>
        <v>16</v>
      </c>
      <c r="H21" s="6">
        <f>H19</f>
        <v>692.46</v>
      </c>
    </row>
    <row r="23" spans="1:45" ht="23" customHeight="1">
      <c r="B23" s="5" t="s">
        <v>373</v>
      </c>
      <c r="C23" s="6">
        <f>'Ввод'!B30</f>
        <v>768.75</v>
      </c>
    </row>
    <row r="24" spans="1:45" ht="23" customHeight="1">
      <c r="B24" s="5" t="s">
        <v>462</v>
      </c>
      <c r="C24" s="6">
        <f>IF(COUNT(C23,H21)=2,C23-H21,"")</f>
        <v>76.2900000000001</v>
      </c>
    </row>
    <row r="25" spans="1:45" ht="23" customHeight="1">
      <c r="B25" s="5" t="s">
        <v>463</v>
      </c>
      <c r="C25" s="13">
        <f>'Периодическая работа'!N15</f>
        <v>234.375</v>
      </c>
    </row>
    <row r="26" spans="1:45" ht="23" customHeight="1">
      <c r="B26" s="5" t="s">
        <v>464</v>
      </c>
      <c r="C26" s="6">
        <f>IF(COUNT(H21,C25)=2,H21+C25,"")</f>
        <v>926.835</v>
      </c>
    </row>
    <row r="27" spans="1:45" ht="23" customHeight="1">
      <c r="B27" s="5" t="s">
        <v>465</v>
      </c>
      <c r="C27" s="6">
        <f>IF(ISNUMBER(H21),H21-(IF('Ввод'!$B$29&gt;0,INDEX('Замеры ЦЕЛЬ'!$O$1:$O$382,7+('Ввод'!$B$29-1)*21+17),"")),"")</f>
        <v>0</v>
      </c>
    </row>
    <row r="29" spans="1:45" ht="23" customHeight="1">
      <c r="A29" s="2" t="s">
        <v>466</v>
      </c>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spans="1:45" ht="23" customHeight="1">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spans="1:45" ht="23" customHeight="1">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3" spans="1:45" ht="23" customHeight="1">
      <c r="A33" s="7" t="s">
        <v>467</v>
      </c>
      <c r="B33" s="7"/>
      <c r="C33" s="7"/>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row>
    <row r="34" spans="1:45" ht="23" customHeight="1">
      <c r="A34" s="7"/>
      <c r="B34" s="7"/>
      <c r="C34" s="7"/>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row>
    <row r="35" spans="1:45" ht="23" customHeight="1">
      <c r="A35" s="7"/>
      <c r="B35" s="7"/>
      <c r="C35" s="7"/>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row>
  </sheetData>
  <sheetProtection sheet="1" objects="1" scenarios="1" sort="0" autoFilter="0"/>
  <mergeCells count="8">
    <mergeCell ref="A1:AS1"/>
    <mergeCell ref="A2:AS2"/>
    <mergeCell ref="B3:AS3"/>
    <mergeCell ref="A4:AS4"/>
    <mergeCell ref="A5:AS5"/>
    <mergeCell ref="A6:F6"/>
    <mergeCell ref="A29:AS31"/>
    <mergeCell ref="A33:AS35"/>
  </mergeCells>
  <conditionalFormatting sqref="AA10">
    <cfRule type="containsText" dxfId="4" priority="54" operator="containsText" text="■">
      <formula>NOT(ISERROR(SEARCH("■",AA10)))</formula>
    </cfRule>
  </conditionalFormatting>
  <conditionalFormatting sqref="AA11">
    <cfRule type="containsText" dxfId="4" priority="90" operator="containsText" text="■">
      <formula>NOT(ISERROR(SEARCH("■",AA11)))</formula>
    </cfRule>
  </conditionalFormatting>
  <conditionalFormatting sqref="AA12">
    <cfRule type="containsText" dxfId="5" priority="126" operator="containsText" text="■">
      <formula>NOT(ISERROR(SEARCH("■",AA12)))</formula>
    </cfRule>
  </conditionalFormatting>
  <conditionalFormatting sqref="AA13">
    <cfRule type="containsText" dxfId="4" priority="162" operator="containsText" text="■">
      <formula>NOT(ISERROR(SEARCH("■",AA13)))</formula>
    </cfRule>
  </conditionalFormatting>
  <conditionalFormatting sqref="AA14">
    <cfRule type="containsText" dxfId="6" priority="198" operator="containsText" text="■">
      <formula>NOT(ISERROR(SEARCH("■",AA14)))</formula>
    </cfRule>
  </conditionalFormatting>
  <conditionalFormatting sqref="AA15">
    <cfRule type="containsText" dxfId="4" priority="234" operator="containsText" text="■">
      <formula>NOT(ISERROR(SEARCH("■",AA15)))</formula>
    </cfRule>
  </conditionalFormatting>
  <conditionalFormatting sqref="AA16">
    <cfRule type="containsText" dxfId="4" priority="270" operator="containsText" text="■">
      <formula>NOT(ISERROR(SEARCH("■",AA16)))</formula>
    </cfRule>
  </conditionalFormatting>
  <conditionalFormatting sqref="AA17">
    <cfRule type="containsText" dxfId="5" priority="306" operator="containsText" text="■">
      <formula>NOT(ISERROR(SEARCH("■",AA17)))</formula>
    </cfRule>
  </conditionalFormatting>
  <conditionalFormatting sqref="AA18">
    <cfRule type="containsText" dxfId="5" priority="342" operator="containsText" text="■">
      <formula>NOT(ISERROR(SEARCH("■",AA18)))</formula>
    </cfRule>
  </conditionalFormatting>
  <conditionalFormatting sqref="AA19">
    <cfRule type="containsText" dxfId="7" priority="378" operator="containsText" text="■">
      <formula>NOT(ISERROR(SEARCH("■",AA19)))</formula>
    </cfRule>
  </conditionalFormatting>
  <conditionalFormatting sqref="AA9">
    <cfRule type="containsText" dxfId="4" priority="18" operator="containsText" text="■">
      <formula>NOT(ISERROR(SEARCH("■",AA9)))</formula>
    </cfRule>
  </conditionalFormatting>
  <conditionalFormatting sqref="AB10">
    <cfRule type="containsText" dxfId="4" priority="55" operator="containsText" text="■">
      <formula>NOT(ISERROR(SEARCH("■",AB10)))</formula>
    </cfRule>
  </conditionalFormatting>
  <conditionalFormatting sqref="AB11">
    <cfRule type="containsText" dxfId="4" priority="91" operator="containsText" text="■">
      <formula>NOT(ISERROR(SEARCH("■",AB11)))</formula>
    </cfRule>
  </conditionalFormatting>
  <conditionalFormatting sqref="AB12">
    <cfRule type="containsText" dxfId="5" priority="127" operator="containsText" text="■">
      <formula>NOT(ISERROR(SEARCH("■",AB12)))</formula>
    </cfRule>
  </conditionalFormatting>
  <conditionalFormatting sqref="AB13">
    <cfRule type="containsText" dxfId="4" priority="163" operator="containsText" text="■">
      <formula>NOT(ISERROR(SEARCH("■",AB13)))</formula>
    </cfRule>
  </conditionalFormatting>
  <conditionalFormatting sqref="AB14">
    <cfRule type="containsText" dxfId="6" priority="199" operator="containsText" text="■">
      <formula>NOT(ISERROR(SEARCH("■",AB14)))</formula>
    </cfRule>
  </conditionalFormatting>
  <conditionalFormatting sqref="AB15">
    <cfRule type="containsText" dxfId="4" priority="235" operator="containsText" text="■">
      <formula>NOT(ISERROR(SEARCH("■",AB15)))</formula>
    </cfRule>
  </conditionalFormatting>
  <conditionalFormatting sqref="AB16">
    <cfRule type="containsText" dxfId="4" priority="271" operator="containsText" text="■">
      <formula>NOT(ISERROR(SEARCH("■",AB16)))</formula>
    </cfRule>
  </conditionalFormatting>
  <conditionalFormatting sqref="AB17">
    <cfRule type="containsText" dxfId="5" priority="307" operator="containsText" text="■">
      <formula>NOT(ISERROR(SEARCH("■",AB17)))</formula>
    </cfRule>
  </conditionalFormatting>
  <conditionalFormatting sqref="AB18">
    <cfRule type="containsText" dxfId="5" priority="343" operator="containsText" text="■">
      <formula>NOT(ISERROR(SEARCH("■",AB18)))</formula>
    </cfRule>
  </conditionalFormatting>
  <conditionalFormatting sqref="AB19">
    <cfRule type="containsText" dxfId="7" priority="379" operator="containsText" text="■">
      <formula>NOT(ISERROR(SEARCH("■",AB19)))</formula>
    </cfRule>
  </conditionalFormatting>
  <conditionalFormatting sqref="AB9">
    <cfRule type="containsText" dxfId="4" priority="19" operator="containsText" text="■">
      <formula>NOT(ISERROR(SEARCH("■",AB9)))</formula>
    </cfRule>
  </conditionalFormatting>
  <conditionalFormatting sqref="AC10">
    <cfRule type="containsText" dxfId="4" priority="56" operator="containsText" text="■">
      <formula>NOT(ISERROR(SEARCH("■",AC10)))</formula>
    </cfRule>
  </conditionalFormatting>
  <conditionalFormatting sqref="AC11">
    <cfRule type="containsText" dxfId="4" priority="92" operator="containsText" text="■">
      <formula>NOT(ISERROR(SEARCH("■",AC11)))</formula>
    </cfRule>
  </conditionalFormatting>
  <conditionalFormatting sqref="AC12">
    <cfRule type="containsText" dxfId="5" priority="128" operator="containsText" text="■">
      <formula>NOT(ISERROR(SEARCH("■",AC12)))</formula>
    </cfRule>
  </conditionalFormatting>
  <conditionalFormatting sqref="AC13">
    <cfRule type="containsText" dxfId="4" priority="164" operator="containsText" text="■">
      <formula>NOT(ISERROR(SEARCH("■",AC13)))</formula>
    </cfRule>
  </conditionalFormatting>
  <conditionalFormatting sqref="AC14">
    <cfRule type="containsText" dxfId="6" priority="200" operator="containsText" text="■">
      <formula>NOT(ISERROR(SEARCH("■",AC14)))</formula>
    </cfRule>
  </conditionalFormatting>
  <conditionalFormatting sqref="AC15">
    <cfRule type="containsText" dxfId="4" priority="236" operator="containsText" text="■">
      <formula>NOT(ISERROR(SEARCH("■",AC15)))</formula>
    </cfRule>
  </conditionalFormatting>
  <conditionalFormatting sqref="AC16">
    <cfRule type="containsText" dxfId="4" priority="272" operator="containsText" text="■">
      <formula>NOT(ISERROR(SEARCH("■",AC16)))</formula>
    </cfRule>
  </conditionalFormatting>
  <conditionalFormatting sqref="AC17">
    <cfRule type="containsText" dxfId="5" priority="308" operator="containsText" text="■">
      <formula>NOT(ISERROR(SEARCH("■",AC17)))</formula>
    </cfRule>
  </conditionalFormatting>
  <conditionalFormatting sqref="AC18">
    <cfRule type="containsText" dxfId="5" priority="344" operator="containsText" text="■">
      <formula>NOT(ISERROR(SEARCH("■",AC18)))</formula>
    </cfRule>
  </conditionalFormatting>
  <conditionalFormatting sqref="AC19">
    <cfRule type="containsText" dxfId="7" priority="380" operator="containsText" text="■">
      <formula>NOT(ISERROR(SEARCH("■",AC19)))</formula>
    </cfRule>
  </conditionalFormatting>
  <conditionalFormatting sqref="AC9">
    <cfRule type="containsText" dxfId="4" priority="20" operator="containsText" text="■">
      <formula>NOT(ISERROR(SEARCH("■",AC9)))</formula>
    </cfRule>
  </conditionalFormatting>
  <conditionalFormatting sqref="AD10">
    <cfRule type="containsText" dxfId="4" priority="57" operator="containsText" text="■">
      <formula>NOT(ISERROR(SEARCH("■",AD10)))</formula>
    </cfRule>
  </conditionalFormatting>
  <conditionalFormatting sqref="AD11">
    <cfRule type="containsText" dxfId="4" priority="93" operator="containsText" text="■">
      <formula>NOT(ISERROR(SEARCH("■",AD11)))</formula>
    </cfRule>
  </conditionalFormatting>
  <conditionalFormatting sqref="AD12">
    <cfRule type="containsText" dxfId="5" priority="129" operator="containsText" text="■">
      <formula>NOT(ISERROR(SEARCH("■",AD12)))</formula>
    </cfRule>
  </conditionalFormatting>
  <conditionalFormatting sqref="AD13">
    <cfRule type="containsText" dxfId="4" priority="165" operator="containsText" text="■">
      <formula>NOT(ISERROR(SEARCH("■",AD13)))</formula>
    </cfRule>
  </conditionalFormatting>
  <conditionalFormatting sqref="AD14">
    <cfRule type="containsText" dxfId="6" priority="201" operator="containsText" text="■">
      <formula>NOT(ISERROR(SEARCH("■",AD14)))</formula>
    </cfRule>
  </conditionalFormatting>
  <conditionalFormatting sqref="AD15">
    <cfRule type="containsText" dxfId="4" priority="237" operator="containsText" text="■">
      <formula>NOT(ISERROR(SEARCH("■",AD15)))</formula>
    </cfRule>
  </conditionalFormatting>
  <conditionalFormatting sqref="AD16">
    <cfRule type="containsText" dxfId="4" priority="273" operator="containsText" text="■">
      <formula>NOT(ISERROR(SEARCH("■",AD16)))</formula>
    </cfRule>
  </conditionalFormatting>
  <conditionalFormatting sqref="AD17">
    <cfRule type="containsText" dxfId="5" priority="309" operator="containsText" text="■">
      <formula>NOT(ISERROR(SEARCH("■",AD17)))</formula>
    </cfRule>
  </conditionalFormatting>
  <conditionalFormatting sqref="AD18">
    <cfRule type="containsText" dxfId="5" priority="345" operator="containsText" text="■">
      <formula>NOT(ISERROR(SEARCH("■",AD18)))</formula>
    </cfRule>
  </conditionalFormatting>
  <conditionalFormatting sqref="AD19">
    <cfRule type="containsText" dxfId="7" priority="381" operator="containsText" text="■">
      <formula>NOT(ISERROR(SEARCH("■",AD19)))</formula>
    </cfRule>
  </conditionalFormatting>
  <conditionalFormatting sqref="AD9">
    <cfRule type="containsText" dxfId="4" priority="21" operator="containsText" text="■">
      <formula>NOT(ISERROR(SEARCH("■",AD9)))</formula>
    </cfRule>
  </conditionalFormatting>
  <conditionalFormatting sqref="AE10">
    <cfRule type="containsText" dxfId="4" priority="58" operator="containsText" text="■">
      <formula>NOT(ISERROR(SEARCH("■",AE10)))</formula>
    </cfRule>
  </conditionalFormatting>
  <conditionalFormatting sqref="AE11">
    <cfRule type="containsText" dxfId="4" priority="94" operator="containsText" text="■">
      <formula>NOT(ISERROR(SEARCH("■",AE11)))</formula>
    </cfRule>
  </conditionalFormatting>
  <conditionalFormatting sqref="AE12">
    <cfRule type="containsText" dxfId="5" priority="130" operator="containsText" text="■">
      <formula>NOT(ISERROR(SEARCH("■",AE12)))</formula>
    </cfRule>
  </conditionalFormatting>
  <conditionalFormatting sqref="AE13">
    <cfRule type="containsText" dxfId="4" priority="166" operator="containsText" text="■">
      <formula>NOT(ISERROR(SEARCH("■",AE13)))</formula>
    </cfRule>
  </conditionalFormatting>
  <conditionalFormatting sqref="AE14">
    <cfRule type="containsText" dxfId="6" priority="202" operator="containsText" text="■">
      <formula>NOT(ISERROR(SEARCH("■",AE14)))</formula>
    </cfRule>
  </conditionalFormatting>
  <conditionalFormatting sqref="AE15">
    <cfRule type="containsText" dxfId="4" priority="238" operator="containsText" text="■">
      <formula>NOT(ISERROR(SEARCH("■",AE15)))</formula>
    </cfRule>
  </conditionalFormatting>
  <conditionalFormatting sqref="AE16">
    <cfRule type="containsText" dxfId="4" priority="274" operator="containsText" text="■">
      <formula>NOT(ISERROR(SEARCH("■",AE16)))</formula>
    </cfRule>
  </conditionalFormatting>
  <conditionalFormatting sqref="AE17">
    <cfRule type="containsText" dxfId="5" priority="310" operator="containsText" text="■">
      <formula>NOT(ISERROR(SEARCH("■",AE17)))</formula>
    </cfRule>
  </conditionalFormatting>
  <conditionalFormatting sqref="AE18">
    <cfRule type="containsText" dxfId="5" priority="346" operator="containsText" text="■">
      <formula>NOT(ISERROR(SEARCH("■",AE18)))</formula>
    </cfRule>
  </conditionalFormatting>
  <conditionalFormatting sqref="AE19">
    <cfRule type="containsText" dxfId="7" priority="382" operator="containsText" text="■">
      <formula>NOT(ISERROR(SEARCH("■",AE19)))</formula>
    </cfRule>
  </conditionalFormatting>
  <conditionalFormatting sqref="AE9">
    <cfRule type="containsText" dxfId="4" priority="22" operator="containsText" text="■">
      <formula>NOT(ISERROR(SEARCH("■",AE9)))</formula>
    </cfRule>
  </conditionalFormatting>
  <conditionalFormatting sqref="AF10">
    <cfRule type="containsText" dxfId="4" priority="59" operator="containsText" text="■">
      <formula>NOT(ISERROR(SEARCH("■",AF10)))</formula>
    </cfRule>
  </conditionalFormatting>
  <conditionalFormatting sqref="AF11">
    <cfRule type="containsText" dxfId="4" priority="95" operator="containsText" text="■">
      <formula>NOT(ISERROR(SEARCH("■",AF11)))</formula>
    </cfRule>
  </conditionalFormatting>
  <conditionalFormatting sqref="AF12">
    <cfRule type="containsText" dxfId="5" priority="131" operator="containsText" text="■">
      <formula>NOT(ISERROR(SEARCH("■",AF12)))</formula>
    </cfRule>
  </conditionalFormatting>
  <conditionalFormatting sqref="AF13">
    <cfRule type="containsText" dxfId="4" priority="167" operator="containsText" text="■">
      <formula>NOT(ISERROR(SEARCH("■",AF13)))</formula>
    </cfRule>
  </conditionalFormatting>
  <conditionalFormatting sqref="AF14">
    <cfRule type="containsText" dxfId="6" priority="203" operator="containsText" text="■">
      <formula>NOT(ISERROR(SEARCH("■",AF14)))</formula>
    </cfRule>
  </conditionalFormatting>
  <conditionalFormatting sqref="AF15">
    <cfRule type="containsText" dxfId="4" priority="239" operator="containsText" text="■">
      <formula>NOT(ISERROR(SEARCH("■",AF15)))</formula>
    </cfRule>
  </conditionalFormatting>
  <conditionalFormatting sqref="AF16">
    <cfRule type="containsText" dxfId="4" priority="275" operator="containsText" text="■">
      <formula>NOT(ISERROR(SEARCH("■",AF16)))</formula>
    </cfRule>
  </conditionalFormatting>
  <conditionalFormatting sqref="AF17">
    <cfRule type="containsText" dxfId="5" priority="311" operator="containsText" text="■">
      <formula>NOT(ISERROR(SEARCH("■",AF17)))</formula>
    </cfRule>
  </conditionalFormatting>
  <conditionalFormatting sqref="AF18">
    <cfRule type="containsText" dxfId="5" priority="347" operator="containsText" text="■">
      <formula>NOT(ISERROR(SEARCH("■",AF18)))</formula>
    </cfRule>
  </conditionalFormatting>
  <conditionalFormatting sqref="AF19">
    <cfRule type="containsText" dxfId="7" priority="383" operator="containsText" text="■">
      <formula>NOT(ISERROR(SEARCH("■",AF19)))</formula>
    </cfRule>
  </conditionalFormatting>
  <conditionalFormatting sqref="AF9">
    <cfRule type="containsText" dxfId="4" priority="23" operator="containsText" text="■">
      <formula>NOT(ISERROR(SEARCH("■",AF9)))</formula>
    </cfRule>
  </conditionalFormatting>
  <conditionalFormatting sqref="AG10">
    <cfRule type="containsText" dxfId="4" priority="60" operator="containsText" text="■">
      <formula>NOT(ISERROR(SEARCH("■",AG10)))</formula>
    </cfRule>
  </conditionalFormatting>
  <conditionalFormatting sqref="AG11">
    <cfRule type="containsText" dxfId="4" priority="96" operator="containsText" text="■">
      <formula>NOT(ISERROR(SEARCH("■",AG11)))</formula>
    </cfRule>
  </conditionalFormatting>
  <conditionalFormatting sqref="AG12">
    <cfRule type="containsText" dxfId="5" priority="132" operator="containsText" text="■">
      <formula>NOT(ISERROR(SEARCH("■",AG12)))</formula>
    </cfRule>
  </conditionalFormatting>
  <conditionalFormatting sqref="AG13">
    <cfRule type="containsText" dxfId="4" priority="168" operator="containsText" text="■">
      <formula>NOT(ISERROR(SEARCH("■",AG13)))</formula>
    </cfRule>
  </conditionalFormatting>
  <conditionalFormatting sqref="AG14">
    <cfRule type="containsText" dxfId="6" priority="204" operator="containsText" text="■">
      <formula>NOT(ISERROR(SEARCH("■",AG14)))</formula>
    </cfRule>
  </conditionalFormatting>
  <conditionalFormatting sqref="AG15">
    <cfRule type="containsText" dxfId="4" priority="240" operator="containsText" text="■">
      <formula>NOT(ISERROR(SEARCH("■",AG15)))</formula>
    </cfRule>
  </conditionalFormatting>
  <conditionalFormatting sqref="AG16">
    <cfRule type="containsText" dxfId="4" priority="276" operator="containsText" text="■">
      <formula>NOT(ISERROR(SEARCH("■",AG16)))</formula>
    </cfRule>
  </conditionalFormatting>
  <conditionalFormatting sqref="AG17">
    <cfRule type="containsText" dxfId="5" priority="312" operator="containsText" text="■">
      <formula>NOT(ISERROR(SEARCH("■",AG17)))</formula>
    </cfRule>
  </conditionalFormatting>
  <conditionalFormatting sqref="AG18">
    <cfRule type="containsText" dxfId="5" priority="348" operator="containsText" text="■">
      <formula>NOT(ISERROR(SEARCH("■",AG18)))</formula>
    </cfRule>
  </conditionalFormatting>
  <conditionalFormatting sqref="AG19">
    <cfRule type="containsText" dxfId="7" priority="384" operator="containsText" text="■">
      <formula>NOT(ISERROR(SEARCH("■",AG19)))</formula>
    </cfRule>
  </conditionalFormatting>
  <conditionalFormatting sqref="AG9">
    <cfRule type="containsText" dxfId="4" priority="24" operator="containsText" text="■">
      <formula>NOT(ISERROR(SEARCH("■",AG9)))</formula>
    </cfRule>
  </conditionalFormatting>
  <conditionalFormatting sqref="AH10">
    <cfRule type="containsText" dxfId="4" priority="61" operator="containsText" text="■">
      <formula>NOT(ISERROR(SEARCH("■",AH10)))</formula>
    </cfRule>
  </conditionalFormatting>
  <conditionalFormatting sqref="AH11">
    <cfRule type="containsText" dxfId="4" priority="97" operator="containsText" text="■">
      <formula>NOT(ISERROR(SEARCH("■",AH11)))</formula>
    </cfRule>
  </conditionalFormatting>
  <conditionalFormatting sqref="AH12">
    <cfRule type="containsText" dxfId="5" priority="133" operator="containsText" text="■">
      <formula>NOT(ISERROR(SEARCH("■",AH12)))</formula>
    </cfRule>
  </conditionalFormatting>
  <conditionalFormatting sqref="AH13">
    <cfRule type="containsText" dxfId="4" priority="169" operator="containsText" text="■">
      <formula>NOT(ISERROR(SEARCH("■",AH13)))</formula>
    </cfRule>
  </conditionalFormatting>
  <conditionalFormatting sqref="AH14">
    <cfRule type="containsText" dxfId="6" priority="205" operator="containsText" text="■">
      <formula>NOT(ISERROR(SEARCH("■",AH14)))</formula>
    </cfRule>
  </conditionalFormatting>
  <conditionalFormatting sqref="AH15">
    <cfRule type="containsText" dxfId="4" priority="241" operator="containsText" text="■">
      <formula>NOT(ISERROR(SEARCH("■",AH15)))</formula>
    </cfRule>
  </conditionalFormatting>
  <conditionalFormatting sqref="AH16">
    <cfRule type="containsText" dxfId="4" priority="277" operator="containsText" text="■">
      <formula>NOT(ISERROR(SEARCH("■",AH16)))</formula>
    </cfRule>
  </conditionalFormatting>
  <conditionalFormatting sqref="AH17">
    <cfRule type="containsText" dxfId="5" priority="313" operator="containsText" text="■">
      <formula>NOT(ISERROR(SEARCH("■",AH17)))</formula>
    </cfRule>
  </conditionalFormatting>
  <conditionalFormatting sqref="AH18">
    <cfRule type="containsText" dxfId="5" priority="349" operator="containsText" text="■">
      <formula>NOT(ISERROR(SEARCH("■",AH18)))</formula>
    </cfRule>
  </conditionalFormatting>
  <conditionalFormatting sqref="AH19">
    <cfRule type="containsText" dxfId="7" priority="385" operator="containsText" text="■">
      <formula>NOT(ISERROR(SEARCH("■",AH19)))</formula>
    </cfRule>
  </conditionalFormatting>
  <conditionalFormatting sqref="AH9">
    <cfRule type="containsText" dxfId="4" priority="25" operator="containsText" text="■">
      <formula>NOT(ISERROR(SEARCH("■",AH9)))</formula>
    </cfRule>
  </conditionalFormatting>
  <conditionalFormatting sqref="AI10">
    <cfRule type="containsText" dxfId="4" priority="62" operator="containsText" text="■">
      <formula>NOT(ISERROR(SEARCH("■",AI10)))</formula>
    </cfRule>
  </conditionalFormatting>
  <conditionalFormatting sqref="AI11">
    <cfRule type="containsText" dxfId="4" priority="98" operator="containsText" text="■">
      <formula>NOT(ISERROR(SEARCH("■",AI11)))</formula>
    </cfRule>
  </conditionalFormatting>
  <conditionalFormatting sqref="AI12">
    <cfRule type="containsText" dxfId="5" priority="134" operator="containsText" text="■">
      <formula>NOT(ISERROR(SEARCH("■",AI12)))</formula>
    </cfRule>
  </conditionalFormatting>
  <conditionalFormatting sqref="AI13">
    <cfRule type="containsText" dxfId="4" priority="170" operator="containsText" text="■">
      <formula>NOT(ISERROR(SEARCH("■",AI13)))</formula>
    </cfRule>
  </conditionalFormatting>
  <conditionalFormatting sqref="AI14">
    <cfRule type="containsText" dxfId="6" priority="206" operator="containsText" text="■">
      <formula>NOT(ISERROR(SEARCH("■",AI14)))</formula>
    </cfRule>
  </conditionalFormatting>
  <conditionalFormatting sqref="AI15">
    <cfRule type="containsText" dxfId="4" priority="242" operator="containsText" text="■">
      <formula>NOT(ISERROR(SEARCH("■",AI15)))</formula>
    </cfRule>
  </conditionalFormatting>
  <conditionalFormatting sqref="AI16">
    <cfRule type="containsText" dxfId="4" priority="278" operator="containsText" text="■">
      <formula>NOT(ISERROR(SEARCH("■",AI16)))</formula>
    </cfRule>
  </conditionalFormatting>
  <conditionalFormatting sqref="AI17">
    <cfRule type="containsText" dxfId="5" priority="314" operator="containsText" text="■">
      <formula>NOT(ISERROR(SEARCH("■",AI17)))</formula>
    </cfRule>
  </conditionalFormatting>
  <conditionalFormatting sqref="AI18">
    <cfRule type="containsText" dxfId="5" priority="350" operator="containsText" text="■">
      <formula>NOT(ISERROR(SEARCH("■",AI18)))</formula>
    </cfRule>
  </conditionalFormatting>
  <conditionalFormatting sqref="AI19">
    <cfRule type="containsText" dxfId="7" priority="386" operator="containsText" text="■">
      <formula>NOT(ISERROR(SEARCH("■",AI19)))</formula>
    </cfRule>
  </conditionalFormatting>
  <conditionalFormatting sqref="AI9">
    <cfRule type="containsText" dxfId="4" priority="26" operator="containsText" text="■">
      <formula>NOT(ISERROR(SEARCH("■",AI9)))</formula>
    </cfRule>
  </conditionalFormatting>
  <conditionalFormatting sqref="AJ10">
    <cfRule type="containsText" dxfId="4" priority="63" operator="containsText" text="■">
      <formula>NOT(ISERROR(SEARCH("■",AJ10)))</formula>
    </cfRule>
  </conditionalFormatting>
  <conditionalFormatting sqref="AJ11">
    <cfRule type="containsText" dxfId="4" priority="99" operator="containsText" text="■">
      <formula>NOT(ISERROR(SEARCH("■",AJ11)))</formula>
    </cfRule>
  </conditionalFormatting>
  <conditionalFormatting sqref="AJ12">
    <cfRule type="containsText" dxfId="5" priority="135" operator="containsText" text="■">
      <formula>NOT(ISERROR(SEARCH("■",AJ12)))</formula>
    </cfRule>
  </conditionalFormatting>
  <conditionalFormatting sqref="AJ13">
    <cfRule type="containsText" dxfId="4" priority="171" operator="containsText" text="■">
      <formula>NOT(ISERROR(SEARCH("■",AJ13)))</formula>
    </cfRule>
  </conditionalFormatting>
  <conditionalFormatting sqref="AJ14">
    <cfRule type="containsText" dxfId="6" priority="207" operator="containsText" text="■">
      <formula>NOT(ISERROR(SEARCH("■",AJ14)))</formula>
    </cfRule>
  </conditionalFormatting>
  <conditionalFormatting sqref="AJ15">
    <cfRule type="containsText" dxfId="4" priority="243" operator="containsText" text="■">
      <formula>NOT(ISERROR(SEARCH("■",AJ15)))</formula>
    </cfRule>
  </conditionalFormatting>
  <conditionalFormatting sqref="AJ16">
    <cfRule type="containsText" dxfId="4" priority="279" operator="containsText" text="■">
      <formula>NOT(ISERROR(SEARCH("■",AJ16)))</formula>
    </cfRule>
  </conditionalFormatting>
  <conditionalFormatting sqref="AJ17">
    <cfRule type="containsText" dxfId="5" priority="315" operator="containsText" text="■">
      <formula>NOT(ISERROR(SEARCH("■",AJ17)))</formula>
    </cfRule>
  </conditionalFormatting>
  <conditionalFormatting sqref="AJ18">
    <cfRule type="containsText" dxfId="5" priority="351" operator="containsText" text="■">
      <formula>NOT(ISERROR(SEARCH("■",AJ18)))</formula>
    </cfRule>
  </conditionalFormatting>
  <conditionalFormatting sqref="AJ19">
    <cfRule type="containsText" dxfId="7" priority="387" operator="containsText" text="■">
      <formula>NOT(ISERROR(SEARCH("■",AJ19)))</formula>
    </cfRule>
  </conditionalFormatting>
  <conditionalFormatting sqref="AJ9">
    <cfRule type="containsText" dxfId="4" priority="27" operator="containsText" text="■">
      <formula>NOT(ISERROR(SEARCH("■",AJ9)))</formula>
    </cfRule>
  </conditionalFormatting>
  <conditionalFormatting sqref="AK10">
    <cfRule type="containsText" dxfId="4" priority="64" operator="containsText" text="■">
      <formula>NOT(ISERROR(SEARCH("■",AK10)))</formula>
    </cfRule>
  </conditionalFormatting>
  <conditionalFormatting sqref="AK11">
    <cfRule type="containsText" dxfId="4" priority="100" operator="containsText" text="■">
      <formula>NOT(ISERROR(SEARCH("■",AK11)))</formula>
    </cfRule>
  </conditionalFormatting>
  <conditionalFormatting sqref="AK12">
    <cfRule type="containsText" dxfId="5" priority="136" operator="containsText" text="■">
      <formula>NOT(ISERROR(SEARCH("■",AK12)))</formula>
    </cfRule>
  </conditionalFormatting>
  <conditionalFormatting sqref="AK13">
    <cfRule type="containsText" dxfId="4" priority="172" operator="containsText" text="■">
      <formula>NOT(ISERROR(SEARCH("■",AK13)))</formula>
    </cfRule>
  </conditionalFormatting>
  <conditionalFormatting sqref="AK14">
    <cfRule type="containsText" dxfId="6" priority="208" operator="containsText" text="■">
      <formula>NOT(ISERROR(SEARCH("■",AK14)))</formula>
    </cfRule>
  </conditionalFormatting>
  <conditionalFormatting sqref="AK15">
    <cfRule type="containsText" dxfId="4" priority="244" operator="containsText" text="■">
      <formula>NOT(ISERROR(SEARCH("■",AK15)))</formula>
    </cfRule>
  </conditionalFormatting>
  <conditionalFormatting sqref="AK16">
    <cfRule type="containsText" dxfId="4" priority="280" operator="containsText" text="■">
      <formula>NOT(ISERROR(SEARCH("■",AK16)))</formula>
    </cfRule>
  </conditionalFormatting>
  <conditionalFormatting sqref="AK17">
    <cfRule type="containsText" dxfId="5" priority="316" operator="containsText" text="■">
      <formula>NOT(ISERROR(SEARCH("■",AK17)))</formula>
    </cfRule>
  </conditionalFormatting>
  <conditionalFormatting sqref="AK18">
    <cfRule type="containsText" dxfId="5" priority="352" operator="containsText" text="■">
      <formula>NOT(ISERROR(SEARCH("■",AK18)))</formula>
    </cfRule>
  </conditionalFormatting>
  <conditionalFormatting sqref="AK19">
    <cfRule type="containsText" dxfId="7" priority="388" operator="containsText" text="■">
      <formula>NOT(ISERROR(SEARCH("■",AK19)))</formula>
    </cfRule>
  </conditionalFormatting>
  <conditionalFormatting sqref="AK9">
    <cfRule type="containsText" dxfId="4" priority="28" operator="containsText" text="■">
      <formula>NOT(ISERROR(SEARCH("■",AK9)))</formula>
    </cfRule>
  </conditionalFormatting>
  <conditionalFormatting sqref="AL10">
    <cfRule type="containsText" dxfId="4" priority="65" operator="containsText" text="■">
      <formula>NOT(ISERROR(SEARCH("■",AL10)))</formula>
    </cfRule>
  </conditionalFormatting>
  <conditionalFormatting sqref="AL11">
    <cfRule type="containsText" dxfId="4" priority="101" operator="containsText" text="■">
      <formula>NOT(ISERROR(SEARCH("■",AL11)))</formula>
    </cfRule>
  </conditionalFormatting>
  <conditionalFormatting sqref="AL12">
    <cfRule type="containsText" dxfId="5" priority="137" operator="containsText" text="■">
      <formula>NOT(ISERROR(SEARCH("■",AL12)))</formula>
    </cfRule>
  </conditionalFormatting>
  <conditionalFormatting sqref="AL13">
    <cfRule type="containsText" dxfId="4" priority="173" operator="containsText" text="■">
      <formula>NOT(ISERROR(SEARCH("■",AL13)))</formula>
    </cfRule>
  </conditionalFormatting>
  <conditionalFormatting sqref="AL14">
    <cfRule type="containsText" dxfId="6" priority="209" operator="containsText" text="■">
      <formula>NOT(ISERROR(SEARCH("■",AL14)))</formula>
    </cfRule>
  </conditionalFormatting>
  <conditionalFormatting sqref="AL15">
    <cfRule type="containsText" dxfId="4" priority="245" operator="containsText" text="■">
      <formula>NOT(ISERROR(SEARCH("■",AL15)))</formula>
    </cfRule>
  </conditionalFormatting>
  <conditionalFormatting sqref="AL16">
    <cfRule type="containsText" dxfId="4" priority="281" operator="containsText" text="■">
      <formula>NOT(ISERROR(SEARCH("■",AL16)))</formula>
    </cfRule>
  </conditionalFormatting>
  <conditionalFormatting sqref="AL17">
    <cfRule type="containsText" dxfId="5" priority="317" operator="containsText" text="■">
      <formula>NOT(ISERROR(SEARCH("■",AL17)))</formula>
    </cfRule>
  </conditionalFormatting>
  <conditionalFormatting sqref="AL18">
    <cfRule type="containsText" dxfId="5" priority="353" operator="containsText" text="■">
      <formula>NOT(ISERROR(SEARCH("■",AL18)))</formula>
    </cfRule>
  </conditionalFormatting>
  <conditionalFormatting sqref="AL19">
    <cfRule type="containsText" dxfId="7" priority="389" operator="containsText" text="■">
      <formula>NOT(ISERROR(SEARCH("■",AL19)))</formula>
    </cfRule>
  </conditionalFormatting>
  <conditionalFormatting sqref="AL9">
    <cfRule type="containsText" dxfId="4" priority="29" operator="containsText" text="■">
      <formula>NOT(ISERROR(SEARCH("■",AL9)))</formula>
    </cfRule>
  </conditionalFormatting>
  <conditionalFormatting sqref="AM10">
    <cfRule type="containsText" dxfId="4" priority="66" operator="containsText" text="■">
      <formula>NOT(ISERROR(SEARCH("■",AM10)))</formula>
    </cfRule>
  </conditionalFormatting>
  <conditionalFormatting sqref="AM11">
    <cfRule type="containsText" dxfId="4" priority="102" operator="containsText" text="■">
      <formula>NOT(ISERROR(SEARCH("■",AM11)))</formula>
    </cfRule>
  </conditionalFormatting>
  <conditionalFormatting sqref="AM12">
    <cfRule type="containsText" dxfId="5" priority="138" operator="containsText" text="■">
      <formula>NOT(ISERROR(SEARCH("■",AM12)))</formula>
    </cfRule>
  </conditionalFormatting>
  <conditionalFormatting sqref="AM13">
    <cfRule type="containsText" dxfId="4" priority="174" operator="containsText" text="■">
      <formula>NOT(ISERROR(SEARCH("■",AM13)))</formula>
    </cfRule>
  </conditionalFormatting>
  <conditionalFormatting sqref="AM14">
    <cfRule type="containsText" dxfId="6" priority="210" operator="containsText" text="■">
      <formula>NOT(ISERROR(SEARCH("■",AM14)))</formula>
    </cfRule>
  </conditionalFormatting>
  <conditionalFormatting sqref="AM15">
    <cfRule type="containsText" dxfId="4" priority="246" operator="containsText" text="■">
      <formula>NOT(ISERROR(SEARCH("■",AM15)))</formula>
    </cfRule>
  </conditionalFormatting>
  <conditionalFormatting sqref="AM16">
    <cfRule type="containsText" dxfId="4" priority="282" operator="containsText" text="■">
      <formula>NOT(ISERROR(SEARCH("■",AM16)))</formula>
    </cfRule>
  </conditionalFormatting>
  <conditionalFormatting sqref="AM17">
    <cfRule type="containsText" dxfId="5" priority="318" operator="containsText" text="■">
      <formula>NOT(ISERROR(SEARCH("■",AM17)))</formula>
    </cfRule>
  </conditionalFormatting>
  <conditionalFormatting sqref="AM18">
    <cfRule type="containsText" dxfId="5" priority="354" operator="containsText" text="■">
      <formula>NOT(ISERROR(SEARCH("■",AM18)))</formula>
    </cfRule>
  </conditionalFormatting>
  <conditionalFormatting sqref="AM19">
    <cfRule type="containsText" dxfId="7" priority="390" operator="containsText" text="■">
      <formula>NOT(ISERROR(SEARCH("■",AM19)))</formula>
    </cfRule>
  </conditionalFormatting>
  <conditionalFormatting sqref="AM9">
    <cfRule type="containsText" dxfId="4" priority="30" operator="containsText" text="■">
      <formula>NOT(ISERROR(SEARCH("■",AM9)))</formula>
    </cfRule>
  </conditionalFormatting>
  <conditionalFormatting sqref="AN10">
    <cfRule type="containsText" dxfId="4" priority="67" operator="containsText" text="■">
      <formula>NOT(ISERROR(SEARCH("■",AN10)))</formula>
    </cfRule>
  </conditionalFormatting>
  <conditionalFormatting sqref="AN11">
    <cfRule type="containsText" dxfId="4" priority="103" operator="containsText" text="■">
      <formula>NOT(ISERROR(SEARCH("■",AN11)))</formula>
    </cfRule>
  </conditionalFormatting>
  <conditionalFormatting sqref="AN12">
    <cfRule type="containsText" dxfId="5" priority="139" operator="containsText" text="■">
      <formula>NOT(ISERROR(SEARCH("■",AN12)))</formula>
    </cfRule>
  </conditionalFormatting>
  <conditionalFormatting sqref="AN13">
    <cfRule type="containsText" dxfId="4" priority="175" operator="containsText" text="■">
      <formula>NOT(ISERROR(SEARCH("■",AN13)))</formula>
    </cfRule>
  </conditionalFormatting>
  <conditionalFormatting sqref="AN14">
    <cfRule type="containsText" dxfId="6" priority="211" operator="containsText" text="■">
      <formula>NOT(ISERROR(SEARCH("■",AN14)))</formula>
    </cfRule>
  </conditionalFormatting>
  <conditionalFormatting sqref="AN15">
    <cfRule type="containsText" dxfId="4" priority="247" operator="containsText" text="■">
      <formula>NOT(ISERROR(SEARCH("■",AN15)))</formula>
    </cfRule>
  </conditionalFormatting>
  <conditionalFormatting sqref="AN16">
    <cfRule type="containsText" dxfId="4" priority="283" operator="containsText" text="■">
      <formula>NOT(ISERROR(SEARCH("■",AN16)))</formula>
    </cfRule>
  </conditionalFormatting>
  <conditionalFormatting sqref="AN17">
    <cfRule type="containsText" dxfId="5" priority="319" operator="containsText" text="■">
      <formula>NOT(ISERROR(SEARCH("■",AN17)))</formula>
    </cfRule>
  </conditionalFormatting>
  <conditionalFormatting sqref="AN18">
    <cfRule type="containsText" dxfId="5" priority="355" operator="containsText" text="■">
      <formula>NOT(ISERROR(SEARCH("■",AN18)))</formula>
    </cfRule>
  </conditionalFormatting>
  <conditionalFormatting sqref="AN19">
    <cfRule type="containsText" dxfId="7" priority="391" operator="containsText" text="■">
      <formula>NOT(ISERROR(SEARCH("■",AN19)))</formula>
    </cfRule>
  </conditionalFormatting>
  <conditionalFormatting sqref="AN9">
    <cfRule type="containsText" dxfId="4" priority="31" operator="containsText" text="■">
      <formula>NOT(ISERROR(SEARCH("■",AN9)))</formula>
    </cfRule>
  </conditionalFormatting>
  <conditionalFormatting sqref="AO10">
    <cfRule type="containsText" dxfId="4" priority="68" operator="containsText" text="■">
      <formula>NOT(ISERROR(SEARCH("■",AO10)))</formula>
    </cfRule>
  </conditionalFormatting>
  <conditionalFormatting sqref="AO11">
    <cfRule type="containsText" dxfId="4" priority="104" operator="containsText" text="■">
      <formula>NOT(ISERROR(SEARCH("■",AO11)))</formula>
    </cfRule>
  </conditionalFormatting>
  <conditionalFormatting sqref="AO12">
    <cfRule type="containsText" dxfId="5" priority="140" operator="containsText" text="■">
      <formula>NOT(ISERROR(SEARCH("■",AO12)))</formula>
    </cfRule>
  </conditionalFormatting>
  <conditionalFormatting sqref="AO13">
    <cfRule type="containsText" dxfId="4" priority="176" operator="containsText" text="■">
      <formula>NOT(ISERROR(SEARCH("■",AO13)))</formula>
    </cfRule>
  </conditionalFormatting>
  <conditionalFormatting sqref="AO14">
    <cfRule type="containsText" dxfId="6" priority="212" operator="containsText" text="■">
      <formula>NOT(ISERROR(SEARCH("■",AO14)))</formula>
    </cfRule>
  </conditionalFormatting>
  <conditionalFormatting sqref="AO15">
    <cfRule type="containsText" dxfId="4" priority="248" operator="containsText" text="■">
      <formula>NOT(ISERROR(SEARCH("■",AO15)))</formula>
    </cfRule>
  </conditionalFormatting>
  <conditionalFormatting sqref="AO16">
    <cfRule type="containsText" dxfId="4" priority="284" operator="containsText" text="■">
      <formula>NOT(ISERROR(SEARCH("■",AO16)))</formula>
    </cfRule>
  </conditionalFormatting>
  <conditionalFormatting sqref="AO17">
    <cfRule type="containsText" dxfId="5" priority="320" operator="containsText" text="■">
      <formula>NOT(ISERROR(SEARCH("■",AO17)))</formula>
    </cfRule>
  </conditionalFormatting>
  <conditionalFormatting sqref="AO18">
    <cfRule type="containsText" dxfId="5" priority="356" operator="containsText" text="■">
      <formula>NOT(ISERROR(SEARCH("■",AO18)))</formula>
    </cfRule>
  </conditionalFormatting>
  <conditionalFormatting sqref="AO19">
    <cfRule type="containsText" dxfId="7" priority="392" operator="containsText" text="■">
      <formula>NOT(ISERROR(SEARCH("■",AO19)))</formula>
    </cfRule>
  </conditionalFormatting>
  <conditionalFormatting sqref="AO9">
    <cfRule type="containsText" dxfId="4" priority="32" operator="containsText" text="■">
      <formula>NOT(ISERROR(SEARCH("■",AO9)))</formula>
    </cfRule>
  </conditionalFormatting>
  <conditionalFormatting sqref="AP10">
    <cfRule type="containsText" dxfId="4" priority="69" operator="containsText" text="■">
      <formula>NOT(ISERROR(SEARCH("■",AP10)))</formula>
    </cfRule>
  </conditionalFormatting>
  <conditionalFormatting sqref="AP11">
    <cfRule type="containsText" dxfId="4" priority="105" operator="containsText" text="■">
      <formula>NOT(ISERROR(SEARCH("■",AP11)))</formula>
    </cfRule>
  </conditionalFormatting>
  <conditionalFormatting sqref="AP12">
    <cfRule type="containsText" dxfId="5" priority="141" operator="containsText" text="■">
      <formula>NOT(ISERROR(SEARCH("■",AP12)))</formula>
    </cfRule>
  </conditionalFormatting>
  <conditionalFormatting sqref="AP13">
    <cfRule type="containsText" dxfId="4" priority="177" operator="containsText" text="■">
      <formula>NOT(ISERROR(SEARCH("■",AP13)))</formula>
    </cfRule>
  </conditionalFormatting>
  <conditionalFormatting sqref="AP14">
    <cfRule type="containsText" dxfId="6" priority="213" operator="containsText" text="■">
      <formula>NOT(ISERROR(SEARCH("■",AP14)))</formula>
    </cfRule>
  </conditionalFormatting>
  <conditionalFormatting sqref="AP15">
    <cfRule type="containsText" dxfId="4" priority="249" operator="containsText" text="■">
      <formula>NOT(ISERROR(SEARCH("■",AP15)))</formula>
    </cfRule>
  </conditionalFormatting>
  <conditionalFormatting sqref="AP16">
    <cfRule type="containsText" dxfId="4" priority="285" operator="containsText" text="■">
      <formula>NOT(ISERROR(SEARCH("■",AP16)))</formula>
    </cfRule>
  </conditionalFormatting>
  <conditionalFormatting sqref="AP17">
    <cfRule type="containsText" dxfId="5" priority="321" operator="containsText" text="■">
      <formula>NOT(ISERROR(SEARCH("■",AP17)))</formula>
    </cfRule>
  </conditionalFormatting>
  <conditionalFormatting sqref="AP18">
    <cfRule type="containsText" dxfId="5" priority="357" operator="containsText" text="■">
      <formula>NOT(ISERROR(SEARCH("■",AP18)))</formula>
    </cfRule>
  </conditionalFormatting>
  <conditionalFormatting sqref="AP19">
    <cfRule type="containsText" dxfId="7" priority="393" operator="containsText" text="■">
      <formula>NOT(ISERROR(SEARCH("■",AP19)))</formula>
    </cfRule>
  </conditionalFormatting>
  <conditionalFormatting sqref="AP9">
    <cfRule type="containsText" dxfId="4" priority="33" operator="containsText" text="■">
      <formula>NOT(ISERROR(SEARCH("■",AP9)))</formula>
    </cfRule>
  </conditionalFormatting>
  <conditionalFormatting sqref="AQ10">
    <cfRule type="containsText" dxfId="4" priority="70" operator="containsText" text="■">
      <formula>NOT(ISERROR(SEARCH("■",AQ10)))</formula>
    </cfRule>
  </conditionalFormatting>
  <conditionalFormatting sqref="AQ11">
    <cfRule type="containsText" dxfId="4" priority="106" operator="containsText" text="■">
      <formula>NOT(ISERROR(SEARCH("■",AQ11)))</formula>
    </cfRule>
  </conditionalFormatting>
  <conditionalFormatting sqref="AQ12">
    <cfRule type="containsText" dxfId="5" priority="142" operator="containsText" text="■">
      <formula>NOT(ISERROR(SEARCH("■",AQ12)))</formula>
    </cfRule>
  </conditionalFormatting>
  <conditionalFormatting sqref="AQ13">
    <cfRule type="containsText" dxfId="4" priority="178" operator="containsText" text="■">
      <formula>NOT(ISERROR(SEARCH("■",AQ13)))</formula>
    </cfRule>
  </conditionalFormatting>
  <conditionalFormatting sqref="AQ14">
    <cfRule type="containsText" dxfId="6" priority="214" operator="containsText" text="■">
      <formula>NOT(ISERROR(SEARCH("■",AQ14)))</formula>
    </cfRule>
  </conditionalFormatting>
  <conditionalFormatting sqref="AQ15">
    <cfRule type="containsText" dxfId="4" priority="250" operator="containsText" text="■">
      <formula>NOT(ISERROR(SEARCH("■",AQ15)))</formula>
    </cfRule>
  </conditionalFormatting>
  <conditionalFormatting sqref="AQ16">
    <cfRule type="containsText" dxfId="4" priority="286" operator="containsText" text="■">
      <formula>NOT(ISERROR(SEARCH("■",AQ16)))</formula>
    </cfRule>
  </conditionalFormatting>
  <conditionalFormatting sqref="AQ17">
    <cfRule type="containsText" dxfId="5" priority="322" operator="containsText" text="■">
      <formula>NOT(ISERROR(SEARCH("■",AQ17)))</formula>
    </cfRule>
  </conditionalFormatting>
  <conditionalFormatting sqref="AQ18">
    <cfRule type="containsText" dxfId="5" priority="358" operator="containsText" text="■">
      <formula>NOT(ISERROR(SEARCH("■",AQ18)))</formula>
    </cfRule>
  </conditionalFormatting>
  <conditionalFormatting sqref="AQ19">
    <cfRule type="containsText" dxfId="7" priority="394" operator="containsText" text="■">
      <formula>NOT(ISERROR(SEARCH("■",AQ19)))</formula>
    </cfRule>
  </conditionalFormatting>
  <conditionalFormatting sqref="AQ9">
    <cfRule type="containsText" dxfId="4" priority="34" operator="containsText" text="■">
      <formula>NOT(ISERROR(SEARCH("■",AQ9)))</formula>
    </cfRule>
  </conditionalFormatting>
  <conditionalFormatting sqref="AR10">
    <cfRule type="containsText" dxfId="4" priority="71" operator="containsText" text="■">
      <formula>NOT(ISERROR(SEARCH("■",AR10)))</formula>
    </cfRule>
  </conditionalFormatting>
  <conditionalFormatting sqref="AR11">
    <cfRule type="containsText" dxfId="4" priority="107" operator="containsText" text="■">
      <formula>NOT(ISERROR(SEARCH("■",AR11)))</formula>
    </cfRule>
  </conditionalFormatting>
  <conditionalFormatting sqref="AR12">
    <cfRule type="containsText" dxfId="5" priority="143" operator="containsText" text="■">
      <formula>NOT(ISERROR(SEARCH("■",AR12)))</formula>
    </cfRule>
  </conditionalFormatting>
  <conditionalFormatting sqref="AR13">
    <cfRule type="containsText" dxfId="4" priority="179" operator="containsText" text="■">
      <formula>NOT(ISERROR(SEARCH("■",AR13)))</formula>
    </cfRule>
  </conditionalFormatting>
  <conditionalFormatting sqref="AR14">
    <cfRule type="containsText" dxfId="6" priority="215" operator="containsText" text="■">
      <formula>NOT(ISERROR(SEARCH("■",AR14)))</formula>
    </cfRule>
  </conditionalFormatting>
  <conditionalFormatting sqref="AR15">
    <cfRule type="containsText" dxfId="4" priority="251" operator="containsText" text="■">
      <formula>NOT(ISERROR(SEARCH("■",AR15)))</formula>
    </cfRule>
  </conditionalFormatting>
  <conditionalFormatting sqref="AR16">
    <cfRule type="containsText" dxfId="4" priority="287" operator="containsText" text="■">
      <formula>NOT(ISERROR(SEARCH("■",AR16)))</formula>
    </cfRule>
  </conditionalFormatting>
  <conditionalFormatting sqref="AR17">
    <cfRule type="containsText" dxfId="5" priority="323" operator="containsText" text="■">
      <formula>NOT(ISERROR(SEARCH("■",AR17)))</formula>
    </cfRule>
  </conditionalFormatting>
  <conditionalFormatting sqref="AR18">
    <cfRule type="containsText" dxfId="5" priority="359" operator="containsText" text="■">
      <formula>NOT(ISERROR(SEARCH("■",AR18)))</formula>
    </cfRule>
  </conditionalFormatting>
  <conditionalFormatting sqref="AR19">
    <cfRule type="containsText" dxfId="7" priority="395" operator="containsText" text="■">
      <formula>NOT(ISERROR(SEARCH("■",AR19)))</formula>
    </cfRule>
  </conditionalFormatting>
  <conditionalFormatting sqref="AR9">
    <cfRule type="containsText" dxfId="4" priority="35" operator="containsText" text="■">
      <formula>NOT(ISERROR(SEARCH("■",AR9)))</formula>
    </cfRule>
  </conditionalFormatting>
  <conditionalFormatting sqref="AS10">
    <cfRule type="containsText" dxfId="4" priority="72" operator="containsText" text="■">
      <formula>NOT(ISERROR(SEARCH("■",AS10)))</formula>
    </cfRule>
  </conditionalFormatting>
  <conditionalFormatting sqref="AS11">
    <cfRule type="containsText" dxfId="4" priority="108" operator="containsText" text="■">
      <formula>NOT(ISERROR(SEARCH("■",AS11)))</formula>
    </cfRule>
  </conditionalFormatting>
  <conditionalFormatting sqref="AS12">
    <cfRule type="containsText" dxfId="5" priority="144" operator="containsText" text="■">
      <formula>NOT(ISERROR(SEARCH("■",AS12)))</formula>
    </cfRule>
  </conditionalFormatting>
  <conditionalFormatting sqref="AS13">
    <cfRule type="containsText" dxfId="4" priority="180" operator="containsText" text="■">
      <formula>NOT(ISERROR(SEARCH("■",AS13)))</formula>
    </cfRule>
  </conditionalFormatting>
  <conditionalFormatting sqref="AS14">
    <cfRule type="containsText" dxfId="6" priority="216" operator="containsText" text="■">
      <formula>NOT(ISERROR(SEARCH("■",AS14)))</formula>
    </cfRule>
  </conditionalFormatting>
  <conditionalFormatting sqref="AS15">
    <cfRule type="containsText" dxfId="4" priority="252" operator="containsText" text="■">
      <formula>NOT(ISERROR(SEARCH("■",AS15)))</formula>
    </cfRule>
  </conditionalFormatting>
  <conditionalFormatting sqref="AS16">
    <cfRule type="containsText" dxfId="4" priority="288" operator="containsText" text="■">
      <formula>NOT(ISERROR(SEARCH("■",AS16)))</formula>
    </cfRule>
  </conditionalFormatting>
  <conditionalFormatting sqref="AS17">
    <cfRule type="containsText" dxfId="5" priority="324" operator="containsText" text="■">
      <formula>NOT(ISERROR(SEARCH("■",AS17)))</formula>
    </cfRule>
  </conditionalFormatting>
  <conditionalFormatting sqref="AS18">
    <cfRule type="containsText" dxfId="5" priority="360" operator="containsText" text="■">
      <formula>NOT(ISERROR(SEARCH("■",AS18)))</formula>
    </cfRule>
  </conditionalFormatting>
  <conditionalFormatting sqref="AS19">
    <cfRule type="containsText" dxfId="7" priority="396" operator="containsText" text="■">
      <formula>NOT(ISERROR(SEARCH("■",AS19)))</formula>
    </cfRule>
  </conditionalFormatting>
  <conditionalFormatting sqref="AS9">
    <cfRule type="containsText" dxfId="4" priority="36" operator="containsText" text="■">
      <formula>NOT(ISERROR(SEARCH("■",AS9)))</formula>
    </cfRule>
  </conditionalFormatting>
  <conditionalFormatting sqref="J10">
    <cfRule type="containsText" dxfId="4" priority="37" operator="containsText" text="■">
      <formula>NOT(ISERROR(SEARCH("■",J10)))</formula>
    </cfRule>
  </conditionalFormatting>
  <conditionalFormatting sqref="J11">
    <cfRule type="containsText" dxfId="4" priority="73" operator="containsText" text="■">
      <formula>NOT(ISERROR(SEARCH("■",J11)))</formula>
    </cfRule>
  </conditionalFormatting>
  <conditionalFormatting sqref="J12">
    <cfRule type="containsText" dxfId="5" priority="109" operator="containsText" text="■">
      <formula>NOT(ISERROR(SEARCH("■",J12)))</formula>
    </cfRule>
  </conditionalFormatting>
  <conditionalFormatting sqref="J13">
    <cfRule type="containsText" dxfId="4" priority="145" operator="containsText" text="■">
      <formula>NOT(ISERROR(SEARCH("■",J13)))</formula>
    </cfRule>
  </conditionalFormatting>
  <conditionalFormatting sqref="J14">
    <cfRule type="containsText" dxfId="6" priority="181" operator="containsText" text="■">
      <formula>NOT(ISERROR(SEARCH("■",J14)))</formula>
    </cfRule>
  </conditionalFormatting>
  <conditionalFormatting sqref="J15">
    <cfRule type="containsText" dxfId="4" priority="217" operator="containsText" text="■">
      <formula>NOT(ISERROR(SEARCH("■",J15)))</formula>
    </cfRule>
  </conditionalFormatting>
  <conditionalFormatting sqref="J16">
    <cfRule type="containsText" dxfId="4" priority="253" operator="containsText" text="■">
      <formula>NOT(ISERROR(SEARCH("■",J16)))</formula>
    </cfRule>
  </conditionalFormatting>
  <conditionalFormatting sqref="J17">
    <cfRule type="containsText" dxfId="5" priority="289" operator="containsText" text="■">
      <formula>NOT(ISERROR(SEARCH("■",J17)))</formula>
    </cfRule>
  </conditionalFormatting>
  <conditionalFormatting sqref="J18">
    <cfRule type="containsText" dxfId="5" priority="325" operator="containsText" text="■">
      <formula>NOT(ISERROR(SEARCH("■",J18)))</formula>
    </cfRule>
  </conditionalFormatting>
  <conditionalFormatting sqref="J19">
    <cfRule type="containsText" dxfId="7" priority="361" operator="containsText" text="■">
      <formula>NOT(ISERROR(SEARCH("■",J19)))</formula>
    </cfRule>
  </conditionalFormatting>
  <conditionalFormatting sqref="J9">
    <cfRule type="containsText" dxfId="4" priority="1" operator="containsText" text="■">
      <formula>NOT(ISERROR(SEARCH("■",J9)))</formula>
    </cfRule>
  </conditionalFormatting>
  <conditionalFormatting sqref="K10">
    <cfRule type="containsText" dxfId="4" priority="38" operator="containsText" text="■">
      <formula>NOT(ISERROR(SEARCH("■",K10)))</formula>
    </cfRule>
  </conditionalFormatting>
  <conditionalFormatting sqref="K11">
    <cfRule type="containsText" dxfId="4" priority="74" operator="containsText" text="■">
      <formula>NOT(ISERROR(SEARCH("■",K11)))</formula>
    </cfRule>
  </conditionalFormatting>
  <conditionalFormatting sqref="K12">
    <cfRule type="containsText" dxfId="5" priority="110" operator="containsText" text="■">
      <formula>NOT(ISERROR(SEARCH("■",K12)))</formula>
    </cfRule>
  </conditionalFormatting>
  <conditionalFormatting sqref="K13">
    <cfRule type="containsText" dxfId="4" priority="146" operator="containsText" text="■">
      <formula>NOT(ISERROR(SEARCH("■",K13)))</formula>
    </cfRule>
  </conditionalFormatting>
  <conditionalFormatting sqref="K14">
    <cfRule type="containsText" dxfId="6" priority="182" operator="containsText" text="■">
      <formula>NOT(ISERROR(SEARCH("■",K14)))</formula>
    </cfRule>
  </conditionalFormatting>
  <conditionalFormatting sqref="K15">
    <cfRule type="containsText" dxfId="4" priority="218" operator="containsText" text="■">
      <formula>NOT(ISERROR(SEARCH("■",K15)))</formula>
    </cfRule>
  </conditionalFormatting>
  <conditionalFormatting sqref="K16">
    <cfRule type="containsText" dxfId="4" priority="254" operator="containsText" text="■">
      <formula>NOT(ISERROR(SEARCH("■",K16)))</formula>
    </cfRule>
  </conditionalFormatting>
  <conditionalFormatting sqref="K17">
    <cfRule type="containsText" dxfId="5" priority="290" operator="containsText" text="■">
      <formula>NOT(ISERROR(SEARCH("■",K17)))</formula>
    </cfRule>
  </conditionalFormatting>
  <conditionalFormatting sqref="K18">
    <cfRule type="containsText" dxfId="5" priority="326" operator="containsText" text="■">
      <formula>NOT(ISERROR(SEARCH("■",K18)))</formula>
    </cfRule>
  </conditionalFormatting>
  <conditionalFormatting sqref="K19">
    <cfRule type="containsText" dxfId="7" priority="362" operator="containsText" text="■">
      <formula>NOT(ISERROR(SEARCH("■",K19)))</formula>
    </cfRule>
  </conditionalFormatting>
  <conditionalFormatting sqref="K9">
    <cfRule type="containsText" dxfId="4" priority="2" operator="containsText" text="■">
      <formula>NOT(ISERROR(SEARCH("■",K9)))</formula>
    </cfRule>
  </conditionalFormatting>
  <conditionalFormatting sqref="L10">
    <cfRule type="containsText" dxfId="4" priority="39" operator="containsText" text="■">
      <formula>NOT(ISERROR(SEARCH("■",L10)))</formula>
    </cfRule>
  </conditionalFormatting>
  <conditionalFormatting sqref="L11">
    <cfRule type="containsText" dxfId="4" priority="75" operator="containsText" text="■">
      <formula>NOT(ISERROR(SEARCH("■",L11)))</formula>
    </cfRule>
  </conditionalFormatting>
  <conditionalFormatting sqref="L12">
    <cfRule type="containsText" dxfId="5" priority="111" operator="containsText" text="■">
      <formula>NOT(ISERROR(SEARCH("■",L12)))</formula>
    </cfRule>
  </conditionalFormatting>
  <conditionalFormatting sqref="L13">
    <cfRule type="containsText" dxfId="4" priority="147" operator="containsText" text="■">
      <formula>NOT(ISERROR(SEARCH("■",L13)))</formula>
    </cfRule>
  </conditionalFormatting>
  <conditionalFormatting sqref="L14">
    <cfRule type="containsText" dxfId="6" priority="183" operator="containsText" text="■">
      <formula>NOT(ISERROR(SEARCH("■",L14)))</formula>
    </cfRule>
  </conditionalFormatting>
  <conditionalFormatting sqref="L15">
    <cfRule type="containsText" dxfId="4" priority="219" operator="containsText" text="■">
      <formula>NOT(ISERROR(SEARCH("■",L15)))</formula>
    </cfRule>
  </conditionalFormatting>
  <conditionalFormatting sqref="L16">
    <cfRule type="containsText" dxfId="4" priority="255" operator="containsText" text="■">
      <formula>NOT(ISERROR(SEARCH("■",L16)))</formula>
    </cfRule>
  </conditionalFormatting>
  <conditionalFormatting sqref="L17">
    <cfRule type="containsText" dxfId="5" priority="291" operator="containsText" text="■">
      <formula>NOT(ISERROR(SEARCH("■",L17)))</formula>
    </cfRule>
  </conditionalFormatting>
  <conditionalFormatting sqref="L18">
    <cfRule type="containsText" dxfId="5" priority="327" operator="containsText" text="■">
      <formula>NOT(ISERROR(SEARCH("■",L18)))</formula>
    </cfRule>
  </conditionalFormatting>
  <conditionalFormatting sqref="L19">
    <cfRule type="containsText" dxfId="7" priority="363" operator="containsText" text="■">
      <formula>NOT(ISERROR(SEARCH("■",L19)))</formula>
    </cfRule>
  </conditionalFormatting>
  <conditionalFormatting sqref="L9">
    <cfRule type="containsText" dxfId="4" priority="3" operator="containsText" text="■">
      <formula>NOT(ISERROR(SEARCH("■",L9)))</formula>
    </cfRule>
  </conditionalFormatting>
  <conditionalFormatting sqref="M10">
    <cfRule type="containsText" dxfId="4" priority="40" operator="containsText" text="■">
      <formula>NOT(ISERROR(SEARCH("■",M10)))</formula>
    </cfRule>
  </conditionalFormatting>
  <conditionalFormatting sqref="M11">
    <cfRule type="containsText" dxfId="4" priority="76" operator="containsText" text="■">
      <formula>NOT(ISERROR(SEARCH("■",M11)))</formula>
    </cfRule>
  </conditionalFormatting>
  <conditionalFormatting sqref="M12">
    <cfRule type="containsText" dxfId="5" priority="112" operator="containsText" text="■">
      <formula>NOT(ISERROR(SEARCH("■",M12)))</formula>
    </cfRule>
  </conditionalFormatting>
  <conditionalFormatting sqref="M13">
    <cfRule type="containsText" dxfId="4" priority="148" operator="containsText" text="■">
      <formula>NOT(ISERROR(SEARCH("■",M13)))</formula>
    </cfRule>
  </conditionalFormatting>
  <conditionalFormatting sqref="M14">
    <cfRule type="containsText" dxfId="6" priority="184" operator="containsText" text="■">
      <formula>NOT(ISERROR(SEARCH("■",M14)))</formula>
    </cfRule>
  </conditionalFormatting>
  <conditionalFormatting sqref="M15">
    <cfRule type="containsText" dxfId="4" priority="220" operator="containsText" text="■">
      <formula>NOT(ISERROR(SEARCH("■",M15)))</formula>
    </cfRule>
  </conditionalFormatting>
  <conditionalFormatting sqref="M16">
    <cfRule type="containsText" dxfId="4" priority="256" operator="containsText" text="■">
      <formula>NOT(ISERROR(SEARCH("■",M16)))</formula>
    </cfRule>
  </conditionalFormatting>
  <conditionalFormatting sqref="M17">
    <cfRule type="containsText" dxfId="5" priority="292" operator="containsText" text="■">
      <formula>NOT(ISERROR(SEARCH("■",M17)))</formula>
    </cfRule>
  </conditionalFormatting>
  <conditionalFormatting sqref="M18">
    <cfRule type="containsText" dxfId="5" priority="328" operator="containsText" text="■">
      <formula>NOT(ISERROR(SEARCH("■",M18)))</formula>
    </cfRule>
  </conditionalFormatting>
  <conditionalFormatting sqref="M19">
    <cfRule type="containsText" dxfId="7" priority="364" operator="containsText" text="■">
      <formula>NOT(ISERROR(SEARCH("■",M19)))</formula>
    </cfRule>
  </conditionalFormatting>
  <conditionalFormatting sqref="M9">
    <cfRule type="containsText" dxfId="4" priority="4" operator="containsText" text="■">
      <formula>NOT(ISERROR(SEARCH("■",M9)))</formula>
    </cfRule>
  </conditionalFormatting>
  <conditionalFormatting sqref="N10">
    <cfRule type="containsText" dxfId="4" priority="41" operator="containsText" text="■">
      <formula>NOT(ISERROR(SEARCH("■",N10)))</formula>
    </cfRule>
  </conditionalFormatting>
  <conditionalFormatting sqref="N11">
    <cfRule type="containsText" dxfId="4" priority="77" operator="containsText" text="■">
      <formula>NOT(ISERROR(SEARCH("■",N11)))</formula>
    </cfRule>
  </conditionalFormatting>
  <conditionalFormatting sqref="N12">
    <cfRule type="containsText" dxfId="5" priority="113" operator="containsText" text="■">
      <formula>NOT(ISERROR(SEARCH("■",N12)))</formula>
    </cfRule>
  </conditionalFormatting>
  <conditionalFormatting sqref="N13">
    <cfRule type="containsText" dxfId="4" priority="149" operator="containsText" text="■">
      <formula>NOT(ISERROR(SEARCH("■",N13)))</formula>
    </cfRule>
  </conditionalFormatting>
  <conditionalFormatting sqref="N14">
    <cfRule type="containsText" dxfId="6" priority="185" operator="containsText" text="■">
      <formula>NOT(ISERROR(SEARCH("■",N14)))</formula>
    </cfRule>
  </conditionalFormatting>
  <conditionalFormatting sqref="N15">
    <cfRule type="containsText" dxfId="4" priority="221" operator="containsText" text="■">
      <formula>NOT(ISERROR(SEARCH("■",N15)))</formula>
    </cfRule>
  </conditionalFormatting>
  <conditionalFormatting sqref="N16">
    <cfRule type="containsText" dxfId="4" priority="257" operator="containsText" text="■">
      <formula>NOT(ISERROR(SEARCH("■",N16)))</formula>
    </cfRule>
  </conditionalFormatting>
  <conditionalFormatting sqref="N17">
    <cfRule type="containsText" dxfId="5" priority="293" operator="containsText" text="■">
      <formula>NOT(ISERROR(SEARCH("■",N17)))</formula>
    </cfRule>
  </conditionalFormatting>
  <conditionalFormatting sqref="N18">
    <cfRule type="containsText" dxfId="5" priority="329" operator="containsText" text="■">
      <formula>NOT(ISERROR(SEARCH("■",N18)))</formula>
    </cfRule>
  </conditionalFormatting>
  <conditionalFormatting sqref="N19">
    <cfRule type="containsText" dxfId="7" priority="365" operator="containsText" text="■">
      <formula>NOT(ISERROR(SEARCH("■",N19)))</formula>
    </cfRule>
  </conditionalFormatting>
  <conditionalFormatting sqref="N9">
    <cfRule type="containsText" dxfId="4" priority="5" operator="containsText" text="■">
      <formula>NOT(ISERROR(SEARCH("■",N9)))</formula>
    </cfRule>
  </conditionalFormatting>
  <conditionalFormatting sqref="O10">
    <cfRule type="containsText" dxfId="4" priority="42" operator="containsText" text="■">
      <formula>NOT(ISERROR(SEARCH("■",O10)))</formula>
    </cfRule>
  </conditionalFormatting>
  <conditionalFormatting sqref="O11">
    <cfRule type="containsText" dxfId="4" priority="78" operator="containsText" text="■">
      <formula>NOT(ISERROR(SEARCH("■",O11)))</formula>
    </cfRule>
  </conditionalFormatting>
  <conditionalFormatting sqref="O12">
    <cfRule type="containsText" dxfId="5" priority="114" operator="containsText" text="■">
      <formula>NOT(ISERROR(SEARCH("■",O12)))</formula>
    </cfRule>
  </conditionalFormatting>
  <conditionalFormatting sqref="O13">
    <cfRule type="containsText" dxfId="4" priority="150" operator="containsText" text="■">
      <formula>NOT(ISERROR(SEARCH("■",O13)))</formula>
    </cfRule>
  </conditionalFormatting>
  <conditionalFormatting sqref="O14">
    <cfRule type="containsText" dxfId="6" priority="186" operator="containsText" text="■">
      <formula>NOT(ISERROR(SEARCH("■",O14)))</formula>
    </cfRule>
  </conditionalFormatting>
  <conditionalFormatting sqref="O15">
    <cfRule type="containsText" dxfId="4" priority="222" operator="containsText" text="■">
      <formula>NOT(ISERROR(SEARCH("■",O15)))</formula>
    </cfRule>
  </conditionalFormatting>
  <conditionalFormatting sqref="O16">
    <cfRule type="containsText" dxfId="4" priority="258" operator="containsText" text="■">
      <formula>NOT(ISERROR(SEARCH("■",O16)))</formula>
    </cfRule>
  </conditionalFormatting>
  <conditionalFormatting sqref="O17">
    <cfRule type="containsText" dxfId="5" priority="294" operator="containsText" text="■">
      <formula>NOT(ISERROR(SEARCH("■",O17)))</formula>
    </cfRule>
  </conditionalFormatting>
  <conditionalFormatting sqref="O18">
    <cfRule type="containsText" dxfId="5" priority="330" operator="containsText" text="■">
      <formula>NOT(ISERROR(SEARCH("■",O18)))</formula>
    </cfRule>
  </conditionalFormatting>
  <conditionalFormatting sqref="O19">
    <cfRule type="containsText" dxfId="7" priority="366" operator="containsText" text="■">
      <formula>NOT(ISERROR(SEARCH("■",O19)))</formula>
    </cfRule>
  </conditionalFormatting>
  <conditionalFormatting sqref="O9">
    <cfRule type="containsText" dxfId="4" priority="6" operator="containsText" text="■">
      <formula>NOT(ISERROR(SEARCH("■",O9)))</formula>
    </cfRule>
  </conditionalFormatting>
  <conditionalFormatting sqref="P10">
    <cfRule type="containsText" dxfId="4" priority="43" operator="containsText" text="■">
      <formula>NOT(ISERROR(SEARCH("■",P10)))</formula>
    </cfRule>
  </conditionalFormatting>
  <conditionalFormatting sqref="P11">
    <cfRule type="containsText" dxfId="4" priority="79" operator="containsText" text="■">
      <formula>NOT(ISERROR(SEARCH("■",P11)))</formula>
    </cfRule>
  </conditionalFormatting>
  <conditionalFormatting sqref="P12">
    <cfRule type="containsText" dxfId="5" priority="115" operator="containsText" text="■">
      <formula>NOT(ISERROR(SEARCH("■",P12)))</formula>
    </cfRule>
  </conditionalFormatting>
  <conditionalFormatting sqref="P13">
    <cfRule type="containsText" dxfId="4" priority="151" operator="containsText" text="■">
      <formula>NOT(ISERROR(SEARCH("■",P13)))</formula>
    </cfRule>
  </conditionalFormatting>
  <conditionalFormatting sqref="P14">
    <cfRule type="containsText" dxfId="6" priority="187" operator="containsText" text="■">
      <formula>NOT(ISERROR(SEARCH("■",P14)))</formula>
    </cfRule>
  </conditionalFormatting>
  <conditionalFormatting sqref="P15">
    <cfRule type="containsText" dxfId="4" priority="223" operator="containsText" text="■">
      <formula>NOT(ISERROR(SEARCH("■",P15)))</formula>
    </cfRule>
  </conditionalFormatting>
  <conditionalFormatting sqref="P16">
    <cfRule type="containsText" dxfId="4" priority="259" operator="containsText" text="■">
      <formula>NOT(ISERROR(SEARCH("■",P16)))</formula>
    </cfRule>
  </conditionalFormatting>
  <conditionalFormatting sqref="P17">
    <cfRule type="containsText" dxfId="5" priority="295" operator="containsText" text="■">
      <formula>NOT(ISERROR(SEARCH("■",P17)))</formula>
    </cfRule>
  </conditionalFormatting>
  <conditionalFormatting sqref="P18">
    <cfRule type="containsText" dxfId="5" priority="331" operator="containsText" text="■">
      <formula>NOT(ISERROR(SEARCH("■",P18)))</formula>
    </cfRule>
  </conditionalFormatting>
  <conditionalFormatting sqref="P19">
    <cfRule type="containsText" dxfId="7" priority="367" operator="containsText" text="■">
      <formula>NOT(ISERROR(SEARCH("■",P19)))</formula>
    </cfRule>
  </conditionalFormatting>
  <conditionalFormatting sqref="P9">
    <cfRule type="containsText" dxfId="4" priority="7" operator="containsText" text="■">
      <formula>NOT(ISERROR(SEARCH("■",P9)))</formula>
    </cfRule>
  </conditionalFormatting>
  <conditionalFormatting sqref="Q10">
    <cfRule type="containsText" dxfId="4" priority="44" operator="containsText" text="■">
      <formula>NOT(ISERROR(SEARCH("■",Q10)))</formula>
    </cfRule>
  </conditionalFormatting>
  <conditionalFormatting sqref="Q11">
    <cfRule type="containsText" dxfId="4" priority="80" operator="containsText" text="■">
      <formula>NOT(ISERROR(SEARCH("■",Q11)))</formula>
    </cfRule>
  </conditionalFormatting>
  <conditionalFormatting sqref="Q12">
    <cfRule type="containsText" dxfId="5" priority="116" operator="containsText" text="■">
      <formula>NOT(ISERROR(SEARCH("■",Q12)))</formula>
    </cfRule>
  </conditionalFormatting>
  <conditionalFormatting sqref="Q13">
    <cfRule type="containsText" dxfId="4" priority="152" operator="containsText" text="■">
      <formula>NOT(ISERROR(SEARCH("■",Q13)))</formula>
    </cfRule>
  </conditionalFormatting>
  <conditionalFormatting sqref="Q14">
    <cfRule type="containsText" dxfId="6" priority="188" operator="containsText" text="■">
      <formula>NOT(ISERROR(SEARCH("■",Q14)))</formula>
    </cfRule>
  </conditionalFormatting>
  <conditionalFormatting sqref="Q15">
    <cfRule type="containsText" dxfId="4" priority="224" operator="containsText" text="■">
      <formula>NOT(ISERROR(SEARCH("■",Q15)))</formula>
    </cfRule>
  </conditionalFormatting>
  <conditionalFormatting sqref="Q16">
    <cfRule type="containsText" dxfId="4" priority="260" operator="containsText" text="■">
      <formula>NOT(ISERROR(SEARCH("■",Q16)))</formula>
    </cfRule>
  </conditionalFormatting>
  <conditionalFormatting sqref="Q17">
    <cfRule type="containsText" dxfId="5" priority="296" operator="containsText" text="■">
      <formula>NOT(ISERROR(SEARCH("■",Q17)))</formula>
    </cfRule>
  </conditionalFormatting>
  <conditionalFormatting sqref="Q18">
    <cfRule type="containsText" dxfId="5" priority="332" operator="containsText" text="■">
      <formula>NOT(ISERROR(SEARCH("■",Q18)))</formula>
    </cfRule>
  </conditionalFormatting>
  <conditionalFormatting sqref="Q19">
    <cfRule type="containsText" dxfId="7" priority="368" operator="containsText" text="■">
      <formula>NOT(ISERROR(SEARCH("■",Q19)))</formula>
    </cfRule>
  </conditionalFormatting>
  <conditionalFormatting sqref="Q9">
    <cfRule type="containsText" dxfId="4" priority="8" operator="containsText" text="■">
      <formula>NOT(ISERROR(SEARCH("■",Q9)))</formula>
    </cfRule>
  </conditionalFormatting>
  <conditionalFormatting sqref="R10">
    <cfRule type="containsText" dxfId="4" priority="45" operator="containsText" text="■">
      <formula>NOT(ISERROR(SEARCH("■",R10)))</formula>
    </cfRule>
  </conditionalFormatting>
  <conditionalFormatting sqref="R11">
    <cfRule type="containsText" dxfId="4" priority="81" operator="containsText" text="■">
      <formula>NOT(ISERROR(SEARCH("■",R11)))</formula>
    </cfRule>
  </conditionalFormatting>
  <conditionalFormatting sqref="R12">
    <cfRule type="containsText" dxfId="5" priority="117" operator="containsText" text="■">
      <formula>NOT(ISERROR(SEARCH("■",R12)))</formula>
    </cfRule>
  </conditionalFormatting>
  <conditionalFormatting sqref="R13">
    <cfRule type="containsText" dxfId="4" priority="153" operator="containsText" text="■">
      <formula>NOT(ISERROR(SEARCH("■",R13)))</formula>
    </cfRule>
  </conditionalFormatting>
  <conditionalFormatting sqref="R14">
    <cfRule type="containsText" dxfId="6" priority="189" operator="containsText" text="■">
      <formula>NOT(ISERROR(SEARCH("■",R14)))</formula>
    </cfRule>
  </conditionalFormatting>
  <conditionalFormatting sqref="R15">
    <cfRule type="containsText" dxfId="4" priority="225" operator="containsText" text="■">
      <formula>NOT(ISERROR(SEARCH("■",R15)))</formula>
    </cfRule>
  </conditionalFormatting>
  <conditionalFormatting sqref="R16">
    <cfRule type="containsText" dxfId="4" priority="261" operator="containsText" text="■">
      <formula>NOT(ISERROR(SEARCH("■",R16)))</formula>
    </cfRule>
  </conditionalFormatting>
  <conditionalFormatting sqref="R17">
    <cfRule type="containsText" dxfId="5" priority="297" operator="containsText" text="■">
      <formula>NOT(ISERROR(SEARCH("■",R17)))</formula>
    </cfRule>
  </conditionalFormatting>
  <conditionalFormatting sqref="R18">
    <cfRule type="containsText" dxfId="5" priority="333" operator="containsText" text="■">
      <formula>NOT(ISERROR(SEARCH("■",R18)))</formula>
    </cfRule>
  </conditionalFormatting>
  <conditionalFormatting sqref="R19">
    <cfRule type="containsText" dxfId="7" priority="369" operator="containsText" text="■">
      <formula>NOT(ISERROR(SEARCH("■",R19)))</formula>
    </cfRule>
  </conditionalFormatting>
  <conditionalFormatting sqref="R9">
    <cfRule type="containsText" dxfId="4" priority="9" operator="containsText" text="■">
      <formula>NOT(ISERROR(SEARCH("■",R9)))</formula>
    </cfRule>
  </conditionalFormatting>
  <conditionalFormatting sqref="S10">
    <cfRule type="containsText" dxfId="4" priority="46" operator="containsText" text="■">
      <formula>NOT(ISERROR(SEARCH("■",S10)))</formula>
    </cfRule>
  </conditionalFormatting>
  <conditionalFormatting sqref="S11">
    <cfRule type="containsText" dxfId="4" priority="82" operator="containsText" text="■">
      <formula>NOT(ISERROR(SEARCH("■",S11)))</formula>
    </cfRule>
  </conditionalFormatting>
  <conditionalFormatting sqref="S12">
    <cfRule type="containsText" dxfId="5" priority="118" operator="containsText" text="■">
      <formula>NOT(ISERROR(SEARCH("■",S12)))</formula>
    </cfRule>
  </conditionalFormatting>
  <conditionalFormatting sqref="S13">
    <cfRule type="containsText" dxfId="4" priority="154" operator="containsText" text="■">
      <formula>NOT(ISERROR(SEARCH("■",S13)))</formula>
    </cfRule>
  </conditionalFormatting>
  <conditionalFormatting sqref="S14">
    <cfRule type="containsText" dxfId="6" priority="190" operator="containsText" text="■">
      <formula>NOT(ISERROR(SEARCH("■",S14)))</formula>
    </cfRule>
  </conditionalFormatting>
  <conditionalFormatting sqref="S15">
    <cfRule type="containsText" dxfId="4" priority="226" operator="containsText" text="■">
      <formula>NOT(ISERROR(SEARCH("■",S15)))</formula>
    </cfRule>
  </conditionalFormatting>
  <conditionalFormatting sqref="S16">
    <cfRule type="containsText" dxfId="4" priority="262" operator="containsText" text="■">
      <formula>NOT(ISERROR(SEARCH("■",S16)))</formula>
    </cfRule>
  </conditionalFormatting>
  <conditionalFormatting sqref="S17">
    <cfRule type="containsText" dxfId="5" priority="298" operator="containsText" text="■">
      <formula>NOT(ISERROR(SEARCH("■",S17)))</formula>
    </cfRule>
  </conditionalFormatting>
  <conditionalFormatting sqref="S18">
    <cfRule type="containsText" dxfId="5" priority="334" operator="containsText" text="■">
      <formula>NOT(ISERROR(SEARCH("■",S18)))</formula>
    </cfRule>
  </conditionalFormatting>
  <conditionalFormatting sqref="S19">
    <cfRule type="containsText" dxfId="7" priority="370" operator="containsText" text="■">
      <formula>NOT(ISERROR(SEARCH("■",S19)))</formula>
    </cfRule>
  </conditionalFormatting>
  <conditionalFormatting sqref="S9">
    <cfRule type="containsText" dxfId="4" priority="10" operator="containsText" text="■">
      <formula>NOT(ISERROR(SEARCH("■",S9)))</formula>
    </cfRule>
  </conditionalFormatting>
  <conditionalFormatting sqref="T10">
    <cfRule type="containsText" dxfId="4" priority="47" operator="containsText" text="■">
      <formula>NOT(ISERROR(SEARCH("■",T10)))</formula>
    </cfRule>
  </conditionalFormatting>
  <conditionalFormatting sqref="T11">
    <cfRule type="containsText" dxfId="4" priority="83" operator="containsText" text="■">
      <formula>NOT(ISERROR(SEARCH("■",T11)))</formula>
    </cfRule>
  </conditionalFormatting>
  <conditionalFormatting sqref="T12">
    <cfRule type="containsText" dxfId="5" priority="119" operator="containsText" text="■">
      <formula>NOT(ISERROR(SEARCH("■",T12)))</formula>
    </cfRule>
  </conditionalFormatting>
  <conditionalFormatting sqref="T13">
    <cfRule type="containsText" dxfId="4" priority="155" operator="containsText" text="■">
      <formula>NOT(ISERROR(SEARCH("■",T13)))</formula>
    </cfRule>
  </conditionalFormatting>
  <conditionalFormatting sqref="T14">
    <cfRule type="containsText" dxfId="6" priority="191" operator="containsText" text="■">
      <formula>NOT(ISERROR(SEARCH("■",T14)))</formula>
    </cfRule>
  </conditionalFormatting>
  <conditionalFormatting sqref="T15">
    <cfRule type="containsText" dxfId="4" priority="227" operator="containsText" text="■">
      <formula>NOT(ISERROR(SEARCH("■",T15)))</formula>
    </cfRule>
  </conditionalFormatting>
  <conditionalFormatting sqref="T16">
    <cfRule type="containsText" dxfId="4" priority="263" operator="containsText" text="■">
      <formula>NOT(ISERROR(SEARCH("■",T16)))</formula>
    </cfRule>
  </conditionalFormatting>
  <conditionalFormatting sqref="T17">
    <cfRule type="containsText" dxfId="5" priority="299" operator="containsText" text="■">
      <formula>NOT(ISERROR(SEARCH("■",T17)))</formula>
    </cfRule>
  </conditionalFormatting>
  <conditionalFormatting sqref="T18">
    <cfRule type="containsText" dxfId="5" priority="335" operator="containsText" text="■">
      <formula>NOT(ISERROR(SEARCH("■",T18)))</formula>
    </cfRule>
  </conditionalFormatting>
  <conditionalFormatting sqref="T19">
    <cfRule type="containsText" dxfId="7" priority="371" operator="containsText" text="■">
      <formula>NOT(ISERROR(SEARCH("■",T19)))</formula>
    </cfRule>
  </conditionalFormatting>
  <conditionalFormatting sqref="T9">
    <cfRule type="containsText" dxfId="4" priority="11" operator="containsText" text="■">
      <formula>NOT(ISERROR(SEARCH("■",T9)))</formula>
    </cfRule>
  </conditionalFormatting>
  <conditionalFormatting sqref="U10">
    <cfRule type="containsText" dxfId="4" priority="48" operator="containsText" text="■">
      <formula>NOT(ISERROR(SEARCH("■",U10)))</formula>
    </cfRule>
  </conditionalFormatting>
  <conditionalFormatting sqref="U11">
    <cfRule type="containsText" dxfId="4" priority="84" operator="containsText" text="■">
      <formula>NOT(ISERROR(SEARCH("■",U11)))</formula>
    </cfRule>
  </conditionalFormatting>
  <conditionalFormatting sqref="U12">
    <cfRule type="containsText" dxfId="5" priority="120" operator="containsText" text="■">
      <formula>NOT(ISERROR(SEARCH("■",U12)))</formula>
    </cfRule>
  </conditionalFormatting>
  <conditionalFormatting sqref="U13">
    <cfRule type="containsText" dxfId="4" priority="156" operator="containsText" text="■">
      <formula>NOT(ISERROR(SEARCH("■",U13)))</formula>
    </cfRule>
  </conditionalFormatting>
  <conditionalFormatting sqref="U14">
    <cfRule type="containsText" dxfId="6" priority="192" operator="containsText" text="■">
      <formula>NOT(ISERROR(SEARCH("■",U14)))</formula>
    </cfRule>
  </conditionalFormatting>
  <conditionalFormatting sqref="U15">
    <cfRule type="containsText" dxfId="4" priority="228" operator="containsText" text="■">
      <formula>NOT(ISERROR(SEARCH("■",U15)))</formula>
    </cfRule>
  </conditionalFormatting>
  <conditionalFormatting sqref="U16">
    <cfRule type="containsText" dxfId="4" priority="264" operator="containsText" text="■">
      <formula>NOT(ISERROR(SEARCH("■",U16)))</formula>
    </cfRule>
  </conditionalFormatting>
  <conditionalFormatting sqref="U17">
    <cfRule type="containsText" dxfId="5" priority="300" operator="containsText" text="■">
      <formula>NOT(ISERROR(SEARCH("■",U17)))</formula>
    </cfRule>
  </conditionalFormatting>
  <conditionalFormatting sqref="U18">
    <cfRule type="containsText" dxfId="5" priority="336" operator="containsText" text="■">
      <formula>NOT(ISERROR(SEARCH("■",U18)))</formula>
    </cfRule>
  </conditionalFormatting>
  <conditionalFormatting sqref="U19">
    <cfRule type="containsText" dxfId="7" priority="372" operator="containsText" text="■">
      <formula>NOT(ISERROR(SEARCH("■",U19)))</formula>
    </cfRule>
  </conditionalFormatting>
  <conditionalFormatting sqref="U9">
    <cfRule type="containsText" dxfId="4" priority="12" operator="containsText" text="■">
      <formula>NOT(ISERROR(SEARCH("■",U9)))</formula>
    </cfRule>
  </conditionalFormatting>
  <conditionalFormatting sqref="V10">
    <cfRule type="containsText" dxfId="4" priority="49" operator="containsText" text="■">
      <formula>NOT(ISERROR(SEARCH("■",V10)))</formula>
    </cfRule>
  </conditionalFormatting>
  <conditionalFormatting sqref="V11">
    <cfRule type="containsText" dxfId="4" priority="85" operator="containsText" text="■">
      <formula>NOT(ISERROR(SEARCH("■",V11)))</formula>
    </cfRule>
  </conditionalFormatting>
  <conditionalFormatting sqref="V12">
    <cfRule type="containsText" dxfId="5" priority="121" operator="containsText" text="■">
      <formula>NOT(ISERROR(SEARCH("■",V12)))</formula>
    </cfRule>
  </conditionalFormatting>
  <conditionalFormatting sqref="V13">
    <cfRule type="containsText" dxfId="4" priority="157" operator="containsText" text="■">
      <formula>NOT(ISERROR(SEARCH("■",V13)))</formula>
    </cfRule>
  </conditionalFormatting>
  <conditionalFormatting sqref="V14">
    <cfRule type="containsText" dxfId="6" priority="193" operator="containsText" text="■">
      <formula>NOT(ISERROR(SEARCH("■",V14)))</formula>
    </cfRule>
  </conditionalFormatting>
  <conditionalFormatting sqref="V15">
    <cfRule type="containsText" dxfId="4" priority="229" operator="containsText" text="■">
      <formula>NOT(ISERROR(SEARCH("■",V15)))</formula>
    </cfRule>
  </conditionalFormatting>
  <conditionalFormatting sqref="V16">
    <cfRule type="containsText" dxfId="4" priority="265" operator="containsText" text="■">
      <formula>NOT(ISERROR(SEARCH("■",V16)))</formula>
    </cfRule>
  </conditionalFormatting>
  <conditionalFormatting sqref="V17">
    <cfRule type="containsText" dxfId="5" priority="301" operator="containsText" text="■">
      <formula>NOT(ISERROR(SEARCH("■",V17)))</formula>
    </cfRule>
  </conditionalFormatting>
  <conditionalFormatting sqref="V18">
    <cfRule type="containsText" dxfId="5" priority="337" operator="containsText" text="■">
      <formula>NOT(ISERROR(SEARCH("■",V18)))</formula>
    </cfRule>
  </conditionalFormatting>
  <conditionalFormatting sqref="V19">
    <cfRule type="containsText" dxfId="7" priority="373" operator="containsText" text="■">
      <formula>NOT(ISERROR(SEARCH("■",V19)))</formula>
    </cfRule>
  </conditionalFormatting>
  <conditionalFormatting sqref="V9">
    <cfRule type="containsText" dxfId="4" priority="13" operator="containsText" text="■">
      <formula>NOT(ISERROR(SEARCH("■",V9)))</formula>
    </cfRule>
  </conditionalFormatting>
  <conditionalFormatting sqref="W10">
    <cfRule type="containsText" dxfId="4" priority="50" operator="containsText" text="■">
      <formula>NOT(ISERROR(SEARCH("■",W10)))</formula>
    </cfRule>
  </conditionalFormatting>
  <conditionalFormatting sqref="W11">
    <cfRule type="containsText" dxfId="4" priority="86" operator="containsText" text="■">
      <formula>NOT(ISERROR(SEARCH("■",W11)))</formula>
    </cfRule>
  </conditionalFormatting>
  <conditionalFormatting sqref="W12">
    <cfRule type="containsText" dxfId="5" priority="122" operator="containsText" text="■">
      <formula>NOT(ISERROR(SEARCH("■",W12)))</formula>
    </cfRule>
  </conditionalFormatting>
  <conditionalFormatting sqref="W13">
    <cfRule type="containsText" dxfId="4" priority="158" operator="containsText" text="■">
      <formula>NOT(ISERROR(SEARCH("■",W13)))</formula>
    </cfRule>
  </conditionalFormatting>
  <conditionalFormatting sqref="W14">
    <cfRule type="containsText" dxfId="6" priority="194" operator="containsText" text="■">
      <formula>NOT(ISERROR(SEARCH("■",W14)))</formula>
    </cfRule>
  </conditionalFormatting>
  <conditionalFormatting sqref="W15">
    <cfRule type="containsText" dxfId="4" priority="230" operator="containsText" text="■">
      <formula>NOT(ISERROR(SEARCH("■",W15)))</formula>
    </cfRule>
  </conditionalFormatting>
  <conditionalFormatting sqref="W16">
    <cfRule type="containsText" dxfId="4" priority="266" operator="containsText" text="■">
      <formula>NOT(ISERROR(SEARCH("■",W16)))</formula>
    </cfRule>
  </conditionalFormatting>
  <conditionalFormatting sqref="W17">
    <cfRule type="containsText" dxfId="5" priority="302" operator="containsText" text="■">
      <formula>NOT(ISERROR(SEARCH("■",W17)))</formula>
    </cfRule>
  </conditionalFormatting>
  <conditionalFormatting sqref="W18">
    <cfRule type="containsText" dxfId="5" priority="338" operator="containsText" text="■">
      <formula>NOT(ISERROR(SEARCH("■",W18)))</formula>
    </cfRule>
  </conditionalFormatting>
  <conditionalFormatting sqref="W19">
    <cfRule type="containsText" dxfId="7" priority="374" operator="containsText" text="■">
      <formula>NOT(ISERROR(SEARCH("■",W19)))</formula>
    </cfRule>
  </conditionalFormatting>
  <conditionalFormatting sqref="W9">
    <cfRule type="containsText" dxfId="4" priority="14" operator="containsText" text="■">
      <formula>NOT(ISERROR(SEARCH("■",W9)))</formula>
    </cfRule>
  </conditionalFormatting>
  <conditionalFormatting sqref="X10">
    <cfRule type="containsText" dxfId="4" priority="51" operator="containsText" text="■">
      <formula>NOT(ISERROR(SEARCH("■",X10)))</formula>
    </cfRule>
  </conditionalFormatting>
  <conditionalFormatting sqref="X11">
    <cfRule type="containsText" dxfId="4" priority="87" operator="containsText" text="■">
      <formula>NOT(ISERROR(SEARCH("■",X11)))</formula>
    </cfRule>
  </conditionalFormatting>
  <conditionalFormatting sqref="X12">
    <cfRule type="containsText" dxfId="5" priority="123" operator="containsText" text="■">
      <formula>NOT(ISERROR(SEARCH("■",X12)))</formula>
    </cfRule>
  </conditionalFormatting>
  <conditionalFormatting sqref="X13">
    <cfRule type="containsText" dxfId="4" priority="159" operator="containsText" text="■">
      <formula>NOT(ISERROR(SEARCH("■",X13)))</formula>
    </cfRule>
  </conditionalFormatting>
  <conditionalFormatting sqref="X14">
    <cfRule type="containsText" dxfId="6" priority="195" operator="containsText" text="■">
      <formula>NOT(ISERROR(SEARCH("■",X14)))</formula>
    </cfRule>
  </conditionalFormatting>
  <conditionalFormatting sqref="X15">
    <cfRule type="containsText" dxfId="4" priority="231" operator="containsText" text="■">
      <formula>NOT(ISERROR(SEARCH("■",X15)))</formula>
    </cfRule>
  </conditionalFormatting>
  <conditionalFormatting sqref="X16">
    <cfRule type="containsText" dxfId="4" priority="267" operator="containsText" text="■">
      <formula>NOT(ISERROR(SEARCH("■",X16)))</formula>
    </cfRule>
  </conditionalFormatting>
  <conditionalFormatting sqref="X17">
    <cfRule type="containsText" dxfId="5" priority="303" operator="containsText" text="■">
      <formula>NOT(ISERROR(SEARCH("■",X17)))</formula>
    </cfRule>
  </conditionalFormatting>
  <conditionalFormatting sqref="X18">
    <cfRule type="containsText" dxfId="5" priority="339" operator="containsText" text="■">
      <formula>NOT(ISERROR(SEARCH("■",X18)))</formula>
    </cfRule>
  </conditionalFormatting>
  <conditionalFormatting sqref="X19">
    <cfRule type="containsText" dxfId="7" priority="375" operator="containsText" text="■">
      <formula>NOT(ISERROR(SEARCH("■",X19)))</formula>
    </cfRule>
  </conditionalFormatting>
  <conditionalFormatting sqref="X9">
    <cfRule type="containsText" dxfId="4" priority="15" operator="containsText" text="■">
      <formula>NOT(ISERROR(SEARCH("■",X9)))</formula>
    </cfRule>
  </conditionalFormatting>
  <conditionalFormatting sqref="Y10">
    <cfRule type="containsText" dxfId="4" priority="52" operator="containsText" text="■">
      <formula>NOT(ISERROR(SEARCH("■",Y10)))</formula>
    </cfRule>
  </conditionalFormatting>
  <conditionalFormatting sqref="Y11">
    <cfRule type="containsText" dxfId="4" priority="88" operator="containsText" text="■">
      <formula>NOT(ISERROR(SEARCH("■",Y11)))</formula>
    </cfRule>
  </conditionalFormatting>
  <conditionalFormatting sqref="Y12">
    <cfRule type="containsText" dxfId="5" priority="124" operator="containsText" text="■">
      <formula>NOT(ISERROR(SEARCH("■",Y12)))</formula>
    </cfRule>
  </conditionalFormatting>
  <conditionalFormatting sqref="Y13">
    <cfRule type="containsText" dxfId="4" priority="160" operator="containsText" text="■">
      <formula>NOT(ISERROR(SEARCH("■",Y13)))</formula>
    </cfRule>
  </conditionalFormatting>
  <conditionalFormatting sqref="Y14">
    <cfRule type="containsText" dxfId="6" priority="196" operator="containsText" text="■">
      <formula>NOT(ISERROR(SEARCH("■",Y14)))</formula>
    </cfRule>
  </conditionalFormatting>
  <conditionalFormatting sqref="Y15">
    <cfRule type="containsText" dxfId="4" priority="232" operator="containsText" text="■">
      <formula>NOT(ISERROR(SEARCH("■",Y15)))</formula>
    </cfRule>
  </conditionalFormatting>
  <conditionalFormatting sqref="Y16">
    <cfRule type="containsText" dxfId="4" priority="268" operator="containsText" text="■">
      <formula>NOT(ISERROR(SEARCH("■",Y16)))</formula>
    </cfRule>
  </conditionalFormatting>
  <conditionalFormatting sqref="Y17">
    <cfRule type="containsText" dxfId="5" priority="304" operator="containsText" text="■">
      <formula>NOT(ISERROR(SEARCH("■",Y17)))</formula>
    </cfRule>
  </conditionalFormatting>
  <conditionalFormatting sqref="Y18">
    <cfRule type="containsText" dxfId="5" priority="340" operator="containsText" text="■">
      <formula>NOT(ISERROR(SEARCH("■",Y18)))</formula>
    </cfRule>
  </conditionalFormatting>
  <conditionalFormatting sqref="Y19">
    <cfRule type="containsText" dxfId="7" priority="376" operator="containsText" text="■">
      <formula>NOT(ISERROR(SEARCH("■",Y19)))</formula>
    </cfRule>
  </conditionalFormatting>
  <conditionalFormatting sqref="Y9">
    <cfRule type="containsText" dxfId="4" priority="16" operator="containsText" text="■">
      <formula>NOT(ISERROR(SEARCH("■",Y9)))</formula>
    </cfRule>
  </conditionalFormatting>
  <conditionalFormatting sqref="Z10">
    <cfRule type="containsText" dxfId="4" priority="53" operator="containsText" text="■">
      <formula>NOT(ISERROR(SEARCH("■",Z10)))</formula>
    </cfRule>
  </conditionalFormatting>
  <conditionalFormatting sqref="Z11">
    <cfRule type="containsText" dxfId="4" priority="89" operator="containsText" text="■">
      <formula>NOT(ISERROR(SEARCH("■",Z11)))</formula>
    </cfRule>
  </conditionalFormatting>
  <conditionalFormatting sqref="Z12">
    <cfRule type="containsText" dxfId="5" priority="125" operator="containsText" text="■">
      <formula>NOT(ISERROR(SEARCH("■",Z12)))</formula>
    </cfRule>
  </conditionalFormatting>
  <conditionalFormatting sqref="Z13">
    <cfRule type="containsText" dxfId="4" priority="161" operator="containsText" text="■">
      <formula>NOT(ISERROR(SEARCH("■",Z13)))</formula>
    </cfRule>
  </conditionalFormatting>
  <conditionalFormatting sqref="Z14">
    <cfRule type="containsText" dxfId="6" priority="197" operator="containsText" text="■">
      <formula>NOT(ISERROR(SEARCH("■",Z14)))</formula>
    </cfRule>
  </conditionalFormatting>
  <conditionalFormatting sqref="Z15">
    <cfRule type="containsText" dxfId="4" priority="233" operator="containsText" text="■">
      <formula>NOT(ISERROR(SEARCH("■",Z15)))</formula>
    </cfRule>
  </conditionalFormatting>
  <conditionalFormatting sqref="Z16">
    <cfRule type="containsText" dxfId="4" priority="269" operator="containsText" text="■">
      <formula>NOT(ISERROR(SEARCH("■",Z16)))</formula>
    </cfRule>
  </conditionalFormatting>
  <conditionalFormatting sqref="Z17">
    <cfRule type="containsText" dxfId="5" priority="305" operator="containsText" text="■">
      <formula>NOT(ISERROR(SEARCH("■",Z17)))</formula>
    </cfRule>
  </conditionalFormatting>
  <conditionalFormatting sqref="Z18">
    <cfRule type="containsText" dxfId="5" priority="341" operator="containsText" text="■">
      <formula>NOT(ISERROR(SEARCH("■",Z18)))</formula>
    </cfRule>
  </conditionalFormatting>
  <conditionalFormatting sqref="Z19">
    <cfRule type="containsText" dxfId="7" priority="377" operator="containsText" text="■">
      <formula>NOT(ISERROR(SEARCH("■",Z19)))</formula>
    </cfRule>
  </conditionalFormatting>
  <conditionalFormatting sqref="Z9">
    <cfRule type="containsText" dxfId="4" priority="17" operator="containsText" text="■">
      <formula>NOT(ISERROR(SEARCH("■",Z9)))</formula>
    </cfRule>
  </conditionalFormatting>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&amp;LОТ ЦЕЛЬ&amp;RСтр. &amp;P / &amp;N</oddFooter>
  </headerFooter>
</worksheet>
</file>

<file path=xl/worksheets/sheet17.xml><?xml version="1.0" encoding="utf-8"?>
<worksheet xmlns="http://schemas.openxmlformats.org/spreadsheetml/2006/main" xmlns:r="http://schemas.openxmlformats.org/officeDocument/2006/relationships">
  <sheetPr>
    <tabColor rgb="FF147D92"/>
    <pageSetUpPr fitToPage="1"/>
  </sheetPr>
  <dimension ref="A1:K5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28.7109375" customWidth="1"/>
    <col min="2" max="11" width="16.7109375" customWidth="1"/>
  </cols>
  <sheetData>
    <row r="1" spans="1:11" ht="35" customHeight="1">
      <c r="A1" s="1" t="s">
        <v>469</v>
      </c>
      <c r="B1" s="1"/>
      <c r="C1" s="1"/>
      <c r="D1" s="1"/>
      <c r="E1" s="1"/>
      <c r="F1" s="1"/>
      <c r="G1" s="1"/>
      <c r="H1" s="1"/>
      <c r="I1" s="1"/>
      <c r="J1" s="1"/>
      <c r="K1" s="1"/>
    </row>
    <row r="2" spans="1:11" ht="31" customHeight="1">
      <c r="A2" s="2" t="s">
        <v>1</v>
      </c>
      <c r="B2" s="2"/>
      <c r="C2" s="2"/>
      <c r="D2" s="2"/>
      <c r="E2" s="2"/>
      <c r="F2" s="2"/>
      <c r="G2" s="2"/>
      <c r="H2" s="2"/>
      <c r="I2" s="2"/>
      <c r="J2" s="2"/>
      <c r="K2" s="2"/>
    </row>
    <row r="3" spans="1:11" ht="23" customHeight="1">
      <c r="A3" s="3" t="s">
        <v>2</v>
      </c>
      <c r="B3" s="7" t="s">
        <v>3</v>
      </c>
      <c r="C3" s="7"/>
      <c r="D3" s="7"/>
      <c r="E3" s="7"/>
      <c r="F3" s="7"/>
      <c r="G3" s="7"/>
      <c r="H3" s="7"/>
      <c r="I3" s="7"/>
      <c r="J3" s="7"/>
      <c r="K3" s="7"/>
    </row>
    <row r="7" spans="1:11" ht="44" customHeight="1">
      <c r="A7" s="8" t="s">
        <v>470</v>
      </c>
      <c r="B7" s="8" t="s">
        <v>287</v>
      </c>
      <c r="C7" s="8" t="s">
        <v>288</v>
      </c>
      <c r="D7" s="8" t="s">
        <v>471</v>
      </c>
      <c r="E7" s="8" t="s">
        <v>472</v>
      </c>
      <c r="F7" s="8" t="s">
        <v>473</v>
      </c>
      <c r="G7" s="8" t="s">
        <v>474</v>
      </c>
      <c r="H7" s="8" t="s">
        <v>475</v>
      </c>
      <c r="I7" s="8" t="s">
        <v>476</v>
      </c>
      <c r="J7" s="8" t="s">
        <v>477</v>
      </c>
      <c r="K7" s="8" t="s">
        <v>478</v>
      </c>
    </row>
    <row r="8" spans="1:11" ht="23" customHeight="1">
      <c r="A8" s="5" t="s">
        <v>479</v>
      </c>
      <c r="B8" s="13">
        <f>'Расчет ДО'!E27</f>
        <v>199.4925</v>
      </c>
      <c r="C8" s="13">
        <f>'Расчет ДО'!F27</f>
        <v>32</v>
      </c>
      <c r="D8" s="13">
        <f>'Расчет ДО'!H27</f>
        <v>288.75</v>
      </c>
      <c r="E8" s="13">
        <f>'Расчет ДО'!G27</f>
        <v>12</v>
      </c>
      <c r="F8" s="13">
        <f>'Расчет ДО'!M27</f>
        <v>236.25</v>
      </c>
      <c r="G8" s="13">
        <f>'Расчет ДО'!L27</f>
        <v>15.97</v>
      </c>
      <c r="H8" s="13">
        <f>'Ввод'!B30</f>
        <v>768.75</v>
      </c>
      <c r="I8" s="13">
        <f>IF(COUNT(B8:F8)=5,SUM(B8:F8),"")</f>
        <v>768.4925</v>
      </c>
      <c r="J8" s="16">
        <f>IF(AND(ISNUMBER(H8),H8&gt;0,ISNUMBER(I8)),I8/H8,"")</f>
        <v>0.999665040650407</v>
      </c>
      <c r="K8" s="15">
        <f>IF(ISNUMBER(J8),ROUNDUP(J8,0),"")</f>
        <v>1</v>
      </c>
    </row>
    <row r="9" spans="1:11" ht="23" customHeight="1">
      <c r="A9" s="5" t="s">
        <v>480</v>
      </c>
      <c r="B9" s="13">
        <f>'Расчет ЦЕЛЬ'!E27</f>
        <v>187.565</v>
      </c>
      <c r="C9" s="13">
        <f>'Расчет ЦЕЛЬ'!F27</f>
        <v>16</v>
      </c>
      <c r="D9" s="13">
        <f>'Расчет ЦЕЛЬ'!H27</f>
        <v>288.75</v>
      </c>
      <c r="E9" s="13">
        <f>'Расчет ЦЕЛЬ'!G27</f>
        <v>0</v>
      </c>
      <c r="F9" s="13">
        <f>'Расчет ЦЕЛЬ'!M27</f>
        <v>234.375</v>
      </c>
      <c r="G9" s="13">
        <f>'Расчет ЦЕЛЬ'!L27</f>
        <v>13.6075</v>
      </c>
      <c r="H9" s="13">
        <f>'Ввод'!B30</f>
        <v>768.75</v>
      </c>
      <c r="I9" s="13">
        <f>IF(COUNT(B9:F9)=5,SUM(B9:F9),"")</f>
        <v>726.69</v>
      </c>
      <c r="J9" s="16">
        <f>IF(AND(ISNUMBER(H9),H9&gt;0,ISNUMBER(I9)),I9/H9,"")</f>
        <v>0.945287804878049</v>
      </c>
      <c r="K9" s="15">
        <f>IF(ISNUMBER(J9),ROUNDUP(J9,0),"")</f>
        <v>1</v>
      </c>
    </row>
    <row r="33" spans="1:11" ht="23" customHeight="1">
      <c r="A33" s="2" t="s">
        <v>481</v>
      </c>
      <c r="B33" s="2"/>
      <c r="C33" s="2"/>
      <c r="D33" s="2"/>
      <c r="E33" s="2"/>
      <c r="F33" s="2"/>
      <c r="G33" s="2"/>
      <c r="H33" s="2"/>
      <c r="I33" s="2"/>
      <c r="J33" s="2"/>
      <c r="K33" s="2"/>
    </row>
    <row r="34" spans="1:11" ht="23" customHeight="1">
      <c r="A34" s="2"/>
      <c r="B34" s="2"/>
      <c r="C34" s="2"/>
      <c r="D34" s="2"/>
      <c r="E34" s="2"/>
      <c r="F34" s="2"/>
      <c r="G34" s="2"/>
      <c r="H34" s="2"/>
      <c r="I34" s="2"/>
      <c r="J34" s="2"/>
      <c r="K34" s="2"/>
    </row>
    <row r="35" spans="1:11" ht="23" customHeight="1">
      <c r="A35" s="2"/>
      <c r="B35" s="2"/>
      <c r="C35" s="2"/>
      <c r="D35" s="2"/>
      <c r="E35" s="2"/>
      <c r="F35" s="2"/>
      <c r="G35" s="2"/>
      <c r="H35" s="2"/>
      <c r="I35" s="2"/>
      <c r="J35" s="2"/>
      <c r="K35" s="2"/>
    </row>
    <row r="37" spans="1:11" ht="44" customHeight="1">
      <c r="A37" s="8" t="s">
        <v>114</v>
      </c>
      <c r="B37" s="8" t="s">
        <v>482</v>
      </c>
      <c r="C37" s="8" t="s">
        <v>483</v>
      </c>
      <c r="D37" s="8" t="s">
        <v>484</v>
      </c>
      <c r="E37" s="8" t="s">
        <v>475</v>
      </c>
      <c r="F37" s="8" t="s">
        <v>485</v>
      </c>
      <c r="G37" s="8" t="s">
        <v>486</v>
      </c>
      <c r="H37" s="8" t="s">
        <v>487</v>
      </c>
      <c r="I37" s="8" t="s">
        <v>285</v>
      </c>
      <c r="J37" s="8" t="s">
        <v>488</v>
      </c>
      <c r="K37" s="8" t="s">
        <v>442</v>
      </c>
    </row>
    <row r="38" spans="1:11" ht="38" customHeight="1">
      <c r="A38" s="5" t="s">
        <v>24</v>
      </c>
      <c r="B38" s="13">
        <f>'Расчет ДО'!I8</f>
        <v>732.38</v>
      </c>
      <c r="C38" s="13">
        <f>'Расчет ДО'!M8</f>
        <v>236.25</v>
      </c>
      <c r="D38" s="13">
        <f>'Расчет ДО'!L8</f>
        <v>19.0199999999999</v>
      </c>
      <c r="E38" s="13">
        <f>'Ввод'!B30</f>
        <v>768.75</v>
      </c>
      <c r="F38" s="13">
        <f>'Расчет ЦЕЛЬ'!I8</f>
        <v>692.46</v>
      </c>
      <c r="G38" s="13">
        <f>'Расчет ЦЕЛЬ'!M8</f>
        <v>234.375</v>
      </c>
      <c r="H38" s="13">
        <f>'Расчет ЦЕЛЬ'!L8</f>
        <v>16.65</v>
      </c>
      <c r="I38" s="13">
        <f>'Ассортимент'!O8</f>
        <v>2</v>
      </c>
      <c r="J38" s="16">
        <f>'Ассортимент'!Q8</f>
        <v>0.0625</v>
      </c>
      <c r="K38" s="7" t="s">
        <v>489</v>
      </c>
    </row>
    <row r="39" spans="1:11" ht="38" customHeight="1">
      <c r="A39" s="5" t="s">
        <v>133</v>
      </c>
      <c r="B39" s="13">
        <f>'Расчет ДО'!I9</f>
        <v>742.58</v>
      </c>
      <c r="C39" s="13">
        <f>'Расчет ДО'!M9</f>
        <v>236.25</v>
      </c>
      <c r="D39" s="13">
        <f>'Расчет ДО'!L9</f>
        <v>19.82</v>
      </c>
      <c r="E39" s="13">
        <f>'Ввод'!B30</f>
        <v>768.75</v>
      </c>
      <c r="F39" s="13">
        <f>'Расчет ЦЕЛЬ'!I9</f>
        <v>702.66</v>
      </c>
      <c r="G39" s="13">
        <f>'Расчет ЦЕЛЬ'!M9</f>
        <v>234.375</v>
      </c>
      <c r="H39" s="13">
        <f>'Расчет ЦЕЛЬ'!L9</f>
        <v>17.45</v>
      </c>
      <c r="I39" s="13">
        <f>'Ассортимент'!O9</f>
        <v>1</v>
      </c>
      <c r="J39" s="16">
        <f>'Ассортимент'!Q9</f>
        <v>0.03125</v>
      </c>
      <c r="K39" s="7" t="s">
        <v>489</v>
      </c>
    </row>
    <row r="40" spans="1:11" ht="38" customHeight="1">
      <c r="A40" s="5" t="s">
        <v>134</v>
      </c>
      <c r="B40" s="13">
        <f>'Расчет ДО'!I10</f>
        <v>752.78</v>
      </c>
      <c r="C40" s="13">
        <f>'Расчет ДО'!M10</f>
        <v>236.25</v>
      </c>
      <c r="D40" s="13">
        <f>'Расчет ДО'!L10</f>
        <v>20.6199999999999</v>
      </c>
      <c r="E40" s="13">
        <f>'Ввод'!B30</f>
        <v>768.75</v>
      </c>
      <c r="F40" s="13">
        <f>'Расчет ЦЕЛЬ'!I10</f>
        <v>712.75</v>
      </c>
      <c r="G40" s="13">
        <f>'Расчет ЦЕЛЬ'!M10</f>
        <v>234.375</v>
      </c>
      <c r="H40" s="13">
        <f>'Расчет ЦЕЛЬ'!L10</f>
        <v>18.36</v>
      </c>
      <c r="I40" s="13">
        <f>'Ассортимент'!O10</f>
        <v>1</v>
      </c>
      <c r="J40" s="16">
        <f>'Ассортимент'!Q10</f>
        <v>0.03125</v>
      </c>
      <c r="K40" s="7" t="s">
        <v>489</v>
      </c>
    </row>
    <row r="41" spans="1:11" ht="38" customHeight="1">
      <c r="A41" s="5" t="s">
        <v>135</v>
      </c>
      <c r="B41" s="13">
        <f>'Расчет ДО'!I11</f>
        <v>396.08</v>
      </c>
      <c r="C41" s="13">
        <f>'Расчет ДО'!M11</f>
        <v>236.25</v>
      </c>
      <c r="D41" s="13">
        <f>'Расчет ДО'!L11</f>
        <v>13.82</v>
      </c>
      <c r="E41" s="13">
        <f>'Ввод'!B30</f>
        <v>768.75</v>
      </c>
      <c r="F41" s="13">
        <f>'Расчет ЦЕЛЬ'!I11</f>
        <v>356.16</v>
      </c>
      <c r="G41" s="13">
        <f>'Расчет ЦЕЛЬ'!M11</f>
        <v>234.375</v>
      </c>
      <c r="H41" s="13">
        <f>'Расчет ЦЕЛЬ'!L11</f>
        <v>11.45</v>
      </c>
      <c r="I41" s="13">
        <f>'Ассортимент'!O11</f>
        <v>5</v>
      </c>
      <c r="J41" s="16">
        <f>'Ассортимент'!Q11</f>
        <v>0.15625</v>
      </c>
      <c r="K41" s="7" t="s">
        <v>489</v>
      </c>
    </row>
    <row r="42" spans="1:11" ht="38" customHeight="1">
      <c r="A42" s="5" t="s">
        <v>137</v>
      </c>
      <c r="B42" s="13">
        <f>'Расчет ДО'!I12</f>
        <v>416.48</v>
      </c>
      <c r="C42" s="13">
        <f>'Расчет ДО'!M12</f>
        <v>236.25</v>
      </c>
      <c r="D42" s="13">
        <f>'Расчет ДО'!L12</f>
        <v>15.42</v>
      </c>
      <c r="E42" s="13">
        <f>'Ввод'!B30</f>
        <v>768.75</v>
      </c>
      <c r="F42" s="13">
        <f>'Расчет ЦЕЛЬ'!I12</f>
        <v>376.56</v>
      </c>
      <c r="G42" s="13">
        <f>'Расчет ЦЕЛЬ'!M12</f>
        <v>234.375</v>
      </c>
      <c r="H42" s="13">
        <f>'Расчет ЦЕЛЬ'!L12</f>
        <v>13.05</v>
      </c>
      <c r="I42" s="13">
        <f>'Ассортимент'!O12</f>
        <v>3</v>
      </c>
      <c r="J42" s="16">
        <f>'Ассортимент'!Q12</f>
        <v>0.09375</v>
      </c>
      <c r="K42" s="7" t="s">
        <v>489</v>
      </c>
    </row>
    <row r="43" spans="1:11" ht="38" customHeight="1">
      <c r="A43" s="5" t="s">
        <v>138</v>
      </c>
      <c r="B43" s="13">
        <f>'Расчет ДО'!I13</f>
        <v>597.68</v>
      </c>
      <c r="C43" s="13">
        <f>'Расчет ДО'!M13</f>
        <v>236.25</v>
      </c>
      <c r="D43" s="13">
        <f>'Расчет ДО'!L13</f>
        <v>20.2199999999999</v>
      </c>
      <c r="E43" s="13">
        <f>'Ввод'!B30</f>
        <v>768.75</v>
      </c>
      <c r="F43" s="13">
        <f>'Расчет ЦЕЛЬ'!I13</f>
        <v>557.75</v>
      </c>
      <c r="G43" s="13">
        <f>'Расчет ЦЕЛЬ'!M13</f>
        <v>234.375</v>
      </c>
      <c r="H43" s="13">
        <f>'Расчет ЦЕЛЬ'!L13</f>
        <v>17.86</v>
      </c>
      <c r="I43" s="13">
        <f>'Ассортимент'!O13</f>
        <v>2</v>
      </c>
      <c r="J43" s="16">
        <f>'Ассортимент'!Q13</f>
        <v>0.0625</v>
      </c>
      <c r="K43" s="7" t="s">
        <v>489</v>
      </c>
    </row>
    <row r="44" spans="1:11" ht="38" customHeight="1">
      <c r="A44" s="5" t="s">
        <v>139</v>
      </c>
      <c r="B44" s="13">
        <f>'Расчет ДО'!I14</f>
        <v>582.38</v>
      </c>
      <c r="C44" s="13">
        <f>'Расчет ДО'!M14</f>
        <v>236.25</v>
      </c>
      <c r="D44" s="13">
        <f>'Расчет ДО'!L14</f>
        <v>19.02</v>
      </c>
      <c r="E44" s="13">
        <f>'Ввод'!B30</f>
        <v>768.75</v>
      </c>
      <c r="F44" s="13">
        <f>'Расчет ЦЕЛЬ'!I14</f>
        <v>542.46</v>
      </c>
      <c r="G44" s="13">
        <f>'Расчет ЦЕЛЬ'!M14</f>
        <v>234.375</v>
      </c>
      <c r="H44" s="13">
        <f>'Расчет ЦЕЛЬ'!L14</f>
        <v>16.65</v>
      </c>
      <c r="I44" s="13">
        <f>'Ассортимент'!O14</f>
        <v>1</v>
      </c>
      <c r="J44" s="16">
        <f>'Ассортимент'!Q14</f>
        <v>0.03125</v>
      </c>
      <c r="K44" s="7" t="s">
        <v>489</v>
      </c>
    </row>
    <row r="45" spans="1:11" ht="38" customHeight="1">
      <c r="A45" s="5" t="s">
        <v>140</v>
      </c>
      <c r="B45" s="13">
        <f>'Расчет ДО'!I15</f>
        <v>602.78</v>
      </c>
      <c r="C45" s="13">
        <f>'Расчет ДО'!M15</f>
        <v>236.25</v>
      </c>
      <c r="D45" s="13">
        <f>'Расчет ДО'!L15</f>
        <v>20.6199999999999</v>
      </c>
      <c r="E45" s="13">
        <f>'Ввод'!B30</f>
        <v>768.75</v>
      </c>
      <c r="F45" s="13">
        <f>'Расчет ЦЕЛЬ'!I15</f>
        <v>562.75</v>
      </c>
      <c r="G45" s="13">
        <f>'Расчет ЦЕЛЬ'!M15</f>
        <v>234.375</v>
      </c>
      <c r="H45" s="13">
        <f>'Расчет ЦЕЛЬ'!L15</f>
        <v>18.36</v>
      </c>
      <c r="I45" s="13">
        <f>'Ассортимент'!O15</f>
        <v>1</v>
      </c>
      <c r="J45" s="16">
        <f>'Ассортимент'!Q15</f>
        <v>0.03125</v>
      </c>
      <c r="K45" s="7" t="s">
        <v>489</v>
      </c>
    </row>
    <row r="46" spans="1:11" ht="38" customHeight="1">
      <c r="A46" s="5" t="s">
        <v>141</v>
      </c>
      <c r="B46" s="13">
        <f>'Расчет ДО'!I16</f>
        <v>546.68</v>
      </c>
      <c r="C46" s="13">
        <f>'Расчет ДО'!M16</f>
        <v>236.25</v>
      </c>
      <c r="D46" s="13">
        <f>'Расчет ДО'!L16</f>
        <v>16.2199999999999</v>
      </c>
      <c r="E46" s="13">
        <f>'Ввод'!B30</f>
        <v>768.75</v>
      </c>
      <c r="F46" s="13">
        <f>'Расчет ЦЕЛЬ'!I16</f>
        <v>506.76</v>
      </c>
      <c r="G46" s="13">
        <f>'Расчет ЦЕЛЬ'!M16</f>
        <v>234.375</v>
      </c>
      <c r="H46" s="13">
        <f>'Расчет ЦЕЛЬ'!L16</f>
        <v>13.85</v>
      </c>
      <c r="I46" s="13">
        <f>'Ассортимент'!O16</f>
        <v>2</v>
      </c>
      <c r="J46" s="16">
        <f>'Ассортимент'!Q16</f>
        <v>0.0625</v>
      </c>
      <c r="K46" s="7" t="s">
        <v>489</v>
      </c>
    </row>
    <row r="47" spans="1:11" ht="38" customHeight="1">
      <c r="A47" s="5" t="s">
        <v>142</v>
      </c>
      <c r="B47" s="13">
        <f>'Расчет ДО'!I17</f>
        <v>526.28</v>
      </c>
      <c r="C47" s="13">
        <f>'Расчет ДО'!M17</f>
        <v>236.25</v>
      </c>
      <c r="D47" s="13">
        <f>'Расчет ДО'!L17</f>
        <v>14.6199999999999</v>
      </c>
      <c r="E47" s="13">
        <f>'Ввод'!B30</f>
        <v>768.75</v>
      </c>
      <c r="F47" s="13">
        <f>'Расчет ЦЕЛЬ'!I17</f>
        <v>486.36</v>
      </c>
      <c r="G47" s="13">
        <f>'Расчет ЦЕЛЬ'!M17</f>
        <v>234.375</v>
      </c>
      <c r="H47" s="13">
        <f>'Расчет ЦЕЛЬ'!L17</f>
        <v>12.2499999999999</v>
      </c>
      <c r="I47" s="13">
        <f>'Ассортимент'!O17</f>
        <v>3</v>
      </c>
      <c r="J47" s="16">
        <f>'Ассортимент'!Q17</f>
        <v>0.09375</v>
      </c>
      <c r="K47" s="7" t="s">
        <v>489</v>
      </c>
    </row>
    <row r="48" spans="1:11" ht="38" customHeight="1">
      <c r="A48" s="5" t="s">
        <v>143</v>
      </c>
      <c r="B48" s="13">
        <f>'Расчет ДО'!I18</f>
        <v>516.08</v>
      </c>
      <c r="C48" s="13">
        <f>'Расчет ДО'!M18</f>
        <v>236.25</v>
      </c>
      <c r="D48" s="13">
        <f>'Расчет ДО'!L18</f>
        <v>13.8200000000001</v>
      </c>
      <c r="E48" s="13">
        <f>'Ввод'!B30</f>
        <v>768.75</v>
      </c>
      <c r="F48" s="13">
        <f>'Расчет ЦЕЛЬ'!I18</f>
        <v>476.16</v>
      </c>
      <c r="G48" s="13">
        <f>'Расчет ЦЕЛЬ'!M18</f>
        <v>234.375</v>
      </c>
      <c r="H48" s="13">
        <f>'Расчет ЦЕЛЬ'!L18</f>
        <v>11.45</v>
      </c>
      <c r="I48" s="13">
        <f>'Ассортимент'!O18</f>
        <v>4</v>
      </c>
      <c r="J48" s="16">
        <f>'Ассортимент'!Q18</f>
        <v>0.125</v>
      </c>
      <c r="K48" s="7" t="s">
        <v>489</v>
      </c>
    </row>
    <row r="49" spans="1:11" ht="38" customHeight="1">
      <c r="A49" s="5" t="s">
        <v>144</v>
      </c>
      <c r="B49" s="13">
        <f>'Расчет ДО'!I19</f>
        <v>541.58</v>
      </c>
      <c r="C49" s="13">
        <f>'Расчет ДО'!M19</f>
        <v>236.25</v>
      </c>
      <c r="D49" s="13">
        <f>'Расчет ДО'!L19</f>
        <v>15.82</v>
      </c>
      <c r="E49" s="13">
        <f>'Ввод'!B30</f>
        <v>768.75</v>
      </c>
      <c r="F49" s="13">
        <f>'Расчет ЦЕЛЬ'!I19</f>
        <v>501.66</v>
      </c>
      <c r="G49" s="13">
        <f>'Расчет ЦЕЛЬ'!M19</f>
        <v>234.375</v>
      </c>
      <c r="H49" s="13">
        <f>'Расчет ЦЕЛЬ'!L19</f>
        <v>13.45</v>
      </c>
      <c r="I49" s="13">
        <f>'Ассортимент'!O19</f>
        <v>1</v>
      </c>
      <c r="J49" s="16">
        <f>'Ассортимент'!Q19</f>
        <v>0.03125</v>
      </c>
      <c r="K49" s="7" t="s">
        <v>489</v>
      </c>
    </row>
    <row r="50" spans="1:11" ht="38" customHeight="1">
      <c r="A50" s="5" t="s">
        <v>145</v>
      </c>
      <c r="B50" s="13">
        <f>'Расчет ДО'!I20</f>
        <v>551.78</v>
      </c>
      <c r="C50" s="13">
        <f>'Расчет ДО'!M20</f>
        <v>236.25</v>
      </c>
      <c r="D50" s="13">
        <f>'Расчет ДО'!L20</f>
        <v>16.6199999999999</v>
      </c>
      <c r="E50" s="13">
        <f>'Ввод'!B30</f>
        <v>768.75</v>
      </c>
      <c r="F50" s="13">
        <f>'Расчет ЦЕЛЬ'!I20</f>
        <v>511.86</v>
      </c>
      <c r="G50" s="13">
        <f>'Расчет ЦЕЛЬ'!M20</f>
        <v>234.375</v>
      </c>
      <c r="H50" s="13">
        <f>'Расчет ЦЕЛЬ'!L20</f>
        <v>14.2499999999999</v>
      </c>
      <c r="I50" s="13">
        <f>'Ассортимент'!O20</f>
        <v>1</v>
      </c>
      <c r="J50" s="16">
        <f>'Ассортимент'!Q20</f>
        <v>0.03125</v>
      </c>
      <c r="K50" s="7" t="s">
        <v>489</v>
      </c>
    </row>
    <row r="51" spans="1:11" ht="38" customHeight="1">
      <c r="A51" s="5" t="s">
        <v>146</v>
      </c>
      <c r="B51" s="13">
        <f>'Расчет ДО'!I21</f>
        <v>546.68</v>
      </c>
      <c r="C51" s="13">
        <f>'Расчет ДО'!M21</f>
        <v>236.25</v>
      </c>
      <c r="D51" s="13">
        <f>'Расчет ДО'!L21</f>
        <v>16.2199999999999</v>
      </c>
      <c r="E51" s="13">
        <f>'Ввод'!B30</f>
        <v>768.75</v>
      </c>
      <c r="F51" s="13">
        <f>'Расчет ЦЕЛЬ'!I21</f>
        <v>506.76</v>
      </c>
      <c r="G51" s="13">
        <f>'Расчет ЦЕЛЬ'!M21</f>
        <v>234.375</v>
      </c>
      <c r="H51" s="13">
        <f>'Расчет ЦЕЛЬ'!L21</f>
        <v>13.85</v>
      </c>
      <c r="I51" s="13">
        <f>'Ассортимент'!O21</f>
        <v>1</v>
      </c>
      <c r="J51" s="16">
        <f>'Ассортимент'!Q21</f>
        <v>0.03125</v>
      </c>
      <c r="K51" s="7" t="s">
        <v>489</v>
      </c>
    </row>
    <row r="52" spans="1:11" ht="38" customHeight="1">
      <c r="A52" s="5" t="s">
        <v>147</v>
      </c>
      <c r="B52" s="13">
        <f>'Расчет ДО'!I22</f>
        <v>526.28</v>
      </c>
      <c r="C52" s="13">
        <f>'Расчет ДО'!M22</f>
        <v>236.25</v>
      </c>
      <c r="D52" s="13">
        <f>'Расчет ДО'!L22</f>
        <v>14.6199999999999</v>
      </c>
      <c r="E52" s="13">
        <f>'Ввод'!B30</f>
        <v>768.75</v>
      </c>
      <c r="F52" s="13">
        <f>'Расчет ЦЕЛЬ'!I22</f>
        <v>486.36</v>
      </c>
      <c r="G52" s="13">
        <f>'Расчет ЦЕЛЬ'!M22</f>
        <v>234.375</v>
      </c>
      <c r="H52" s="13">
        <f>'Расчет ЦЕЛЬ'!L22</f>
        <v>12.2499999999999</v>
      </c>
      <c r="I52" s="13">
        <f>'Ассортимент'!O22</f>
        <v>1</v>
      </c>
      <c r="J52" s="16">
        <f>'Ассортимент'!Q22</f>
        <v>0.03125</v>
      </c>
      <c r="K52" s="7" t="s">
        <v>489</v>
      </c>
    </row>
    <row r="53" spans="1:11" ht="38" customHeight="1">
      <c r="A53" s="5" t="s">
        <v>148</v>
      </c>
      <c r="B53" s="13">
        <f>'Расчет ДО'!I23</f>
        <v>536.48</v>
      </c>
      <c r="C53" s="13">
        <f>'Расчет ДО'!M23</f>
        <v>236.25</v>
      </c>
      <c r="D53" s="13">
        <f>'Расчет ДО'!L23</f>
        <v>15.42</v>
      </c>
      <c r="E53" s="13">
        <f>'Ввод'!B30</f>
        <v>768.75</v>
      </c>
      <c r="F53" s="13">
        <f>'Расчет ЦЕЛЬ'!I23</f>
        <v>496.56</v>
      </c>
      <c r="G53" s="13">
        <f>'Расчет ЦЕЛЬ'!M23</f>
        <v>234.375</v>
      </c>
      <c r="H53" s="13">
        <f>'Расчет ЦЕЛЬ'!L23</f>
        <v>13.05</v>
      </c>
      <c r="I53" s="13">
        <f>'Ассортимент'!O23</f>
        <v>1</v>
      </c>
      <c r="J53" s="16">
        <f>'Ассортимент'!Q23</f>
        <v>0.03125</v>
      </c>
      <c r="K53" s="7" t="s">
        <v>489</v>
      </c>
    </row>
    <row r="54" spans="1:11" ht="38" customHeight="1">
      <c r="A54" s="5" t="s">
        <v>149</v>
      </c>
      <c r="B54" s="13">
        <f>'Расчет ДО'!I24</f>
        <v>510.98</v>
      </c>
      <c r="C54" s="13">
        <f>'Расчет ДО'!M24</f>
        <v>236.25</v>
      </c>
      <c r="D54" s="13">
        <f>'Расчет ДО'!L24</f>
        <v>13.42</v>
      </c>
      <c r="E54" s="13">
        <f>'Ввод'!B30</f>
        <v>768.75</v>
      </c>
      <c r="F54" s="13">
        <f>'Расчет ЦЕЛЬ'!I24</f>
        <v>471.06</v>
      </c>
      <c r="G54" s="13">
        <f>'Расчет ЦЕЛЬ'!M24</f>
        <v>234.375</v>
      </c>
      <c r="H54" s="13">
        <f>'Расчет ЦЕЛЬ'!L24</f>
        <v>11.0499999999999</v>
      </c>
      <c r="I54" s="13">
        <f>'Ассортимент'!O24</f>
        <v>1</v>
      </c>
      <c r="J54" s="16">
        <f>'Ассортимент'!Q24</f>
        <v>0.03125</v>
      </c>
      <c r="K54" s="7" t="s">
        <v>489</v>
      </c>
    </row>
    <row r="55" spans="1:11" ht="38" customHeight="1">
      <c r="A55" s="5" t="s">
        <v>150</v>
      </c>
      <c r="B55" s="13">
        <f>'Расчет ДО'!I25</f>
        <v>510.98</v>
      </c>
      <c r="C55" s="13">
        <f>'Расчет ДО'!M25</f>
        <v>236.25</v>
      </c>
      <c r="D55" s="13">
        <f>'Расчет ДО'!L25</f>
        <v>13.42</v>
      </c>
      <c r="E55" s="13">
        <f>'Ввод'!B30</f>
        <v>768.75</v>
      </c>
      <c r="F55" s="13">
        <f>'Расчет ЦЕЛЬ'!I25</f>
        <v>471.06</v>
      </c>
      <c r="G55" s="13">
        <f>'Расчет ЦЕЛЬ'!M25</f>
        <v>234.375</v>
      </c>
      <c r="H55" s="13">
        <f>'Расчет ЦЕЛЬ'!L25</f>
        <v>11.0499999999999</v>
      </c>
      <c r="I55" s="13">
        <f>'Ассортимент'!O25</f>
        <v>1</v>
      </c>
      <c r="J55" s="16">
        <f>'Ассортимент'!Q25</f>
        <v>0.03125</v>
      </c>
      <c r="K55" s="7" t="s">
        <v>489</v>
      </c>
    </row>
  </sheetData>
  <sheetProtection sheet="1" objects="1" scenarios="1" sort="0" autoFilter="0"/>
  <mergeCells count="4">
    <mergeCell ref="A1:K1"/>
    <mergeCell ref="A2:K2"/>
    <mergeCell ref="B3:K3"/>
    <mergeCell ref="A33:K35"/>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&amp;LДиаграмма&amp;RСтр. &amp;P / &amp;N</oddFooter>
  </headerFooter>
  <rowBreaks count="2" manualBreakCount="2">
    <brk id="36" max="16383" man="1"/>
    <brk id="57" max="16383" man="1"/>
  </rowBreaks>
  <drawing r:id="rId1"/>
</worksheet>
</file>

<file path=xl/worksheets/sheet18.xml><?xml version="1.0" encoding="utf-8"?>
<worksheet xmlns="http://schemas.openxmlformats.org/spreadsheetml/2006/main" xmlns:r="http://schemas.openxmlformats.org/officeDocument/2006/relationships">
  <sheetPr>
    <tabColor rgb="FF147D92"/>
    <pageSetUpPr fitToPage="1"/>
  </sheetPr>
  <dimension ref="A1:K18"/>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5.7109375" customWidth="1"/>
    <col min="2" max="3" width="53.7109375" customWidth="1"/>
    <col min="4" max="4" width="37.7109375" customWidth="1"/>
    <col min="5" max="10" width="15.7109375" customWidth="1"/>
    <col min="11" max="11" width="30.7109375" customWidth="1"/>
  </cols>
  <sheetData>
    <row r="1" spans="1:11" ht="35" customHeight="1">
      <c r="A1" s="1" t="s">
        <v>490</v>
      </c>
      <c r="B1" s="1"/>
      <c r="C1" s="1"/>
      <c r="D1" s="1"/>
      <c r="E1" s="1"/>
      <c r="F1" s="1"/>
      <c r="G1" s="1"/>
      <c r="H1" s="1"/>
      <c r="I1" s="1"/>
      <c r="J1" s="1"/>
      <c r="K1" s="1"/>
    </row>
    <row r="2" spans="1:11" ht="31" customHeight="1">
      <c r="A2" s="2" t="s">
        <v>1</v>
      </c>
      <c r="B2" s="2"/>
      <c r="C2" s="2"/>
      <c r="D2" s="2"/>
      <c r="E2" s="2"/>
      <c r="F2" s="2"/>
      <c r="G2" s="2"/>
      <c r="H2" s="2"/>
      <c r="I2" s="2"/>
      <c r="J2" s="2"/>
      <c r="K2" s="2"/>
    </row>
    <row r="3" spans="1:11" ht="23" customHeight="1">
      <c r="A3" s="3" t="s">
        <v>2</v>
      </c>
      <c r="B3" s="7" t="s">
        <v>3</v>
      </c>
      <c r="C3" s="7"/>
      <c r="D3" s="7"/>
      <c r="E3" s="7"/>
      <c r="F3" s="7"/>
      <c r="G3" s="7"/>
      <c r="H3" s="7"/>
      <c r="I3" s="7"/>
      <c r="J3" s="7"/>
      <c r="K3" s="7"/>
    </row>
    <row r="7" spans="1:11" ht="44" customHeight="1">
      <c r="A7" s="8" t="s">
        <v>113</v>
      </c>
      <c r="B7" s="8" t="s">
        <v>491</v>
      </c>
      <c r="C7" s="8" t="s">
        <v>492</v>
      </c>
      <c r="D7" s="8" t="s">
        <v>493</v>
      </c>
      <c r="E7" s="8" t="s">
        <v>494</v>
      </c>
      <c r="F7" s="8" t="s">
        <v>495</v>
      </c>
      <c r="G7" s="8" t="s">
        <v>496</v>
      </c>
      <c r="H7" s="8" t="s">
        <v>497</v>
      </c>
      <c r="I7" s="8" t="s">
        <v>498</v>
      </c>
      <c r="J7" s="8" t="s">
        <v>499</v>
      </c>
      <c r="K7" s="8" t="s">
        <v>178</v>
      </c>
    </row>
    <row r="8" spans="1:11" ht="122" customHeight="1">
      <c r="A8" s="5">
        <v>1</v>
      </c>
      <c r="B8" s="9" t="s">
        <v>500</v>
      </c>
      <c r="C8" s="9" t="s">
        <v>501</v>
      </c>
      <c r="D8" s="17" t="str">
        <f>'Ввод'!B33</f>
        <v>Начальник кулинарного цеха — впишите ФИО</v>
      </c>
      <c r="E8" s="19">
        <f>'Ввод'!B10+7</f>
        <v>46277</v>
      </c>
      <c r="F8" s="13">
        <f>IF(AND(ISNUMBER('Ввод'!B28),'Ввод'!B28&gt;0,COUNTIF('Расчет ДО'!U8:U25,"НЕТ ЗАМЕРОВ")=0),('Ассортимент'!O8*SUM('Замеры ДО'!S22)+'Ассортимент'!O9*SUM('Замеры ДО'!S43)+'Ассортимент'!O10*SUM('Замеры ДО'!S64)+'Ассортимент'!O11*SUM('Замеры ДО'!S85)+'Ассортимент'!O12*SUM('Замеры ДО'!S106)+'Ассортимент'!O13*SUM('Замеры ДО'!S127)+'Ассортимент'!O14*SUM('Замеры ДО'!S148)+'Ассортимент'!O15*SUM('Замеры ДО'!S169)+'Ассортимент'!O16*SUM('Замеры ДО'!S190)+'Ассортимент'!O17*SUM('Замеры ДО'!S211)+'Ассортимент'!O18*SUM('Замеры ДО'!S232)+'Ассортимент'!O19*SUM('Замеры ДО'!S253)+'Ассортимент'!O20*SUM('Замеры ДО'!S274)+'Ассортимент'!O21*SUM('Замеры ДО'!S295)+'Ассортимент'!O22*SUM('Замеры ДО'!S316)+'Ассортимент'!O23*SUM('Замеры ДО'!S337)+'Ассортимент'!O24*SUM('Замеры ДО'!S358)+'Ассортимент'!O25*SUM('Замеры ДО'!S379))/'Ввод'!B28,"")</f>
        <v>12</v>
      </c>
      <c r="G8" s="13">
        <f>IF(AND(ISNUMBER('Ввод'!B28),'Ввод'!B28&gt;0,COUNTIF('Расчет ЦЕЛЬ'!U8:U25,"НЕТ ЗАМЕРОВ")=0),('Ассортимент'!O8*SUM('Замеры ЦЕЛЬ'!S22)+'Ассортимент'!O9*SUM('Замеры ЦЕЛЬ'!S43)+'Ассортимент'!O10*SUM('Замеры ЦЕЛЬ'!S64)+'Ассортимент'!O11*SUM('Замеры ЦЕЛЬ'!S85)+'Ассортимент'!O12*SUM('Замеры ЦЕЛЬ'!S106)+'Ассортимент'!O13*SUM('Замеры ЦЕЛЬ'!S127)+'Ассортимент'!O14*SUM('Замеры ЦЕЛЬ'!S148)+'Ассортимент'!O15*SUM('Замеры ЦЕЛЬ'!S169)+'Ассортимент'!O16*SUM('Замеры ЦЕЛЬ'!S190)+'Ассортимент'!O17*SUM('Замеры ЦЕЛЬ'!S211)+'Ассортимент'!O18*SUM('Замеры ЦЕЛЬ'!S232)+'Ассортимент'!O19*SUM('Замеры ЦЕЛЬ'!S253)+'Ассортимент'!O20*SUM('Замеры ЦЕЛЬ'!S274)+'Ассортимент'!O21*SUM('Замеры ЦЕЛЬ'!S295)+'Ассортимент'!O22*SUM('Замеры ЦЕЛЬ'!S316)+'Ассортимент'!O23*SUM('Замеры ЦЕЛЬ'!S337)+'Ассортимент'!O24*SUM('Замеры ЦЕЛЬ'!S358)+'Ассортимент'!O25*SUM('Замеры ЦЕЛЬ'!S379))/'Ввод'!B28,"")</f>
        <v>0</v>
      </c>
      <c r="H8" s="9" t="s">
        <v>502</v>
      </c>
      <c r="I8" s="13">
        <f>IF(COUNT(F8:G8)=2,F8-G8,"")</f>
        <v>12</v>
      </c>
      <c r="J8" s="13" t="str">
        <f>IF(AND(COUNT(F8,H8)=2,H8&gt;=0),F8-H8,"")</f>
        <v/>
      </c>
      <c r="K8" s="9" t="s">
        <v>503</v>
      </c>
    </row>
    <row r="9" spans="1:11" ht="122" customHeight="1">
      <c r="A9" s="5">
        <v>2</v>
      </c>
      <c r="B9" s="9" t="s">
        <v>504</v>
      </c>
      <c r="C9" s="9" t="s">
        <v>505</v>
      </c>
      <c r="D9" s="17" t="str">
        <f>'Ввод'!B33</f>
        <v>Начальник кулинарного цеха — впишите ФИО</v>
      </c>
      <c r="E9" s="19">
        <f>'Ввод'!B10+9</f>
        <v>46279</v>
      </c>
      <c r="F9" s="13">
        <f>IF(AND(ISNUMBER('Ввод'!B28),'Ввод'!B28&gt;0,COUNTIF('Расчет ДО'!U8:U25,"НЕТ ЗАМЕРОВ")=0),('Ассортимент'!O8*SUM('Замеры ДО'!S15,'Замеры ДО'!S20,'Замеры ДО'!S21)+'Ассортимент'!O9*SUM('Замеры ДО'!S36,'Замеры ДО'!S41,'Замеры ДО'!S42)+'Ассортимент'!O10*SUM('Замеры ДО'!S57,'Замеры ДО'!S62,'Замеры ДО'!S63)+'Ассортимент'!O11*SUM('Замеры ДО'!S78,'Замеры ДО'!S83,'Замеры ДО'!S84)+'Ассортимент'!O12*SUM('Замеры ДО'!S99,'Замеры ДО'!S104,'Замеры ДО'!S105)+'Ассортимент'!O13*SUM('Замеры ДО'!S120,'Замеры ДО'!S125,'Замеры ДО'!S126)+'Ассортимент'!O14*SUM('Замеры ДО'!S141,'Замеры ДО'!S146,'Замеры ДО'!S147)+'Ассортимент'!O15*SUM('Замеры ДО'!S162,'Замеры ДО'!S167,'Замеры ДО'!S168)+'Ассортимент'!O16*SUM('Замеры ДО'!S183,'Замеры ДО'!S188,'Замеры ДО'!S189)+'Ассортимент'!O17*SUM('Замеры ДО'!S204,'Замеры ДО'!S209,'Замеры ДО'!S210)+'Ассортимент'!O18*SUM('Замеры ДО'!S225,'Замеры ДО'!S230,'Замеры ДО'!S231)+'Ассортимент'!O19*SUM('Замеры ДО'!S246,'Замеры ДО'!S251,'Замеры ДО'!S252)+'Ассортимент'!O20*SUM('Замеры ДО'!S267,'Замеры ДО'!S272,'Замеры ДО'!S273)+'Ассортимент'!O21*SUM('Замеры ДО'!S288,'Замеры ДО'!S293,'Замеры ДО'!S294)+'Ассортимент'!O22*SUM('Замеры ДО'!S309,'Замеры ДО'!S314,'Замеры ДО'!S315)+'Ассортимент'!O23*SUM('Замеры ДО'!S330,'Замеры ДО'!S335,'Замеры ДО'!S336)+'Ассортимент'!O24*SUM('Замеры ДО'!S351,'Замеры ДО'!S356,'Замеры ДО'!S357)+'Ассортимент'!O25*SUM('Замеры ДО'!S372,'Замеры ДО'!S377,'Замеры ДО'!S378))/'Ввод'!B28,"")</f>
        <v>32</v>
      </c>
      <c r="G9" s="13">
        <f>IF(AND(ISNUMBER('Ввод'!B28),'Ввод'!B28&gt;0,COUNTIF('Расчет ЦЕЛЬ'!U8:U25,"НЕТ ЗАМЕРОВ")=0),('Ассортимент'!O8*SUM('Замеры ЦЕЛЬ'!S15,'Замеры ЦЕЛЬ'!S20,'Замеры ЦЕЛЬ'!S21)+'Ассортимент'!O9*SUM('Замеры ЦЕЛЬ'!S36,'Замеры ЦЕЛЬ'!S41,'Замеры ЦЕЛЬ'!S42)+'Ассортимент'!O10*SUM('Замеры ЦЕЛЬ'!S57,'Замеры ЦЕЛЬ'!S62,'Замеры ЦЕЛЬ'!S63)+'Ассортимент'!O11*SUM('Замеры ЦЕЛЬ'!S78,'Замеры ЦЕЛЬ'!S83,'Замеры ЦЕЛЬ'!S84)+'Ассортимент'!O12*SUM('Замеры ЦЕЛЬ'!S99,'Замеры ЦЕЛЬ'!S104,'Замеры ЦЕЛЬ'!S105)+'Ассортимент'!O13*SUM('Замеры ЦЕЛЬ'!S120,'Замеры ЦЕЛЬ'!S125,'Замеры ЦЕЛЬ'!S126)+'Ассортимент'!O14*SUM('Замеры ЦЕЛЬ'!S141,'Замеры ЦЕЛЬ'!S146,'Замеры ЦЕЛЬ'!S147)+'Ассортимент'!O15*SUM('Замеры ЦЕЛЬ'!S162,'Замеры ЦЕЛЬ'!S167,'Замеры ЦЕЛЬ'!S168)+'Ассортимент'!O16*SUM('Замеры ЦЕЛЬ'!S183,'Замеры ЦЕЛЬ'!S188,'Замеры ЦЕЛЬ'!S189)+'Ассортимент'!O17*SUM('Замеры ЦЕЛЬ'!S204,'Замеры ЦЕЛЬ'!S209,'Замеры ЦЕЛЬ'!S210)+'Ассортимент'!O18*SUM('Замеры ЦЕЛЬ'!S225,'Замеры ЦЕЛЬ'!S230,'Замеры ЦЕЛЬ'!S231)+'Ассортимент'!O19*SUM('Замеры ЦЕЛЬ'!S246,'Замеры ЦЕЛЬ'!S251,'Замеры ЦЕЛЬ'!S252)+'Ассортимент'!O20*SUM('Замеры ЦЕЛЬ'!S267,'Замеры ЦЕЛЬ'!S272,'Замеры ЦЕЛЬ'!S273)+'Ассортимент'!O21*SUM('Замеры ЦЕЛЬ'!S288,'Замеры ЦЕЛЬ'!S293,'Замеры ЦЕЛЬ'!S294)+'Ассортимент'!O22*SUM('Замеры ЦЕЛЬ'!S309,'Замеры ЦЕЛЬ'!S314,'Замеры ЦЕЛЬ'!S315)+'Ассортимент'!O23*SUM('Замеры ЦЕЛЬ'!S330,'Замеры ЦЕЛЬ'!S335,'Замеры ЦЕЛЬ'!S336)+'Ассортимент'!O24*SUM('Замеры ЦЕЛЬ'!S351,'Замеры ЦЕЛЬ'!S356,'Замеры ЦЕЛЬ'!S357)+'Ассортимент'!O25*SUM('Замеры ЦЕЛЬ'!S372,'Замеры ЦЕЛЬ'!S377,'Замеры ЦЕЛЬ'!S378))/'Ввод'!B28,"")</f>
        <v>16</v>
      </c>
      <c r="H9" s="9" t="s">
        <v>502</v>
      </c>
      <c r="I9" s="13">
        <f>IF(COUNT(F9:G9)=2,F9-G9,"")</f>
        <v>16</v>
      </c>
      <c r="J9" s="13" t="str">
        <f>IF(AND(COUNT(F9,H9)=2,H9&gt;=0),F9-H9,"")</f>
        <v/>
      </c>
      <c r="K9" s="9" t="s">
        <v>503</v>
      </c>
    </row>
    <row r="10" spans="1:11" ht="122" customHeight="1">
      <c r="A10" s="5">
        <v>3</v>
      </c>
      <c r="B10" s="9" t="s">
        <v>506</v>
      </c>
      <c r="C10" s="9" t="s">
        <v>507</v>
      </c>
      <c r="D10" s="17" t="str">
        <f>'Ввод'!B34</f>
        <v>Инженер-технолог — впишите ФИО</v>
      </c>
      <c r="E10" s="19">
        <f>'Ввод'!B10+11</f>
        <v>46281</v>
      </c>
      <c r="F10" s="13">
        <f>IF(AND(ISNUMBER('Ввод'!B28),'Ввод'!B28&gt;0,COUNTIF('Расчет ДО'!U8:U25,"НЕТ ЗАМЕРОВ")=0),('Ассортимент'!O8*SUM('Замеры ДО'!S14)+'Ассортимент'!O9*SUM('Замеры ДО'!S35)+'Ассортимент'!O10*SUM('Замеры ДО'!S56)+'Ассортимент'!O11*SUM('Замеры ДО'!S77)+'Ассортимент'!O12*SUM('Замеры ДО'!S98)+'Ассортимент'!O13*SUM('Замеры ДО'!S119)+'Ассортимент'!O14*SUM('Замеры ДО'!S140)+'Ассортимент'!O15*SUM('Замеры ДО'!S161)+'Ассортимент'!O16*SUM('Замеры ДО'!S182)+'Ассортимент'!O17*SUM('Замеры ДО'!S203)+'Ассортимент'!O18*SUM('Замеры ДО'!S224)+'Ассортимент'!O19*SUM('Замеры ДО'!S245)+'Ассортимент'!O20*SUM('Замеры ДО'!S266)+'Ассортимент'!O21*SUM('Замеры ДО'!S287)+'Ассортимент'!O22*SUM('Замеры ДО'!S308)+'Ассортимент'!O23*SUM('Замеры ДО'!S329)+'Ассортимент'!O24*SUM('Замеры ДО'!S350)+'Ассортимент'!O25*SUM('Замеры ДО'!S371))/'Ввод'!B28,"")</f>
        <v>22.8832048648436</v>
      </c>
      <c r="G10" s="13">
        <f>IF(AND(ISNUMBER('Ввод'!B28),'Ввод'!B28&gt;0,COUNTIF('Расчет ЦЕЛЬ'!U8:U25,"НЕТ ЗАМЕРОВ")=0),('Ассортимент'!O8*SUM('Замеры ЦЕЛЬ'!S14)+'Ассортимент'!O9*SUM('Замеры ЦЕЛЬ'!S35)+'Ассортимент'!O10*SUM('Замеры ЦЕЛЬ'!S56)+'Ассортимент'!O11*SUM('Замеры ЦЕЛЬ'!S77)+'Ассортимент'!O12*SUM('Замеры ЦЕЛЬ'!S98)+'Ассортимент'!O13*SUM('Замеры ЦЕЛЬ'!S119)+'Ассортимент'!O14*SUM('Замеры ЦЕЛЬ'!S140)+'Ассортимент'!O15*SUM('Замеры ЦЕЛЬ'!S161)+'Ассортимент'!O16*SUM('Замеры ЦЕЛЬ'!S182)+'Ассортимент'!O17*SUM('Замеры ЦЕЛЬ'!S203)+'Ассортимент'!O18*SUM('Замеры ЦЕЛЬ'!S224)+'Ассортимент'!O19*SUM('Замеры ЦЕЛЬ'!S245)+'Ассортимент'!O20*SUM('Замеры ЦЕЛЬ'!S266)+'Ассортимент'!O21*SUM('Замеры ЦЕЛЬ'!S287)+'Ассортимент'!O22*SUM('Замеры ЦЕЛЬ'!S308)+'Ассортимент'!O23*SUM('Замеры ЦЕЛЬ'!S329)+'Ассортимент'!O24*SUM('Замеры ЦЕЛЬ'!S350)+'Ассортимент'!O25*SUM('Замеры ЦЕЛЬ'!S371))/'Ввод'!B28,"")</f>
        <v>20.477032125507</v>
      </c>
      <c r="H10" s="9" t="s">
        <v>502</v>
      </c>
      <c r="I10" s="13">
        <f>IF(COUNT(F10:G10)=2,F10-G10,"")</f>
        <v>2.40617273933666</v>
      </c>
      <c r="J10" s="13" t="str">
        <f>IF(AND(COUNT(F10,H10)=2,H10&gt;=0),F10-H10,"")</f>
        <v/>
      </c>
      <c r="K10" s="9" t="s">
        <v>503</v>
      </c>
    </row>
    <row r="11" spans="1:11" ht="122" customHeight="1">
      <c r="A11" s="5">
        <v>4</v>
      </c>
      <c r="B11" s="9" t="s">
        <v>508</v>
      </c>
      <c r="C11" s="9" t="s">
        <v>509</v>
      </c>
      <c r="D11" s="17" t="str">
        <f>'Ввод'!B34</f>
        <v>Инженер-технолог — впишите ФИО</v>
      </c>
      <c r="E11" s="19">
        <f>'Ввод'!B10+13</f>
        <v>46283</v>
      </c>
      <c r="F11" s="13">
        <f>IF(AND(ISNUMBER('Ввод'!B28),'Ввод'!B28&gt;0,COUNTIF('Расчет ДО'!U8:U25,"НЕТ ЗАМЕРОВ")=0),('Ассортимент'!O8*SUM('Замеры ДО'!S16)+'Ассортимент'!O9*SUM('Замеры ДО'!S37)+'Ассортимент'!O10*SUM('Замеры ДО'!S58)+'Ассортимент'!O11*SUM('Замеры ДО'!S79)+'Ассортимент'!O12*SUM('Замеры ДО'!S100)+'Ассортимент'!O13*SUM('Замеры ДО'!S121)+'Ассортимент'!O14*SUM('Замеры ДО'!S142)+'Ассортимент'!O15*SUM('Замеры ДО'!S163)+'Ассортимент'!O16*SUM('Замеры ДО'!S184)+'Ассортимент'!O17*SUM('Замеры ДО'!S205)+'Ассортимент'!O18*SUM('Замеры ДО'!S226)+'Ассортимент'!O19*SUM('Замеры ДО'!S247)+'Ассортимент'!O20*SUM('Замеры ДО'!S268)+'Ассортимент'!O21*SUM('Замеры ДО'!S289)+'Ассортимент'!O22*SUM('Замеры ДО'!S310)+'Ассортимент'!O23*SUM('Замеры ДО'!S331)+'Ассортимент'!O24*SUM('Замеры ДО'!S352)+'Ассортимент'!O25*SUM('Замеры ДО'!S373))/'Ввод'!B28,"")</f>
        <v>36.4050986486149</v>
      </c>
      <c r="G11" s="13">
        <f>IF(AND(ISNUMBER('Ввод'!B28),'Ввод'!B28&gt;0,COUNTIF('Расчет ЦЕЛЬ'!U8:U25,"НЕТ ЗАМЕРОВ")=0),('Ассортимент'!O8*SUM('Замеры ЦЕЛЬ'!S16)+'Ассортимент'!O9*SUM('Замеры ЦЕЛЬ'!S37)+'Ассортимент'!O10*SUM('Замеры ЦЕЛЬ'!S58)+'Ассортимент'!O11*SUM('Замеры ЦЕЛЬ'!S79)+'Ассортимент'!O12*SUM('Замеры ЦЕЛЬ'!S100)+'Ассортимент'!O13*SUM('Замеры ЦЕЛЬ'!S121)+'Ассортимент'!O14*SUM('Замеры ЦЕЛЬ'!S142)+'Ассортимент'!O15*SUM('Замеры ЦЕЛЬ'!S163)+'Ассортимент'!O16*SUM('Замеры ЦЕЛЬ'!S184)+'Ассортимент'!O17*SUM('Замеры ЦЕЛЬ'!S205)+'Ассортимент'!O18*SUM('Замеры ЦЕЛЬ'!S226)+'Ассортимент'!O19*SUM('Замеры ЦЕЛЬ'!S247)+'Ассортимент'!O20*SUM('Замеры ЦЕЛЬ'!S268)+'Ассортимент'!O21*SUM('Замеры ЦЕЛЬ'!S289)+'Ассортимент'!O22*SUM('Замеры ЦЕЛЬ'!S310)+'Ассортимент'!O23*SUM('Замеры ЦЕЛЬ'!S331)+'Ассортимент'!O24*SUM('Замеры ЦЕЛЬ'!S352)+'Ассортимент'!O25*SUM('Замеры ЦЕЛЬ'!S373))/'Ввод'!B28,"")</f>
        <v>30.7689675424297</v>
      </c>
      <c r="H11" s="9" t="s">
        <v>502</v>
      </c>
      <c r="I11" s="13">
        <f>IF(COUNT(F11:G11)=2,F11-G11,"")</f>
        <v>5.6361311061852</v>
      </c>
      <c r="J11" s="13" t="str">
        <f>IF(AND(COUNT(F11,H11)=2,H11&gt;=0),F11-H11,"")</f>
        <v/>
      </c>
      <c r="K11" s="9" t="s">
        <v>503</v>
      </c>
    </row>
    <row r="12" spans="1:11" ht="122" customHeight="1">
      <c r="A12" s="5">
        <v>5</v>
      </c>
      <c r="B12" s="9" t="s">
        <v>510</v>
      </c>
      <c r="C12" s="9" t="s">
        <v>511</v>
      </c>
      <c r="D12" s="17" t="str">
        <f>'Ввод'!B34</f>
        <v>Инженер-технолог — впишите ФИО</v>
      </c>
      <c r="E12" s="19">
        <f>'Ввод'!B10+15</f>
        <v>46285</v>
      </c>
      <c r="F12" s="13">
        <f>IF(AND(ISNUMBER('Ввод'!B28),'Ввод'!B28&gt;0,COUNTIF('Расчет ДО'!U8:U25,"НЕТ ЗАМЕРОВ")=0),('Ассортимент'!O8*SUM('Замеры ДО'!S18)+'Ассортимент'!O9*SUM('Замеры ДО'!S39)+'Ассортимент'!O10*SUM('Замеры ДО'!S60)+'Ассортимент'!O11*SUM('Замеры ДО'!S81)+'Ассортимент'!O12*SUM('Замеры ДО'!S102)+'Ассортимент'!O13*SUM('Замеры ДО'!S123)+'Ассортимент'!O14*SUM('Замеры ДО'!S144)+'Ассортимент'!O15*SUM('Замеры ДО'!S165)+'Ассортимент'!O16*SUM('Замеры ДО'!S186)+'Ассортимент'!O17*SUM('Замеры ДО'!S207)+'Ассортимент'!O18*SUM('Замеры ДО'!S228)+'Ассортимент'!O19*SUM('Замеры ДО'!S249)+'Ассортимент'!O20*SUM('Замеры ДО'!S270)+'Ассортимент'!O21*SUM('Замеры ДО'!S291)+'Ассортимент'!O22*SUM('Замеры ДО'!S312)+'Ассортимент'!O23*SUM('Замеры ДО'!S333)+'Ассортимент'!O24*SUM('Замеры ДО'!S354)+'Ассортимент'!O25*SUM('Замеры ДО'!S375))/'Ввод'!B28,"")</f>
        <v>31.2043702702413</v>
      </c>
      <c r="G12" s="13">
        <f>IF(AND(ISNUMBER('Ввод'!B28),'Ввод'!B28&gt;0,COUNTIF('Расчет ЦЕЛЬ'!U8:U25,"НЕТ ЗАМЕРОВ")=0),('Ассортимент'!O8*SUM('Замеры ЦЕЛЬ'!S18)+'Ассортимент'!O9*SUM('Замеры ЦЕЛЬ'!S39)+'Ассортимент'!O10*SUM('Замеры ЦЕЛЬ'!S60)+'Ассортимент'!O11*SUM('Замеры ЦЕЛЬ'!S81)+'Ассортимент'!O12*SUM('Замеры ЦЕЛЬ'!S102)+'Ассортимент'!O13*SUM('Замеры ЦЕЛЬ'!S123)+'Ассортимент'!O14*SUM('Замеры ЦЕЛЬ'!S144)+'Ассортимент'!O15*SUM('Замеры ЦЕЛЬ'!S165)+'Ассортимент'!O16*SUM('Замеры ЦЕЛЬ'!S186)+'Ассортимент'!O17*SUM('Замеры ЦЕЛЬ'!S207)+'Ассортимент'!O18*SUM('Замеры ЦЕЛЬ'!S228)+'Ассортимент'!O19*SUM('Замеры ЦЕЛЬ'!S249)+'Ассортимент'!O20*SUM('Замеры ЦЕЛЬ'!S270)+'Ассортимент'!O21*SUM('Замеры ЦЕЛЬ'!S291)+'Ассортимент'!O22*SUM('Замеры ЦЕЛЬ'!S312)+'Ассортимент'!O23*SUM('Замеры ЦЕЛЬ'!S333)+'Ассортимент'!O24*SUM('Замеры ЦЕЛЬ'!S354)+'Ассортимент'!O25*SUM('Замеры ЦЕЛЬ'!S375))/'Ввод'!B28,"")</f>
        <v>27.9232256256913</v>
      </c>
      <c r="H12" s="9" t="s">
        <v>502</v>
      </c>
      <c r="I12" s="13">
        <f>IF(COUNT(F12:G12)=2,F12-G12,"")</f>
        <v>3.28114464455</v>
      </c>
      <c r="J12" s="13" t="str">
        <f>IF(AND(COUNT(F12,H12)=2,H12&gt;=0),F12-H12,"")</f>
        <v/>
      </c>
      <c r="K12" s="9" t="s">
        <v>503</v>
      </c>
    </row>
    <row r="13" spans="1:11" ht="122" customHeight="1">
      <c r="A13" s="5">
        <v>6</v>
      </c>
      <c r="B13" s="9" t="s">
        <v>512</v>
      </c>
      <c r="C13" s="9" t="s">
        <v>513</v>
      </c>
      <c r="D13" s="17" t="str">
        <f>'Ввод'!B33</f>
        <v>Начальник кулинарного цеха — впишите ФИО</v>
      </c>
      <c r="E13" s="19">
        <f>'Ввод'!B10+17</f>
        <v>46287</v>
      </c>
      <c r="F13" s="13">
        <f>'Периодическая работа'!I13</f>
        <v>7.5</v>
      </c>
      <c r="G13" s="13">
        <f>'Периодическая работа'!N13</f>
        <v>5.625</v>
      </c>
      <c r="H13" s="9" t="s">
        <v>502</v>
      </c>
      <c r="I13" s="13">
        <f>IF(COUNT(F13:G13)=2,F13-G13,"")</f>
        <v>1.875</v>
      </c>
      <c r="J13" s="13" t="str">
        <f>IF(AND(COUNT(F13,H13)=2,H13&gt;=0),F13-H13,"")</f>
        <v/>
      </c>
      <c r="K13" s="9" t="s">
        <v>503</v>
      </c>
    </row>
    <row r="16" spans="1:11" ht="23" customHeight="1">
      <c r="A16" s="2" t="s">
        <v>514</v>
      </c>
      <c r="B16" s="2"/>
      <c r="C16" s="2"/>
      <c r="D16" s="2"/>
      <c r="E16" s="2"/>
      <c r="F16" s="2"/>
      <c r="G16" s="2"/>
      <c r="H16" s="2"/>
      <c r="I16" s="2"/>
      <c r="J16" s="2"/>
      <c r="K16" s="2"/>
    </row>
    <row r="17" spans="1:11" ht="23" customHeight="1">
      <c r="A17" s="2"/>
      <c r="B17" s="2"/>
      <c r="C17" s="2"/>
      <c r="D17" s="2"/>
      <c r="E17" s="2"/>
      <c r="F17" s="2"/>
      <c r="G17" s="2"/>
      <c r="H17" s="2"/>
      <c r="I17" s="2"/>
      <c r="J17" s="2"/>
      <c r="K17" s="2"/>
    </row>
    <row r="18" spans="1:11" ht="23" customHeight="1">
      <c r="A18" s="2"/>
      <c r="B18" s="2"/>
      <c r="C18" s="2"/>
      <c r="D18" s="2"/>
      <c r="E18" s="2"/>
      <c r="F18" s="2"/>
      <c r="G18" s="2"/>
      <c r="H18" s="2"/>
      <c r="I18" s="2"/>
      <c r="J18" s="2"/>
      <c r="K18" s="2"/>
    </row>
  </sheetData>
  <sheetProtection sheet="1" objects="1" scenarios="1" sort="0" autoFilter="0"/>
  <mergeCells count="4">
    <mergeCell ref="A1:K1"/>
    <mergeCell ref="A2:K2"/>
    <mergeCell ref="B3:K3"/>
    <mergeCell ref="A16:K18"/>
  </mergeCells>
  <dataValidations count="6">
    <dataValidation type="list" allowBlank="1" showInputMessage="1" showErrorMessage="1" errorTitle="Проверьте ввод" error="Введите значение в допустимых пределах. См. примечание к ячейке." sqref="K8">
      <formula1>"Запланировано,В работе,Внедрено; нужен замер,Проверено"</formula1>
    </dataValidation>
    <dataValidation type="list" allowBlank="1" showInputMessage="1" showErrorMessage="1" errorTitle="Проверьте ввод" error="Введите значение в допустимых пределах. См. примечание к ячейке." sqref="K9">
      <formula1>"Запланировано,В работе,Внедрено; нужен замер,Проверено"</formula1>
    </dataValidation>
    <dataValidation type="list" allowBlank="1" showInputMessage="1" showErrorMessage="1" errorTitle="Проверьте ввод" error="Введите значение в допустимых пределах. См. примечание к ячейке." sqref="K10">
      <formula1>"Запланировано,В работе,Внедрено; нужен замер,Проверено"</formula1>
    </dataValidation>
    <dataValidation type="list" allowBlank="1" showInputMessage="1" showErrorMessage="1" errorTitle="Проверьте ввод" error="Введите значение в допустимых пределах. См. примечание к ячейке." sqref="K11">
      <formula1>"Запланировано,В работе,Внедрено; нужен замер,Проверено"</formula1>
    </dataValidation>
    <dataValidation type="list" allowBlank="1" showInputMessage="1" showErrorMessage="1" errorTitle="Проверьте ввод" error="Введите значение в допустимых пределах. См. примечание к ячейке." sqref="K12">
      <formula1>"Запланировано,В работе,Внедрено; нужен замер,Проверено"</formula1>
    </dataValidation>
    <dataValidation type="list" allowBlank="1" showInputMessage="1" showErrorMessage="1" errorTitle="Проверьте ввод" error="Введите значение в допустимых пределах. См. примечание к ячейке." sqref="K13">
      <formula1>"Запланировано,В работе,Внедрено; нужен замер,Проверено"</formula1>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&amp;LОбщий список улучшений&amp;RСтр. &amp;P / &amp;N</oddFooter>
  </headerFooter>
  <legacyDrawing r:id="rId1"/>
</worksheet>
</file>

<file path=xl/worksheets/sheet19.xml><?xml version="1.0" encoding="utf-8"?>
<worksheet xmlns="http://schemas.openxmlformats.org/spreadsheetml/2006/main" xmlns:r="http://schemas.openxmlformats.org/officeDocument/2006/relationships">
  <sheetPr>
    <tabColor rgb="FF147D92"/>
    <pageSetUpPr fitToPage="1"/>
  </sheetPr>
  <dimension ref="A1:F34"/>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46.7109375" customWidth="1"/>
    <col min="3" max="5" width="21.7109375" customWidth="1"/>
    <col min="6" max="6" width="53.7109375" customWidth="1"/>
    <col min="7" max="8" width="17.7109375" customWidth="1"/>
  </cols>
  <sheetData>
    <row r="1" spans="1:6" ht="35" customHeight="1">
      <c r="A1" s="1" t="s">
        <v>515</v>
      </c>
      <c r="B1" s="1"/>
      <c r="C1" s="1"/>
      <c r="D1" s="1"/>
      <c r="E1" s="1"/>
      <c r="F1" s="1"/>
    </row>
    <row r="2" spans="1:6" ht="31" customHeight="1">
      <c r="A2" s="2" t="s">
        <v>1</v>
      </c>
      <c r="B2" s="2"/>
      <c r="C2" s="2"/>
      <c r="D2" s="2"/>
      <c r="E2" s="2"/>
      <c r="F2" s="2"/>
    </row>
    <row r="3" spans="1:6" ht="23" customHeight="1">
      <c r="A3" s="3" t="s">
        <v>2</v>
      </c>
      <c r="B3" s="7" t="s">
        <v>3</v>
      </c>
      <c r="C3" s="7"/>
      <c r="D3" s="7"/>
      <c r="E3" s="7"/>
      <c r="F3" s="7"/>
    </row>
    <row r="4" spans="1:6" ht="23" customHeight="1">
      <c r="A4" s="4" t="s">
        <v>516</v>
      </c>
      <c r="B4" s="4"/>
      <c r="C4" s="4"/>
      <c r="D4" s="4"/>
      <c r="E4" s="4"/>
      <c r="F4" s="4"/>
    </row>
    <row r="6" spans="1:6" ht="23" customHeight="1">
      <c r="B6" s="5" t="s">
        <v>517</v>
      </c>
      <c r="C6" s="15">
        <f>'Ввод'!B40</f>
        <v>1</v>
      </c>
    </row>
    <row r="8" spans="1:6" ht="45" customHeight="1">
      <c r="B8" s="4" t="s">
        <v>518</v>
      </c>
      <c r="C8" s="17" t="str">
        <f>IFERROR(INDEX('Общий список улучшений'!B8:B13,'Ввод'!B40),"Выберите номер 1–6")</f>
        <v>Поиск чистой тары в цикле</v>
      </c>
      <c r="D8" s="5"/>
      <c r="E8" s="5"/>
      <c r="F8" s="5"/>
    </row>
    <row r="9" spans="1:6" ht="23" customHeight="1">
      <c r="C9" s="5"/>
      <c r="D9" s="5"/>
      <c r="E9" s="5"/>
      <c r="F9" s="5"/>
    </row>
    <row r="10" spans="1:6" ht="45" customHeight="1">
      <c r="B10" s="4" t="s">
        <v>519</v>
      </c>
      <c r="C10" s="17" t="str">
        <f>IFERROR(INDEX('Общий список улучшений'!C8:C13,'Ввод'!B40),"Выберите номер 1–6")</f>
        <v>Закрепить и обозначить место чистой маркированной тары. Исключить поиск; не исключать проверку чистоты.</v>
      </c>
      <c r="D10" s="5"/>
      <c r="E10" s="5"/>
      <c r="F10" s="5"/>
    </row>
    <row r="11" spans="1:6" ht="23" customHeight="1">
      <c r="C11" s="5"/>
      <c r="D11" s="5"/>
      <c r="E11" s="5"/>
      <c r="F11" s="5"/>
    </row>
    <row r="12" spans="1:6" ht="45" customHeight="1">
      <c r="B12" s="4" t="s">
        <v>520</v>
      </c>
      <c r="C12" s="17" t="str">
        <f>IFERROR(INDEX('Общий список улучшений'!D8:D13,'Ввод'!B40),"Выберите номер 1–6")</f>
        <v>Начальник кулинарного цеха — впишите ФИО</v>
      </c>
      <c r="D12" s="5"/>
      <c r="E12" s="5"/>
      <c r="F12" s="5"/>
    </row>
    <row r="13" spans="1:6" ht="23" customHeight="1">
      <c r="C13" s="5"/>
      <c r="D13" s="5"/>
      <c r="E13" s="5"/>
      <c r="F13" s="5"/>
    </row>
    <row r="14" spans="1:6" ht="45" customHeight="1">
      <c r="B14" s="4" t="s">
        <v>178</v>
      </c>
      <c r="C14" s="17" t="str">
        <f>IFERROR(INDEX('Общий список улучшений'!K8:K13,'Ввод'!B40),"Выберите номер 1–6")</f>
        <v>Запланировано</v>
      </c>
      <c r="D14" s="5"/>
      <c r="E14" s="5"/>
      <c r="F14" s="5"/>
    </row>
    <row r="15" spans="1:6" ht="23" customHeight="1">
      <c r="C15" s="5"/>
      <c r="D15" s="5"/>
      <c r="E15" s="5"/>
      <c r="F15" s="5"/>
    </row>
    <row r="17" spans="1:6" ht="44" customHeight="1">
      <c r="A17" s="8"/>
      <c r="B17" s="8" t="s">
        <v>521</v>
      </c>
      <c r="C17" s="8" t="s">
        <v>27</v>
      </c>
      <c r="D17" s="8" t="s">
        <v>522</v>
      </c>
      <c r="E17" s="8" t="s">
        <v>523</v>
      </c>
      <c r="F17" s="8" t="s">
        <v>524</v>
      </c>
    </row>
    <row r="18" spans="1:6" ht="23" customHeight="1">
      <c r="B18" s="5" t="s">
        <v>525</v>
      </c>
      <c r="C18" s="13">
        <f>IFERROR(INDEX('Общий список улучшений'!F8:F13,'Ввод'!B40),"")</f>
        <v>12</v>
      </c>
      <c r="D18" s="13">
        <f>IFERROR(INDEX('Общий список улучшений'!G8:G13,'Ввод'!B40),"")</f>
        <v>0</v>
      </c>
      <c r="E18" s="13" t="str">
        <f>IFERROR(INDEX('Общий список улучшений'!H8:H13,'Ввод'!B40),"")</f>
        <v>Не измерено</v>
      </c>
      <c r="F18" s="5" t="s">
        <v>526</v>
      </c>
    </row>
    <row r="21" spans="1:6" ht="44" customHeight="1">
      <c r="A21" s="8"/>
      <c r="B21" s="8" t="s">
        <v>527</v>
      </c>
      <c r="C21" s="8" t="s">
        <v>528</v>
      </c>
      <c r="D21" s="8" t="s">
        <v>529</v>
      </c>
      <c r="E21" s="8" t="s">
        <v>523</v>
      </c>
      <c r="F21" s="8" t="s">
        <v>442</v>
      </c>
    </row>
    <row r="22" spans="1:6" ht="54" customHeight="1">
      <c r="B22" s="5" t="s">
        <v>530</v>
      </c>
      <c r="C22" s="13">
        <f>'Расчет ДО'!B33</f>
        <v>24591.76</v>
      </c>
      <c r="D22" s="13">
        <f>'Расчет ЦЕЛЬ'!B33</f>
        <v>23254.08</v>
      </c>
      <c r="E22" s="9" t="s">
        <v>531</v>
      </c>
      <c r="F22" s="5" t="s">
        <v>532</v>
      </c>
    </row>
    <row r="23" spans="1:6" ht="54" customHeight="1">
      <c r="B23" s="5" t="s">
        <v>533</v>
      </c>
      <c r="C23" s="13">
        <f>'Расчет ДО'!B34</f>
        <v>24695.208</v>
      </c>
      <c r="D23" s="13">
        <f>'Расчет ЦЕЛЬ'!B34</f>
        <v>23348.232</v>
      </c>
      <c r="E23" s="9" t="s">
        <v>531</v>
      </c>
      <c r="F23" s="5" t="s">
        <v>534</v>
      </c>
    </row>
    <row r="24" spans="1:6" ht="54" customHeight="1">
      <c r="B24" s="5" t="s">
        <v>535</v>
      </c>
      <c r="C24" s="16">
        <f>'Расчет ДО'!B36</f>
        <v>0.999665040650407</v>
      </c>
      <c r="D24" s="16">
        <f>'Расчет ЦЕЛЬ'!B36</f>
        <v>0.945287804878049</v>
      </c>
      <c r="E24" s="9" t="s">
        <v>531</v>
      </c>
      <c r="F24" s="5" t="s">
        <v>536</v>
      </c>
    </row>
    <row r="25" spans="1:6" ht="54" customHeight="1">
      <c r="B25" s="5" t="s">
        <v>537</v>
      </c>
      <c r="C25" s="13">
        <f>'Расчет ДО'!B38</f>
        <v>15351.76</v>
      </c>
      <c r="D25" s="13">
        <f>'Расчет ЦЕЛЬ'!B38</f>
        <v>14014.08</v>
      </c>
      <c r="E25" s="9" t="s">
        <v>531</v>
      </c>
      <c r="F25" s="5" t="s">
        <v>538</v>
      </c>
    </row>
    <row r="26" spans="1:6" ht="54" customHeight="1">
      <c r="B26" s="5" t="s">
        <v>539</v>
      </c>
      <c r="C26" s="13">
        <f>'Расчет ДО'!B41</f>
        <v>18723.5030054034</v>
      </c>
      <c r="D26" s="13">
        <f>'Расчет ЦЕЛЬ'!B41</f>
        <v>18438.1501813799</v>
      </c>
      <c r="E26" s="9" t="s">
        <v>531</v>
      </c>
      <c r="F26" s="5" t="s">
        <v>540</v>
      </c>
    </row>
    <row r="28" spans="1:6" ht="23" customHeight="1">
      <c r="B28" s="5" t="s">
        <v>541</v>
      </c>
      <c r="D28" s="6">
        <f>IF(COUNT(C22:D22)=2,(C22-D22)/60,"")</f>
        <v>22.2946666666667</v>
      </c>
    </row>
    <row r="29" spans="1:6" ht="23" customHeight="1">
      <c r="B29" s="5" t="s">
        <v>542</v>
      </c>
      <c r="D29" s="16">
        <f>IF(AND(COUNT(C22:D22)=2,C22&gt;0),(C22-D22)/C22,"")</f>
        <v>0.0543954560389334</v>
      </c>
    </row>
    <row r="30" spans="1:6" ht="23" customHeight="1">
      <c r="B30" s="5" t="s">
        <v>543</v>
      </c>
      <c r="E30" s="16" t="str">
        <f>IF(AND(COUNT(C22,E22)=2,C22&gt;0,E22&gt;=0),(C22-E22)/C22,"")</f>
        <v/>
      </c>
    </row>
    <row r="32" spans="1:6" ht="23" customHeight="1">
      <c r="A32" s="2" t="s">
        <v>544</v>
      </c>
      <c r="B32" s="2"/>
      <c r="C32" s="2"/>
      <c r="D32" s="2"/>
      <c r="E32" s="2"/>
      <c r="F32" s="2"/>
    </row>
    <row r="33" spans="1:6" ht="23" customHeight="1">
      <c r="A33" s="2"/>
      <c r="B33" s="2"/>
      <c r="C33" s="2"/>
      <c r="D33" s="2"/>
      <c r="E33" s="2"/>
      <c r="F33" s="2"/>
    </row>
    <row r="34" spans="1:6" ht="23" customHeight="1">
      <c r="A34" s="2"/>
      <c r="B34" s="2"/>
      <c r="C34" s="2"/>
      <c r="D34" s="2"/>
      <c r="E34" s="2"/>
      <c r="F34" s="2"/>
    </row>
  </sheetData>
  <sheetProtection sheet="1" objects="1" scenarios="1" sort="0" autoFilter="0"/>
  <mergeCells count="9">
    <mergeCell ref="A1:F1"/>
    <mergeCell ref="A2:F2"/>
    <mergeCell ref="B3:F3"/>
    <mergeCell ref="A4:F4"/>
    <mergeCell ref="C8:F9"/>
    <mergeCell ref="C10:F11"/>
    <mergeCell ref="C12:F13"/>
    <mergeCell ref="C14:F15"/>
    <mergeCell ref="A32:F34"/>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&amp;LОтчет об улучшении&amp;RСтр. &amp;P / &amp;N</oddFooter>
  </headerFooter>
  <legacyDrawing r:id="rId1"/>
</worksheet>
</file>

<file path=xl/worksheets/sheet20.xml><?xml version="1.0" encoding="utf-8"?>
<worksheet xmlns="http://schemas.openxmlformats.org/spreadsheetml/2006/main" xmlns:r="http://schemas.openxmlformats.org/officeDocument/2006/relationships">
  <sheetPr>
    <tabColor rgb="FF147D92"/>
    <pageSetUpPr fitToPage="1"/>
  </sheetPr>
  <dimension ref="A1:H3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5.7109375" customWidth="1"/>
    <col min="2" max="2" width="37.7109375" customWidth="1"/>
    <col min="3" max="3" width="57.7109375" customWidth="1"/>
    <col min="4" max="4" width="37.7109375" customWidth="1"/>
    <col min="5" max="5" width="31.7109375" customWidth="1"/>
    <col min="6" max="6" width="17.7109375" customWidth="1"/>
    <col min="7" max="7" width="27.7109375" customWidth="1"/>
    <col min="8" max="8" width="31.7109375" customWidth="1"/>
  </cols>
  <sheetData>
    <row r="1" spans="1:8" ht="35" customHeight="1">
      <c r="A1" s="1" t="s">
        <v>545</v>
      </c>
      <c r="B1" s="1"/>
      <c r="C1" s="1"/>
      <c r="D1" s="1"/>
      <c r="E1" s="1"/>
      <c r="F1" s="1"/>
      <c r="G1" s="1"/>
      <c r="H1" s="1"/>
    </row>
    <row r="2" spans="1:8" ht="31" customHeight="1">
      <c r="A2" s="2" t="s">
        <v>1</v>
      </c>
      <c r="B2" s="2"/>
      <c r="C2" s="2"/>
      <c r="D2" s="2"/>
      <c r="E2" s="2"/>
      <c r="F2" s="2"/>
      <c r="G2" s="2"/>
      <c r="H2" s="2"/>
    </row>
    <row r="3" spans="1:8" ht="23" customHeight="1">
      <c r="A3" s="3" t="s">
        <v>2</v>
      </c>
      <c r="B3" s="7" t="s">
        <v>3</v>
      </c>
      <c r="C3" s="7"/>
      <c r="D3" s="7"/>
      <c r="E3" s="7"/>
      <c r="F3" s="7"/>
      <c r="G3" s="7"/>
      <c r="H3" s="7"/>
    </row>
    <row r="4" spans="1:8" ht="23" customHeight="1">
      <c r="A4" s="4" t="str">
        <f>"Продукт: "&amp;'Ввод'!B12&amp;"  |  РМ: "&amp;'Ввод'!B8&amp;"  |  Тип II; одна последовательная ячейка"</f>
        <v>Продукт: Латук  |  РМ: Овощной участок / SOLIA  |  Тип II; одна последовательная ячейка</v>
      </c>
      <c r="B4" s="4"/>
      <c r="C4" s="4"/>
      <c r="D4" s="4"/>
      <c r="E4" s="4"/>
      <c r="F4" s="4"/>
      <c r="G4" s="4"/>
      <c r="H4" s="4"/>
    </row>
    <row r="5" spans="1:8" ht="23" customHeight="1">
      <c r="A5" s="7" t="str">
        <f>"От: осмотр партии. До: возврат на исходную позицию. Подготовил: "&amp;'Ввод'!B9</f>
        <v>От: осмотр партии. До: возврат на исходную позицию. Подготовил: Впишите ФИО составителя</v>
      </c>
      <c r="B5" s="7"/>
      <c r="C5" s="7"/>
      <c r="D5" s="7"/>
      <c r="E5" s="7"/>
      <c r="F5" s="7"/>
      <c r="G5" s="7"/>
      <c r="H5" s="7"/>
    </row>
    <row r="6" spans="1:8" ht="23" customHeight="1">
      <c r="A6" s="4" t="str">
        <f>"Цех: "&amp;'Ввод'!B7&amp;" | Разработал: "&amp;'Ввод'!B9&amp;" | Утверждает: "&amp;'Ввод'!B37&amp;" | "&amp;'Ввод'!B38</f>
        <v>Цех: Кулинарный цех | Разработал: Впишите ФИО составителя | Утверждает: Уполномоченный руководитель — впишите ФИО | Не утверждено</v>
      </c>
      <c r="B6" s="4"/>
      <c r="C6" s="4"/>
      <c r="D6" s="4"/>
      <c r="E6" s="4"/>
      <c r="F6" s="4"/>
      <c r="G6" s="4"/>
      <c r="H6" s="4"/>
    </row>
    <row r="7" spans="1:8" ht="23" customHeight="1">
      <c r="A7" s="2" t="s">
        <v>546</v>
      </c>
      <c r="B7" s="2"/>
      <c r="C7" s="2"/>
      <c r="D7" s="2"/>
      <c r="E7" s="2"/>
      <c r="F7" s="2"/>
      <c r="G7" s="2"/>
      <c r="H7" s="2"/>
    </row>
    <row r="8" spans="1:8" ht="23" customHeight="1">
      <c r="A8" s="2"/>
      <c r="B8" s="2"/>
      <c r="C8" s="2"/>
      <c r="D8" s="2"/>
      <c r="E8" s="2"/>
      <c r="F8" s="2"/>
      <c r="G8" s="2"/>
      <c r="H8" s="2"/>
    </row>
    <row r="10" spans="1:8" ht="44" customHeight="1">
      <c r="A10" s="8" t="s">
        <v>113</v>
      </c>
      <c r="B10" s="8" t="s">
        <v>547</v>
      </c>
      <c r="C10" s="8" t="s">
        <v>548</v>
      </c>
      <c r="D10" s="8" t="s">
        <v>549</v>
      </c>
      <c r="E10" s="8" t="s">
        <v>550</v>
      </c>
      <c r="F10" s="8" t="s">
        <v>551</v>
      </c>
      <c r="G10" s="8" t="s">
        <v>176</v>
      </c>
      <c r="H10" s="8" t="s">
        <v>552</v>
      </c>
    </row>
    <row r="11" spans="1:8" ht="106" customHeight="1">
      <c r="A11" s="5">
        <v>1</v>
      </c>
      <c r="B11" s="5" t="s">
        <v>553</v>
      </c>
      <c r="C11" s="5" t="s">
        <v>554</v>
      </c>
      <c r="D11" s="5" t="s">
        <v>555</v>
      </c>
      <c r="E11" s="5" t="s">
        <v>556</v>
      </c>
      <c r="F11" s="13">
        <f>IF('Ввод'!$B$29&gt;0,INDEX('Замеры ЦЕЛЬ'!$S$1:$S$382,7+('Ввод'!$B$29-1)*21+5),"")</f>
        <v>25.7866575591985</v>
      </c>
      <c r="G11" s="5" t="s">
        <v>402</v>
      </c>
      <c r="H11" s="7" t="s">
        <v>557</v>
      </c>
    </row>
    <row r="12" spans="1:8" ht="106" customHeight="1">
      <c r="A12" s="5">
        <v>2</v>
      </c>
      <c r="B12" s="5" t="s">
        <v>558</v>
      </c>
      <c r="C12" s="17" t="str">
        <f>IF(IF('Ввод'!$B$29&gt;0,INDEX('Ассортимент'!$C$8:$C$25,'Ввод'!$B$29),"")="Зелень","Удалить стебли, повреждённые и загнившие листья; разделить на отдельные листья (И-ГЦ-02, стр. 2).","Подготовить отобранное сырьё к загрузке. Очистка, нарезка и иные операции, отсутствующие в И-ГЦ-02, не добавляются без отдельной технологии.")</f>
        <v>Удалить стебли, повреждённые и загнившие листья; разделить на отдельные листья (И-ГЦ-02, стр. 2).</v>
      </c>
      <c r="D12" s="5" t="s">
        <v>559</v>
      </c>
      <c r="E12" s="5" t="s">
        <v>560</v>
      </c>
      <c r="F12" s="13">
        <f>IF('Ввод'!$B$29&gt;0,INDEX('Замеры ЦЕЛЬ'!$S$1:$S$382,7+('Ввод'!$B$29-1)*21+6),"")</f>
        <v>103.146630236794</v>
      </c>
      <c r="G12" s="5" t="s">
        <v>402</v>
      </c>
      <c r="H12" s="7" t="s">
        <v>561</v>
      </c>
    </row>
    <row r="13" spans="1:8" ht="106" customHeight="1">
      <c r="A13" s="5">
        <v>3</v>
      </c>
      <c r="B13" s="5" t="s">
        <v>562</v>
      </c>
      <c r="C13" s="17" t="str">
        <f>"Плановая партия: "&amp;(IF('Ввод'!$B$29&gt;0,INDEX('Ассортимент'!$I$8:$I$25,'Ввод'!$B$29),""))&amp;" кг. Предел по И-ГЦ-02: "&amp;(IF('Ввод'!$B$29&gt;0,INDEX('Ассортимент'!$E$8:$E$25,'Ввод'!$B$29),""))&amp;" кг. Последняя партия может быть меньше; программа выполняется полностью."</f>
        <v>Плановая партия: 1.5 кг. Предел по И-ГЦ-02: 1.5 кг. Последняя партия может быть меньше; программа выполняется полностью.</v>
      </c>
      <c r="D13" s="5" t="s">
        <v>563</v>
      </c>
      <c r="E13" s="5" t="s">
        <v>564</v>
      </c>
      <c r="F13" s="13">
        <f>IF('Ввод'!$B$29&gt;0,INDEX('Замеры ЦЕЛЬ'!$S$1:$S$382,7+('Ввод'!$B$29-1)*21+7),"")</f>
        <v>20.4230327868852</v>
      </c>
      <c r="G13" s="5" t="s">
        <v>405</v>
      </c>
      <c r="H13" s="7" t="s">
        <v>565</v>
      </c>
    </row>
    <row r="14" spans="1:8" ht="106" customHeight="1">
      <c r="A14" s="5">
        <v>4</v>
      </c>
      <c r="B14" s="5" t="s">
        <v>566</v>
      </c>
      <c r="C14" s="5" t="s">
        <v>567</v>
      </c>
      <c r="D14" s="5" t="s">
        <v>568</v>
      </c>
      <c r="E14" s="5" t="s">
        <v>569</v>
      </c>
      <c r="F14" s="13">
        <f>IF('Ввод'!$B$29&gt;0,INDEX('Замеры ЦЕЛЬ'!$S$1:$S$382,7+('Ввод'!$B$29-1)*21+8),"")</f>
        <v>6</v>
      </c>
      <c r="G14" s="5" t="s">
        <v>402</v>
      </c>
      <c r="H14" s="7" t="s">
        <v>570</v>
      </c>
    </row>
    <row r="15" spans="1:8" ht="106" customHeight="1">
      <c r="A15" s="5">
        <v>5</v>
      </c>
      <c r="B15" s="5" t="s">
        <v>571</v>
      </c>
      <c r="C15" s="17" t="str">
        <f>"Продукт: "&amp;'Ввод'!B12&amp;". Программа № "&amp;(IF('Ввод'!$B$29&gt;0,INDEX('Ассортимент'!$D$8:$D$25,'Ввод'!$B$29),""))&amp;". Загрузка и запуск — по паспорту SOLIA; доступ к опасным частям исключить."</f>
        <v>Продукт: Латук. Программа № 1. Загрузка и запуск — по паспорту SOLIA; доступ к опасным частям исключить.</v>
      </c>
      <c r="D15" s="5" t="s">
        <v>572</v>
      </c>
      <c r="E15" s="5" t="s">
        <v>573</v>
      </c>
      <c r="F15" s="13">
        <f>IF('Ввод'!$B$29&gt;0,INDEX('Замеры ЦЕЛЬ'!$S$1:$S$382,7+('Ввод'!$B$29-1)*21+9),"")</f>
        <v>30.6876958105647</v>
      </c>
      <c r="G15" s="5" t="s">
        <v>574</v>
      </c>
      <c r="H15" s="7" t="s">
        <v>575</v>
      </c>
    </row>
    <row r="16" spans="1:8" ht="106" customHeight="1">
      <c r="A16" s="5">
        <v>6</v>
      </c>
      <c r="B16" s="5" t="s">
        <v>576</v>
      </c>
      <c r="C16" s="17" t="str">
        <f>"Программа "&amp;(IF('Ввод'!$B$29&gt;0,INDEX('Ассортимент'!$D$8:$D$25,'Ввод'!$B$29),""))&amp;": суммарно "&amp;(IF('Ввод'!$B$29&gt;0,INDEX('Ассортимент'!$R$8:$R$25,'Ввод'!$B$29),""))&amp;" с. Скорости и этапы — лист «Режимы И-ГЦ-02». Дождаться завершения и безопасного состояния по паспорту."</f>
        <v>Программа 1: суммарно 450 с. Скорости и этапы — лист «Режимы И-ГЦ-02». Дождаться завершения и безопасного состояния по паспорту.</v>
      </c>
      <c r="D16" s="5" t="s">
        <v>577</v>
      </c>
      <c r="E16" s="5" t="s">
        <v>443</v>
      </c>
      <c r="F16" s="13">
        <f>IF('Ввод'!$B$29&gt;0,INDEX('Замеры ЦЕЛЬ'!$S$1:$S$382,7+('Ввод'!$B$29-1)*21+10),"")</f>
        <v>450</v>
      </c>
      <c r="G16" s="5" t="s">
        <v>415</v>
      </c>
      <c r="H16" s="7" t="s">
        <v>578</v>
      </c>
    </row>
    <row r="17" spans="1:8" ht="106" customHeight="1">
      <c r="A17" s="5">
        <v>7</v>
      </c>
      <c r="B17" s="5" t="s">
        <v>579</v>
      </c>
      <c r="C17" s="17" t="str">
        <f>"Выгрузить в чистую гастроёмкость с маркировкой «"&amp;IF(IF('Ввод'!$B$29&gt;0,INDEX('Ассортимент'!$C$8:$C$25,'Ввод'!$B$29),"")="Зелень","ЗЕЛЕНЬ","СО")&amp;"». Не использовать загрязнённую или немаркированную тару."</f>
        <v>Выгрузить в чистую гастроёмкость с маркировкой «ЗЕЛЕНЬ». Не использовать загрязнённую или немаркированную тару.</v>
      </c>
      <c r="D17" s="5" t="s">
        <v>580</v>
      </c>
      <c r="E17" s="5" t="s">
        <v>581</v>
      </c>
      <c r="F17" s="13">
        <f>IF('Ввод'!$B$29&gt;0,INDEX('Замеры ЦЕЛЬ'!$S$1:$S$382,7+('Ввод'!$B$29-1)*21+11),"")</f>
        <v>27.8495901639344</v>
      </c>
      <c r="G17" s="5" t="s">
        <v>402</v>
      </c>
      <c r="H17" s="7" t="s">
        <v>582</v>
      </c>
    </row>
    <row r="18" spans="1:8" ht="106" customHeight="1">
      <c r="A18" s="5">
        <v>8</v>
      </c>
      <c r="B18" s="5" t="s">
        <v>583</v>
      </c>
      <c r="C18" s="5" t="s">
        <v>584</v>
      </c>
      <c r="D18" s="5" t="s">
        <v>585</v>
      </c>
      <c r="E18" s="5" t="s">
        <v>586</v>
      </c>
      <c r="F18" s="13">
        <f>IF('Ввод'!$B$29&gt;0,INDEX('Замеры ЦЕЛЬ'!$S$1:$S$382,7+('Ввод'!$B$29-1)*21+12),"")</f>
        <v>18.5663934426229</v>
      </c>
      <c r="G18" s="5" t="s">
        <v>402</v>
      </c>
      <c r="H18" s="7" t="s">
        <v>587</v>
      </c>
    </row>
    <row r="19" spans="1:8" ht="106" customHeight="1">
      <c r="A19" s="5">
        <v>9</v>
      </c>
      <c r="B19" s="5" t="s">
        <v>588</v>
      </c>
      <c r="C19" s="5" t="s">
        <v>589</v>
      </c>
      <c r="D19" s="5" t="s">
        <v>590</v>
      </c>
      <c r="E19" s="5" t="s">
        <v>591</v>
      </c>
      <c r="F19" s="13">
        <f>IF('Ввод'!$B$29&gt;0,INDEX('Замеры ЦЕЛЬ'!$S$1:$S$382,7+('Ввод'!$B$29-1)*21+13),"")</f>
        <v>5</v>
      </c>
      <c r="G19" s="5" t="s">
        <v>402</v>
      </c>
      <c r="H19" s="7" t="s">
        <v>592</v>
      </c>
    </row>
    <row r="20" spans="1:8" ht="106" customHeight="1">
      <c r="A20" s="5">
        <v>10</v>
      </c>
      <c r="B20" s="5" t="s">
        <v>593</v>
      </c>
      <c r="C20" s="5" t="s">
        <v>594</v>
      </c>
      <c r="D20" s="5" t="s">
        <v>595</v>
      </c>
      <c r="E20" s="5" t="s">
        <v>596</v>
      </c>
      <c r="F20" s="13">
        <f>IF('Ввод'!$B$29&gt;0,INDEX('Замеры ЦЕЛЬ'!$S$1:$S$382,7+('Ввод'!$B$29-1)*21+14),"")</f>
        <v>5</v>
      </c>
      <c r="G20" s="5" t="s">
        <v>415</v>
      </c>
      <c r="H20" s="7" t="s">
        <v>597</v>
      </c>
    </row>
    <row r="22" spans="1:8" ht="23" customHeight="1">
      <c r="B22" s="4" t="s">
        <v>598</v>
      </c>
      <c r="F22" s="6">
        <f>IF(COUNT(F11:F20)=10,SUM(F11:F20),"")</f>
        <v>692.46</v>
      </c>
    </row>
    <row r="23" spans="1:8" ht="23" customHeight="1">
      <c r="B23" s="5" t="s">
        <v>599</v>
      </c>
      <c r="F23" s="13">
        <f>IF('Ввод'!$B$29&gt;0,INDEX('Замеры ЦЕЛЬ'!$S$1:$S$382,7+('Ввод'!$B$29-1)*21+15),"")</f>
        <v>0</v>
      </c>
      <c r="G23" s="17" t="str">
        <f>IF(AND(ISNUMBER(F23),F23&gt;0),"Устранить потери до утверждения","Проект: потери не нормируются")</f>
        <v>Проект: потери не нормируются</v>
      </c>
    </row>
    <row r="25" spans="1:8" ht="23" customHeight="1">
      <c r="A25" s="2" t="s">
        <v>600</v>
      </c>
      <c r="B25" s="2"/>
      <c r="C25" s="2"/>
      <c r="D25" s="2"/>
      <c r="E25" s="2"/>
      <c r="F25" s="2"/>
      <c r="G25" s="2"/>
      <c r="H25" s="2"/>
    </row>
    <row r="26" spans="1:8" ht="23" customHeight="1">
      <c r="A26" s="2"/>
      <c r="B26" s="2"/>
      <c r="C26" s="2"/>
      <c r="D26" s="2"/>
      <c r="E26" s="2"/>
      <c r="F26" s="2"/>
      <c r="G26" s="2"/>
      <c r="H26" s="2"/>
    </row>
    <row r="27" spans="1:8" ht="23" customHeight="1">
      <c r="A27" s="2"/>
      <c r="B27" s="2"/>
      <c r="C27" s="2"/>
      <c r="D27" s="2"/>
      <c r="E27" s="2"/>
      <c r="F27" s="2"/>
      <c r="G27" s="2"/>
      <c r="H27" s="2"/>
    </row>
    <row r="29" spans="1:8" ht="23" customHeight="1">
      <c r="A29" s="5" t="s">
        <v>601</v>
      </c>
      <c r="B29" s="5"/>
      <c r="C29" s="5"/>
      <c r="D29" s="5"/>
      <c r="E29" s="5"/>
      <c r="F29" s="5"/>
      <c r="G29" s="5"/>
      <c r="H29" s="5"/>
    </row>
    <row r="30" spans="1:8" ht="23" customHeight="1">
      <c r="A30" s="5"/>
      <c r="B30" s="5"/>
      <c r="C30" s="5"/>
      <c r="D30" s="5"/>
      <c r="E30" s="5"/>
      <c r="F30" s="5"/>
      <c r="G30" s="5"/>
      <c r="H30" s="5"/>
    </row>
    <row r="31" spans="1:8" ht="23" customHeight="1">
      <c r="A31" s="5"/>
      <c r="B31" s="5"/>
      <c r="C31" s="5"/>
      <c r="D31" s="5"/>
      <c r="E31" s="5"/>
      <c r="F31" s="5"/>
      <c r="G31" s="5"/>
      <c r="H31" s="5"/>
    </row>
    <row r="33" spans="1:8" ht="23" customHeight="1">
      <c r="A33" s="7" t="s">
        <v>602</v>
      </c>
      <c r="B33" s="7"/>
      <c r="C33" s="7"/>
      <c r="D33" s="7"/>
      <c r="E33" s="7"/>
      <c r="F33" s="7"/>
      <c r="G33" s="7"/>
      <c r="H33" s="7"/>
    </row>
    <row r="34" spans="1:8" ht="23" customHeight="1">
      <c r="A34" s="7"/>
      <c r="B34" s="7"/>
      <c r="C34" s="7"/>
      <c r="D34" s="7"/>
      <c r="E34" s="7"/>
      <c r="F34" s="7"/>
      <c r="G34" s="7"/>
      <c r="H34" s="7"/>
    </row>
    <row r="35" spans="1:8" ht="23" customHeight="1">
      <c r="A35" s="7"/>
      <c r="B35" s="7"/>
      <c r="C35" s="7"/>
      <c r="D35" s="7"/>
      <c r="E35" s="7"/>
      <c r="F35" s="7"/>
      <c r="G35" s="7"/>
      <c r="H35" s="7"/>
    </row>
  </sheetData>
  <sheetProtection sheet="1" objects="1" scenarios="1" sort="0" autoFilter="0"/>
  <mergeCells count="10">
    <mergeCell ref="A1:H1"/>
    <mergeCell ref="A2:H2"/>
    <mergeCell ref="B3:H3"/>
    <mergeCell ref="A4:H4"/>
    <mergeCell ref="A5:H5"/>
    <mergeCell ref="A6:H6"/>
    <mergeCell ref="A7:H8"/>
    <mergeCell ref="A25:H27"/>
    <mergeCell ref="A29:H31"/>
    <mergeCell ref="A33:H35"/>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&amp;LСОП&amp;RСтр. &amp;P / &amp;N</oddFooter>
  </headerFooter>
  <rowBreaks count="2" manualBreakCount="2">
    <brk id="15" max="16383" man="1"/>
    <brk id="24" max="16383" man="1"/>
  </rowBreaks>
</worksheet>
</file>

<file path=xl/worksheets/sheet21.xml><?xml version="1.0" encoding="utf-8"?>
<worksheet xmlns="http://schemas.openxmlformats.org/spreadsheetml/2006/main" xmlns:r="http://schemas.openxmlformats.org/officeDocument/2006/relationships">
  <sheetPr>
    <tabColor rgb="FF147D92"/>
    <pageSetUpPr fitToPage="1"/>
  </sheetPr>
  <dimension ref="A1:G25"/>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47.7109375" customWidth="1"/>
    <col min="3" max="4" width="51.7109375" customWidth="1"/>
    <col min="5" max="5" width="19.7109375" customWidth="1"/>
    <col min="6" max="7" width="32.7109375" customWidth="1"/>
    <col min="8" max="8" width="17.7109375" customWidth="1"/>
  </cols>
  <sheetData>
    <row r="1" spans="1:7" ht="35" customHeight="1">
      <c r="A1" s="1" t="s">
        <v>603</v>
      </c>
      <c r="B1" s="1"/>
      <c r="C1" s="1"/>
      <c r="D1" s="1"/>
      <c r="E1" s="1"/>
      <c r="F1" s="1"/>
      <c r="G1" s="1"/>
    </row>
    <row r="2" spans="1:7" ht="31" customHeight="1">
      <c r="A2" s="2" t="s">
        <v>1</v>
      </c>
      <c r="B2" s="2"/>
      <c r="C2" s="2"/>
      <c r="D2" s="2"/>
      <c r="E2" s="2"/>
      <c r="F2" s="2"/>
      <c r="G2" s="2"/>
    </row>
    <row r="3" spans="1:7" ht="23" customHeight="1">
      <c r="A3" s="3" t="s">
        <v>2</v>
      </c>
      <c r="B3" s="7" t="s">
        <v>3</v>
      </c>
      <c r="C3" s="7"/>
      <c r="D3" s="7"/>
      <c r="E3" s="7"/>
      <c r="F3" s="7"/>
      <c r="G3" s="7"/>
    </row>
    <row r="5" spans="1:7" ht="23" customHeight="1">
      <c r="A5" s="11" t="s">
        <v>604</v>
      </c>
      <c r="B5" s="11"/>
      <c r="C5" s="11"/>
      <c r="D5" s="11"/>
      <c r="E5" s="11"/>
      <c r="F5" s="11"/>
      <c r="G5" s="11"/>
    </row>
    <row r="6" spans="1:7" ht="23" customHeight="1">
      <c r="A6" s="11"/>
      <c r="B6" s="11"/>
      <c r="C6" s="11"/>
      <c r="D6" s="11"/>
      <c r="E6" s="11"/>
      <c r="F6" s="11"/>
      <c r="G6" s="11"/>
    </row>
    <row r="7" spans="1:7" ht="23" customHeight="1">
      <c r="A7" s="11"/>
      <c r="B7" s="11"/>
      <c r="C7" s="11"/>
      <c r="D7" s="11"/>
      <c r="E7" s="11"/>
      <c r="F7" s="11"/>
      <c r="G7" s="11"/>
    </row>
    <row r="9" spans="1:7" ht="44" customHeight="1">
      <c r="A9" s="8" t="s">
        <v>113</v>
      </c>
      <c r="B9" s="8" t="s">
        <v>547</v>
      </c>
      <c r="C9" s="8" t="s">
        <v>548</v>
      </c>
      <c r="D9" s="8" t="s">
        <v>605</v>
      </c>
      <c r="E9" s="8" t="s">
        <v>606</v>
      </c>
      <c r="F9" s="8" t="s">
        <v>607</v>
      </c>
      <c r="G9" s="8" t="s">
        <v>608</v>
      </c>
    </row>
    <row r="10" spans="1:7" ht="110" customHeight="1">
      <c r="A10" s="5">
        <v>1</v>
      </c>
      <c r="B10" s="5" t="s">
        <v>609</v>
      </c>
      <c r="C10" s="5" t="s">
        <v>610</v>
      </c>
      <c r="D10" s="5" t="s">
        <v>611</v>
      </c>
      <c r="E10" s="13">
        <f>'Периодическая работа'!H8</f>
        <v>60</v>
      </c>
      <c r="F10" s="5" t="s">
        <v>612</v>
      </c>
      <c r="G10" s="2" t="s">
        <v>613</v>
      </c>
    </row>
    <row r="11" spans="1:7" ht="110" customHeight="1">
      <c r="A11" s="5">
        <v>2</v>
      </c>
      <c r="B11" s="5" t="s">
        <v>614</v>
      </c>
      <c r="C11" s="5" t="s">
        <v>615</v>
      </c>
      <c r="D11" s="5" t="s">
        <v>616</v>
      </c>
      <c r="E11" s="13">
        <f>'Периодическая работа'!H9</f>
        <v>15</v>
      </c>
      <c r="F11" s="5" t="s">
        <v>612</v>
      </c>
      <c r="G11" s="2" t="s">
        <v>613</v>
      </c>
    </row>
    <row r="12" spans="1:7" ht="110" customHeight="1">
      <c r="A12" s="5">
        <v>3</v>
      </c>
      <c r="B12" s="5" t="s">
        <v>617</v>
      </c>
      <c r="C12" s="5" t="s">
        <v>618</v>
      </c>
      <c r="D12" s="5" t="s">
        <v>619</v>
      </c>
      <c r="E12" s="13">
        <f>'Периодическая работа'!H10</f>
        <v>240</v>
      </c>
      <c r="F12" s="5" t="s">
        <v>612</v>
      </c>
      <c r="G12" s="2" t="s">
        <v>613</v>
      </c>
    </row>
    <row r="13" spans="1:7" ht="110" customHeight="1">
      <c r="A13" s="5">
        <v>4</v>
      </c>
      <c r="B13" s="5" t="s">
        <v>620</v>
      </c>
      <c r="C13" s="5" t="s">
        <v>621</v>
      </c>
      <c r="D13" s="5" t="s">
        <v>622</v>
      </c>
      <c r="E13" s="13">
        <f>'Периодическая работа'!H11</f>
        <v>480</v>
      </c>
      <c r="F13" s="5" t="s">
        <v>612</v>
      </c>
      <c r="G13" s="2" t="s">
        <v>613</v>
      </c>
    </row>
    <row r="14" spans="1:7" ht="110" customHeight="1">
      <c r="A14" s="5">
        <v>5</v>
      </c>
      <c r="B14" s="5" t="s">
        <v>623</v>
      </c>
      <c r="C14" s="5" t="s">
        <v>624</v>
      </c>
      <c r="D14" s="5" t="s">
        <v>625</v>
      </c>
      <c r="E14" s="13">
        <f>'Периодическая работа'!H12</f>
        <v>120</v>
      </c>
      <c r="F14" s="5" t="s">
        <v>612</v>
      </c>
      <c r="G14" s="2" t="s">
        <v>613</v>
      </c>
    </row>
    <row r="16" spans="1:7" ht="23" customHeight="1">
      <c r="B16" s="4" t="s">
        <v>626</v>
      </c>
      <c r="E16" s="6">
        <f>IF(COUNT(E10:E14)=5,SUM(E10:E14),"")</f>
        <v>915</v>
      </c>
    </row>
    <row r="18" spans="1:7" ht="23" customHeight="1">
      <c r="A18" s="2" t="s">
        <v>627</v>
      </c>
      <c r="B18" s="2"/>
      <c r="C18" s="2"/>
      <c r="D18" s="2"/>
      <c r="E18" s="2"/>
      <c r="F18" s="2"/>
      <c r="G18" s="2"/>
    </row>
    <row r="19" spans="1:7" ht="23" customHeight="1">
      <c r="A19" s="2"/>
      <c r="B19" s="2"/>
      <c r="C19" s="2"/>
      <c r="D19" s="2"/>
      <c r="E19" s="2"/>
      <c r="F19" s="2"/>
      <c r="G19" s="2"/>
    </row>
    <row r="20" spans="1:7" ht="23" customHeight="1">
      <c r="A20" s="2"/>
      <c r="B20" s="2"/>
      <c r="C20" s="2"/>
      <c r="D20" s="2"/>
      <c r="E20" s="2"/>
      <c r="F20" s="2"/>
      <c r="G20" s="2"/>
    </row>
    <row r="21" spans="1:7" ht="23" customHeight="1">
      <c r="A21" s="2"/>
      <c r="B21" s="2"/>
      <c r="C21" s="2"/>
      <c r="D21" s="2"/>
      <c r="E21" s="2"/>
      <c r="F21" s="2"/>
      <c r="G21" s="2"/>
    </row>
    <row r="23" spans="1:7" ht="23" customHeight="1">
      <c r="A23" s="7" t="s">
        <v>628</v>
      </c>
      <c r="B23" s="7"/>
      <c r="C23" s="7"/>
      <c r="D23" s="7"/>
      <c r="E23" s="7"/>
      <c r="F23" s="7"/>
      <c r="G23" s="7"/>
    </row>
    <row r="24" spans="1:7" ht="23" customHeight="1">
      <c r="A24" s="7"/>
      <c r="B24" s="7"/>
      <c r="C24" s="7"/>
      <c r="D24" s="7"/>
      <c r="E24" s="7"/>
      <c r="F24" s="7"/>
      <c r="G24" s="7"/>
    </row>
    <row r="25" spans="1:7" ht="23" customHeight="1">
      <c r="A25" s="7"/>
      <c r="B25" s="7"/>
      <c r="C25" s="7"/>
      <c r="D25" s="7"/>
      <c r="E25" s="7"/>
      <c r="F25" s="7"/>
      <c r="G25" s="7"/>
    </row>
  </sheetData>
  <sheetProtection sheet="1" objects="1" scenarios="1" sort="0" autoFilter="0"/>
  <mergeCells count="6">
    <mergeCell ref="A1:G1"/>
    <mergeCell ref="A2:G2"/>
    <mergeCell ref="B3:G3"/>
    <mergeCell ref="A5:G7"/>
    <mergeCell ref="A18:G21"/>
    <mergeCell ref="A23:G25"/>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&amp;LСОП санобработка&amp;RСтр. &amp;P / &amp;N</oddFooter>
  </headerFooter>
</worksheet>
</file>

<file path=xl/worksheets/sheet22.xml><?xml version="1.0" encoding="utf-8"?>
<worksheet xmlns="http://schemas.openxmlformats.org/spreadsheetml/2006/main" xmlns:r="http://schemas.openxmlformats.org/officeDocument/2006/relationships">
  <sheetPr>
    <tabColor rgb="FF147D92"/>
    <pageSetUpPr fitToPage="1"/>
  </sheetPr>
  <dimension ref="A1:H2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3" width="55.7109375" customWidth="1"/>
    <col min="4" max="4" width="41.7109375" customWidth="1"/>
    <col min="5" max="6" width="15.7109375" customWidth="1"/>
    <col min="7" max="7" width="27.7109375" customWidth="1"/>
    <col min="8" max="8" width="46.7109375" customWidth="1"/>
  </cols>
  <sheetData>
    <row r="1" spans="1:8" ht="35" customHeight="1">
      <c r="A1" s="1" t="s">
        <v>629</v>
      </c>
      <c r="B1" s="1"/>
      <c r="C1" s="1"/>
      <c r="D1" s="1"/>
      <c r="E1" s="1"/>
      <c r="F1" s="1"/>
      <c r="G1" s="1"/>
      <c r="H1" s="1"/>
    </row>
    <row r="2" spans="1:8" ht="31" customHeight="1">
      <c r="A2" s="2" t="s">
        <v>1</v>
      </c>
      <c r="B2" s="2"/>
      <c r="C2" s="2"/>
      <c r="D2" s="2"/>
      <c r="E2" s="2"/>
      <c r="F2" s="2"/>
      <c r="G2" s="2"/>
      <c r="H2" s="2"/>
    </row>
    <row r="3" spans="1:8" ht="23" customHeight="1">
      <c r="A3" s="3" t="s">
        <v>2</v>
      </c>
      <c r="B3" s="7" t="s">
        <v>3</v>
      </c>
      <c r="C3" s="7"/>
      <c r="D3" s="7"/>
      <c r="E3" s="7"/>
      <c r="F3" s="7"/>
      <c r="G3" s="7"/>
      <c r="H3" s="7"/>
    </row>
    <row r="7" spans="1:8" ht="44" customHeight="1">
      <c r="A7" s="8" t="s">
        <v>113</v>
      </c>
      <c r="B7" s="8" t="s">
        <v>630</v>
      </c>
      <c r="C7" s="8" t="s">
        <v>631</v>
      </c>
      <c r="D7" s="8" t="s">
        <v>520</v>
      </c>
      <c r="E7" s="8" t="s">
        <v>632</v>
      </c>
      <c r="F7" s="8" t="s">
        <v>633</v>
      </c>
      <c r="G7" s="8" t="s">
        <v>178</v>
      </c>
      <c r="H7" s="8" t="s">
        <v>634</v>
      </c>
    </row>
    <row r="8" spans="1:8" ht="93" customHeight="1">
      <c r="A8" s="5">
        <v>1</v>
      </c>
      <c r="B8" s="5" t="s">
        <v>635</v>
      </c>
      <c r="C8" s="5" t="s">
        <v>636</v>
      </c>
      <c r="D8" s="17" t="str">
        <f>'Ввод'!B33</f>
        <v>Начальник кулинарного цеха — впишите ФИО</v>
      </c>
      <c r="E8" s="19">
        <f>'Ввод'!B10+0</f>
        <v>46270</v>
      </c>
      <c r="F8" s="19">
        <f>'Ввод'!B10+2</f>
        <v>46272</v>
      </c>
      <c r="G8" s="9" t="s">
        <v>503</v>
      </c>
      <c r="H8" s="9" t="s">
        <v>637</v>
      </c>
    </row>
    <row r="9" spans="1:8" ht="93" customHeight="1">
      <c r="A9" s="5">
        <v>2</v>
      </c>
      <c r="B9" s="5" t="s">
        <v>638</v>
      </c>
      <c r="C9" s="5" t="s">
        <v>639</v>
      </c>
      <c r="D9" s="17" t="str">
        <f>'Ввод'!B33</f>
        <v>Начальник кулинарного цеха — впишите ФИО</v>
      </c>
      <c r="E9" s="19">
        <f>'Ввод'!B10+2</f>
        <v>46272</v>
      </c>
      <c r="F9" s="19">
        <f>'Ввод'!B10+6</f>
        <v>46276</v>
      </c>
      <c r="G9" s="9" t="s">
        <v>503</v>
      </c>
      <c r="H9" s="9" t="s">
        <v>637</v>
      </c>
    </row>
    <row r="10" spans="1:8" ht="93" customHeight="1">
      <c r="A10" s="5">
        <v>3</v>
      </c>
      <c r="B10" s="5" t="s">
        <v>640</v>
      </c>
      <c r="C10" s="5" t="s">
        <v>641</v>
      </c>
      <c r="D10" s="17" t="str">
        <f>'Ввод'!B34</f>
        <v>Инженер-технолог — впишите ФИО</v>
      </c>
      <c r="E10" s="19">
        <f>'Ввод'!B10+6</f>
        <v>46276</v>
      </c>
      <c r="F10" s="19">
        <f>'Ввод'!B10+8</f>
        <v>46278</v>
      </c>
      <c r="G10" s="9" t="s">
        <v>503</v>
      </c>
      <c r="H10" s="9" t="s">
        <v>637</v>
      </c>
    </row>
    <row r="11" spans="1:8" ht="93" customHeight="1">
      <c r="A11" s="5">
        <v>4</v>
      </c>
      <c r="B11" s="5" t="s">
        <v>642</v>
      </c>
      <c r="C11" s="5" t="s">
        <v>643</v>
      </c>
      <c r="D11" s="17" t="str">
        <f>'Ввод'!B33</f>
        <v>Начальник кулинарного цеха — впишите ФИО</v>
      </c>
      <c r="E11" s="19">
        <f>'Ввод'!B10+8</f>
        <v>46278</v>
      </c>
      <c r="F11" s="19">
        <f>'Ввод'!B10+15</f>
        <v>46285</v>
      </c>
      <c r="G11" s="9" t="s">
        <v>503</v>
      </c>
      <c r="H11" s="9" t="s">
        <v>637</v>
      </c>
    </row>
    <row r="12" spans="1:8" ht="93" customHeight="1">
      <c r="A12" s="5">
        <v>5</v>
      </c>
      <c r="B12" s="5" t="s">
        <v>644</v>
      </c>
      <c r="C12" s="5" t="s">
        <v>645</v>
      </c>
      <c r="D12" s="17" t="str">
        <f>'Ввод'!B34</f>
        <v>Инженер-технолог — впишите ФИО</v>
      </c>
      <c r="E12" s="19">
        <f>'Ввод'!B10+15</f>
        <v>46285</v>
      </c>
      <c r="F12" s="19">
        <f>'Ввод'!B10+19</f>
        <v>46289</v>
      </c>
      <c r="G12" s="9" t="s">
        <v>503</v>
      </c>
      <c r="H12" s="9" t="s">
        <v>637</v>
      </c>
    </row>
    <row r="13" spans="1:8" ht="93" customHeight="1">
      <c r="A13" s="5">
        <v>6</v>
      </c>
      <c r="B13" s="5" t="s">
        <v>646</v>
      </c>
      <c r="C13" s="5" t="s">
        <v>647</v>
      </c>
      <c r="D13" s="17" t="str">
        <f>'Ввод'!B34</f>
        <v>Инженер-технолог — впишите ФИО</v>
      </c>
      <c r="E13" s="19">
        <f>'Ввод'!B10+19</f>
        <v>46289</v>
      </c>
      <c r="F13" s="19">
        <f>'Ввод'!B10+23</f>
        <v>46293</v>
      </c>
      <c r="G13" s="9" t="s">
        <v>503</v>
      </c>
      <c r="H13" s="9" t="s">
        <v>637</v>
      </c>
    </row>
    <row r="14" spans="1:8" ht="93" customHeight="1">
      <c r="A14" s="5">
        <v>7</v>
      </c>
      <c r="B14" s="5" t="s">
        <v>648</v>
      </c>
      <c r="C14" s="5" t="s">
        <v>649</v>
      </c>
      <c r="D14" s="17" t="str">
        <f>'Ввод'!B33</f>
        <v>Начальник кулинарного цеха — впишите ФИО</v>
      </c>
      <c r="E14" s="19">
        <f>'Ввод'!B10+23</f>
        <v>46293</v>
      </c>
      <c r="F14" s="19">
        <f>'Ввод'!B10+25</f>
        <v>46295</v>
      </c>
      <c r="G14" s="9" t="s">
        <v>503</v>
      </c>
      <c r="H14" s="9" t="s">
        <v>637</v>
      </c>
    </row>
    <row r="15" spans="1:8" ht="93" customHeight="1">
      <c r="A15" s="5">
        <v>8</v>
      </c>
      <c r="B15" s="5" t="s">
        <v>650</v>
      </c>
      <c r="C15" s="5" t="s">
        <v>651</v>
      </c>
      <c r="D15" s="17" t="str">
        <f>'Ввод'!B33</f>
        <v>Начальник кулинарного цеха — впишите ФИО</v>
      </c>
      <c r="E15" s="19">
        <f>'Ввод'!B10+25</f>
        <v>46295</v>
      </c>
      <c r="F15" s="19">
        <f>'Ввод'!B10+27</f>
        <v>46297</v>
      </c>
      <c r="G15" s="9" t="s">
        <v>503</v>
      </c>
      <c r="H15" s="9" t="s">
        <v>637</v>
      </c>
    </row>
    <row r="16" spans="1:8" ht="93" customHeight="1">
      <c r="A16" s="5">
        <v>9</v>
      </c>
      <c r="B16" s="5" t="s">
        <v>652</v>
      </c>
      <c r="C16" s="5" t="s">
        <v>653</v>
      </c>
      <c r="D16" s="17" t="str">
        <f>'Ввод'!B33</f>
        <v>Начальник кулинарного цеха — впишите ФИО</v>
      </c>
      <c r="E16" s="19">
        <f>'Ввод'!B10+27</f>
        <v>46297</v>
      </c>
      <c r="F16" s="19">
        <f>'Ввод'!B10+30</f>
        <v>46300</v>
      </c>
      <c r="G16" s="9" t="s">
        <v>503</v>
      </c>
      <c r="H16" s="9" t="s">
        <v>637</v>
      </c>
    </row>
    <row r="17" spans="1:8" ht="93" customHeight="1">
      <c r="A17" s="5">
        <v>10</v>
      </c>
      <c r="B17" s="5" t="s">
        <v>654</v>
      </c>
      <c r="C17" s="5" t="s">
        <v>655</v>
      </c>
      <c r="D17" s="17" t="str">
        <f>'Ввод'!B34</f>
        <v>Инженер-технолог — впишите ФИО</v>
      </c>
      <c r="E17" s="19">
        <f>'Ввод'!B10+30</f>
        <v>46300</v>
      </c>
      <c r="F17" s="19">
        <f>'Ввод'!B10+60</f>
        <v>46330</v>
      </c>
      <c r="G17" s="9" t="s">
        <v>503</v>
      </c>
      <c r="H17" s="9" t="s">
        <v>637</v>
      </c>
    </row>
    <row r="20" spans="1:8" ht="23" customHeight="1">
      <c r="A20" s="2" t="s">
        <v>656</v>
      </c>
      <c r="B20" s="2"/>
      <c r="C20" s="2"/>
      <c r="D20" s="2"/>
      <c r="E20" s="2"/>
      <c r="F20" s="2"/>
      <c r="G20" s="2"/>
      <c r="H20" s="2"/>
    </row>
    <row r="21" spans="1:8" ht="23" customHeight="1">
      <c r="A21" s="2"/>
      <c r="B21" s="2"/>
      <c r="C21" s="2"/>
      <c r="D21" s="2"/>
      <c r="E21" s="2"/>
      <c r="F21" s="2"/>
      <c r="G21" s="2"/>
      <c r="H21" s="2"/>
    </row>
    <row r="22" spans="1:8" ht="23" customHeight="1">
      <c r="A22" s="2"/>
      <c r="B22" s="2"/>
      <c r="C22" s="2"/>
      <c r="D22" s="2"/>
      <c r="E22" s="2"/>
      <c r="F22" s="2"/>
      <c r="G22" s="2"/>
      <c r="H22" s="2"/>
    </row>
  </sheetData>
  <sheetProtection sheet="1" objects="1" scenarios="1" sort="0" autoFilter="0"/>
  <mergeCells count="4">
    <mergeCell ref="A1:H1"/>
    <mergeCell ref="A2:H2"/>
    <mergeCell ref="B3:H3"/>
    <mergeCell ref="A20:H22"/>
  </mergeCells>
  <dataValidations count="10">
    <dataValidation type="list" allowBlank="1" showInputMessage="1" showErrorMessage="1" errorTitle="Проверьте ввод" error="Введите значение в допустимых пределах. См. примечание к ячейке." sqref="G8">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9">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0">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1">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2">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3">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4">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5">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6">
      <formula1>"Запланировано,В работе,Выполнено,Нужна доработка"</formula1>
    </dataValidation>
    <dataValidation type="list" allowBlank="1" showInputMessage="1" showErrorMessage="1" errorTitle="Проверьте ввод" error="Введите значение в допустимых пределах. См. примечание к ячейке." sqref="G17">
      <formula1>"Запланировано,В работе,Выполнено,Нужна доработка"</formula1>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&amp;LПлан внедрения&amp;RСтр. &amp;P / &amp;N</oddFooter>
  </headerFooter>
  <legacyDrawing r:id="rId1"/>
</worksheet>
</file>

<file path=xl/worksheets/sheet23.xml><?xml version="1.0" encoding="utf-8"?>
<worksheet xmlns="http://schemas.openxmlformats.org/spreadsheetml/2006/main" xmlns:r="http://schemas.openxmlformats.org/officeDocument/2006/relationships">
  <sheetPr>
    <tabColor rgb="FF147D92"/>
    <pageSetUpPr fitToPage="1"/>
  </sheetPr>
  <dimension ref="A1:J20"/>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2" width="7.7109375" customWidth="1"/>
    <col min="3" max="3" width="40.7109375" customWidth="1"/>
    <col min="4" max="4" width="62.7109375" customWidth="1"/>
    <col min="5" max="6" width="28.7109375" customWidth="1"/>
    <col min="7" max="7" width="12.7109375" customWidth="1"/>
    <col min="8" max="8" width="20.7109375" customWidth="1"/>
    <col min="9" max="9" width="36.7109375" customWidth="1"/>
    <col min="10" max="10" width="8.7109375" customWidth="1"/>
  </cols>
  <sheetData>
    <row r="1" spans="1:10" ht="35" customHeight="1">
      <c r="A1" s="1" t="s">
        <v>657</v>
      </c>
      <c r="B1" s="1"/>
      <c r="C1" s="1"/>
      <c r="D1" s="1"/>
      <c r="E1" s="1"/>
      <c r="F1" s="1"/>
      <c r="G1" s="1"/>
      <c r="H1" s="1"/>
      <c r="I1" s="1"/>
      <c r="J1" s="1"/>
    </row>
    <row r="2" spans="1:10" ht="31" customHeight="1">
      <c r="A2" s="2" t="s">
        <v>1</v>
      </c>
      <c r="B2" s="2"/>
      <c r="C2" s="2"/>
      <c r="D2" s="2"/>
      <c r="E2" s="2"/>
      <c r="F2" s="2"/>
      <c r="G2" s="2"/>
      <c r="H2" s="2"/>
      <c r="I2" s="2"/>
      <c r="J2" s="2"/>
    </row>
    <row r="3" spans="1:10" ht="23" customHeight="1">
      <c r="A3" s="3" t="s">
        <v>2</v>
      </c>
      <c r="B3" s="7" t="s">
        <v>3</v>
      </c>
      <c r="C3" s="7"/>
      <c r="D3" s="7"/>
      <c r="E3" s="7"/>
      <c r="F3" s="7"/>
      <c r="G3" s="7"/>
      <c r="H3" s="7"/>
      <c r="I3" s="7"/>
      <c r="J3" s="7"/>
    </row>
    <row r="7" spans="1:10" ht="44" customHeight="1">
      <c r="A7" s="8" t="s">
        <v>658</v>
      </c>
      <c r="B7" s="8" t="s">
        <v>659</v>
      </c>
      <c r="C7" s="8" t="s">
        <v>660</v>
      </c>
      <c r="D7" s="8" t="s">
        <v>661</v>
      </c>
      <c r="E7" s="8" t="s">
        <v>662</v>
      </c>
      <c r="F7" s="8" t="s">
        <v>663</v>
      </c>
      <c r="G7" s="8" t="s">
        <v>664</v>
      </c>
      <c r="H7" s="8" t="s">
        <v>665</v>
      </c>
      <c r="I7" s="8" t="s">
        <v>666</v>
      </c>
      <c r="J7" s="8" t="s">
        <v>667</v>
      </c>
    </row>
    <row r="8" spans="1:10" ht="295" customHeight="1">
      <c r="A8" s="11" t="s">
        <v>668</v>
      </c>
      <c r="B8" s="11">
        <v>1</v>
      </c>
      <c r="C8" s="11" t="s">
        <v>669</v>
      </c>
      <c r="D8" s="11" t="s">
        <v>670</v>
      </c>
      <c r="E8" s="11" t="s">
        <v>671</v>
      </c>
      <c r="F8" s="11" t="s">
        <v>672</v>
      </c>
      <c r="G8" s="11" t="s">
        <v>673</v>
      </c>
      <c r="H8" s="9" t="s">
        <v>674</v>
      </c>
      <c r="I8" s="9" t="s">
        <v>675</v>
      </c>
      <c r="J8" s="15" t="str">
        <f>IF(H8="Не проверено","",IF(H8="Соответствует",1,0))</f>
        <v/>
      </c>
    </row>
    <row r="9" spans="1:10" ht="295" customHeight="1">
      <c r="A9" s="11" t="s">
        <v>676</v>
      </c>
      <c r="B9" s="11">
        <v>1</v>
      </c>
      <c r="C9" s="11" t="s">
        <v>677</v>
      </c>
      <c r="D9" s="11" t="s">
        <v>678</v>
      </c>
      <c r="E9" s="11" t="s">
        <v>679</v>
      </c>
      <c r="F9" s="11" t="s">
        <v>680</v>
      </c>
      <c r="G9" s="11" t="s">
        <v>673</v>
      </c>
      <c r="H9" s="9" t="s">
        <v>674</v>
      </c>
      <c r="I9" s="9" t="s">
        <v>681</v>
      </c>
      <c r="J9" s="15" t="str">
        <f>IF(H9="Не проверено","",IF(H9="Соответствует",1,0))</f>
        <v/>
      </c>
    </row>
    <row r="10" spans="1:10" ht="295" customHeight="1">
      <c r="A10" s="11" t="s">
        <v>682</v>
      </c>
      <c r="B10" s="11">
        <v>2</v>
      </c>
      <c r="C10" s="11" t="s">
        <v>683</v>
      </c>
      <c r="D10" s="11" t="s">
        <v>684</v>
      </c>
      <c r="E10" s="11" t="s">
        <v>685</v>
      </c>
      <c r="F10" s="11" t="s">
        <v>686</v>
      </c>
      <c r="G10" s="11" t="s">
        <v>687</v>
      </c>
      <c r="H10" s="9" t="s">
        <v>674</v>
      </c>
      <c r="I10" s="9" t="s">
        <v>688</v>
      </c>
      <c r="J10" s="15" t="str">
        <f>IF(H10="Не проверено","",IF(H10="Соответствует",1,0))</f>
        <v/>
      </c>
    </row>
    <row r="11" spans="1:10" ht="295" customHeight="1">
      <c r="A11" s="11" t="s">
        <v>689</v>
      </c>
      <c r="B11" s="11">
        <v>2</v>
      </c>
      <c r="C11" s="11" t="s">
        <v>690</v>
      </c>
      <c r="D11" s="11" t="s">
        <v>691</v>
      </c>
      <c r="E11" s="11" t="s">
        <v>692</v>
      </c>
      <c r="F11" s="11" t="s">
        <v>680</v>
      </c>
      <c r="G11" s="11" t="s">
        <v>687</v>
      </c>
      <c r="H11" s="9" t="s">
        <v>674</v>
      </c>
      <c r="I11" s="9" t="s">
        <v>693</v>
      </c>
      <c r="J11" s="15" t="str">
        <f>IF(H11="Не проверено","",IF(H11="Соответствует",1,0))</f>
        <v/>
      </c>
    </row>
    <row r="12" spans="1:10" ht="295" customHeight="1">
      <c r="A12" s="11" t="s">
        <v>694</v>
      </c>
      <c r="B12" s="11">
        <v>3</v>
      </c>
      <c r="C12" s="11" t="s">
        <v>695</v>
      </c>
      <c r="D12" s="11" t="s">
        <v>696</v>
      </c>
      <c r="E12" s="11" t="s">
        <v>697</v>
      </c>
      <c r="F12" s="11" t="s">
        <v>686</v>
      </c>
      <c r="G12" s="11" t="s">
        <v>687</v>
      </c>
      <c r="H12" s="9" t="s">
        <v>674</v>
      </c>
      <c r="I12" s="9" t="s">
        <v>698</v>
      </c>
      <c r="J12" s="15" t="str">
        <f>IF(H12="Не проверено","",IF(H12="Соответствует",1,0))</f>
        <v/>
      </c>
    </row>
    <row r="15" spans="1:10" ht="23" customHeight="1">
      <c r="C15" s="5" t="s">
        <v>699</v>
      </c>
      <c r="H15" s="15">
        <f>COUNT(J8:J12)</f>
        <v>0</v>
      </c>
    </row>
    <row r="16" spans="1:10" ht="23" customHeight="1">
      <c r="C16" s="5" t="s">
        <v>700</v>
      </c>
      <c r="H16" s="17" t="str">
        <f>IF(COUNT(J8:J12)&lt;5,"Оценка не завершена",IF(AND(J8=1,J9=1),IF(AND(J10=1,J11=1),IF(J12=1,3,2),1),0))</f>
        <v>Оценка не завершена</v>
      </c>
    </row>
    <row r="18" spans="1:10" ht="23" customHeight="1">
      <c r="A18" s="7" t="s">
        <v>701</v>
      </c>
      <c r="B18" s="7"/>
      <c r="C18" s="7"/>
      <c r="D18" s="7"/>
      <c r="E18" s="7"/>
      <c r="F18" s="7"/>
      <c r="G18" s="7"/>
      <c r="H18" s="7"/>
      <c r="I18" s="7"/>
      <c r="J18" s="7"/>
    </row>
    <row r="19" spans="1:10" ht="23" customHeight="1">
      <c r="A19" s="7"/>
      <c r="B19" s="7"/>
      <c r="C19" s="7"/>
      <c r="D19" s="7"/>
      <c r="E19" s="7"/>
      <c r="F19" s="7"/>
      <c r="G19" s="7"/>
      <c r="H19" s="7"/>
      <c r="I19" s="7"/>
      <c r="J19" s="7"/>
    </row>
    <row r="20" spans="1:10" ht="23" customHeight="1">
      <c r="A20" s="7"/>
      <c r="B20" s="7"/>
      <c r="C20" s="7"/>
      <c r="D20" s="7"/>
      <c r="E20" s="7"/>
      <c r="F20" s="7"/>
      <c r="G20" s="7"/>
      <c r="H20" s="7"/>
      <c r="I20" s="7"/>
      <c r="J20" s="7"/>
    </row>
  </sheetData>
  <sheetProtection sheet="1" objects="1" scenarios="1" sort="0" autoFilter="0"/>
  <mergeCells count="4">
    <mergeCell ref="A1:J1"/>
    <mergeCell ref="A2:J2"/>
    <mergeCell ref="B3:J3"/>
    <mergeCell ref="A18:J20"/>
  </mergeCells>
  <dataValidations count="5">
    <dataValidation type="list" allowBlank="1" showInputMessage="1" showErrorMessage="1" errorTitle="Проверьте ввод" error="Введите значение в допустимых пределах. См. примечание к ячейке." sqref="H8">
      <formula1>"Не проверено,Соответствует,Не соответствует"</formula1>
    </dataValidation>
    <dataValidation type="list" allowBlank="1" showInputMessage="1" showErrorMessage="1" errorTitle="Проверьте ввод" error="Введите значение в допустимых пределах. См. примечание к ячейке." sqref="H9">
      <formula1>"Не проверено,Соответствует,Не соответствует"</formula1>
    </dataValidation>
    <dataValidation type="list" allowBlank="1" showInputMessage="1" showErrorMessage="1" errorTitle="Проверьте ввод" error="Введите значение в допустимых пределах. См. примечание к ячейке." sqref="H10">
      <formula1>"Не проверено,Соответствует,Не соответствует"</formula1>
    </dataValidation>
    <dataValidation type="list" allowBlank="1" showInputMessage="1" showErrorMessage="1" errorTitle="Проверьте ввод" error="Введите значение в допустимых пределах. См. примечание к ячейке." sqref="H11">
      <formula1>"Не проверено,Соответствует,Не соответствует"</formula1>
    </dataValidation>
    <dataValidation type="list" allowBlank="1" showInputMessage="1" showErrorMessage="1" errorTitle="Проверьте ввод" error="Введите значение в допустимых пределах. См. примечание к ячейке." sqref="H12">
      <formula1>"Не проверено,Соответствует,Не соответствует"</formula1>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&amp;LКритерии качества СР&amp;RСтр. &amp;P / &amp;N</oddFooter>
  </headerFooter>
  <rowBreaks count="3" manualBreakCount="3">
    <brk id="9" max="16383" man="1"/>
    <brk id="11" max="16383" man="1"/>
    <brk id="13" max="16383" man="1"/>
  </rowBreaks>
  <legacyDrawing r:id="rId1"/>
</worksheet>
</file>

<file path=xl/worksheets/sheet24.xml><?xml version="1.0" encoding="utf-8"?>
<worksheet xmlns="http://schemas.openxmlformats.org/spreadsheetml/2006/main" xmlns:r="http://schemas.openxmlformats.org/officeDocument/2006/relationships">
  <sheetPr>
    <tabColor rgb="FF147D92"/>
    <pageSetUpPr fitToPage="1"/>
  </sheetPr>
  <dimension ref="A1:F38"/>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91.7109375" customWidth="1"/>
    <col min="3" max="3" width="24.7109375" customWidth="1"/>
    <col min="4" max="4" width="10.7109375" customWidth="1"/>
    <col min="5" max="5" width="63.7109375" customWidth="1"/>
    <col min="6" max="6" width="19.7109375" customWidth="1"/>
    <col min="7" max="8" width="17.7109375" customWidth="1"/>
  </cols>
  <sheetData>
    <row r="1" spans="1:6" ht="35" customHeight="1">
      <c r="A1" s="1" t="s">
        <v>702</v>
      </c>
      <c r="B1" s="1"/>
      <c r="C1" s="1"/>
      <c r="D1" s="1"/>
      <c r="E1" s="1"/>
      <c r="F1" s="1"/>
    </row>
    <row r="2" spans="1:6" ht="31" customHeight="1">
      <c r="A2" s="2" t="s">
        <v>1</v>
      </c>
      <c r="B2" s="2"/>
      <c r="C2" s="2"/>
      <c r="D2" s="2"/>
      <c r="E2" s="2"/>
      <c r="F2" s="2"/>
    </row>
    <row r="3" spans="1:6" ht="23" customHeight="1">
      <c r="A3" s="3" t="s">
        <v>2</v>
      </c>
      <c r="B3" s="7" t="s">
        <v>3</v>
      </c>
      <c r="C3" s="7"/>
      <c r="D3" s="7"/>
      <c r="E3" s="7"/>
      <c r="F3" s="7"/>
    </row>
    <row r="7" spans="1:6" ht="44" customHeight="1">
      <c r="A7" s="8" t="s">
        <v>113</v>
      </c>
      <c r="B7" s="8" t="s">
        <v>703</v>
      </c>
      <c r="C7" s="8" t="s">
        <v>704</v>
      </c>
      <c r="D7" s="8" t="s">
        <v>667</v>
      </c>
      <c r="E7" s="8" t="s">
        <v>705</v>
      </c>
      <c r="F7" s="8" t="s">
        <v>706</v>
      </c>
    </row>
    <row r="8" spans="1:6" ht="72" customHeight="1">
      <c r="A8" s="5">
        <v>1</v>
      </c>
      <c r="B8" s="11" t="s">
        <v>707</v>
      </c>
      <c r="C8" s="9" t="s">
        <v>674</v>
      </c>
      <c r="D8" s="15" t="str">
        <f>IF(C8="Не проверено","",IF(C8="Выполнено",1,0))</f>
        <v/>
      </c>
      <c r="E8" s="9" t="s">
        <v>708</v>
      </c>
      <c r="F8" s="5" t="s">
        <v>709</v>
      </c>
    </row>
    <row r="9" spans="1:6" ht="72" customHeight="1">
      <c r="A9" s="5">
        <v>2</v>
      </c>
      <c r="B9" s="11" t="s">
        <v>710</v>
      </c>
      <c r="C9" s="9" t="s">
        <v>674</v>
      </c>
      <c r="D9" s="15" t="str">
        <f>IF(C9="Не проверено","",IF(C9="Выполнено",1,0))</f>
        <v/>
      </c>
      <c r="E9" s="9" t="s">
        <v>711</v>
      </c>
      <c r="F9" s="5" t="s">
        <v>709</v>
      </c>
    </row>
    <row r="10" spans="1:6" ht="72" customHeight="1">
      <c r="A10" s="5">
        <v>3</v>
      </c>
      <c r="B10" s="11" t="s">
        <v>712</v>
      </c>
      <c r="C10" s="9" t="s">
        <v>674</v>
      </c>
      <c r="D10" s="15" t="str">
        <f>IF(C10="Не проверено","",IF(C10="Выполнено",1,0))</f>
        <v/>
      </c>
      <c r="E10" s="9" t="s">
        <v>713</v>
      </c>
      <c r="F10" s="5" t="s">
        <v>709</v>
      </c>
    </row>
    <row r="11" spans="1:6" ht="72" customHeight="1">
      <c r="A11" s="5">
        <v>4</v>
      </c>
      <c r="B11" s="11" t="s">
        <v>714</v>
      </c>
      <c r="C11" s="9" t="s">
        <v>674</v>
      </c>
      <c r="D11" s="15" t="str">
        <f>IF(C11="Не проверено","",IF(C11="Выполнено",1,0))</f>
        <v/>
      </c>
      <c r="E11" s="9" t="s">
        <v>715</v>
      </c>
      <c r="F11" s="5" t="s">
        <v>709</v>
      </c>
    </row>
    <row r="12" spans="1:6" ht="72" customHeight="1">
      <c r="A12" s="5">
        <v>5</v>
      </c>
      <c r="B12" s="11" t="s">
        <v>716</v>
      </c>
      <c r="C12" s="9" t="s">
        <v>674</v>
      </c>
      <c r="D12" s="15" t="str">
        <f>IF(C12="Не проверено","",IF(C12="Выполнено",1,0))</f>
        <v/>
      </c>
      <c r="E12" s="9" t="s">
        <v>717</v>
      </c>
      <c r="F12" s="5" t="s">
        <v>709</v>
      </c>
    </row>
    <row r="13" spans="1:6" ht="72" customHeight="1">
      <c r="A13" s="5">
        <v>6</v>
      </c>
      <c r="B13" s="11" t="s">
        <v>718</v>
      </c>
      <c r="C13" s="9" t="s">
        <v>674</v>
      </c>
      <c r="D13" s="15" t="str">
        <f>IF(C13="Не проверено","",IF(C13="Выполнено",1,0))</f>
        <v/>
      </c>
      <c r="E13" s="9" t="s">
        <v>719</v>
      </c>
      <c r="F13" s="5" t="s">
        <v>720</v>
      </c>
    </row>
    <row r="14" spans="1:6" ht="72" customHeight="1">
      <c r="A14" s="5">
        <v>7</v>
      </c>
      <c r="B14" s="11" t="s">
        <v>721</v>
      </c>
      <c r="C14" s="9" t="s">
        <v>674</v>
      </c>
      <c r="D14" s="15" t="str">
        <f>IF(C14="Не проверено","",IF(C14="Выполнено",1,0))</f>
        <v/>
      </c>
      <c r="E14" s="9" t="s">
        <v>722</v>
      </c>
      <c r="F14" s="5" t="s">
        <v>720</v>
      </c>
    </row>
    <row r="15" spans="1:6" ht="72" customHeight="1">
      <c r="A15" s="5">
        <v>8</v>
      </c>
      <c r="B15" s="11" t="s">
        <v>723</v>
      </c>
      <c r="C15" s="9" t="s">
        <v>674</v>
      </c>
      <c r="D15" s="15" t="str">
        <f>IF(C15="Не проверено","",IF(C15="Выполнено",1,0))</f>
        <v/>
      </c>
      <c r="E15" s="9" t="s">
        <v>724</v>
      </c>
      <c r="F15" s="5" t="s">
        <v>720</v>
      </c>
    </row>
    <row r="16" spans="1:6" ht="72" customHeight="1">
      <c r="A16" s="5">
        <v>9</v>
      </c>
      <c r="B16" s="11" t="s">
        <v>725</v>
      </c>
      <c r="C16" s="9" t="s">
        <v>674</v>
      </c>
      <c r="D16" s="15" t="str">
        <f>IF(C16="Не проверено","",IF(C16="Выполнено",1,0))</f>
        <v/>
      </c>
      <c r="E16" s="9" t="s">
        <v>726</v>
      </c>
      <c r="F16" s="5" t="s">
        <v>720</v>
      </c>
    </row>
    <row r="17" spans="1:6" ht="72" customHeight="1">
      <c r="A17" s="5">
        <v>10</v>
      </c>
      <c r="B17" s="11" t="s">
        <v>727</v>
      </c>
      <c r="C17" s="9" t="s">
        <v>674</v>
      </c>
      <c r="D17" s="15" t="str">
        <f>IF(C17="Не проверено","",IF(C17="Выполнено",1,0))</f>
        <v/>
      </c>
      <c r="E17" s="9" t="s">
        <v>728</v>
      </c>
      <c r="F17" s="5" t="s">
        <v>720</v>
      </c>
    </row>
    <row r="18" spans="1:6" ht="72" customHeight="1">
      <c r="A18" s="5">
        <v>11</v>
      </c>
      <c r="B18" s="11" t="s">
        <v>729</v>
      </c>
      <c r="C18" s="9" t="s">
        <v>674</v>
      </c>
      <c r="D18" s="15" t="str">
        <f>IF(C18="Не проверено","",IF(C18="Выполнено",1,0))</f>
        <v/>
      </c>
      <c r="E18" s="9" t="s">
        <v>730</v>
      </c>
      <c r="F18" s="5" t="s">
        <v>720</v>
      </c>
    </row>
    <row r="19" spans="1:6" ht="72" customHeight="1">
      <c r="A19" s="5">
        <v>12</v>
      </c>
      <c r="B19" s="11" t="s">
        <v>731</v>
      </c>
      <c r="C19" s="9" t="s">
        <v>674</v>
      </c>
      <c r="D19" s="15" t="str">
        <f>IF(C19="Не проверено","",IF(C19="Выполнено",1,0))</f>
        <v/>
      </c>
      <c r="E19" s="9" t="s">
        <v>732</v>
      </c>
      <c r="F19" s="5" t="s">
        <v>720</v>
      </c>
    </row>
    <row r="20" spans="1:6" ht="72" customHeight="1">
      <c r="A20" s="5">
        <v>13</v>
      </c>
      <c r="B20" s="11" t="s">
        <v>733</v>
      </c>
      <c r="C20" s="9" t="s">
        <v>674</v>
      </c>
      <c r="D20" s="15" t="str">
        <f>IF(C20="Не проверено","",IF(C20="Выполнено",1,0))</f>
        <v/>
      </c>
      <c r="E20" s="9" t="s">
        <v>734</v>
      </c>
      <c r="F20" s="5" t="s">
        <v>720</v>
      </c>
    </row>
    <row r="21" spans="1:6" ht="72" customHeight="1">
      <c r="A21" s="5">
        <v>14</v>
      </c>
      <c r="B21" s="11" t="s">
        <v>735</v>
      </c>
      <c r="C21" s="9" t="s">
        <v>674</v>
      </c>
      <c r="D21" s="15" t="str">
        <f>IF(C21="Не проверено","",IF(C21="Выполнено",1,0))</f>
        <v/>
      </c>
      <c r="E21" s="9" t="s">
        <v>736</v>
      </c>
      <c r="F21" s="5" t="s">
        <v>737</v>
      </c>
    </row>
    <row r="22" spans="1:6" ht="72" customHeight="1">
      <c r="A22" s="5">
        <v>15</v>
      </c>
      <c r="B22" s="11" t="s">
        <v>738</v>
      </c>
      <c r="C22" s="9" t="s">
        <v>674</v>
      </c>
      <c r="D22" s="15" t="str">
        <f>IF(C22="Не проверено","",IF(C22="Выполнено",1,0))</f>
        <v/>
      </c>
      <c r="E22" s="9" t="s">
        <v>739</v>
      </c>
      <c r="F22" s="5" t="s">
        <v>737</v>
      </c>
    </row>
    <row r="23" spans="1:6" ht="72" customHeight="1">
      <c r="A23" s="5">
        <v>16</v>
      </c>
      <c r="B23" s="11" t="s">
        <v>740</v>
      </c>
      <c r="C23" s="9" t="s">
        <v>674</v>
      </c>
      <c r="D23" s="15" t="str">
        <f>IF(C23="Не проверено","",IF(C23="Выполнено",1,0))</f>
        <v/>
      </c>
      <c r="E23" s="9" t="s">
        <v>741</v>
      </c>
      <c r="F23" s="5" t="s">
        <v>737</v>
      </c>
    </row>
    <row r="24" spans="1:6" ht="72" customHeight="1">
      <c r="A24" s="5">
        <v>17</v>
      </c>
      <c r="B24" s="11" t="s">
        <v>742</v>
      </c>
      <c r="C24" s="9" t="s">
        <v>674</v>
      </c>
      <c r="D24" s="15" t="str">
        <f>IF(C24="Не проверено","",IF(C24="Выполнено",1,0))</f>
        <v/>
      </c>
      <c r="E24" s="9" t="s">
        <v>743</v>
      </c>
      <c r="F24" s="5" t="s">
        <v>737</v>
      </c>
    </row>
    <row r="25" spans="1:6" ht="72" customHeight="1">
      <c r="A25" s="5">
        <v>18</v>
      </c>
      <c r="B25" s="11" t="s">
        <v>744</v>
      </c>
      <c r="C25" s="9" t="s">
        <v>674</v>
      </c>
      <c r="D25" s="15" t="str">
        <f>IF(C25="Не проверено","",IF(C25="Выполнено",1,0))</f>
        <v/>
      </c>
      <c r="E25" s="9" t="s">
        <v>745</v>
      </c>
      <c r="F25" s="5" t="s">
        <v>737</v>
      </c>
    </row>
    <row r="26" spans="1:6" ht="72" customHeight="1">
      <c r="A26" s="5">
        <v>19</v>
      </c>
      <c r="B26" s="11" t="s">
        <v>746</v>
      </c>
      <c r="C26" s="9" t="s">
        <v>674</v>
      </c>
      <c r="D26" s="15" t="str">
        <f>IF(C26="Не проверено","",IF(C26="Выполнено",1,0))</f>
        <v/>
      </c>
      <c r="E26" s="9" t="s">
        <v>747</v>
      </c>
      <c r="F26" s="5" t="s">
        <v>737</v>
      </c>
    </row>
    <row r="28" spans="1:6" ht="23" customHeight="1">
      <c r="B28" s="4" t="s">
        <v>748</v>
      </c>
      <c r="D28" s="6" t="str">
        <f>IF(COUNT(D8:D12)=5,SUM(D8:D12),"")</f>
        <v/>
      </c>
    </row>
    <row r="29" spans="1:6" ht="23" customHeight="1">
      <c r="B29" s="4" t="s">
        <v>749</v>
      </c>
      <c r="D29" s="6" t="str">
        <f>IF(COUNT(D13:D20)=8,SUM(D13:D20),"")</f>
        <v/>
      </c>
    </row>
    <row r="30" spans="1:6" ht="23" customHeight="1">
      <c r="B30" s="4" t="s">
        <v>750</v>
      </c>
      <c r="D30" s="6" t="str">
        <f>IF(COUNT(D21:D26)=6,SUM(D21:D26),"")</f>
        <v/>
      </c>
    </row>
    <row r="31" spans="1:6" ht="23" customHeight="1">
      <c r="B31" s="4" t="s">
        <v>751</v>
      </c>
      <c r="D31" s="6" t="str">
        <f>IF(COUNT(D8:D26)=19,SUM(D8:D26),"")</f>
        <v/>
      </c>
    </row>
    <row r="33" spans="1:6" ht="23" customHeight="1">
      <c r="B33" s="4" t="str">
        <f>IF(COUNT(D8:D26)&lt;19,"ПРОВЕРКА НЕ ЗАВЕРШЕНА: "&amp;COUNT(D8:D26)&amp;" из 19",IF(D31&lt;=5,"0–5: система не работает",IF(D31&lt;=10,"6–10: необходимо улучшение и изучение инструмента",IF(D31&lt;=15,"11–15: система находится в управляемом состоянии","16–19: система работает"))))</f>
        <v>ПРОВЕРКА НЕ ЗАВЕРШЕНА: 0 из 19</v>
      </c>
      <c r="C33" s="4"/>
      <c r="D33" s="4"/>
      <c r="E33" s="4"/>
      <c r="F33" s="4"/>
    </row>
    <row r="34" spans="1:6" ht="23" customHeight="1">
      <c r="B34" s="4"/>
      <c r="C34" s="4"/>
      <c r="D34" s="4"/>
      <c r="E34" s="4"/>
      <c r="F34" s="4"/>
    </row>
    <row r="36" spans="1:6" ht="23" customHeight="1">
      <c r="A36" s="2" t="s">
        <v>752</v>
      </c>
      <c r="B36" s="2"/>
      <c r="C36" s="2"/>
      <c r="D36" s="2"/>
      <c r="E36" s="2"/>
      <c r="F36" s="2"/>
    </row>
    <row r="37" spans="1:6" ht="23" customHeight="1">
      <c r="A37" s="2"/>
      <c r="B37" s="2"/>
      <c r="C37" s="2"/>
      <c r="D37" s="2"/>
      <c r="E37" s="2"/>
      <c r="F37" s="2"/>
    </row>
    <row r="38" spans="1:6" ht="23" customHeight="1">
      <c r="A38" s="2"/>
      <c r="B38" s="2"/>
      <c r="C38" s="2"/>
      <c r="D38" s="2"/>
      <c r="E38" s="2"/>
      <c r="F38" s="2"/>
    </row>
  </sheetData>
  <sheetProtection sheet="1" objects="1" scenarios="1" sort="0" autoFilter="0"/>
  <mergeCells count="5">
    <mergeCell ref="A1:F1"/>
    <mergeCell ref="A2:F2"/>
    <mergeCell ref="B3:F3"/>
    <mergeCell ref="B33:F34"/>
    <mergeCell ref="A36:F38"/>
  </mergeCells>
  <dataValidations count="19">
    <dataValidation type="list" allowBlank="1" showInputMessage="1" showErrorMessage="1" errorTitle="Проверьте ввод" error="Введите значение в допустимых пределах. См. примечание к ячейке." sqref="C8">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9">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0">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1">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2">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3">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4">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5">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6">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7">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8">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19">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0">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1">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2">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3">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4">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5">
      <formula1>"Не проверено,Выполнено,Не выполнено"</formula1>
    </dataValidation>
    <dataValidation type="list" allowBlank="1" showInputMessage="1" showErrorMessage="1" errorTitle="Проверьте ввод" error="Введите значение в допустимых пределах. См. примечание к ячейке." sqref="C26">
      <formula1>"Не проверено,Выполнено,Не выполнено"</formula1>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&amp;LЧек-лист СОП&amp;RСтр. &amp;P / &amp;N</oddFooter>
  </headerFooter>
  <rowBreaks count="3" manualBreakCount="3">
    <brk id="12" max="16383" man="1"/>
    <brk id="20" max="16383" man="1"/>
    <brk id="27" max="16383" man="1"/>
  </rowBreaks>
  <legacyDrawing r:id="rId1"/>
</worksheet>
</file>

<file path=xl/worksheets/sheet25.xml><?xml version="1.0" encoding="utf-8"?>
<worksheet xmlns="http://schemas.openxmlformats.org/spreadsheetml/2006/main" xmlns:r="http://schemas.openxmlformats.org/officeDocument/2006/relationships">
  <sheetPr>
    <tabColor rgb="FFE9B949"/>
    <pageSetUpPr fitToPage="1"/>
  </sheetPr>
  <dimension ref="A1:E43"/>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3.7109375" customWidth="1"/>
    <col min="2" max="3" width="22.7109375" customWidth="1"/>
    <col min="4" max="4" width="24.7109375" customWidth="1"/>
    <col min="5" max="5" width="94.7109375" customWidth="1"/>
    <col min="6" max="8" width="17.7109375" customWidth="1"/>
  </cols>
  <sheetData>
    <row r="1" spans="1:5" ht="35" customHeight="1">
      <c r="A1" s="1" t="s">
        <v>753</v>
      </c>
      <c r="B1" s="1"/>
      <c r="C1" s="1"/>
      <c r="D1" s="1"/>
      <c r="E1" s="1"/>
    </row>
    <row r="2" spans="1:5" ht="31" customHeight="1">
      <c r="A2" s="2" t="s">
        <v>1</v>
      </c>
      <c r="B2" s="2"/>
      <c r="C2" s="2"/>
      <c r="D2" s="2"/>
      <c r="E2" s="2"/>
    </row>
    <row r="3" spans="1:5" ht="23" customHeight="1">
      <c r="A3" s="3" t="s">
        <v>2</v>
      </c>
      <c r="B3" s="7" t="s">
        <v>3</v>
      </c>
      <c r="C3" s="7"/>
      <c r="D3" s="7"/>
      <c r="E3" s="7"/>
    </row>
    <row r="5" spans="1:5" ht="23" customHeight="1">
      <c r="A5" s="2" t="s">
        <v>754</v>
      </c>
      <c r="B5" s="2"/>
      <c r="C5" s="2"/>
      <c r="D5" s="2"/>
      <c r="E5" s="2"/>
    </row>
    <row r="7" spans="1:5" ht="44" customHeight="1">
      <c r="A7" s="8" t="s">
        <v>755</v>
      </c>
      <c r="B7" s="8" t="s">
        <v>528</v>
      </c>
      <c r="C7" s="8" t="s">
        <v>756</v>
      </c>
      <c r="D7" s="8" t="s">
        <v>6</v>
      </c>
      <c r="E7" s="8" t="s">
        <v>757</v>
      </c>
    </row>
    <row r="8" spans="1:5" ht="52" customHeight="1">
      <c r="A8" s="5" t="s">
        <v>758</v>
      </c>
      <c r="B8" s="12">
        <v>110</v>
      </c>
      <c r="C8" s="12">
        <v>110</v>
      </c>
      <c r="D8" s="7" t="s">
        <v>759</v>
      </c>
      <c r="E8" s="5" t="s">
        <v>760</v>
      </c>
    </row>
    <row r="9" spans="1:5" ht="52" customHeight="1">
      <c r="A9" s="5" t="s">
        <v>761</v>
      </c>
      <c r="B9" s="12">
        <v>1</v>
      </c>
      <c r="C9" s="12">
        <v>1</v>
      </c>
      <c r="D9" s="7" t="s">
        <v>50</v>
      </c>
      <c r="E9" s="5" t="s">
        <v>762</v>
      </c>
    </row>
    <row r="10" spans="1:5" ht="52" customHeight="1">
      <c r="A10" s="5" t="s">
        <v>763</v>
      </c>
      <c r="B10" s="12">
        <v>8</v>
      </c>
      <c r="C10" s="12">
        <v>8</v>
      </c>
      <c r="D10" s="7" t="s">
        <v>764</v>
      </c>
      <c r="E10" s="5" t="s">
        <v>765</v>
      </c>
    </row>
    <row r="11" spans="1:5" ht="52" customHeight="1">
      <c r="A11" s="5" t="s">
        <v>766</v>
      </c>
      <c r="B11" s="12">
        <v>2</v>
      </c>
      <c r="C11" s="12">
        <v>1</v>
      </c>
      <c r="D11" s="7" t="s">
        <v>421</v>
      </c>
      <c r="E11" s="5" t="s">
        <v>767</v>
      </c>
    </row>
    <row r="12" spans="1:5" ht="52" customHeight="1">
      <c r="A12" s="5" t="s">
        <v>768</v>
      </c>
      <c r="B12" s="12">
        <v>20</v>
      </c>
      <c r="C12" s="12">
        <v>12</v>
      </c>
      <c r="D12" s="7" t="s">
        <v>421</v>
      </c>
      <c r="E12" s="5" t="s">
        <v>769</v>
      </c>
    </row>
    <row r="13" spans="1:5" ht="52" customHeight="1">
      <c r="A13" s="5" t="s">
        <v>770</v>
      </c>
      <c r="B13" s="12">
        <v>3</v>
      </c>
      <c r="C13" s="12">
        <v>1.5</v>
      </c>
      <c r="D13" s="7" t="s">
        <v>421</v>
      </c>
      <c r="E13" s="5" t="s">
        <v>771</v>
      </c>
    </row>
    <row r="14" spans="1:5" ht="52" customHeight="1">
      <c r="A14" s="5" t="s">
        <v>772</v>
      </c>
      <c r="B14" s="12">
        <v>10</v>
      </c>
      <c r="C14" s="12">
        <v>6</v>
      </c>
      <c r="D14" s="7" t="s">
        <v>421</v>
      </c>
      <c r="E14" s="5" t="s">
        <v>773</v>
      </c>
    </row>
    <row r="15" spans="1:5" ht="23" customHeight="1">
      <c r="A15" s="5" t="s">
        <v>791</v>
      </c>
      <c r="B15" s="13">
        <f>'Расчет ДО'!I27</f>
        <v>532.2425</v>
      </c>
      <c r="C15" s="13">
        <f>'Расчет ЦЕЛЬ'!I27</f>
        <v>492.315</v>
      </c>
      <c r="D15" s="7" t="s">
        <v>90</v>
      </c>
      <c r="E15" s="5" t="s">
        <v>792</v>
      </c>
    </row>
    <row r="16" spans="1:5" ht="52" customHeight="1">
      <c r="A16" s="5" t="s">
        <v>774</v>
      </c>
      <c r="B16" s="12">
        <v>300</v>
      </c>
      <c r="C16" s="12">
        <v>120</v>
      </c>
      <c r="D16" s="7" t="s">
        <v>90</v>
      </c>
      <c r="E16" s="5" t="s">
        <v>775</v>
      </c>
    </row>
    <row r="17" spans="1:5" ht="52" customHeight="1">
      <c r="A17" s="5" t="s">
        <v>776</v>
      </c>
      <c r="B17" s="12">
        <v>180</v>
      </c>
      <c r="C17" s="12">
        <v>90</v>
      </c>
      <c r="D17" s="7" t="s">
        <v>90</v>
      </c>
      <c r="E17" s="5" t="s">
        <v>777</v>
      </c>
    </row>
    <row r="18" spans="1:5" ht="52" customHeight="1">
      <c r="A18" s="5" t="s">
        <v>778</v>
      </c>
      <c r="B18" s="12">
        <v>60</v>
      </c>
      <c r="C18" s="12">
        <v>40</v>
      </c>
      <c r="D18" s="7" t="s">
        <v>90</v>
      </c>
      <c r="E18" s="5" t="s">
        <v>779</v>
      </c>
    </row>
    <row r="19" spans="1:5" ht="52" customHeight="1">
      <c r="A19" s="5" t="s">
        <v>780</v>
      </c>
      <c r="B19" s="12">
        <v>18000</v>
      </c>
      <c r="C19" s="12">
        <v>18000</v>
      </c>
      <c r="D19" s="7" t="s">
        <v>344</v>
      </c>
      <c r="E19" s="5" t="s">
        <v>781</v>
      </c>
    </row>
    <row r="20" spans="1:5" ht="52" customHeight="1">
      <c r="A20" s="5" t="s">
        <v>782</v>
      </c>
      <c r="B20" s="12">
        <v>14000</v>
      </c>
      <c r="C20" s="12">
        <v>13300</v>
      </c>
      <c r="D20" s="7" t="s">
        <v>344</v>
      </c>
      <c r="E20" s="5" t="s">
        <v>783</v>
      </c>
    </row>
    <row r="21" spans="1:5" ht="52" customHeight="1">
      <c r="A21" s="5" t="s">
        <v>784</v>
      </c>
      <c r="B21" s="12">
        <v>4</v>
      </c>
      <c r="C21" s="12">
        <v>4</v>
      </c>
      <c r="D21" s="7" t="s">
        <v>354</v>
      </c>
      <c r="E21" s="5" t="s">
        <v>785</v>
      </c>
    </row>
    <row r="22" spans="1:5" ht="52" customHeight="1">
      <c r="A22" s="5" t="s">
        <v>786</v>
      </c>
      <c r="B22" s="12">
        <v>8</v>
      </c>
      <c r="C22" s="12">
        <v>8</v>
      </c>
      <c r="D22" s="7" t="s">
        <v>354</v>
      </c>
      <c r="E22" s="5" t="s">
        <v>787</v>
      </c>
    </row>
    <row r="23" spans="1:5" ht="52" customHeight="1">
      <c r="A23" s="5" t="s">
        <v>788</v>
      </c>
      <c r="B23" s="12">
        <v>20</v>
      </c>
      <c r="C23" s="12">
        <v>20</v>
      </c>
      <c r="D23" s="7" t="s">
        <v>354</v>
      </c>
      <c r="E23" s="5" t="s">
        <v>787</v>
      </c>
    </row>
    <row r="24" spans="1:5" ht="52" customHeight="1">
      <c r="A24" s="5" t="s">
        <v>789</v>
      </c>
      <c r="B24" s="12">
        <v>31</v>
      </c>
      <c r="C24" s="12">
        <v>32</v>
      </c>
      <c r="D24" s="7" t="s">
        <v>354</v>
      </c>
      <c r="E24" s="5" t="s">
        <v>790</v>
      </c>
    </row>
    <row r="25" spans="1:5" ht="23" customHeight="1">
      <c r="A25" s="5" t="s">
        <v>793</v>
      </c>
      <c r="B25" s="13">
        <f>IF(COUNT(B21:B23)=3,B21*'Режимы И-ГЦ-02'!H8+B22*'Режимы И-ГЦ-02'!H9+B23*'Режимы И-ГЦ-02'!H10,"")</f>
        <v>9240</v>
      </c>
      <c r="C25" s="13">
        <f>IF(COUNT(C21:C23)=3,C21*'Режимы И-ГЦ-02'!H8+C22*'Режимы И-ГЦ-02'!H9+C23*'Режимы И-ГЦ-02'!H10,"")</f>
        <v>9240</v>
      </c>
      <c r="D25" s="5" t="s">
        <v>344</v>
      </c>
      <c r="E25" s="5" t="s">
        <v>794</v>
      </c>
    </row>
    <row r="26" spans="1:5" ht="23" customHeight="1">
      <c r="A26" s="5" t="s">
        <v>795</v>
      </c>
      <c r="B26" s="13">
        <f>IF(COUNT(B21:B23)=3,SUM(B21:B23),"")</f>
        <v>32</v>
      </c>
      <c r="C26" s="13">
        <f>IF(COUNT(C21:C23)=3,SUM(C21:C23),"")</f>
        <v>32</v>
      </c>
      <c r="D26" s="5" t="s">
        <v>354</v>
      </c>
    </row>
    <row r="28" spans="1:5" ht="44" customHeight="1">
      <c r="A28" s="8" t="s">
        <v>796</v>
      </c>
      <c r="B28" s="8" t="s">
        <v>797</v>
      </c>
      <c r="C28" s="8" t="s">
        <v>798</v>
      </c>
      <c r="D28" s="8" t="s">
        <v>6</v>
      </c>
      <c r="E28" s="8" t="s">
        <v>799</v>
      </c>
    </row>
    <row r="29" spans="1:5" ht="55" customHeight="1">
      <c r="A29" s="4" t="s">
        <v>800</v>
      </c>
      <c r="B29" s="13">
        <f>IF(AND(COUNT(B15:B18)=4,MIN(B15:B18)&gt;=0),SUM(B15:B18),"")</f>
        <v>1072.2425</v>
      </c>
      <c r="C29" s="13">
        <f>IF(AND(COUNT(C15:C18)=4,MIN(C15:C18)&gt;=0),SUM(C15:C18),"")</f>
        <v>742.315</v>
      </c>
      <c r="D29" s="7" t="s">
        <v>90</v>
      </c>
      <c r="E29" s="5" t="s">
        <v>801</v>
      </c>
    </row>
    <row r="30" spans="1:5" ht="55" customHeight="1">
      <c r="A30" s="4" t="s">
        <v>802</v>
      </c>
      <c r="B30" s="13">
        <f>IF(AND(COUNT(B8:B9)=2,B8&gt;=0,B9&gt;0),B8/B9,"")</f>
        <v>110</v>
      </c>
      <c r="C30" s="13">
        <f>IF(AND(COUNT(C8:C9)=2,C8&gt;=0,C9&gt;0),C8/C9,"")</f>
        <v>110</v>
      </c>
      <c r="D30" s="7" t="s">
        <v>803</v>
      </c>
      <c r="E30" s="5" t="s">
        <v>804</v>
      </c>
    </row>
    <row r="31" spans="1:5" ht="55" customHeight="1">
      <c r="A31" s="4" t="s">
        <v>805</v>
      </c>
      <c r="B31" s="13">
        <f>IF(AND(COUNT(B12:B14)=3,MIN(B12:B14)&gt;=0),SUM(B12:B14),"")</f>
        <v>33</v>
      </c>
      <c r="C31" s="13">
        <f>IF(AND(COUNT(C12:C14)=3,MIN(C12:C14)&gt;=0),SUM(C12:C14),"")</f>
        <v>19.5</v>
      </c>
      <c r="D31" s="7" t="s">
        <v>421</v>
      </c>
      <c r="E31" s="5" t="s">
        <v>806</v>
      </c>
    </row>
    <row r="32" spans="1:5" ht="55" customHeight="1">
      <c r="A32" s="4" t="s">
        <v>807</v>
      </c>
      <c r="B32" s="16">
        <f>IF(AND(COUNT(B8,B11)=2,B8&gt;0,B11&gt;=0,B11&lt;=B8),B11/B8,"")</f>
        <v>0.0181818181818182</v>
      </c>
      <c r="C32" s="16">
        <f>IF(AND(COUNT(C8,C11)=2,C8&gt;0,C11&gt;=0,C11&lt;=C8),C11/C8,"")</f>
        <v>0.00909090909090909</v>
      </c>
      <c r="D32" s="7" t="s">
        <v>312</v>
      </c>
      <c r="E32" s="5" t="s">
        <v>808</v>
      </c>
    </row>
    <row r="33" spans="1:5" ht="55" customHeight="1">
      <c r="A33" s="4" t="s">
        <v>809</v>
      </c>
      <c r="B33" s="13">
        <f>IF(AND(COUNT(B8,B10)=2,B8&gt;0,B10&gt;=0),B10/B8,"")</f>
        <v>0.0727272727272727</v>
      </c>
      <c r="C33" s="13">
        <f>IF(AND(COUNT(C8,C10)=2,C8&gt;0,C10&gt;=0),C10/C8,"")</f>
        <v>0.0727272727272727</v>
      </c>
      <c r="D33" s="7" t="s">
        <v>810</v>
      </c>
      <c r="E33" s="5" t="s">
        <v>811</v>
      </c>
    </row>
    <row r="34" spans="1:5" ht="55" customHeight="1">
      <c r="A34" s="4" t="s">
        <v>812</v>
      </c>
      <c r="B34" s="16">
        <f>IF(AND(COUNT(B19:B20)=2,B19&gt;0,B20&gt;0,B20&lt;=B19),B20/B19,"")</f>
        <v>0.777777777777778</v>
      </c>
      <c r="C34" s="16">
        <f>IF(AND(COUNT(C19:C20)=2,C19&gt;0,C20&gt;0,C20&lt;=C19),C20/C19,"")</f>
        <v>0.738888888888889</v>
      </c>
      <c r="D34" s="7" t="s">
        <v>312</v>
      </c>
      <c r="E34" s="5" t="s">
        <v>813</v>
      </c>
    </row>
    <row r="35" spans="1:5" ht="55" customHeight="1">
      <c r="A35" s="4" t="s">
        <v>814</v>
      </c>
      <c r="B35" s="16">
        <f>IF(AND(COUNT(B20,B25)=2,B20&gt;0,B25&gt;=0,B25&lt;=B20),B25/B20,"")</f>
        <v>0.66</v>
      </c>
      <c r="C35" s="16">
        <f>IF(AND(COUNT(C20,C25)=2,C20&gt;0,C25&gt;=0,C25&lt;=C20),C25/C20,"")</f>
        <v>0.694736842105263</v>
      </c>
      <c r="D35" s="7" t="s">
        <v>312</v>
      </c>
      <c r="E35" s="5" t="s">
        <v>815</v>
      </c>
    </row>
    <row r="36" spans="1:5" ht="55" customHeight="1">
      <c r="A36" s="4" t="s">
        <v>816</v>
      </c>
      <c r="B36" s="16">
        <f>IF(AND(COUNT(B24,B26)=2,B26&gt;0,B24&gt;=0,B24&lt;=B26),B24/B26,"")</f>
        <v>0.96875</v>
      </c>
      <c r="C36" s="16">
        <f>IF(AND(COUNT(C24,C26)=2,C26&gt;0,C24&gt;=0,C24&lt;=C26),C24/C26,"")</f>
        <v>1</v>
      </c>
      <c r="D36" s="7" t="s">
        <v>312</v>
      </c>
      <c r="E36" s="5" t="s">
        <v>817</v>
      </c>
    </row>
    <row r="37" spans="1:5" ht="55" customHeight="1">
      <c r="A37" s="4" t="s">
        <v>818</v>
      </c>
      <c r="B37" s="16">
        <f>IF(COUNT(B34:B36)=3,B34*B35*B36,"")</f>
        <v>0.497291666666667</v>
      </c>
      <c r="C37" s="16">
        <f>IF(COUNT(C34:C36)=3,C34*C35*C36,"")</f>
        <v>0.513333333333333</v>
      </c>
      <c r="D37" s="7" t="s">
        <v>312</v>
      </c>
      <c r="E37" s="5" t="s">
        <v>819</v>
      </c>
    </row>
    <row r="40" spans="1:5" ht="23" customHeight="1">
      <c r="A40" s="2" t="s">
        <v>820</v>
      </c>
      <c r="B40" s="2"/>
      <c r="C40" s="2"/>
      <c r="D40" s="2"/>
      <c r="E40" s="2"/>
    </row>
    <row r="41" spans="1:5" ht="23" customHeight="1">
      <c r="A41" s="2"/>
      <c r="B41" s="2"/>
      <c r="C41" s="2"/>
      <c r="D41" s="2"/>
      <c r="E41" s="2"/>
    </row>
    <row r="42" spans="1:5" ht="23" customHeight="1">
      <c r="A42" s="2"/>
      <c r="B42" s="2"/>
      <c r="C42" s="2"/>
      <c r="D42" s="2"/>
      <c r="E42" s="2"/>
    </row>
    <row r="43" spans="1:5" ht="23" customHeight="1">
      <c r="A43" s="2"/>
      <c r="B43" s="2"/>
      <c r="C43" s="2"/>
      <c r="D43" s="2"/>
      <c r="E43" s="2"/>
    </row>
  </sheetData>
  <sheetProtection sheet="1" objects="1" scenarios="1" sort="0" autoFilter="0"/>
  <mergeCells count="5">
    <mergeCell ref="A1:E1"/>
    <mergeCell ref="A2:E2"/>
    <mergeCell ref="B3:E3"/>
    <mergeCell ref="A5:E5"/>
    <mergeCell ref="A40:E43"/>
  </mergeCells>
  <dataValidations count="32">
    <dataValidation type="decimal" allowBlank="1" showInputMessage="1" showErrorMessage="1" errorTitle="Проверьте ввод" error="Введите значение в допустимых пределах. См. примечание к ячейке." sqref="B8">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8">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9">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9">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0">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0">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1">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1">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2">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2">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3">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3">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4">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4">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6">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6">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7">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7">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8">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8">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19">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19">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B20">
      <formula1>0</formula1>
      <formula2>10000000</formula2>
    </dataValidation>
    <dataValidation type="decimal" allowBlank="1" showInputMessage="1" showErrorMessage="1" errorTitle="Проверьте ввод" error="Введите значение в допустимых пределах. См. примечание к ячейке." sqref="C20">
      <formula1>0</formula1>
      <formula2>10000000</formula2>
    </dataValidation>
    <dataValidation type="whole" allowBlank="1" showInputMessage="1" showErrorMessage="1" errorTitle="Проверьте ввод" error="Введите значение в допустимых пределах. См. примечание к ячейке." sqref="B21">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C21">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B22">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C22">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B23">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C23">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B24">
      <formula1>0</formula1>
      <formula2>1000000</formula2>
    </dataValidation>
    <dataValidation type="whole" allowBlank="1" showInputMessage="1" showErrorMessage="1" errorTitle="Проверьте ввод" error="Введите значение в допустимых пределах. См. примечание к ячейке." sqref="C24">
      <formula1>0</formula1>
      <formula2>1000000</formula2>
    </dataValidation>
  </dataValidation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&amp;LПоказатели&amp;RСтр. &amp;P / &amp;N</oddFooter>
  </headerFooter>
  <rowBreaks count="1" manualBreakCount="1">
    <brk id="27" max="16383" man="1"/>
  </rowBreaks>
  <legacyDrawing r:id="rId1"/>
</worksheet>
</file>

<file path=xl/worksheets/sheet26.xml><?xml version="1.0" encoding="utf-8"?>
<worksheet xmlns="http://schemas.openxmlformats.org/spreadsheetml/2006/main" xmlns:r="http://schemas.openxmlformats.org/officeDocument/2006/relationships">
  <sheetPr>
    <tabColor rgb="FF147D92"/>
    <pageSetUpPr fitToPage="1"/>
  </sheetPr>
  <dimension ref="A1:E4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7.7109375" customWidth="1"/>
    <col min="2" max="2" width="65.7109375" customWidth="1"/>
    <col min="3" max="3" width="28.7109375" customWidth="1"/>
    <col min="4" max="4" width="18.7109375" customWidth="1"/>
    <col min="5" max="5" width="98.7109375" customWidth="1"/>
    <col min="6" max="8" width="17.7109375" customWidth="1"/>
  </cols>
  <sheetData>
    <row r="1" spans="1:5" ht="35" customHeight="1">
      <c r="A1" s="1" t="s">
        <v>821</v>
      </c>
      <c r="B1" s="1"/>
      <c r="C1" s="1"/>
      <c r="D1" s="1"/>
      <c r="E1" s="1"/>
    </row>
    <row r="2" spans="1:5" ht="31" customHeight="1">
      <c r="A2" s="2" t="s">
        <v>1</v>
      </c>
      <c r="B2" s="2"/>
      <c r="C2" s="2"/>
      <c r="D2" s="2"/>
      <c r="E2" s="2"/>
    </row>
    <row r="3" spans="1:5" ht="23" customHeight="1">
      <c r="A3" s="3" t="s">
        <v>2</v>
      </c>
      <c r="B3" s="7" t="s">
        <v>3</v>
      </c>
      <c r="C3" s="7"/>
      <c r="D3" s="7"/>
      <c r="E3" s="7"/>
    </row>
    <row r="7" spans="1:5" ht="44" customHeight="1">
      <c r="A7" s="8" t="s">
        <v>113</v>
      </c>
      <c r="B7" s="8" t="s">
        <v>822</v>
      </c>
      <c r="C7" s="8" t="s">
        <v>340</v>
      </c>
      <c r="D7" s="8" t="s">
        <v>659</v>
      </c>
      <c r="E7" s="8" t="s">
        <v>823</v>
      </c>
    </row>
    <row r="8" spans="1:5" ht="65" customHeight="1">
      <c r="A8" s="5">
        <v>1</v>
      </c>
      <c r="B8" s="5" t="s">
        <v>824</v>
      </c>
      <c r="C8" s="17" t="str">
        <f>IFERROR(IF(AND(ISNUMBER('Ввод'!B27),'Ввод'!B27&gt;0),"ОК","ТРЕБУЕТ ВНИМАНИЯ"),"ОШИБКА ВВОДА")</f>
        <v>ОК</v>
      </c>
      <c r="D8" s="5" t="s">
        <v>825</v>
      </c>
      <c r="E8" s="5" t="s">
        <v>826</v>
      </c>
    </row>
    <row r="9" spans="1:5" ht="65" customHeight="1">
      <c r="A9" s="5">
        <v>2</v>
      </c>
      <c r="B9" s="5" t="s">
        <v>827</v>
      </c>
      <c r="C9" s="17" t="str">
        <f>IFERROR(IF(COUNTIF('Ассортимент'!S8:S25,"ОК")=18,"ОК","ТРЕБУЕТ ВНИМАНИЯ"),"ОШИБКА ВВОДА")</f>
        <v>ОК</v>
      </c>
      <c r="D9" s="5" t="s">
        <v>825</v>
      </c>
      <c r="E9" s="5" t="s">
        <v>828</v>
      </c>
    </row>
    <row r="10" spans="1:5" ht="65" customHeight="1">
      <c r="A10" s="5">
        <v>3</v>
      </c>
      <c r="B10" s="5" t="s">
        <v>829</v>
      </c>
      <c r="C10" s="17" t="str">
        <f>IFERROR(IF(AND(ISNUMBER('Ввод'!B28),'Ввод'!B28&gt;0),"ОК","ТРЕБУЕТ ВНИМАНИЯ"),"ОШИБКА ВВОДА")</f>
        <v>ОК</v>
      </c>
      <c r="D10" s="5" t="s">
        <v>830</v>
      </c>
      <c r="E10" s="5" t="s">
        <v>831</v>
      </c>
    </row>
    <row r="11" spans="1:5" ht="65" customHeight="1">
      <c r="A11" s="5">
        <v>4</v>
      </c>
      <c r="B11" s="5" t="s">
        <v>832</v>
      </c>
      <c r="C11" s="17" t="str">
        <f>IFERROR(IF(OR(AND(ISNUMBER('Ввод'!B28),'Ввод'!B28=0),AND('Ввод'!B28&gt;0,ABS('Ассортимент'!Q27-1)&lt;0.000001)),"ОК","ТРЕБУЕТ ВНИМАНИЯ"),"ОШИБКА ВВОДА")</f>
        <v>ОК</v>
      </c>
      <c r="D11" s="5" t="s">
        <v>825</v>
      </c>
      <c r="E11" s="5" t="s">
        <v>833</v>
      </c>
    </row>
    <row r="12" spans="1:5" ht="65" customHeight="1">
      <c r="A12" s="5">
        <v>5</v>
      </c>
      <c r="B12" s="5" t="s">
        <v>834</v>
      </c>
      <c r="C12" s="17" t="str">
        <f>IFERROR(IF(AND(ABS('Режимы И-ГЦ-02'!H8-450)&lt;0.000001,ABS('Режимы И-ГЦ-02'!H9-180)&lt;0.000001,ABS('Режимы И-ГЦ-02'!H10-300)&lt;0.000001),"ОК","ТРЕБУЕТ ВНИМАНИЯ"),"ОШИБКА ВВОДА")</f>
        <v>ОК</v>
      </c>
      <c r="D12" s="5" t="s">
        <v>825</v>
      </c>
      <c r="E12" s="5" t="s">
        <v>835</v>
      </c>
    </row>
    <row r="13" spans="1:5" ht="65" customHeight="1">
      <c r="A13" s="5">
        <v>6</v>
      </c>
      <c r="B13" s="5" t="s">
        <v>836</v>
      </c>
      <c r="C13" s="17" t="str">
        <f>IFERROR(IF('Ввод'!B24=4,"ОК","ТРЕБУЕТ ВНИМАНИЯ"),"ОШИБКА ВВОДА")</f>
        <v>ОК</v>
      </c>
      <c r="D13" s="5" t="s">
        <v>825</v>
      </c>
      <c r="E13" s="5" t="s">
        <v>837</v>
      </c>
    </row>
    <row r="14" spans="1:5" ht="65" customHeight="1">
      <c r="A14" s="5">
        <v>7</v>
      </c>
      <c r="B14" s="5" t="s">
        <v>838</v>
      </c>
      <c r="C14" s="17" t="str">
        <f>IFERROR(IF(AND(ISNUMBER('Ввод'!B25),'Ввод'!B25&gt;=0,'Ввод'!B25&lt;=3,MOD('Ввод'!B25,1)=0),"ОК","ТРЕБУЕТ ВНИМАНИЯ"),"ОШИБКА ВВОДА")</f>
        <v>ОК</v>
      </c>
      <c r="D14" s="5" t="s">
        <v>825</v>
      </c>
      <c r="E14" s="5" t="s">
        <v>839</v>
      </c>
    </row>
    <row r="15" spans="1:5" ht="65" customHeight="1">
      <c r="A15" s="5">
        <v>8</v>
      </c>
      <c r="B15" s="5" t="s">
        <v>840</v>
      </c>
      <c r="C15" s="17" t="str">
        <f>IFERROR(IF(OR('Ввод'!B26=0,'Ввод'!B26=1),"ОК","ТРЕБУЕТ ВНИМАНИЯ"),"ОШИБКА ВВОДА")</f>
        <v>ОК</v>
      </c>
      <c r="D15" s="5" t="s">
        <v>825</v>
      </c>
      <c r="E15" s="5" t="s">
        <v>841</v>
      </c>
    </row>
    <row r="16" spans="1:5" ht="65" customHeight="1">
      <c r="A16" s="5">
        <v>9</v>
      </c>
      <c r="B16" s="5" t="s">
        <v>842</v>
      </c>
      <c r="C16" s="17" t="str">
        <f>IFERROR(IF(AND(COUNT('Ввод'!B22:B23)=2,MIN('Ввод'!B22:B23)&gt;=1,MOD('Ввод'!B22,1)=0,MOD('Ввод'!B23,1)=0),"ОК","ТРЕБУЕТ ВНИМАНИЯ"),"ОШИБКА ВВОДА")</f>
        <v>ОК</v>
      </c>
      <c r="D16" s="5" t="s">
        <v>825</v>
      </c>
      <c r="E16" s="5" t="s">
        <v>843</v>
      </c>
    </row>
    <row r="17" spans="1:5" ht="65" customHeight="1">
      <c r="A17" s="5">
        <v>10</v>
      </c>
      <c r="B17" s="5" t="s">
        <v>844</v>
      </c>
      <c r="C17" s="17" t="str">
        <f>IFERROR(IF(AND('Ввод'!B22=1,'Ввод'!B23=1),"ОК","ТРЕБУЕТ ВНИМАНИЯ"),"ОШИБКА ВВОДА")</f>
        <v>ОК</v>
      </c>
      <c r="D17" s="5" t="s">
        <v>830</v>
      </c>
      <c r="E17" s="5" t="s">
        <v>845</v>
      </c>
    </row>
    <row r="18" spans="1:5" ht="65" customHeight="1">
      <c r="A18" s="5">
        <v>11</v>
      </c>
      <c r="B18" s="5" t="s">
        <v>846</v>
      </c>
      <c r="C18" s="17" t="str">
        <f>IFERROR(IF(COUNTIF('Ассортимент'!T8:T25,"НУЖЕН НОВЫЙ ХРОНОМЕТРАЖ")=0,"ОК","ТРЕБУЕТ ВНИМАНИЯ"),"ОШИБКА ВВОДА")</f>
        <v>ОК</v>
      </c>
      <c r="D18" s="5" t="s">
        <v>830</v>
      </c>
      <c r="E18" s="5" t="s">
        <v>847</v>
      </c>
    </row>
    <row r="19" spans="1:5" ht="65" customHeight="1">
      <c r="A19" s="5">
        <v>12</v>
      </c>
      <c r="B19" s="5" t="s">
        <v>848</v>
      </c>
      <c r="C19" s="17" t="str">
        <f>IFERROR(IF(AND(AND(COUNT('Замеры ДО'!E10:N10)=10,COUNTIF('Замеры ДО'!E10:N10,0)+COUNTIF('Замеры ДО'!E10:N10,1)=10),AND(COUNT('Замеры ДО'!E31:N31)=10,COUNTIF('Замеры ДО'!E31:N31,0)+COUNTIF('Замеры ДО'!E31:N31,1)=10),AND(COUNT('Замеры ДО'!E52:N52)=10,COUNTIF('Замеры ДО'!E52:N52,0)+COUNTIF('Замеры ДО'!E52:N52,1)=10),AND(COUNT('Замеры ДО'!E73:N73)=10,COUNTIF('Замеры ДО'!E73:N73,0)+COUNTIF('Замеры ДО'!E73:N73,1)=10),AND(COUNT('Замеры ДО'!E94:N94)=10,COUNTIF('Замеры ДО'!E94:N94,0)+COUNTIF('Замеры ДО'!E94:N94,1)=10),AND(COUNT('Замеры ДО'!E115:N115)=10,COUNTIF('Замеры ДО'!E115:N115,0)+COUNTIF('Замеры ДО'!E115:N115,1)=10),AND(COUNT('Замеры ДО'!E136:N136)=10,COUNTIF('Замеры ДО'!E136:N136,0)+COUNTIF('Замеры ДО'!E136:N136,1)=10),AND(COUNT('Замеры ДО'!E157:N157)=10,COUNTIF('Замеры ДО'!E157:N157,0)+COUNTIF('Замеры ДО'!E157:N157,1)=10),AND(COUNT('Замеры ДО'!E178:N178)=10,COUNTIF('Замеры ДО'!E178:N178,0)+COUNTIF('Замеры ДО'!E178:N178,1)=10),AND(COUNT('Замеры ДО'!E199:N199)=10,COUNTIF('Замеры ДО'!E199:N199,0)+COUNTIF('Замеры ДО'!E199:N199,1)=10),AND(COUNT('Замеры ДО'!E220:N220)=10,COUNTIF('Замеры ДО'!E220:N220,0)+COUNTIF('Замеры ДО'!E220:N220,1)=10),AND(COUNT('Замеры ДО'!E241:N241)=10,COUNTIF('Замеры ДО'!E241:N241,0)+COUNTIF('Замеры ДО'!E241:N241,1)=10),AND(COUNT('Замеры ДО'!E262:N262)=10,COUNTIF('Замеры ДО'!E262:N262,0)+COUNTIF('Замеры ДО'!E262:N262,1)=10),AND(COUNT('Замеры ДО'!E283:N283)=10,COUNTIF('Замеры ДО'!E283:N283,0)+COUNTIF('Замеры ДО'!E283:N283,1)=10),AND(COUNT('Замеры ДО'!E304:N304)=10,COUNTIF('Замеры ДО'!E304:N304,0)+COUNTIF('Замеры ДО'!E304:N304,1)=10),AND(COUNT('Замеры ДО'!E325:N325)=10,COUNTIF('Замеры ДО'!E325:N325,0)+COUNTIF('Замеры ДО'!E325:N325,1)=10),AND(COUNT('Замеры ДО'!E346:N346)=10,COUNTIF('Замеры ДО'!E346:N346,0)+COUNTIF('Замеры ДО'!E346:N346,1)=10),AND(COUNT('Замеры ДО'!E367:N367)=10,COUNTIF('Замеры ДО'!E367:N367,0)+COUNTIF('Замеры ДО'!E367:N367,1)=10),AND(COUNT('Замеры ЦЕЛЬ'!E10:N10)=10,COUNTIF('Замеры ЦЕЛЬ'!E10:N10,0)+COUNTIF('Замеры ЦЕЛЬ'!E10:N10,1)=10),AND(COUNT('Замеры ЦЕЛЬ'!E31:N31)=10,COUNTIF('Замеры ЦЕЛЬ'!E31:N31,0)+COUNTIF('Замеры ЦЕЛЬ'!E31:N31,1)=10),AND(COUNT('Замеры ЦЕЛЬ'!E52:N52)=10,COUNTIF('Замеры ЦЕЛЬ'!E52:N52,0)+COUNTIF('Замеры ЦЕЛЬ'!E52:N52,1)=10),AND(COUNT('Замеры ЦЕЛЬ'!E73:N73)=10,COUNTIF('Замеры ЦЕЛЬ'!E73:N73,0)+COUNTIF('Замеры ЦЕЛЬ'!E73:N73,1)=10),AND(COUNT('Замеры ЦЕЛЬ'!E94:N94)=10,COUNTIF('Замеры ЦЕЛЬ'!E94:N94,0)+COUNTIF('Замеры ЦЕЛЬ'!E94:N94,1)=10),AND(COUNT('Замеры ЦЕЛЬ'!E115:N115)=10,COUNTIF('Замеры ЦЕЛЬ'!E115:N115,0)+COUNTIF('Замеры ЦЕЛЬ'!E115:N115,1)=10),AND(COUNT('Замеры ЦЕЛЬ'!E136:N136)=10,COUNTIF('Замеры ЦЕЛЬ'!E136:N136,0)+COUNTIF('Замеры ЦЕЛЬ'!E136:N136,1)=10),AND(COUNT('Замеры ЦЕЛЬ'!E157:N157)=10,COUNTIF('Замеры ЦЕЛЬ'!E157:N157,0)+COUNTIF('Замеры ЦЕЛЬ'!E157:N157,1)=10),AND(COUNT('Замеры ЦЕЛЬ'!E178:N178)=10,COUNTIF('Замеры ЦЕЛЬ'!E178:N178,0)+COUNTIF('Замеры ЦЕЛЬ'!E178:N178,1)=10),AND(COUNT('Замеры ЦЕЛЬ'!E199:N199)=10,COUNTIF('Замеры ЦЕЛЬ'!E199:N199,0)+COUNTIF('Замеры ЦЕЛЬ'!E199:N199,1)=10),AND(COUNT('Замеры ЦЕЛЬ'!E220:N220)=10,COUNTIF('Замеры ЦЕЛЬ'!E220:N220,0)+COUNTIF('Замеры ЦЕЛЬ'!E220:N220,1)=10),AND(COUNT('Замеры ЦЕЛЬ'!E241:N241)=10,COUNTIF('Замеры ЦЕЛЬ'!E241:N241,0)+COUNTIF('Замеры ЦЕЛЬ'!E241:N241,1)=10),AND(COUNT('Замеры ЦЕЛЬ'!E262:N262)=10,COUNTIF('Замеры ЦЕЛЬ'!E262:N262,0)+COUNTIF('Замеры ЦЕЛЬ'!E262:N262,1)=10),AND(COUNT('Замеры ЦЕЛЬ'!E283:N283)=10,COUNTIF('Замеры ЦЕЛЬ'!E283:N283,0)+COUNTIF('Замеры ЦЕЛЬ'!E283:N283,1)=10),AND(COUNT('Замеры ЦЕЛЬ'!E304:N304)=10,COUNTIF('Замеры ЦЕЛЬ'!E304:N304,0)+COUNTIF('Замеры ЦЕЛЬ'!E304:N304,1)=10),AND(COUNT('Замеры ЦЕЛЬ'!E325:N325)=10,COUNTIF('Замеры ЦЕЛЬ'!E325:N325,0)+COUNTIF('Замеры ЦЕЛЬ'!E325:N325,1)=10),AND(COUNT('Замеры ЦЕЛЬ'!E346:N346)=10,COUNTIF('Замеры ЦЕЛЬ'!E346:N346,0)+COUNTIF('Замеры ЦЕЛЬ'!E346:N346,1)=10),AND(COUNT('Замеры ЦЕЛЬ'!E367:N367)=10,COUNTIF('Замеры ЦЕЛЬ'!E367:N367,0)+COUNTIF('Замеры ЦЕЛЬ'!E367:N367,1)=10)),"ОК","ТРЕБУЕТ ВНИМАНИЯ"),"ОШИБКА ВВОДА")</f>
        <v>ОК</v>
      </c>
      <c r="D19" s="5" t="s">
        <v>825</v>
      </c>
      <c r="E19" s="5" t="s">
        <v>849</v>
      </c>
    </row>
    <row r="20" spans="1:5" ht="65" customHeight="1">
      <c r="A20" s="5">
        <v>13</v>
      </c>
      <c r="B20" s="5" t="s">
        <v>850</v>
      </c>
      <c r="C20" s="17" t="str">
        <f>IFERROR(IF(AND(IF('Ассортимент'!O8&gt;0,'Расчет ДО'!S8&gt;=10,TRUE),IF('Ассортимент'!O9&gt;0,'Расчет ДО'!S9&gt;=10,TRUE),IF('Ассортимент'!O10&gt;0,'Расчет ДО'!S10&gt;=10,TRUE),IF('Ассортимент'!O11&gt;0,'Расчет ДО'!S11&gt;=10,TRUE),IF('Ассортимент'!O12&gt;0,'Расчет ДО'!S12&gt;=10,TRUE),IF('Ассортимент'!O13&gt;0,'Расчет ДО'!S13&gt;=10,TRUE),IF('Ассортимент'!O14&gt;0,'Расчет ДО'!S14&gt;=10,TRUE),IF('Ассортимент'!O15&gt;0,'Расчет ДО'!S15&gt;=10,TRUE),IF('Ассортимент'!O16&gt;0,'Расчет ДО'!S16&gt;=10,TRUE),IF('Ассортимент'!O17&gt;0,'Расчет ДО'!S17&gt;=10,TRUE),IF('Ассортимент'!O18&gt;0,'Расчет ДО'!S18&gt;=10,TRUE),IF('Ассортимент'!O19&gt;0,'Расчет ДО'!S19&gt;=10,TRUE),IF('Ассортимент'!O20&gt;0,'Расчет ДО'!S20&gt;=10,TRUE),IF('Ассортимент'!O21&gt;0,'Расчет ДО'!S21&gt;=10,TRUE),IF('Ассортимент'!O22&gt;0,'Расчет ДО'!S22&gt;=10,TRUE),IF('Ассортимент'!O23&gt;0,'Расчет ДО'!S23&gt;=10,TRUE),IF('Ассортимент'!O24&gt;0,'Расчет ДО'!S24&gt;=10,TRUE),IF('Ассортимент'!O25&gt;0,'Расчет ДО'!S25&gt;=10,TRUE)),"ОК","ТРЕБУЕТ ВНИМАНИЯ"),"ОШИБКА ВВОДА")</f>
        <v>ОК</v>
      </c>
      <c r="D20" s="5" t="s">
        <v>830</v>
      </c>
      <c r="E20" s="5" t="s">
        <v>851</v>
      </c>
    </row>
    <row r="21" spans="1:5" ht="65" customHeight="1">
      <c r="A21" s="5">
        <v>14</v>
      </c>
      <c r="B21" s="5" t="s">
        <v>852</v>
      </c>
      <c r="C21" s="17" t="str">
        <f>IFERROR(IF(AND(IF('Ассортимент'!O8&gt;0,'Расчет ЦЕЛЬ'!S8&gt;=10,TRUE),IF('Ассортимент'!O9&gt;0,'Расчет ЦЕЛЬ'!S9&gt;=10,TRUE),IF('Ассортимент'!O10&gt;0,'Расчет ЦЕЛЬ'!S10&gt;=10,TRUE),IF('Ассортимент'!O11&gt;0,'Расчет ЦЕЛЬ'!S11&gt;=10,TRUE),IF('Ассортимент'!O12&gt;0,'Расчет ЦЕЛЬ'!S12&gt;=10,TRUE),IF('Ассортимент'!O13&gt;0,'Расчет ЦЕЛЬ'!S13&gt;=10,TRUE),IF('Ассортимент'!O14&gt;0,'Расчет ЦЕЛЬ'!S14&gt;=10,TRUE),IF('Ассортимент'!O15&gt;0,'Расчет ЦЕЛЬ'!S15&gt;=10,TRUE),IF('Ассортимент'!O16&gt;0,'Расчет ЦЕЛЬ'!S16&gt;=10,TRUE),IF('Ассортимент'!O17&gt;0,'Расчет ЦЕЛЬ'!S17&gt;=10,TRUE),IF('Ассортимент'!O18&gt;0,'Расчет ЦЕЛЬ'!S18&gt;=10,TRUE),IF('Ассортимент'!O19&gt;0,'Расчет ЦЕЛЬ'!S19&gt;=10,TRUE),IF('Ассортимент'!O20&gt;0,'Расчет ЦЕЛЬ'!S20&gt;=10,TRUE),IF('Ассортимент'!O21&gt;0,'Расчет ЦЕЛЬ'!S21&gt;=10,TRUE),IF('Ассортимент'!O22&gt;0,'Расчет ЦЕЛЬ'!S22&gt;=10,TRUE),IF('Ассортимент'!O23&gt;0,'Расчет ЦЕЛЬ'!S23&gt;=10,TRUE),IF('Ассортимент'!O24&gt;0,'Расчет ЦЕЛЬ'!S24&gt;=10,TRUE),IF('Ассортимент'!O25&gt;0,'Расчет ЦЕЛЬ'!S25&gt;=10,TRUE)),"ОК","ТРЕБУЕТ ВНИМАНИЯ"),"ОШИБКА ВВОДА")</f>
        <v>ОК</v>
      </c>
      <c r="D21" s="5" t="s">
        <v>830</v>
      </c>
      <c r="E21" s="5" t="s">
        <v>853</v>
      </c>
    </row>
    <row r="22" spans="1:5" ht="65" customHeight="1">
      <c r="A22" s="5">
        <v>15</v>
      </c>
      <c r="B22" s="5" t="s">
        <v>854</v>
      </c>
      <c r="C22" s="17" t="str">
        <f>IFERROR(IF(AND(IF('Ассортимент'!O8&gt;0,AND(ISNUMBER('Расчет ДО'!T8),ABS('Расчет ДО'!T8)&lt;0.000001),TRUE),IF('Ассортимент'!O9&gt;0,AND(ISNUMBER('Расчет ДО'!T9),ABS('Расчет ДО'!T9)&lt;0.000001),TRUE),IF('Ассортимент'!O10&gt;0,AND(ISNUMBER('Расчет ДО'!T10),ABS('Расчет ДО'!T10)&lt;0.000001),TRUE),IF('Ассортимент'!O11&gt;0,AND(ISNUMBER('Расчет ДО'!T11),ABS('Расчет ДО'!T11)&lt;0.000001),TRUE),IF('Ассортимент'!O12&gt;0,AND(ISNUMBER('Расчет ДО'!T12),ABS('Расчет ДО'!T12)&lt;0.000001),TRUE),IF('Ассортимент'!O13&gt;0,AND(ISNUMBER('Расчет ДО'!T13),ABS('Расчет ДО'!T13)&lt;0.000001),TRUE),IF('Ассортимент'!O14&gt;0,AND(ISNUMBER('Расчет ДО'!T14),ABS('Расчет ДО'!T14)&lt;0.000001),TRUE),IF('Ассортимент'!O15&gt;0,AND(ISNUMBER('Расчет ДО'!T15),ABS('Расчет ДО'!T15)&lt;0.000001),TRUE),IF('Ассортимент'!O16&gt;0,AND(ISNUMBER('Расчет ДО'!T16),ABS('Расчет ДО'!T16)&lt;0.000001),TRUE),IF('Ассортимент'!O17&gt;0,AND(ISNUMBER('Расчет ДО'!T17),ABS('Расчет ДО'!T17)&lt;0.000001),TRUE),IF('Ассортимент'!O18&gt;0,AND(ISNUMBER('Расчет ДО'!T18),ABS('Расчет ДО'!T18)&lt;0.000001),TRUE),IF('Ассортимент'!O19&gt;0,AND(ISNUMBER('Расчет ДО'!T19),ABS('Расчет ДО'!T19)&lt;0.000001),TRUE),IF('Ассортимент'!O20&gt;0,AND(ISNUMBER('Расчет ДО'!T20),ABS('Расчет ДО'!T20)&lt;0.000001),TRUE),IF('Ассортимент'!O21&gt;0,AND(ISNUMBER('Расчет ДО'!T21),ABS('Расчет ДО'!T21)&lt;0.000001),TRUE),IF('Ассортимент'!O22&gt;0,AND(ISNUMBER('Расчет ДО'!T22),ABS('Расчет ДО'!T22)&lt;0.000001),TRUE),IF('Ассортимент'!O23&gt;0,AND(ISNUMBER('Расчет ДО'!T23),ABS('Расчет ДО'!T23)&lt;0.000001),TRUE),IF('Ассортимент'!O24&gt;0,AND(ISNUMBER('Расчет ДО'!T24),ABS('Расчет ДО'!T24)&lt;0.000001),TRUE),IF('Ассортимент'!O25&gt;0,AND(ISNUMBER('Расчет ДО'!T25),ABS('Расчет ДО'!T25)&lt;0.000001),TRUE)),"ОК","ТРЕБУЕТ ВНИМАНИЯ"),"ОШИБКА ВВОДА")</f>
        <v>ОК</v>
      </c>
      <c r="D22" s="5" t="s">
        <v>825</v>
      </c>
      <c r="E22" s="5" t="s">
        <v>855</v>
      </c>
    </row>
    <row r="23" spans="1:5" ht="65" customHeight="1">
      <c r="A23" s="5">
        <v>16</v>
      </c>
      <c r="B23" s="5" t="s">
        <v>856</v>
      </c>
      <c r="C23" s="17" t="str">
        <f>IFERROR(IF(AND(IF('Ассортимент'!O8&gt;0,AND(ISNUMBER('Расчет ЦЕЛЬ'!T8),ABS('Расчет ЦЕЛЬ'!T8)&lt;0.000001),TRUE),IF('Ассортимент'!O9&gt;0,AND(ISNUMBER('Расчет ЦЕЛЬ'!T9),ABS('Расчет ЦЕЛЬ'!T9)&lt;0.000001),TRUE),IF('Ассортимент'!O10&gt;0,AND(ISNUMBER('Расчет ЦЕЛЬ'!T10),ABS('Расчет ЦЕЛЬ'!T10)&lt;0.000001),TRUE),IF('Ассортимент'!O11&gt;0,AND(ISNUMBER('Расчет ЦЕЛЬ'!T11),ABS('Расчет ЦЕЛЬ'!T11)&lt;0.000001),TRUE),IF('Ассортимент'!O12&gt;0,AND(ISNUMBER('Расчет ЦЕЛЬ'!T12),ABS('Расчет ЦЕЛЬ'!T12)&lt;0.000001),TRUE),IF('Ассортимент'!O13&gt;0,AND(ISNUMBER('Расчет ЦЕЛЬ'!T13),ABS('Расчет ЦЕЛЬ'!T13)&lt;0.000001),TRUE),IF('Ассортимент'!O14&gt;0,AND(ISNUMBER('Расчет ЦЕЛЬ'!T14),ABS('Расчет ЦЕЛЬ'!T14)&lt;0.000001),TRUE),IF('Ассортимент'!O15&gt;0,AND(ISNUMBER('Расчет ЦЕЛЬ'!T15),ABS('Расчет ЦЕЛЬ'!T15)&lt;0.000001),TRUE),IF('Ассортимент'!O16&gt;0,AND(ISNUMBER('Расчет ЦЕЛЬ'!T16),ABS('Расчет ЦЕЛЬ'!T16)&lt;0.000001),TRUE),IF('Ассортимент'!O17&gt;0,AND(ISNUMBER('Расчет ЦЕЛЬ'!T17),ABS('Расчет ЦЕЛЬ'!T17)&lt;0.000001),TRUE),IF('Ассортимент'!O18&gt;0,AND(ISNUMBER('Расчет ЦЕЛЬ'!T18),ABS('Расчет ЦЕЛЬ'!T18)&lt;0.000001),TRUE),IF('Ассортимент'!O19&gt;0,AND(ISNUMBER('Расчет ЦЕЛЬ'!T19),ABS('Расчет ЦЕЛЬ'!T19)&lt;0.000001),TRUE),IF('Ассортимент'!O20&gt;0,AND(ISNUMBER('Расчет ЦЕЛЬ'!T20),ABS('Расчет ЦЕЛЬ'!T20)&lt;0.000001),TRUE),IF('Ассортимент'!O21&gt;0,AND(ISNUMBER('Расчет ЦЕЛЬ'!T21),ABS('Расчет ЦЕЛЬ'!T21)&lt;0.000001),TRUE),IF('Ассортимент'!O22&gt;0,AND(ISNUMBER('Расчет ЦЕЛЬ'!T22),ABS('Расчет ЦЕЛЬ'!T22)&lt;0.000001),TRUE),IF('Ассортимент'!O23&gt;0,AND(ISNUMBER('Расчет ЦЕЛЬ'!T23),ABS('Расчет ЦЕЛЬ'!T23)&lt;0.000001),TRUE),IF('Ассортимент'!O24&gt;0,AND(ISNUMBER('Расчет ЦЕЛЬ'!T24),ABS('Расчет ЦЕЛЬ'!T24)&lt;0.000001),TRUE),IF('Ассортимент'!O25&gt;0,AND(ISNUMBER('Расчет ЦЕЛЬ'!T25),ABS('Расчет ЦЕЛЬ'!T25)&lt;0.000001),TRUE)),"ОК","ТРЕБУЕТ ВНИМАНИЯ"),"ОШИБКА ВВОДА")</f>
        <v>ОК</v>
      </c>
      <c r="D23" s="5" t="s">
        <v>825</v>
      </c>
      <c r="E23" s="5" t="s">
        <v>857</v>
      </c>
    </row>
    <row r="24" spans="1:5" ht="65" customHeight="1">
      <c r="A24" s="5">
        <v>17</v>
      </c>
      <c r="B24" s="5" t="s">
        <v>858</v>
      </c>
      <c r="C24" s="17" t="str">
        <f>IFERROR(IF(AND(COUNT('Периодическая работа'!H8:H13)=6,COUNT('Периодическая работа'!M8:M13)=6,COUNT('Периодическая работа'!I8:I13)=6),"ОК","ТРЕБУЕТ ВНИМАНИЯ"),"ОШИБКА ВВОДА")</f>
        <v>ОК</v>
      </c>
      <c r="D24" s="5" t="s">
        <v>825</v>
      </c>
      <c r="E24" s="5" t="s">
        <v>859</v>
      </c>
    </row>
    <row r="25" spans="1:5" ht="65" customHeight="1">
      <c r="A25" s="5">
        <v>18</v>
      </c>
      <c r="B25" s="5" t="s">
        <v>860</v>
      </c>
      <c r="C25" s="17" t="str">
        <f>IFERROR(IF(AND(ABS(SUM('Периодическая работа'!H8:H12)-SUM('Периодическая работа'!M8:M12))&lt;0.000001,COUNT('Периодическая работа'!H8:H12)=5),"ОК","ТРЕБУЕТ ВНИМАНИЯ"),"ОШИБКА ВВОДА")</f>
        <v>ОК</v>
      </c>
      <c r="D25" s="5" t="s">
        <v>825</v>
      </c>
      <c r="E25" s="5" t="s">
        <v>861</v>
      </c>
    </row>
    <row r="26" spans="1:5" ht="65" customHeight="1">
      <c r="A26" s="5">
        <v>19</v>
      </c>
      <c r="B26" s="5" t="s">
        <v>862</v>
      </c>
      <c r="C26" s="17" t="str">
        <f>IFERROR(IF(AND(COUNT('ОТ ДО'!C27,'ОТ ЦЕЛЬ'!C27)=2,ABS('ОТ ДО'!C27)&lt;0.000001,ABS('ОТ ЦЕЛЬ'!C27)&lt;0.000001),"ОК","ТРЕБУЕТ ВНИМАНИЯ"),"ОШИБКА ВВОДА")</f>
        <v>ОК</v>
      </c>
      <c r="D26" s="5" t="s">
        <v>825</v>
      </c>
      <c r="E26" s="5" t="s">
        <v>863</v>
      </c>
    </row>
    <row r="27" spans="1:5" ht="65" customHeight="1">
      <c r="A27" s="5">
        <v>20</v>
      </c>
      <c r="B27" s="5" t="s">
        <v>864</v>
      </c>
      <c r="C27" s="17" t="str">
        <f>IFERROR(IF(AND(ISNUMBER('Расчет ДО'!B37),'Расчет ДО'!B37&lt;=1,'Ввод'!B28&gt;0),"ОК","ТРЕБУЕТ ВНИМАНИЯ"),"ОШИБКА ВВОДА")</f>
        <v>ТРЕБУЕТ ВНИМАНИЯ</v>
      </c>
      <c r="D27" s="5" t="s">
        <v>830</v>
      </c>
      <c r="E27" s="5" t="s">
        <v>865</v>
      </c>
    </row>
    <row r="28" spans="1:5" ht="65" customHeight="1">
      <c r="A28" s="5">
        <v>21</v>
      </c>
      <c r="B28" s="5" t="s">
        <v>866</v>
      </c>
      <c r="C28" s="17" t="str">
        <f>IFERROR(IF(AND(ISNUMBER('Расчет ЦЕЛЬ'!B37),'Расчет ЦЕЛЬ'!B37&lt;=1,'Ввод'!B28&gt;0),"ОК","ТРЕБУЕТ ВНИМАНИЯ"),"ОШИБКА ВВОДА")</f>
        <v>ОК</v>
      </c>
      <c r="D28" s="5" t="s">
        <v>830</v>
      </c>
      <c r="E28" s="5" t="s">
        <v>867</v>
      </c>
    </row>
    <row r="29" spans="1:5" ht="65" customHeight="1">
      <c r="A29" s="5">
        <v>22</v>
      </c>
      <c r="B29" s="5" t="s">
        <v>868</v>
      </c>
      <c r="C29" s="17" t="str">
        <f>IFERROR(IF(AND('Ввод'!B29&gt;0,ISNUMBER('Ввод'!B40),'Ввод'!B40&gt;=1,'Ввод'!B40&lt;=6,MOD('Ввод'!B40,1)=0),"ОК","ТРЕБУЕТ ВНИМАНИЯ"),"ОШИБКА ВВОДА")</f>
        <v>ОК</v>
      </c>
      <c r="D29" s="5" t="s">
        <v>825</v>
      </c>
      <c r="E29" s="5" t="s">
        <v>869</v>
      </c>
    </row>
    <row r="30" spans="1:5" ht="65" customHeight="1">
      <c r="A30" s="5">
        <v>23</v>
      </c>
      <c r="B30" s="5" t="s">
        <v>870</v>
      </c>
      <c r="C30" s="17" t="str">
        <f>IFERROR(IF(AND(COUNT('Показатели'!B32:C32)=2,COUNT('Показатели'!B34:C37)=8),"ОК","ТРЕБУЕТ ВНИМАНИЯ"),"ОШИБКА ВВОДА")</f>
        <v>ОК</v>
      </c>
      <c r="D30" s="5" t="s">
        <v>830</v>
      </c>
      <c r="E30" s="5" t="s">
        <v>871</v>
      </c>
    </row>
    <row r="31" spans="1:5" ht="65" customHeight="1">
      <c r="A31" s="5">
        <v>24</v>
      </c>
      <c r="B31" s="5" t="s">
        <v>872</v>
      </c>
      <c r="C31" s="17" t="str">
        <f>IFERROR(IF(COUNT('Чек-лист СОП'!D8:D26)=19,"ОК","ТРЕБУЕТ ВНИМАНИЯ"),"ОШИБКА ВВОДА")</f>
        <v>ТРЕБУЕТ ВНИМАНИЯ</v>
      </c>
      <c r="D31" s="5" t="s">
        <v>873</v>
      </c>
      <c r="E31" s="5" t="s">
        <v>874</v>
      </c>
    </row>
    <row r="32" spans="1:5" ht="65" customHeight="1">
      <c r="A32" s="5">
        <v>25</v>
      </c>
      <c r="B32" s="5" t="s">
        <v>875</v>
      </c>
      <c r="C32" s="17" t="str">
        <f>IFERROR(IF(COUNT('Критерии качества СР'!J8:J12)=5,"ОК","ТРЕБУЕТ ВНИМАНИЯ"),"ОШИБКА ВВОДА")</f>
        <v>ТРЕБУЕТ ВНИМАНИЯ</v>
      </c>
      <c r="D32" s="5" t="s">
        <v>873</v>
      </c>
      <c r="E32" s="5" t="s">
        <v>876</v>
      </c>
    </row>
    <row r="33" spans="1:5" ht="65" customHeight="1">
      <c r="A33" s="5">
        <v>26</v>
      </c>
      <c r="B33" s="5" t="s">
        <v>877</v>
      </c>
      <c r="C33" s="17" t="str">
        <f>IFERROR(IF('Ввод'!B38="Утверждено","ОК","ТРЕБУЕТ ВНИМАНИЯ"),"ОШИБКА ВВОДА")</f>
        <v>ТРЕБУЕТ ВНИМАНИЯ</v>
      </c>
      <c r="D33" s="5" t="s">
        <v>873</v>
      </c>
      <c r="E33" s="5" t="s">
        <v>878</v>
      </c>
    </row>
    <row r="36" spans="1:5" ht="23" customHeight="1">
      <c r="B36" s="5" t="s">
        <v>879</v>
      </c>
      <c r="C36" s="6">
        <f>COUNTIF(C8:C33,"&lt;&gt;ОК")</f>
        <v>4</v>
      </c>
    </row>
    <row r="37" spans="1:5" ht="23" customHeight="1">
      <c r="B37" s="5" t="s">
        <v>880</v>
      </c>
      <c r="C37" s="6">
        <f>COUNTIFS(C8:C33,"&lt;&gt;ОК",D8:D33,"Критично")</f>
        <v>0</v>
      </c>
    </row>
    <row r="39" spans="1:5" ht="23" customHeight="1">
      <c r="A39" s="2" t="s">
        <v>881</v>
      </c>
      <c r="B39" s="2"/>
      <c r="C39" s="2"/>
      <c r="D39" s="2"/>
      <c r="E39" s="2"/>
    </row>
    <row r="40" spans="1:5" ht="23" customHeight="1">
      <c r="A40" s="2"/>
      <c r="B40" s="2"/>
      <c r="C40" s="2"/>
      <c r="D40" s="2"/>
      <c r="E40" s="2"/>
    </row>
    <row r="41" spans="1:5" ht="23" customHeight="1">
      <c r="A41" s="2"/>
      <c r="B41" s="2"/>
      <c r="C41" s="2"/>
      <c r="D41" s="2"/>
      <c r="E41" s="2"/>
    </row>
    <row r="42" spans="1:5" ht="23" customHeight="1">
      <c r="A42" s="2"/>
      <c r="B42" s="2"/>
      <c r="C42" s="2"/>
      <c r="D42" s="2"/>
      <c r="E42" s="2"/>
    </row>
  </sheetData>
  <sheetProtection sheet="1" objects="1" scenarios="1" sort="0" autoFilter="0"/>
  <mergeCells count="4">
    <mergeCell ref="A1:E1"/>
    <mergeCell ref="A2:E2"/>
    <mergeCell ref="B3:E3"/>
    <mergeCell ref="A39:E42"/>
  </mergeCells>
  <conditionalFormatting sqref="C8:C33">
    <cfRule type="containsText" dxfId="0" priority="1" operator="containsText" text="ТРЕБУЕТ">
      <formula>NOT(ISERROR(SEARCH("ТРЕБУЕТ",C8)))</formula>
    </cfRule>
    <cfRule type="containsText" dxfId="0" priority="2" operator="containsText" text="ОШИБКА">
      <formula>NOT(ISERROR(SEARCH("ОШИБКА",C8)))</formula>
    </cfRule>
    <cfRule type="cellIs" dxfId="8" priority="3" operator="equal">
      <formula>"ОК"</formula>
    </cfRule>
  </conditionalFormatting>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&amp;LКонтроль&amp;RСтр. &amp;P / &amp;N</oddFooter>
  </headerFooter>
</worksheet>
</file>

<file path=xl/worksheets/sheet27.xml><?xml version="1.0" encoding="utf-8"?>
<worksheet xmlns="http://schemas.openxmlformats.org/spreadsheetml/2006/main" xmlns:r="http://schemas.openxmlformats.org/officeDocument/2006/relationships">
  <sheetPr>
    <tabColor rgb="FF147D92"/>
    <pageSetUpPr fitToPage="1"/>
  </sheetPr>
  <dimension ref="A1:F6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6.7109375" customWidth="1"/>
    <col min="2" max="2" width="48.7109375" customWidth="1"/>
    <col min="3" max="3" width="50.7109375" customWidth="1"/>
    <col min="4" max="6" width="44.7109375" customWidth="1"/>
    <col min="7" max="8" width="17.7109375" customWidth="1"/>
  </cols>
  <sheetData>
    <row r="1" spans="1:6" ht="35" customHeight="1">
      <c r="A1" s="1" t="s">
        <v>882</v>
      </c>
      <c r="B1" s="1"/>
      <c r="C1" s="1"/>
      <c r="D1" s="1"/>
      <c r="E1" s="1"/>
      <c r="F1" s="1"/>
    </row>
    <row r="2" spans="1:6" ht="31" customHeight="1">
      <c r="A2" s="2" t="s">
        <v>1</v>
      </c>
      <c r="B2" s="2"/>
      <c r="C2" s="2"/>
      <c r="D2" s="2"/>
      <c r="E2" s="2"/>
      <c r="F2" s="2"/>
    </row>
    <row r="3" spans="1:6" ht="23" customHeight="1">
      <c r="A3" s="3" t="s">
        <v>2</v>
      </c>
      <c r="B3" s="7" t="s">
        <v>3</v>
      </c>
      <c r="C3" s="7"/>
      <c r="D3" s="7"/>
      <c r="E3" s="7"/>
      <c r="F3" s="7"/>
    </row>
    <row r="7" spans="1:6" ht="44" customHeight="1">
      <c r="A7" s="8" t="s">
        <v>113</v>
      </c>
      <c r="B7" s="8" t="s">
        <v>883</v>
      </c>
      <c r="C7" s="8" t="s">
        <v>884</v>
      </c>
      <c r="D7" s="8" t="s">
        <v>885</v>
      </c>
      <c r="E7" s="8" t="s">
        <v>886</v>
      </c>
      <c r="F7" s="8" t="s">
        <v>104</v>
      </c>
    </row>
    <row r="8" spans="1:6" ht="98" customHeight="1">
      <c r="A8" s="5">
        <v>1</v>
      </c>
      <c r="B8" s="5" t="s">
        <v>887</v>
      </c>
      <c r="C8" s="5" t="s">
        <v>888</v>
      </c>
      <c r="D8" s="5" t="s">
        <v>889</v>
      </c>
      <c r="E8" s="5" t="s">
        <v>890</v>
      </c>
      <c r="F8" s="5" t="s">
        <v>181</v>
      </c>
    </row>
    <row r="9" spans="1:6" ht="98" customHeight="1">
      <c r="A9" s="5">
        <v>2</v>
      </c>
      <c r="B9" s="5" t="s">
        <v>891</v>
      </c>
      <c r="C9" s="5" t="s">
        <v>892</v>
      </c>
      <c r="D9" s="5" t="s">
        <v>893</v>
      </c>
      <c r="E9" s="5" t="s">
        <v>894</v>
      </c>
      <c r="F9" s="5" t="s">
        <v>895</v>
      </c>
    </row>
    <row r="10" spans="1:6" ht="98" customHeight="1">
      <c r="A10" s="5">
        <v>3</v>
      </c>
      <c r="B10" s="5" t="s">
        <v>896</v>
      </c>
      <c r="C10" s="5" t="s">
        <v>897</v>
      </c>
      <c r="D10" s="5" t="s">
        <v>898</v>
      </c>
      <c r="E10" s="5" t="s">
        <v>899</v>
      </c>
      <c r="F10" s="5" t="s">
        <v>181</v>
      </c>
    </row>
    <row r="11" spans="1:6" ht="98" customHeight="1">
      <c r="A11" s="5">
        <v>4</v>
      </c>
      <c r="B11" s="5" t="s">
        <v>900</v>
      </c>
      <c r="C11" s="5" t="s">
        <v>901</v>
      </c>
      <c r="D11" s="5" t="s">
        <v>902</v>
      </c>
      <c r="E11" s="5" t="s">
        <v>903</v>
      </c>
      <c r="F11" s="5" t="s">
        <v>181</v>
      </c>
    </row>
    <row r="12" spans="1:6" ht="98" customHeight="1">
      <c r="A12" s="5">
        <v>5</v>
      </c>
      <c r="B12" s="5" t="s">
        <v>904</v>
      </c>
      <c r="C12" s="5" t="s">
        <v>905</v>
      </c>
      <c r="D12" s="5" t="s">
        <v>906</v>
      </c>
      <c r="E12" s="5" t="s">
        <v>907</v>
      </c>
      <c r="F12" s="5" t="s">
        <v>908</v>
      </c>
    </row>
    <row r="13" spans="1:6" ht="98" customHeight="1">
      <c r="A13" s="5">
        <v>6</v>
      </c>
      <c r="B13" s="5" t="s">
        <v>909</v>
      </c>
      <c r="C13" s="5" t="s">
        <v>910</v>
      </c>
      <c r="D13" s="5" t="s">
        <v>911</v>
      </c>
      <c r="E13" s="5" t="s">
        <v>912</v>
      </c>
      <c r="F13" s="5" t="s">
        <v>913</v>
      </c>
    </row>
    <row r="14" spans="1:6" ht="98" customHeight="1">
      <c r="A14" s="5">
        <v>7</v>
      </c>
      <c r="B14" s="5" t="s">
        <v>914</v>
      </c>
      <c r="C14" s="5" t="s">
        <v>915</v>
      </c>
      <c r="D14" s="5" t="s">
        <v>916</v>
      </c>
      <c r="E14" s="5" t="s">
        <v>917</v>
      </c>
      <c r="F14" s="5" t="s">
        <v>918</v>
      </c>
    </row>
    <row r="15" spans="1:6" ht="98" customHeight="1">
      <c r="A15" s="5">
        <v>8</v>
      </c>
      <c r="B15" s="5" t="s">
        <v>919</v>
      </c>
      <c r="C15" s="5" t="s">
        <v>920</v>
      </c>
      <c r="D15" s="5" t="s">
        <v>921</v>
      </c>
      <c r="E15" s="5" t="s">
        <v>922</v>
      </c>
      <c r="F15" s="5" t="s">
        <v>923</v>
      </c>
    </row>
    <row r="16" spans="1:6" ht="98" customHeight="1">
      <c r="A16" s="5">
        <v>9</v>
      </c>
      <c r="B16" s="5" t="s">
        <v>924</v>
      </c>
      <c r="C16" s="5" t="s">
        <v>925</v>
      </c>
      <c r="D16" s="5" t="s">
        <v>926</v>
      </c>
      <c r="E16" s="5" t="s">
        <v>927</v>
      </c>
      <c r="F16" s="5" t="s">
        <v>928</v>
      </c>
    </row>
    <row r="17" spans="1:6" ht="98" customHeight="1">
      <c r="A17" s="5">
        <v>10</v>
      </c>
      <c r="B17" s="5" t="s">
        <v>929</v>
      </c>
      <c r="C17" s="5" t="s">
        <v>930</v>
      </c>
      <c r="D17" s="5" t="s">
        <v>931</v>
      </c>
      <c r="E17" s="5" t="s">
        <v>932</v>
      </c>
      <c r="F17" s="5" t="s">
        <v>933</v>
      </c>
    </row>
    <row r="18" spans="1:6" ht="98" customHeight="1">
      <c r="A18" s="5">
        <v>11</v>
      </c>
      <c r="B18" s="5" t="s">
        <v>934</v>
      </c>
      <c r="C18" s="5" t="s">
        <v>935</v>
      </c>
      <c r="D18" s="5" t="s">
        <v>936</v>
      </c>
      <c r="E18" s="5" t="s">
        <v>937</v>
      </c>
      <c r="F18" s="5" t="s">
        <v>938</v>
      </c>
    </row>
    <row r="19" spans="1:6" ht="98" customHeight="1">
      <c r="A19" s="5">
        <v>12</v>
      </c>
      <c r="B19" s="5" t="s">
        <v>277</v>
      </c>
      <c r="C19" s="5" t="s">
        <v>939</v>
      </c>
      <c r="D19" s="5" t="s">
        <v>940</v>
      </c>
      <c r="E19" s="5" t="s">
        <v>941</v>
      </c>
      <c r="F19" s="5" t="s">
        <v>181</v>
      </c>
    </row>
    <row r="20" spans="1:6" ht="98" customHeight="1">
      <c r="A20" s="5">
        <v>13</v>
      </c>
      <c r="B20" s="5" t="s">
        <v>942</v>
      </c>
      <c r="C20" s="5" t="s">
        <v>943</v>
      </c>
      <c r="D20" s="5" t="s">
        <v>944</v>
      </c>
      <c r="E20" s="5" t="s">
        <v>945</v>
      </c>
      <c r="F20" s="5" t="s">
        <v>181</v>
      </c>
    </row>
    <row r="21" spans="1:6" ht="98" customHeight="1">
      <c r="A21" s="5">
        <v>14</v>
      </c>
      <c r="B21" s="5" t="s">
        <v>946</v>
      </c>
      <c r="C21" s="5" t="s">
        <v>947</v>
      </c>
      <c r="D21" s="5" t="s">
        <v>948</v>
      </c>
      <c r="E21" s="5" t="s">
        <v>949</v>
      </c>
      <c r="F21" s="5" t="s">
        <v>950</v>
      </c>
    </row>
    <row r="22" spans="1:6" ht="98" customHeight="1">
      <c r="A22" s="5">
        <v>15</v>
      </c>
      <c r="B22" s="5" t="s">
        <v>951</v>
      </c>
      <c r="C22" s="5" t="s">
        <v>952</v>
      </c>
      <c r="D22" s="5" t="s">
        <v>502</v>
      </c>
      <c r="E22" s="5" t="s">
        <v>953</v>
      </c>
      <c r="F22" s="5" t="s">
        <v>954</v>
      </c>
    </row>
    <row r="23" spans="1:6" ht="98" customHeight="1">
      <c r="A23" s="5">
        <v>16</v>
      </c>
      <c r="B23" s="5" t="s">
        <v>955</v>
      </c>
      <c r="C23" s="5" t="s">
        <v>956</v>
      </c>
      <c r="D23" s="5" t="s">
        <v>957</v>
      </c>
      <c r="E23" s="5" t="s">
        <v>958</v>
      </c>
      <c r="F23" s="5" t="s">
        <v>959</v>
      </c>
    </row>
    <row r="24" spans="1:6" ht="98" customHeight="1">
      <c r="A24" s="5">
        <v>17</v>
      </c>
      <c r="B24" s="5" t="s">
        <v>960</v>
      </c>
      <c r="C24" s="5" t="s">
        <v>961</v>
      </c>
      <c r="D24" s="5" t="s">
        <v>962</v>
      </c>
      <c r="E24" s="5" t="s">
        <v>963</v>
      </c>
      <c r="F24" s="5" t="s">
        <v>964</v>
      </c>
    </row>
    <row r="25" spans="1:6" ht="98" customHeight="1">
      <c r="A25" s="5">
        <v>18</v>
      </c>
      <c r="B25" s="5" t="s">
        <v>965</v>
      </c>
      <c r="C25" s="5" t="s">
        <v>966</v>
      </c>
      <c r="D25" s="5" t="s">
        <v>967</v>
      </c>
      <c r="E25" s="5" t="s">
        <v>968</v>
      </c>
      <c r="F25" s="5" t="s">
        <v>969</v>
      </c>
    </row>
    <row r="28" spans="1:6" ht="44" customHeight="1">
      <c r="A28" s="8" t="s">
        <v>113</v>
      </c>
      <c r="B28" s="8" t="s">
        <v>970</v>
      </c>
      <c r="C28" s="8" t="s">
        <v>971</v>
      </c>
      <c r="D28" s="8" t="s">
        <v>972</v>
      </c>
      <c r="E28" s="8" t="s">
        <v>973</v>
      </c>
      <c r="F28" s="8" t="s">
        <v>104</v>
      </c>
    </row>
    <row r="29" spans="1:6" ht="45" customHeight="1">
      <c r="A29" s="5">
        <v>1</v>
      </c>
      <c r="B29" s="5" t="s">
        <v>974</v>
      </c>
      <c r="C29" s="5" t="s">
        <v>974</v>
      </c>
      <c r="D29" s="5" t="s">
        <v>975</v>
      </c>
      <c r="E29" s="5" t="s">
        <v>976</v>
      </c>
      <c r="F29" s="5" t="s">
        <v>977</v>
      </c>
    </row>
    <row r="30" spans="1:6" ht="45" customHeight="1">
      <c r="A30" s="5">
        <v>2</v>
      </c>
      <c r="B30" s="5" t="s">
        <v>978</v>
      </c>
      <c r="C30" s="5" t="s">
        <v>978</v>
      </c>
      <c r="D30" s="5" t="s">
        <v>979</v>
      </c>
      <c r="E30" s="5" t="s">
        <v>980</v>
      </c>
      <c r="F30" s="5" t="s">
        <v>977</v>
      </c>
    </row>
    <row r="31" spans="1:6" ht="45" customHeight="1">
      <c r="A31" s="5">
        <v>3</v>
      </c>
      <c r="B31" s="5" t="s">
        <v>981</v>
      </c>
      <c r="C31" s="5" t="s">
        <v>981</v>
      </c>
      <c r="D31" s="5" t="s">
        <v>982</v>
      </c>
      <c r="E31" s="5" t="s">
        <v>983</v>
      </c>
      <c r="F31" s="5" t="s">
        <v>977</v>
      </c>
    </row>
    <row r="32" spans="1:6" ht="45" customHeight="1">
      <c r="A32" s="5">
        <v>4</v>
      </c>
      <c r="B32" s="5" t="s">
        <v>984</v>
      </c>
      <c r="C32" s="5" t="s">
        <v>984</v>
      </c>
      <c r="D32" s="5" t="s">
        <v>985</v>
      </c>
      <c r="E32" s="5" t="s">
        <v>986</v>
      </c>
      <c r="F32" s="5" t="s">
        <v>977</v>
      </c>
    </row>
    <row r="33" spans="1:6" ht="45" customHeight="1">
      <c r="A33" s="5">
        <v>5</v>
      </c>
      <c r="B33" s="5" t="s">
        <v>987</v>
      </c>
      <c r="C33" s="5" t="s">
        <v>987</v>
      </c>
      <c r="D33" s="5" t="s">
        <v>988</v>
      </c>
      <c r="E33" s="5" t="s">
        <v>989</v>
      </c>
      <c r="F33" s="5" t="s">
        <v>977</v>
      </c>
    </row>
    <row r="34" spans="1:6" ht="45" customHeight="1">
      <c r="A34" s="5">
        <v>6</v>
      </c>
      <c r="B34" s="5" t="s">
        <v>990</v>
      </c>
      <c r="C34" s="5" t="s">
        <v>990</v>
      </c>
      <c r="D34" s="5" t="s">
        <v>991</v>
      </c>
      <c r="E34" s="5" t="s">
        <v>992</v>
      </c>
      <c r="F34" s="5" t="s">
        <v>977</v>
      </c>
    </row>
    <row r="35" spans="1:6" ht="45" customHeight="1">
      <c r="A35" s="5">
        <v>7</v>
      </c>
      <c r="B35" s="5" t="s">
        <v>993</v>
      </c>
      <c r="C35" s="5" t="s">
        <v>994</v>
      </c>
      <c r="D35" s="5" t="s">
        <v>995</v>
      </c>
      <c r="E35" s="5" t="s">
        <v>996</v>
      </c>
      <c r="F35" s="5" t="s">
        <v>977</v>
      </c>
    </row>
    <row r="36" spans="1:6" ht="45" customHeight="1">
      <c r="A36" s="5">
        <v>8</v>
      </c>
      <c r="B36" s="5" t="s">
        <v>997</v>
      </c>
      <c r="C36" s="5" t="s">
        <v>997</v>
      </c>
      <c r="D36" s="5" t="s">
        <v>998</v>
      </c>
      <c r="E36" s="5" t="s">
        <v>999</v>
      </c>
      <c r="F36" s="5" t="s">
        <v>977</v>
      </c>
    </row>
    <row r="37" spans="1:6" ht="45" customHeight="1">
      <c r="A37" s="5">
        <v>9</v>
      </c>
      <c r="B37" s="5" t="s">
        <v>1000</v>
      </c>
      <c r="C37" s="5" t="s">
        <v>1000</v>
      </c>
      <c r="D37" s="5" t="s">
        <v>1001</v>
      </c>
      <c r="E37" s="5" t="s">
        <v>1002</v>
      </c>
      <c r="F37" s="5" t="s">
        <v>977</v>
      </c>
    </row>
    <row r="38" spans="1:6" ht="45" customHeight="1">
      <c r="A38" s="5">
        <v>10</v>
      </c>
      <c r="B38" s="5" t="s">
        <v>1003</v>
      </c>
      <c r="C38" s="5" t="s">
        <v>1003</v>
      </c>
      <c r="D38" s="5" t="s">
        <v>1004</v>
      </c>
      <c r="E38" s="5" t="s">
        <v>1005</v>
      </c>
      <c r="F38" s="5" t="s">
        <v>977</v>
      </c>
    </row>
    <row r="39" spans="1:6" ht="45" customHeight="1">
      <c r="A39" s="5">
        <v>11</v>
      </c>
      <c r="B39" s="5" t="s">
        <v>1006</v>
      </c>
      <c r="C39" s="5" t="s">
        <v>1007</v>
      </c>
      <c r="D39" s="5" t="s">
        <v>1008</v>
      </c>
      <c r="E39" s="5" t="s">
        <v>1009</v>
      </c>
      <c r="F39" s="5" t="s">
        <v>977</v>
      </c>
    </row>
    <row r="42" spans="1:6" ht="23" customHeight="1">
      <c r="A42" s="7" t="s">
        <v>1010</v>
      </c>
      <c r="B42" s="7"/>
      <c r="C42" s="7"/>
      <c r="D42" s="7"/>
      <c r="E42" s="7"/>
      <c r="F42" s="7"/>
    </row>
    <row r="43" spans="1:6" ht="23" customHeight="1">
      <c r="A43" s="7"/>
      <c r="B43" s="7"/>
      <c r="C43" s="7"/>
      <c r="D43" s="7"/>
      <c r="E43" s="7"/>
      <c r="F43" s="7"/>
    </row>
    <row r="44" spans="1:6" ht="23" customHeight="1">
      <c r="A44" s="7"/>
      <c r="B44" s="7"/>
      <c r="C44" s="7"/>
      <c r="D44" s="7"/>
      <c r="E44" s="7"/>
      <c r="F44" s="7"/>
    </row>
    <row r="45" spans="1:6" ht="23" customHeight="1">
      <c r="A45" s="7" t="s">
        <v>1011</v>
      </c>
      <c r="B45" s="7"/>
      <c r="C45" s="7"/>
      <c r="D45" s="7"/>
      <c r="E45" s="7"/>
      <c r="F45" s="7"/>
    </row>
    <row r="46" spans="1:6" ht="23" customHeight="1">
      <c r="A46" s="7"/>
      <c r="B46" s="7"/>
      <c r="C46" s="7"/>
      <c r="D46" s="7"/>
      <c r="E46" s="7"/>
      <c r="F46" s="7"/>
    </row>
    <row r="47" spans="1:6" ht="23" customHeight="1">
      <c r="A47" s="7"/>
      <c r="B47" s="7"/>
      <c r="C47" s="7"/>
      <c r="D47" s="7"/>
      <c r="E47" s="7"/>
      <c r="F47" s="7"/>
    </row>
    <row r="48" spans="1:6" ht="23" customHeight="1">
      <c r="A48" s="7" t="s">
        <v>1012</v>
      </c>
      <c r="B48" s="7"/>
      <c r="C48" s="7"/>
      <c r="D48" s="7"/>
      <c r="E48" s="7"/>
      <c r="F48" s="7"/>
    </row>
    <row r="49" spans="1:6" ht="23" customHeight="1">
      <c r="A49" s="7"/>
      <c r="B49" s="7"/>
      <c r="C49" s="7"/>
      <c r="D49" s="7"/>
      <c r="E49" s="7"/>
      <c r="F49" s="7"/>
    </row>
    <row r="50" spans="1:6" ht="23" customHeight="1">
      <c r="A50" s="7"/>
      <c r="B50" s="7"/>
      <c r="C50" s="7"/>
      <c r="D50" s="7"/>
      <c r="E50" s="7"/>
      <c r="F50" s="7"/>
    </row>
    <row r="51" spans="1:6" ht="23" customHeight="1">
      <c r="A51" s="7" t="s">
        <v>1013</v>
      </c>
      <c r="B51" s="7"/>
      <c r="C51" s="7"/>
      <c r="D51" s="7"/>
      <c r="E51" s="7"/>
      <c r="F51" s="7"/>
    </row>
    <row r="52" spans="1:6" ht="23" customHeight="1">
      <c r="A52" s="7"/>
      <c r="B52" s="7"/>
      <c r="C52" s="7"/>
      <c r="D52" s="7"/>
      <c r="E52" s="7"/>
      <c r="F52" s="7"/>
    </row>
    <row r="53" spans="1:6" ht="23" customHeight="1">
      <c r="A53" s="7"/>
      <c r="B53" s="7"/>
      <c r="C53" s="7"/>
      <c r="D53" s="7"/>
      <c r="E53" s="7"/>
      <c r="F53" s="7"/>
    </row>
    <row r="54" spans="1:6" ht="23" customHeight="1">
      <c r="A54" s="7" t="s">
        <v>1014</v>
      </c>
      <c r="B54" s="7"/>
      <c r="C54" s="7"/>
      <c r="D54" s="7"/>
      <c r="E54" s="7"/>
      <c r="F54" s="7"/>
    </row>
    <row r="55" spans="1:6" ht="23" customHeight="1">
      <c r="A55" s="7"/>
      <c r="B55" s="7"/>
      <c r="C55" s="7"/>
      <c r="D55" s="7"/>
      <c r="E55" s="7"/>
      <c r="F55" s="7"/>
    </row>
    <row r="56" spans="1:6" ht="23" customHeight="1">
      <c r="A56" s="7"/>
      <c r="B56" s="7"/>
      <c r="C56" s="7"/>
      <c r="D56" s="7"/>
      <c r="E56" s="7"/>
      <c r="F56" s="7"/>
    </row>
    <row r="57" spans="1:6" ht="23" customHeight="1">
      <c r="A57" s="7" t="s">
        <v>1015</v>
      </c>
      <c r="B57" s="7"/>
      <c r="C57" s="7"/>
      <c r="D57" s="7"/>
      <c r="E57" s="7"/>
      <c r="F57" s="7"/>
    </row>
    <row r="58" spans="1:6" ht="23" customHeight="1">
      <c r="A58" s="7"/>
      <c r="B58" s="7"/>
      <c r="C58" s="7"/>
      <c r="D58" s="7"/>
      <c r="E58" s="7"/>
      <c r="F58" s="7"/>
    </row>
    <row r="59" spans="1:6" ht="23" customHeight="1">
      <c r="A59" s="7"/>
      <c r="B59" s="7"/>
      <c r="C59" s="7"/>
      <c r="D59" s="7"/>
      <c r="E59" s="7"/>
      <c r="F59" s="7"/>
    </row>
    <row r="60" spans="1:6" ht="23" customHeight="1">
      <c r="A60" s="7" t="s">
        <v>1016</v>
      </c>
      <c r="B60" s="7"/>
      <c r="C60" s="7"/>
      <c r="D60" s="7"/>
      <c r="E60" s="7"/>
      <c r="F60" s="7"/>
    </row>
    <row r="61" spans="1:6" ht="23" customHeight="1">
      <c r="A61" s="7"/>
      <c r="B61" s="7"/>
      <c r="C61" s="7"/>
      <c r="D61" s="7"/>
      <c r="E61" s="7"/>
      <c r="F61" s="7"/>
    </row>
    <row r="62" spans="1:6" ht="23" customHeight="1">
      <c r="A62" s="7"/>
      <c r="B62" s="7"/>
      <c r="C62" s="7"/>
      <c r="D62" s="7"/>
      <c r="E62" s="7"/>
      <c r="F62" s="7"/>
    </row>
  </sheetData>
  <sheetProtection sheet="1" objects="1" scenarios="1" sort="0" autoFilter="0"/>
  <mergeCells count="10">
    <mergeCell ref="A1:F1"/>
    <mergeCell ref="A2:F2"/>
    <mergeCell ref="B3:F3"/>
    <mergeCell ref="A42:F44"/>
    <mergeCell ref="A45:F47"/>
    <mergeCell ref="A48:F50"/>
    <mergeCell ref="A51:F53"/>
    <mergeCell ref="A54:F56"/>
    <mergeCell ref="A57:F59"/>
    <mergeCell ref="A60:F62"/>
  </mergeCells>
  <hyperlinks>
    <hyperlink ref="A3" location="'Начало'!A1" display="← Начало"/>
  </hyperlinks>
  <pageMargins left="0.25" right="0.25" top="0.4" bottom="0.4" header="0.15" footer="0.15"/>
  <pageSetup paperSize="8" fitToHeight="0" orientation="landscape"/>
  <headerFooter>
    <oddHeader>&amp;LИ-ГЦ-02 · расчётная версия бланков МУ-41-2024&amp;RДЕМО / НЕ УТВЕРЖДЕНО</oddHeader>
    <oddFooter>&amp;LДопущения и источники&amp;RСтр. &amp;P / &amp;N</oddFooter>
  </headerFooter>
  <rowBreaks count="2" manualBreakCount="2">
    <brk id="27" max="16383" man="1"/>
    <brk id="41" max="16383" man="1"/>
  </rowBreaks>
</worksheet>
</file>

<file path=xl/worksheets/sheet28.xml><?xml version="1.0" encoding="utf-8"?>
<worksheet xmlns="http://schemas.openxmlformats.org/spreadsheetml/2006/main" xmlns:r="http://schemas.openxmlformats.org/officeDocument/2006/relationships">
  <sheetPr>
    <tabColor rgb="FF147D92"/>
    <pageSetUpPr fitToPage="1"/>
  </sheetPr>
  <dimension ref="A1:G22"/>
  <sheetViews>
    <sheetView showGridLines="0" zoomScale="85" zoomScaleNormal="85" workbookViewId="0">
      <pane xSplit="2" ySplit="6" topLeftCell="C7" activePane="bottomRight" state="frozen"/>
      <selection pane="topRight" activeCell="C1" sqref="C1"/>
      <selection pane="bottomLeft" activeCell="A7" sqref="A7"/>
      <selection pane="bottomRight"/>
    </sheetView>
  </sheetViews>
  <sheetFormatPr defaultRowHeight="23" customHeight="1"/>
  <cols>
    <col min="1" max="1" width="7.7109375" customWidth="1"/>
    <col min="2" max="3" width="37.7109375" customWidth="1"/>
    <col min="4" max="4" width="20.7109375" customWidth="1"/>
    <col min="5" max="5" width="45.7109375" customWidth="1"/>
    <col min="6" max="7" width="36.7109375" customWidth="1"/>
    <col min="8" max="8" width="17.7109375" customWidth="1"/>
  </cols>
  <sheetData>
    <row r="1" spans="1:7" ht="35" customHeight="1">
      <c r="A1" s="1" t="s">
        <v>1017</v>
      </c>
      <c r="B1" s="1"/>
      <c r="C1" s="1"/>
      <c r="D1" s="1"/>
      <c r="E1" s="1"/>
      <c r="F1" s="1"/>
      <c r="G1" s="1"/>
    </row>
    <row r="2" spans="1:7" ht="31" customHeight="1">
      <c r="A2" s="2" t="s">
        <v>1</v>
      </c>
      <c r="B2" s="2"/>
      <c r="C2" s="2"/>
      <c r="D2" s="2"/>
      <c r="E2" s="2"/>
      <c r="F2" s="2"/>
      <c r="G2" s="2"/>
    </row>
    <row r="3" spans="1:7" ht="23" customHeight="1">
      <c r="A3" s="3" t="s">
        <v>2</v>
      </c>
      <c r="B3" s="7" t="s">
        <v>3</v>
      </c>
      <c r="C3" s="7"/>
      <c r="D3" s="7"/>
      <c r="E3" s="7"/>
      <c r="F3" s="7"/>
      <c r="G3" s="7"/>
    </row>
    <row r="7" spans="1:7" ht="44" customHeight="1">
      <c r="A7" s="8" t="s">
        <v>113</v>
      </c>
      <c r="B7" s="8" t="s">
        <v>1018</v>
      </c>
      <c r="C7" s="8" t="s">
        <v>1019</v>
      </c>
      <c r="D7" s="8" t="s">
        <v>1020</v>
      </c>
      <c r="E7" s="8" t="s">
        <v>1021</v>
      </c>
      <c r="F7" s="8" t="s">
        <v>1022</v>
      </c>
      <c r="G7" s="8" t="s">
        <v>1023</v>
      </c>
    </row>
    <row r="8" spans="1:7" ht="62" customHeight="1">
      <c r="A8" s="5">
        <v>1</v>
      </c>
      <c r="B8" s="9" t="s">
        <v>1024</v>
      </c>
      <c r="C8" s="9" t="s">
        <v>1025</v>
      </c>
      <c r="D8" s="9" t="s">
        <v>1026</v>
      </c>
      <c r="E8" s="9" t="s">
        <v>1027</v>
      </c>
      <c r="F8" s="9" t="s">
        <v>674</v>
      </c>
      <c r="G8" s="9" t="s">
        <v>1028</v>
      </c>
    </row>
    <row r="9" spans="1:7" ht="62" customHeight="1">
      <c r="A9" s="5">
        <v>2</v>
      </c>
      <c r="B9" s="9" t="s">
        <v>1024</v>
      </c>
      <c r="C9" s="9" t="s">
        <v>1025</v>
      </c>
      <c r="D9" s="9" t="s">
        <v>1026</v>
      </c>
      <c r="E9" s="9" t="s">
        <v>1027</v>
      </c>
      <c r="F9" s="9" t="s">
        <v>674</v>
      </c>
      <c r="G9" s="9" t="s">
        <v>1028</v>
      </c>
    </row>
    <row r="10" spans="1:7" ht="62" customHeight="1">
      <c r="A10" s="5">
        <v>3</v>
      </c>
      <c r="B10" s="9" t="s">
        <v>1024</v>
      </c>
      <c r="C10" s="9" t="s">
        <v>1025</v>
      </c>
      <c r="D10" s="9" t="s">
        <v>1026</v>
      </c>
      <c r="E10" s="9" t="s">
        <v>1027</v>
      </c>
      <c r="F10" s="9" t="s">
        <v>674</v>
      </c>
      <c r="G10" s="9" t="s">
        <v>1028</v>
      </c>
    </row>
    <row r="11" spans="1:7" ht="62" customHeight="1">
      <c r="A11" s="5">
        <v>4</v>
      </c>
      <c r="B11" s="9" t="s">
        <v>1024</v>
      </c>
      <c r="C11" s="9" t="s">
        <v>1025</v>
      </c>
      <c r="D11" s="9" t="s">
        <v>1026</v>
      </c>
      <c r="E11" s="9" t="s">
        <v>1027</v>
      </c>
      <c r="F11" s="9" t="s">
        <v>674</v>
      </c>
      <c r="G11" s="9" t="s">
        <v>1028</v>
      </c>
    </row>
    <row r="12" spans="1:7" ht="62" customHeight="1">
      <c r="A12" s="5">
        <v>5</v>
      </c>
      <c r="B12" s="9" t="s">
        <v>1029</v>
      </c>
      <c r="C12" s="9" t="s">
        <v>1025</v>
      </c>
      <c r="D12" s="9" t="s">
        <v>1026</v>
      </c>
      <c r="E12" s="9" t="s">
        <v>1027</v>
      </c>
      <c r="F12" s="9" t="s">
        <v>674</v>
      </c>
      <c r="G12" s="9" t="s">
        <v>1028</v>
      </c>
    </row>
    <row r="13" spans="1:7" ht="62" customHeight="1">
      <c r="A13" s="5">
        <v>6</v>
      </c>
      <c r="B13" s="9" t="s">
        <v>1029</v>
      </c>
      <c r="C13" s="9" t="s">
        <v>1025</v>
      </c>
      <c r="D13" s="9" t="s">
        <v>1026</v>
      </c>
      <c r="E13" s="9" t="s">
        <v>1027</v>
      </c>
      <c r="F13" s="9" t="s">
        <v>674</v>
      </c>
      <c r="G13" s="9" t="s">
        <v>1028</v>
      </c>
    </row>
    <row r="14" spans="1:7" ht="62" customHeight="1">
      <c r="A14" s="5">
        <v>7</v>
      </c>
      <c r="B14" s="9" t="s">
        <v>1029</v>
      </c>
      <c r="C14" s="9" t="s">
        <v>1025</v>
      </c>
      <c r="D14" s="9" t="s">
        <v>1026</v>
      </c>
      <c r="E14" s="9" t="s">
        <v>1027</v>
      </c>
      <c r="F14" s="9" t="s">
        <v>674</v>
      </c>
      <c r="G14" s="9" t="s">
        <v>1028</v>
      </c>
    </row>
    <row r="15" spans="1:7" ht="62" customHeight="1">
      <c r="A15" s="5">
        <v>8</v>
      </c>
      <c r="B15" s="9" t="s">
        <v>1029</v>
      </c>
      <c r="C15" s="9" t="s">
        <v>1025</v>
      </c>
      <c r="D15" s="9" t="s">
        <v>1026</v>
      </c>
      <c r="E15" s="9" t="s">
        <v>1027</v>
      </c>
      <c r="F15" s="9" t="s">
        <v>674</v>
      </c>
      <c r="G15" s="9" t="s">
        <v>1028</v>
      </c>
    </row>
    <row r="16" spans="1:7" ht="62" customHeight="1">
      <c r="A16" s="5">
        <v>9</v>
      </c>
      <c r="B16" s="9" t="s">
        <v>1029</v>
      </c>
      <c r="C16" s="9" t="s">
        <v>1025</v>
      </c>
      <c r="D16" s="9" t="s">
        <v>1026</v>
      </c>
      <c r="E16" s="9" t="s">
        <v>1027</v>
      </c>
      <c r="F16" s="9" t="s">
        <v>674</v>
      </c>
      <c r="G16" s="9" t="s">
        <v>1028</v>
      </c>
    </row>
    <row r="17" spans="1:7" ht="62" customHeight="1">
      <c r="A17" s="5">
        <v>10</v>
      </c>
      <c r="B17" s="9" t="s">
        <v>1029</v>
      </c>
      <c r="C17" s="9" t="s">
        <v>1025</v>
      </c>
      <c r="D17" s="9" t="s">
        <v>1026</v>
      </c>
      <c r="E17" s="9" t="s">
        <v>1027</v>
      </c>
      <c r="F17" s="9" t="s">
        <v>674</v>
      </c>
      <c r="G17" s="9" t="s">
        <v>1028</v>
      </c>
    </row>
    <row r="20" spans="1:7" ht="23" customHeight="1">
      <c r="A20" s="2" t="s">
        <v>1030</v>
      </c>
      <c r="B20" s="2"/>
      <c r="C20" s="2"/>
      <c r="D20" s="2"/>
      <c r="E20" s="2"/>
      <c r="F20" s="2"/>
      <c r="G20" s="2"/>
    </row>
    <row r="21" spans="1:7" ht="23" customHeight="1">
      <c r="A21" s="2"/>
      <c r="B21" s="2"/>
      <c r="C21" s="2"/>
      <c r="D21" s="2"/>
      <c r="E21" s="2"/>
      <c r="F21" s="2"/>
      <c r="G21" s="2"/>
    </row>
    <row r="22" spans="1:7" ht="23" customHeight="1">
      <c r="A22" s="2"/>
      <c r="B22" s="2"/>
      <c r="C22" s="2"/>
      <c r="D22" s="2"/>
      <c r="E22" s="2"/>
      <c r="F22" s="2"/>
      <c r="G22" s="2"/>
    </row>
  </sheetData>
  <sheetProtection sheet="1" objects="1" scenarios="1" sort="0" autoFilter="0"/>
  <mergeCells count="4">
    <mergeCell ref="A1:G1"/>
    <mergeCell ref="A2:G2"/>
    <mergeCell ref="B3:G3"/>
    <mergeCell ref="A20:G22"/>
  </mergeCells>
  <hyperlinks>
    <hyperlink ref="A3" location="'Начало'!A1" display="← Начало"/>
  </hyperlinks>
  <pageMargins left="0.25" right="0.25" top="0.4" bottom="0.4" header="0.15" footer="0.15"/>
  <pageSetup paperSize="9" fitToHeight="0" orientation="landscape"/>
  <headerFooter>
    <oddHeader>&amp;LИ-ГЦ-02 · расчётная версия бланков МУ-41-2024&amp;RДЕМО / НЕ УТВЕРЖДЕНО</oddHeader>
    <oddFooter>&amp;LЛист ознакомления&amp;RСтр. &amp;P / &amp;N</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56</vt:i4>
      </vt:variant>
    </vt:vector>
  </HeadingPairs>
  <TitlesOfParts>
    <vt:vector size="84" baseType="lpstr">
      <vt:lpstr>Начало</vt:lpstr>
      <vt:lpstr>Ввод</vt:lpstr>
      <vt:lpstr>Режимы И-ГЦ-02</vt:lpstr>
      <vt:lpstr>Ассортимент</vt:lpstr>
      <vt:lpstr>Замеры ДО</vt:lpstr>
      <vt:lpstr>Замеры ЦЕЛЬ</vt:lpstr>
      <vt:lpstr>Периодическая работа</vt:lpstr>
      <vt:lpstr>Расчет ДО</vt:lpstr>
      <vt:lpstr>Расчет ЦЕЛЬ</vt:lpstr>
      <vt:lpstr>Время такта</vt:lpstr>
      <vt:lpstr>Лист наблюдений</vt:lpstr>
      <vt:lpstr>Ручная работа</vt:lpstr>
      <vt:lpstr>Карта СР</vt:lpstr>
      <vt:lpstr>Производственная способность</vt:lpstr>
      <vt:lpstr>ОТ ДО</vt:lpstr>
      <vt:lpstr>ОТ ЦЕЛЬ</vt:lpstr>
      <vt:lpstr>Диаграмма</vt:lpstr>
      <vt:lpstr>Общий список улучшений</vt:lpstr>
      <vt:lpstr>Отчет об улучшении</vt:lpstr>
      <vt:lpstr>СОП</vt:lpstr>
      <vt:lpstr>СОП санобработка</vt:lpstr>
      <vt:lpstr>План внедрения</vt:lpstr>
      <vt:lpstr>Критерии качества СР</vt:lpstr>
      <vt:lpstr>Чек-лист СОП</vt:lpstr>
      <vt:lpstr>Показатели</vt:lpstr>
      <vt:lpstr>Контроль</vt:lpstr>
      <vt:lpstr>Допущения и источники</vt:lpstr>
      <vt:lpstr>Лист ознакомления</vt:lpstr>
      <vt:lpstr>Ассортимент!Print_Area</vt:lpstr>
      <vt:lpstr>Ввод!Print_Area</vt:lpstr>
      <vt:lpstr>'Время такта'!Print_Area</vt:lpstr>
      <vt:lpstr>Диаграмма!Print_Area</vt:lpstr>
      <vt:lpstr>'Допущения и источники'!Print_Area</vt:lpstr>
      <vt:lpstr>'Замеры ДО'!Print_Area</vt:lpstr>
      <vt:lpstr>'Замеры ЦЕЛЬ'!Print_Area</vt:lpstr>
      <vt:lpstr>'Карта СР'!Print_Area</vt:lpstr>
      <vt:lpstr>Контроль!Print_Area</vt:lpstr>
      <vt:lpstr>'Критерии качества СР'!Print_Area</vt:lpstr>
      <vt:lpstr>'Лист наблюдений'!Print_Area</vt:lpstr>
      <vt:lpstr>'Лист ознакомления'!Print_Area</vt:lpstr>
      <vt:lpstr>Начало!Print_Area</vt:lpstr>
      <vt:lpstr>'Общий список улучшений'!Print_Area</vt:lpstr>
      <vt:lpstr>'ОТ ДО'!Print_Area</vt:lpstr>
      <vt:lpstr>'ОТ ЦЕЛЬ'!Print_Area</vt:lpstr>
      <vt:lpstr>'Отчет об улучшении'!Print_Area</vt:lpstr>
      <vt:lpstr>'Периодическая работа'!Print_Area</vt:lpstr>
      <vt:lpstr>'План внедрения'!Print_Area</vt:lpstr>
      <vt:lpstr>Показатели!Print_Area</vt:lpstr>
      <vt:lpstr>'Производственная способность'!Print_Area</vt:lpstr>
      <vt:lpstr>'Расчет ДО'!Print_Area</vt:lpstr>
      <vt:lpstr>'Расчет ЦЕЛЬ'!Print_Area</vt:lpstr>
      <vt:lpstr>'Режимы И-ГЦ-02'!Print_Area</vt:lpstr>
      <vt:lpstr>'Ручная работа'!Print_Area</vt:lpstr>
      <vt:lpstr>'СОП санобработка'!Print_Area</vt:lpstr>
      <vt:lpstr>СОП!Print_Area</vt:lpstr>
      <vt:lpstr>'Чек-лист СОП'!Print_Area</vt:lpstr>
      <vt:lpstr>Ассортимент!Print_Titles</vt:lpstr>
      <vt:lpstr>Ввод!Print_Titles</vt:lpstr>
      <vt:lpstr>'Время такта'!Print_Titles</vt:lpstr>
      <vt:lpstr>Диаграмма!Print_Titles</vt:lpstr>
      <vt:lpstr>'Допущения и источники'!Print_Titles</vt:lpstr>
      <vt:lpstr>'Замеры ДО'!Print_Titles</vt:lpstr>
      <vt:lpstr>'Замеры ЦЕЛЬ'!Print_Titles</vt:lpstr>
      <vt:lpstr>'Карта СР'!Print_Titles</vt:lpstr>
      <vt:lpstr>Контроль!Print_Titles</vt:lpstr>
      <vt:lpstr>'Критерии качества СР'!Print_Titles</vt:lpstr>
      <vt:lpstr>'Лист наблюдений'!Print_Titles</vt:lpstr>
      <vt:lpstr>'Лист ознакомления'!Print_Titles</vt:lpstr>
      <vt:lpstr>Начало!Print_Titles</vt:lpstr>
      <vt:lpstr>'Общий список улучшений'!Print_Titles</vt:lpstr>
      <vt:lpstr>'ОТ ДО'!Print_Titles</vt:lpstr>
      <vt:lpstr>'ОТ ЦЕЛЬ'!Print_Titles</vt:lpstr>
      <vt:lpstr>'Отчет об улучшении'!Print_Titles</vt:lpstr>
      <vt:lpstr>'Периодическая работа'!Print_Titles</vt:lpstr>
      <vt:lpstr>'План внедрения'!Print_Titles</vt:lpstr>
      <vt:lpstr>Показатели!Print_Titles</vt:lpstr>
      <vt:lpstr>'Производственная способность'!Print_Titles</vt:lpstr>
      <vt:lpstr>'Расчет ДО'!Print_Titles</vt:lpstr>
      <vt:lpstr>'Расчет ЦЕЛЬ'!Print_Titles</vt:lpstr>
      <vt:lpstr>'Режимы И-ГЦ-02'!Print_Titles</vt:lpstr>
      <vt:lpstr>'Ручная работа'!Print_Titles</vt:lpstr>
      <vt:lpstr>'СОП санобработка'!Print_Titles</vt:lpstr>
      <vt:lpstr>СОП!Print_Titles</vt:lpstr>
      <vt:lpstr>'Чек-лист СОП'!Print_Titles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Стандартизированная работа: И-ГЦ-02</dc:title>
  <dc:subject>Расчётная версия бланков МУ-41-2024; демонстрационные данные</dc:subject>
  <dc:creator>Проектный расчёт — не утверждено</dc:creator>
  <dc:description>Исходные требования И-ГЦ-02 сохранены. Без макросов и внешних формульных связей.</dc:description>
  <cp:lastModifiedBy>Проектный расчёт — не утверждено</cp:lastModifiedBy>
  <dcterms:created xsi:type="dcterms:W3CDTF">2026-09-05T09:33:42Z</dcterms:created>
  <dcterms:modified xsi:type="dcterms:W3CDTF">2026-09-05T09:33:42Z</dcterms:modified>
</cp:coreProperties>
</file>