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fckpptrf.sharepoint.com/sites/msteams_12c45d/Shared Documents/Диагностики/4. Системные проблемы/"/>
    </mc:Choice>
  </mc:AlternateContent>
  <xr:revisionPtr revIDLastSave="38" documentId="8_{E70DE526-0654-4A81-A4A8-D256377CE18E}" xr6:coauthVersionLast="46" xr6:coauthVersionMax="46" xr10:uidLastSave="{DC794A1F-08F8-4A1F-93F9-83EFBB55347B}"/>
  <bookViews>
    <workbookView xWindow="-120" yWindow="-120" windowWidth="29040" windowHeight="15840" tabRatio="823" xr2:uid="{00000000-000D-0000-FFFF-FFFF00000000}"/>
  </bookViews>
  <sheets>
    <sheet name="Критерии качества СР" sheetId="4" r:id="rId1"/>
    <sheet name="Бланк6" sheetId="32" state="hidden" r:id="rId2"/>
    <sheet name="Чек6" sheetId="33" state="hidden" r:id="rId3"/>
    <sheet name="Бланк7" sheetId="34" state="hidden" r:id="rId4"/>
    <sheet name="Чек7" sheetId="35" state="hidden" r:id="rId5"/>
    <sheet name="Инф РМР" sheetId="3" state="hidden" r:id="rId6"/>
  </sheets>
  <definedNames>
    <definedName name="ДаНет">'Инф РМР'!$G$2:$G$4</definedName>
    <definedName name="ДаНетБезФЦК">'Инф РМР'!$G$2:$G$4</definedName>
    <definedName name="ДаНетНет">'Инф РМР'!$G$6:$G$8</definedName>
    <definedName name="ДаНетНетРисков">'Инф РМР'!$G$12:$G$14</definedName>
    <definedName name="ЕстьНет">'Инф РМР'!$G$2:$G$3</definedName>
    <definedName name="_xlnm.Print_Area" localSheetId="1">Бланк6!$A$2:$H$36</definedName>
    <definedName name="_xlnm.Print_Area" localSheetId="3">Бланк7!$A$2:$H$36</definedName>
    <definedName name="_xlnm.Print_Area" localSheetId="0">'Критерии качества СР'!$A$1:$H$9</definedName>
    <definedName name="_xlnm.Print_Area" localSheetId="2">Чек6!$A$1:$H$132</definedName>
    <definedName name="_xlnm.Print_Area" localSheetId="4">Чек7!$A$1:$H$132</definedName>
    <definedName name="РМР">'Инф РМР'!$C$2:$C$7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2" i="32" l="1"/>
  <c r="F32" i="34"/>
  <c r="C7" i="34"/>
  <c r="C7" i="32"/>
  <c r="F128" i="35" l="1"/>
  <c r="F124" i="35"/>
  <c r="F121" i="35"/>
  <c r="H120" i="35" s="1"/>
  <c r="F119" i="35"/>
  <c r="F116" i="35"/>
  <c r="F113" i="35"/>
  <c r="H112" i="35" s="1"/>
  <c r="F108" i="35"/>
  <c r="F104" i="35"/>
  <c r="F100" i="35"/>
  <c r="H99" i="35" s="1"/>
  <c r="F98" i="35"/>
  <c r="F95" i="35"/>
  <c r="F91" i="35"/>
  <c r="H90" i="35" s="1"/>
  <c r="F89" i="35"/>
  <c r="F86" i="35"/>
  <c r="F83" i="35"/>
  <c r="H82" i="35" s="1"/>
  <c r="F80" i="35"/>
  <c r="F78" i="35"/>
  <c r="F76" i="35"/>
  <c r="H75" i="35" s="1"/>
  <c r="F74" i="35"/>
  <c r="F71" i="35"/>
  <c r="F68" i="35"/>
  <c r="H67" i="35" s="1"/>
  <c r="F65" i="35"/>
  <c r="F62" i="35"/>
  <c r="F59" i="35"/>
  <c r="H58" i="35" s="1"/>
  <c r="F56" i="35"/>
  <c r="F52" i="35"/>
  <c r="F49" i="35"/>
  <c r="H48" i="35" s="1"/>
  <c r="F45" i="35"/>
  <c r="F42" i="35"/>
  <c r="F39" i="35"/>
  <c r="H38" i="35" s="1"/>
  <c r="F36" i="35"/>
  <c r="F33" i="35"/>
  <c r="F30" i="35"/>
  <c r="H29" i="35" s="1"/>
  <c r="F28" i="35"/>
  <c r="F25" i="35"/>
  <c r="F22" i="35"/>
  <c r="H21" i="35" s="1"/>
  <c r="F19" i="35"/>
  <c r="F15" i="35"/>
  <c r="F13" i="35"/>
  <c r="H12" i="35" s="1"/>
  <c r="F10" i="35"/>
  <c r="F7" i="35"/>
  <c r="F4" i="35"/>
  <c r="H3" i="35" s="1"/>
  <c r="D21" i="34"/>
  <c r="H30" i="34"/>
  <c r="H29" i="34"/>
  <c r="H28" i="34"/>
  <c r="H27" i="34"/>
  <c r="H26" i="34"/>
  <c r="H25" i="34"/>
  <c r="H23" i="34"/>
  <c r="H21" i="34"/>
  <c r="H20" i="34"/>
  <c r="H19" i="34"/>
  <c r="H17" i="34"/>
  <c r="C10" i="34"/>
  <c r="F128" i="33"/>
  <c r="F124" i="33"/>
  <c r="F121" i="33"/>
  <c r="H120" i="33" s="1"/>
  <c r="F119" i="33"/>
  <c r="F116" i="33"/>
  <c r="F113" i="33"/>
  <c r="H112" i="33"/>
  <c r="F108" i="33"/>
  <c r="F104" i="33"/>
  <c r="F100" i="33"/>
  <c r="H99" i="33" s="1"/>
  <c r="F98" i="33"/>
  <c r="F95" i="33"/>
  <c r="F91" i="33"/>
  <c r="H90" i="33"/>
  <c r="F89" i="33"/>
  <c r="F86" i="33"/>
  <c r="F83" i="33"/>
  <c r="H82" i="33" s="1"/>
  <c r="F80" i="33"/>
  <c r="F78" i="33"/>
  <c r="F76" i="33"/>
  <c r="H75" i="33"/>
  <c r="F74" i="33"/>
  <c r="F71" i="33"/>
  <c r="F68" i="33"/>
  <c r="H67" i="33" s="1"/>
  <c r="F65" i="33"/>
  <c r="F62" i="33"/>
  <c r="F59" i="33"/>
  <c r="H58" i="33" s="1"/>
  <c r="F56" i="33"/>
  <c r="F52" i="33"/>
  <c r="F49" i="33"/>
  <c r="H48" i="33" s="1"/>
  <c r="F45" i="33"/>
  <c r="F42" i="33"/>
  <c r="F39" i="33"/>
  <c r="H38" i="33" s="1"/>
  <c r="F36" i="33"/>
  <c r="F33" i="33"/>
  <c r="F30" i="33"/>
  <c r="H29" i="33" s="1"/>
  <c r="F28" i="33"/>
  <c r="F25" i="33"/>
  <c r="F22" i="33"/>
  <c r="H21" i="33" s="1"/>
  <c r="F19" i="33"/>
  <c r="F15" i="33"/>
  <c r="F13" i="33"/>
  <c r="H12" i="33" s="1"/>
  <c r="F10" i="33"/>
  <c r="F7" i="33"/>
  <c r="F4" i="33"/>
  <c r="H3" i="33" s="1"/>
  <c r="H32" i="32"/>
  <c r="H30" i="32"/>
  <c r="H29" i="32"/>
  <c r="H28" i="32"/>
  <c r="H27" i="32"/>
  <c r="H26" i="32"/>
  <c r="H25" i="32"/>
  <c r="H23" i="32"/>
  <c r="H21" i="32"/>
  <c r="D21" i="32"/>
  <c r="H20" i="32"/>
  <c r="H19" i="32"/>
  <c r="H17" i="32"/>
  <c r="C10" i="32"/>
  <c r="C9" i="34" l="1"/>
  <c r="C9" i="32"/>
  <c r="H18" i="32"/>
  <c r="H18" i="34"/>
  <c r="H131" i="35"/>
  <c r="H32" i="34"/>
  <c r="H131" i="33"/>
  <c r="H33" i="32" l="1"/>
  <c r="H33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Филипишин Анатолий Павлович</author>
  </authors>
  <commentList>
    <comment ref="H17" authorId="0" shapeId="0" xr:uid="{1FC7806A-63BA-4307-9474-513D94F7DB26}">
      <text>
        <r>
          <rPr>
            <sz val="12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19" authorId="0" shapeId="0" xr:uid="{99390D0F-55B8-4F52-A455-2619F538C37A}">
      <text>
        <r>
          <rPr>
            <sz val="12"/>
            <color indexed="81"/>
            <rFont val="Tahoma"/>
            <family val="2"/>
            <charset val="204"/>
          </rPr>
          <t>Если проект 3 мес. и нет соответствия и нет рисков, ставите "НЕТ" окраска будет белая.
Если проект от 3 до 6 мес. нет соответствия и есть риск cтавите  "НетРиск" окраска ячейки  станет красной.
При отметке "ДА" ячейка станет зеленой при любом сроке проекта</t>
        </r>
      </text>
    </comment>
    <comment ref="H20" authorId="0" shapeId="0" xr:uid="{2CBA3FF2-E8B4-4433-A066-708C6036976B}">
      <text>
        <r>
          <rPr>
            <sz val="12"/>
            <color indexed="81"/>
            <rFont val="Tahoma"/>
            <family val="2"/>
            <charset val="204"/>
          </rPr>
          <t>Если проект 3 мес. и нет соответствия и нет рисков, ставите "НЕТ" окраска будет белая.
Если проект от 3 до 6 мес. нет соответствия и есть риск cтавите  "НетРиск" окраска ячейки  станет красной.
При отметке "ДА" ячейка станет зеленой при любом сроке проекта</t>
        </r>
      </text>
    </comment>
    <comment ref="H21" authorId="0" shapeId="0" xr:uid="{532082DF-B232-4C92-BF24-F33615081C88}">
      <text>
        <r>
          <rPr>
            <sz val="12"/>
            <color indexed="81"/>
            <rFont val="Tahoma"/>
            <family val="2"/>
            <charset val="204"/>
          </rPr>
          <t>Если проект 3 мес. и нет соответствия, меньше 21 балла, ставите "НЕТ" окраска будет белая.
Если по чек-листу меньше 21 балла и проект от3 до 6 мес. и есть риск недостижения, cтавите  "НетРиск" окраска ячейки  станет красной.
При отметке "ДА" ячейка станет зеленой при любом сроке проекта</t>
        </r>
      </text>
    </comment>
    <comment ref="H23" authorId="0" shapeId="0" xr:uid="{4F056CD8-0C43-4607-B502-5537C3C4B7D1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5" authorId="0" shapeId="0" xr:uid="{F8D579B4-CEE9-421A-ABD3-A10807EB3116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6" authorId="0" shapeId="0" xr:uid="{97F55805-12A1-46ED-9607-0B474EE713DF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7" authorId="0" shapeId="0" xr:uid="{C9DF62C0-5C5A-43DC-BB13-B1304160A583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8" authorId="0" shapeId="0" xr:uid="{7CD893B3-DA9A-4BD4-821A-27AB46F440B5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9" authorId="0" shapeId="0" xr:uid="{5094BAD4-025D-4D39-9993-483B7A519400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30" authorId="0" shapeId="0" xr:uid="{AC779A84-A591-46DE-81D5-B4C6674A4370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32" authorId="0" shapeId="0" xr:uid="{D14496BF-6D12-4917-9602-C2D3B566ABAF}">
      <text>
        <r>
          <rPr>
            <sz val="12"/>
            <color indexed="81"/>
            <rFont val="Tahoma"/>
            <family val="2"/>
            <charset val="204"/>
          </rPr>
          <t xml:space="preserve">До 6 мес. проекта,  если не набран 21 балл ячейка будет белой. 
Свыше 6 мес. реализации проекта  если не набран 21 балл ячейка будет красной,
Если набрано более 21 балла ячейка станет зеленой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Филипишин Анатолий Павлович</author>
  </authors>
  <commentList>
    <comment ref="H17" authorId="0" shapeId="0" xr:uid="{8BDDE5C2-4EAE-4FEF-8F4D-EE741D36D487}">
      <text>
        <r>
          <rPr>
            <sz val="12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19" authorId="0" shapeId="0" xr:uid="{1478BD8E-818B-4C31-B268-62BF37837F9F}">
      <text>
        <r>
          <rPr>
            <sz val="12"/>
            <color indexed="81"/>
            <rFont val="Tahoma"/>
            <family val="2"/>
            <charset val="204"/>
          </rPr>
          <t>Если проект 3 мес. и нет соответствия и нет рисков, ставите "НЕТ" окраска будет белая.
Если проект от 3 до 6 мес. нет соответствия и есть риск cтавите  "НетРиск" окраска ячейки  станет красной.
При отметке "ДА" ячейка станет зеленой при любом сроке проекта</t>
        </r>
      </text>
    </comment>
    <comment ref="H20" authorId="0" shapeId="0" xr:uid="{5322E876-A103-4B57-8EAA-09071DBF1919}">
      <text>
        <r>
          <rPr>
            <sz val="12"/>
            <color indexed="81"/>
            <rFont val="Tahoma"/>
            <family val="2"/>
            <charset val="204"/>
          </rPr>
          <t>Если проект 3 мес. и нет соответствия и нет рисков, ставите "НЕТ" окраска будет белая.
Если проект от 3 до 6 мес. нет соответствия и есть риск cтавите  "НетРиск" окраска ячейки  станет красной.
При отметке "ДА" ячейка станет зеленой при любом сроке проекта</t>
        </r>
      </text>
    </comment>
    <comment ref="H21" authorId="0" shapeId="0" xr:uid="{DC306E45-68E8-4980-B4FA-A407E38C449F}">
      <text>
        <r>
          <rPr>
            <sz val="12"/>
            <color indexed="81"/>
            <rFont val="Tahoma"/>
            <family val="2"/>
            <charset val="204"/>
          </rPr>
          <t>Если проект 3 мес. и нет соответствия, меньше 21 балла, ставите "НЕТ" окраска будет белая.
Если по чек-листу меньше 21 балла и проект от3 до 6 мес. и есть риск недостижения, cтавите  "НетРиск" окраска ячейки  станет красной.
При отметке "ДА" ячейка станет зеленой при любом сроке проекта</t>
        </r>
      </text>
    </comment>
    <comment ref="H23" authorId="0" shapeId="0" xr:uid="{C8E2E221-B054-470C-8DE9-3C9981640231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5" authorId="0" shapeId="0" xr:uid="{C350B460-633B-4588-B191-437B89917212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6" authorId="0" shapeId="0" xr:uid="{87C64AF9-E26F-4713-9C0D-35EC3E74A903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7" authorId="0" shapeId="0" xr:uid="{D4A6BE3B-6F56-4847-B931-EE785A987350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8" authorId="0" shapeId="0" xr:uid="{9ACA79F8-7BBA-43A0-96D3-AC51A06F7988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29" authorId="0" shapeId="0" xr:uid="{BE04FEA9-7101-4AEC-9FC7-81399BCB6515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30" authorId="0" shapeId="0" xr:uid="{165863DD-5BE9-4FEA-9648-F7E4F0CFD1B8}">
      <text>
        <r>
          <rPr>
            <b/>
            <sz val="9"/>
            <color indexed="81"/>
            <rFont val="Tahoma"/>
            <family val="2"/>
            <charset val="204"/>
          </rPr>
          <t xml:space="preserve">нет - окраска в красный,
да - окраска в зеленый
</t>
        </r>
      </text>
    </comment>
    <comment ref="H32" authorId="0" shapeId="0" xr:uid="{39AD5712-FC45-4EE6-A967-03F8FAE3FA69}">
      <text>
        <r>
          <rPr>
            <sz val="12"/>
            <color indexed="81"/>
            <rFont val="Tahoma"/>
            <family val="2"/>
            <charset val="204"/>
          </rPr>
          <t xml:space="preserve">До 6 мес. проекта,  если не набран 21 балл ячейка будет белой. 
Свыше 6 мес. реализации проекта  если не набран 21 балл ячейка будет красной,
Если набрано более 21 балла ячейка станет зеленой
</t>
        </r>
      </text>
    </comment>
  </commentList>
</comments>
</file>

<file path=xl/sharedStrings.xml><?xml version="1.0" encoding="utf-8"?>
<sst xmlns="http://schemas.openxmlformats.org/spreadsheetml/2006/main" count="910" uniqueCount="346">
  <si>
    <t>№</t>
  </si>
  <si>
    <t>Создание потока образца</t>
  </si>
  <si>
    <t>Удовлетворенность предприятия</t>
  </si>
  <si>
    <t>0/30</t>
  </si>
  <si>
    <t>Месяц реализации</t>
  </si>
  <si>
    <t>1. Общая информация</t>
  </si>
  <si>
    <t>Краткая справка о предприятии</t>
  </si>
  <si>
    <t>РМР</t>
  </si>
  <si>
    <t>Дата старта-окончания</t>
  </si>
  <si>
    <t>СРП</t>
  </si>
  <si>
    <t>Фаза</t>
  </si>
  <si>
    <t>РП</t>
  </si>
  <si>
    <t>МУИ</t>
  </si>
  <si>
    <t>2. Вывод по качеству реализации</t>
  </si>
  <si>
    <t xml:space="preserve">Указывается краткое резюме по качеству реализации проекта и программы в целом, наличию рисков по достижению КПЭ ФЦК, а также наличие/потенциал экономического эффекта. </t>
  </si>
  <si>
    <t>Баллы</t>
  </si>
  <si>
    <t>Нет</t>
  </si>
  <si>
    <t>Указывается на какие показатели, увеличивающие Производительность, влияет пилотный проект (Выручка, Прямые расходы, ФОТ, Кол-во застрахованных и связанные показатели такие как Оборачиваемость запасов ГП, Оборачиваемость ПКИ и СиМ), а также правильность выбора этих показателей и наличие потенциала по их увеличению в течении трёх лет. Указывается есть ли риск достижения 10/15/30</t>
  </si>
  <si>
    <t>Указывается полезность выбора (решает ли проблемы производства) участка, соответствие требованиям и применение инструментов бережливого производства</t>
  </si>
  <si>
    <t>Указываются балы по чек-листу, качество реализации (формально или реально) и основные западающие зоны</t>
  </si>
  <si>
    <t xml:space="preserve">По результатам интервью указывается удовлетворённость руководства предприятия сотрудничеством с ФЦК и намерение тиражировать проекты </t>
  </si>
  <si>
    <t>Предприятие:</t>
  </si>
  <si>
    <t>Гусаров Владимир Олегович</t>
  </si>
  <si>
    <t>Гусаров В.О.</t>
  </si>
  <si>
    <t>Пешев Игорь Диамидович</t>
  </si>
  <si>
    <t>Пешев И.Д.</t>
  </si>
  <si>
    <t>Погуляев Иван Константинович</t>
  </si>
  <si>
    <t>Погуляев И.К.</t>
  </si>
  <si>
    <t>Мякотин Павел Леонидович</t>
  </si>
  <si>
    <t>Мякотин П.Л.</t>
  </si>
  <si>
    <t>+7-916-306-59-75</t>
  </si>
  <si>
    <t>+7-916-613-48-82</t>
  </si>
  <si>
    <t>+7-921-131-46-37</t>
  </si>
  <si>
    <t>+7-916-050-05-24</t>
  </si>
  <si>
    <t>Лапшин Виталий Андреевич</t>
  </si>
  <si>
    <t>Лапшин В.А.</t>
  </si>
  <si>
    <t>+7-921-137-84-57</t>
  </si>
  <si>
    <t>Алев Игорь Юрьевич</t>
  </si>
  <si>
    <t>Алев И.Ю.</t>
  </si>
  <si>
    <t>+7-909-059-50-68</t>
  </si>
  <si>
    <t>+7-921-955-41-05</t>
  </si>
  <si>
    <t>2.1</t>
  </si>
  <si>
    <t>2.2</t>
  </si>
  <si>
    <t>2.3</t>
  </si>
  <si>
    <t>Декомпозиция целей</t>
  </si>
  <si>
    <t>Обучение</t>
  </si>
  <si>
    <t>0/10</t>
  </si>
  <si>
    <t xml:space="preserve">Количество баллов чек-листа свыше 21 балла. Указывается при достижении п.1 и п.2 </t>
  </si>
  <si>
    <t>1-21</t>
  </si>
  <si>
    <t xml:space="preserve">3. Реализации адресной поддержки экспертами ФЦК на предприятии </t>
  </si>
  <si>
    <t>КПЭ / Область оценки</t>
  </si>
  <si>
    <t>Соответствие</t>
  </si>
  <si>
    <t>Пояснение 
(формируется после проверки показателей согласно схеме контроля)</t>
  </si>
  <si>
    <t>0/15/30</t>
  </si>
  <si>
    <t>Да</t>
  </si>
  <si>
    <r>
      <t xml:space="preserve">10/15/30
</t>
    </r>
    <r>
      <rPr>
        <sz val="12"/>
        <color theme="1"/>
        <rFont val="Times New Roman"/>
        <family val="1"/>
        <charset val="204"/>
      </rPr>
      <t>0-Нет,
15-без участия ФЦК
30-Да</t>
    </r>
  </si>
  <si>
    <t>Охват потоков проектами</t>
  </si>
  <si>
    <t>Планирование и логистика</t>
  </si>
  <si>
    <t>Управление запасами</t>
  </si>
  <si>
    <t>5С и визуализация</t>
  </si>
  <si>
    <t>Развитие персонала</t>
  </si>
  <si>
    <t>Качество</t>
  </si>
  <si>
    <t>Управление проектами</t>
  </si>
  <si>
    <t>Управление изменениями</t>
  </si>
  <si>
    <t>Детальные отчеты по предприятиям</t>
  </si>
  <si>
    <t>Без участия ФЦК</t>
  </si>
  <si>
    <t>3.1</t>
  </si>
  <si>
    <t>Работа партнерских служб</t>
  </si>
  <si>
    <t>4.1</t>
  </si>
  <si>
    <t>4.2</t>
  </si>
  <si>
    <t>4.3</t>
  </si>
  <si>
    <t>ОС предприятия от проведенного обучения. Возможность применения полученных знаний для реализации инструментария.</t>
  </si>
  <si>
    <t>Обратная связь РП/СРП/РМР о проведенном обучении, наличия инфраструктуры обучения для тирражирования.</t>
  </si>
  <si>
    <r>
      <t xml:space="preserve">Удовлетворенность,
</t>
    </r>
    <r>
      <rPr>
        <sz val="12"/>
        <color theme="1"/>
        <rFont val="Times New Roman"/>
        <family val="1"/>
        <charset val="204"/>
      </rPr>
      <t>0 - нет,
10 - да.</t>
    </r>
  </si>
  <si>
    <t>Готовность предприятия к изменениям по данным опросов (ОГИ-1, ДИ3, ДИ6, Вовлеченность)</t>
  </si>
  <si>
    <t>ОС РП по данным Совместной работы и интервью</t>
  </si>
  <si>
    <t xml:space="preserve">ОС предприятия по поддержке экспертов по декомпозиции в выполнении проектных задач. Динамически работающий ежегодно инструмент. </t>
  </si>
  <si>
    <t xml:space="preserve">ОС РП по взаимодействию, своевременности выполнения проектных задач. </t>
  </si>
  <si>
    <t>5</t>
  </si>
  <si>
    <t>5.1</t>
  </si>
  <si>
    <t>100 баллов +доп.</t>
  </si>
  <si>
    <t>Количество баллов чек-листа свыше 21 балла (1-21)</t>
  </si>
  <si>
    <t>Нет рисков</t>
  </si>
  <si>
    <r>
      <t xml:space="preserve">Обучение,
</t>
    </r>
    <r>
      <rPr>
        <sz val="12"/>
        <color theme="1"/>
        <rFont val="Times New Roman"/>
        <family val="1"/>
        <charset val="204"/>
      </rPr>
      <t>0 - нет,
5 - да</t>
    </r>
  </si>
  <si>
    <r>
      <t xml:space="preserve">УВИ,
</t>
    </r>
    <r>
      <rPr>
        <sz val="12"/>
        <color theme="1"/>
        <rFont val="Times New Roman"/>
        <family val="1"/>
        <charset val="204"/>
      </rPr>
      <t>0 - нет,
5 - да</t>
    </r>
  </si>
  <si>
    <r>
      <t xml:space="preserve">Декомпозиция,
</t>
    </r>
    <r>
      <rPr>
        <sz val="12"/>
        <color theme="1"/>
        <rFont val="Times New Roman"/>
        <family val="1"/>
        <charset val="204"/>
      </rPr>
      <t>0 - нет,
5 - да</t>
    </r>
  </si>
  <si>
    <t>Влияние на достижение показателей ФЦК</t>
  </si>
  <si>
    <t>1.1</t>
  </si>
  <si>
    <t>6.</t>
  </si>
  <si>
    <t xml:space="preserve"> Рекомендации</t>
  </si>
  <si>
    <t>Чек-лист оценки признания потока образцом</t>
  </si>
  <si>
    <t>Направление развития производствен-ной системы</t>
  </si>
  <si>
    <t>Требование к потоку-образцу</t>
  </si>
  <si>
    <t xml:space="preserve">Оценка соответствия требованию </t>
  </si>
  <si>
    <t>Комментарий</t>
  </si>
  <si>
    <t>Оценка критерия, балл</t>
  </si>
  <si>
    <t>Уровень "1"</t>
  </si>
  <si>
    <t>Соответствует</t>
  </si>
  <si>
    <t>В пилотном продуктовом потоке реализован проект по повышению производительности труда.</t>
  </si>
  <si>
    <t>Не соответствует</t>
  </si>
  <si>
    <t>1.2</t>
  </si>
  <si>
    <t>В  пилотном продуктовом потоке открыт следующий проект по повышению производительности труда.</t>
  </si>
  <si>
    <t>Не оценивалось</t>
  </si>
  <si>
    <t>Уровень "2" (здесь и далее оценивается только в случае полного соответствия уровню "1")</t>
  </si>
  <si>
    <t>1.3</t>
  </si>
  <si>
    <t>Проект по повышению производительности труда открыт в ещё одном продуктовом потоке (при наличии).</t>
  </si>
  <si>
    <t>1.4.</t>
  </si>
  <si>
    <t>Доля охваченных проектами по повышению производительности труда продуктов предприятия в общей выручке более 50%.</t>
  </si>
  <si>
    <t>Уровень "3" (здесь и далее оценивается только в случае полного соответствия уровню "2")</t>
  </si>
  <si>
    <t>1.5</t>
  </si>
  <si>
    <t>Доля охваченных проектами по повышению производительности труда продуктов предприятия в общей выручке более 80%.</t>
  </si>
  <si>
    <t>1.6</t>
  </si>
  <si>
    <t>Реализован проект(проекты) по оптимизации одного из ключевых непроизводственных бизнес-процессов.</t>
  </si>
  <si>
    <t xml:space="preserve">Достижение целей </t>
  </si>
  <si>
    <t>Целевые показатели в пилотном продуктовом потоке улучшены не менее  чем на 10%.</t>
  </si>
  <si>
    <t xml:space="preserve">Уровень "2" </t>
  </si>
  <si>
    <t>Целевые показатели в пилотном продуктовом потоке улучшены не менее  чем на 30%.</t>
  </si>
  <si>
    <t>Показатель оборачиваемости запасов предприятия улучшен не менее чем на 5% к аналогичному периоду предыдущего года.</t>
  </si>
  <si>
    <t>2.4</t>
  </si>
  <si>
    <t>Достигнутые результаты (изменение трудоёмкости, снижение запасов и т.п.) закреплены в нормативах и введены в действие как обязательные к использованию в операционной деятельности.</t>
  </si>
  <si>
    <t>Уровень "3"</t>
  </si>
  <si>
    <t>2.5</t>
  </si>
  <si>
    <t>Показатель оборачиваемости запасов предприятия улучшен не менее чем на 10% к аналогичному периоду предыдущего года.</t>
  </si>
  <si>
    <t>2.6</t>
  </si>
  <si>
    <t>Целевые показатели проектов обеспечивают достижение целей предприятия по повышению производительности труда в текущий отчетный год.</t>
  </si>
  <si>
    <t>Инструменты диагностики</t>
  </si>
  <si>
    <t>В потоке разработаны карты текущего и целевого состояний потока создания ценности. Выявлены и документально зафиксированы проблемы, связанные с организацией процессов в потоке. Утверждён план мероприятий по достижению целевого состояния.</t>
  </si>
  <si>
    <t>3.2</t>
  </si>
  <si>
    <t>Проанализировано расстояние и маршруты перемещений материального потока, разработана диаграмма "спагетти". Зафиксированы проблемы, связанные с перемещениями в пространстве, слияниями/разделениями потоков. Разработана целевая планировка.</t>
  </si>
  <si>
    <t>3.3</t>
  </si>
  <si>
    <t>На критических с точки зрения производительности  рабочих местах (участках) ведётся почасовый (поштучный) производственный анализ с указанием отклонений и анализом причин их появления.</t>
  </si>
  <si>
    <t>3.4</t>
  </si>
  <si>
    <t>Проведён анализ/хронометраж технологических операций, выявлены потери, зафиксированы проблемы, связанные с действиями операторов при производстве продукции.</t>
  </si>
  <si>
    <t>3.5</t>
  </si>
  <si>
    <t>Для выявления проблем и отклонений используются методы статистического управления (SPC, "6 сигма", FMEA и т.п.).</t>
  </si>
  <si>
    <t>Производству устанавливаются планы производства продукции на определённые отчётные периоды (квартал, месяц, неделя). Планы производства декомпозируются до сменного (суточного) задания каждому работнику.</t>
  </si>
  <si>
    <t>Разработаны правила перемещения изделий и материалов в потоке, устанавливающие маршруты, способы перемещений, тару и т.п.</t>
  </si>
  <si>
    <t>Устанавливаются графики запуска продукции в производство, обеспечивающие выполнение графика отгрузок (передачи на склад готовой продукции). Дата запуска определяется с помощью установленного норматива времени протекания процесса или времени выполнения заказа.</t>
  </si>
  <si>
    <t>4.4</t>
  </si>
  <si>
    <t>Транспортировка организована по принципам тянущей системы (при возникновении потребности на следующем переделе).</t>
  </si>
  <si>
    <t>4.5</t>
  </si>
  <si>
    <t>Производство на каждом этапе запускается по возникновению потребности следующего передела. Используются системы пополнения запасов, организован информационный поток сигналов на запуск производства и перемещение материалов.</t>
  </si>
  <si>
    <t>4.6</t>
  </si>
  <si>
    <t>Транспортировка до рабочих мест осуществляется без промежуточных перекладываний, без использования ГПМ, авто- и электротранспорта.</t>
  </si>
  <si>
    <t>В потоке проведён структурированный анализ запасов (ABC-анализ, XYZ-анализ, и т.п.), определены категории запасов. Установлены нормативы запасов в потоке по категориям.</t>
  </si>
  <si>
    <t>5.2</t>
  </si>
  <si>
    <t>Определены места складирования (в т.ч. временного хранения) для сырья и материалов, полуфабрикатов, готовой продукции, отходов, вспомогательных материалов на производстве.</t>
  </si>
  <si>
    <t>5.3</t>
  </si>
  <si>
    <t>С периодичностью не реже 1 раза в месяц ведется статистика по плановому и фактическому уровню запасов, фиксируются отклонения от нормативов, разрабатываются корректирующие меры.</t>
  </si>
  <si>
    <t>5.4</t>
  </si>
  <si>
    <t>В местах хранения определены (подписаны, выделены цветом) места размещения под каждую номенклатуру.</t>
  </si>
  <si>
    <t>5.5</t>
  </si>
  <si>
    <t>В местах хранения установлены и визуализированы правила работы с запасами (нормативы, правила пополнения и т.п.).</t>
  </si>
  <si>
    <t>5.6</t>
  </si>
  <si>
    <t>На промежуточных складах в потоке реализовано адресное хранение материалов, полуфабрикатов, инструментов и т.п.</t>
  </si>
  <si>
    <t>5.7</t>
  </si>
  <si>
    <t>Способы организации мест хранения позволяют реализовать принцип "Первым вошел - первым вышел" (FIFO) без перекладок и дополнительных трудозатрат.</t>
  </si>
  <si>
    <t>6.1</t>
  </si>
  <si>
    <t xml:space="preserve">В потоке созданы эталонные рабочие места, на которых внедрены первые 4 шага системы 5С до разработки стандартов рабочих мест. Стандарты включают требования по расстановке оборудования, материалов, инструмента на рабочем месте, уборке рабочей зоны. </t>
  </si>
  <si>
    <t>6.2</t>
  </si>
  <si>
    <t>По основной продукции непосредственно на производстве визуализирована информация о плановом и фактическом объёмах производства, визуализирована система решения и эскалации проблем (листы проблем, доски решения проблем или другие инструменты, позволяющие определить актуальный статус решения проблем).</t>
  </si>
  <si>
    <t>6.3</t>
  </si>
  <si>
    <t>Соответствие рабочих мест стандартам регулярно контролируется (проводятся аудиты 5С или другие меропрития по обеспечению соответствия стандартам и их улучшению).</t>
  </si>
  <si>
    <t>6.4</t>
  </si>
  <si>
    <t>Реализованы инструменты и методы совершенствования 5С (конкурсы, система поощрения, и т.п.).</t>
  </si>
  <si>
    <t>6.5</t>
  </si>
  <si>
    <t>На производстве визуализирована информация о реализации проектов по оптимизации процессов (проектов по улучшению).</t>
  </si>
  <si>
    <t>6.6</t>
  </si>
  <si>
    <t>Первые 4 шага системы 5С реализованы на всех рабочих местах в потоке.</t>
  </si>
  <si>
    <t>6.7</t>
  </si>
  <si>
    <t>Рабочее пространство в потоке визуализировано (проходы, проезды, ограждения опасных зон, места хранения и т.д.).</t>
  </si>
  <si>
    <t>7.1</t>
  </si>
  <si>
    <t xml:space="preserve">В потоке сформирован набор необходимых компетенций персонала, общих по потоку и уникальных для участка. </t>
  </si>
  <si>
    <t>7.2</t>
  </si>
  <si>
    <t>Визуализированы матрицы компетенций, определены "узкие места".</t>
  </si>
  <si>
    <t>7.3</t>
  </si>
  <si>
    <t>Проводится обучение персонала как по уникальным, так и по общим необходимым компетенциям для повышения взаимозаменяемости.</t>
  </si>
  <si>
    <t>7.4</t>
  </si>
  <si>
    <t>Внедрена система адаптации вновь принятого персонала.</t>
  </si>
  <si>
    <t>7.5</t>
  </si>
  <si>
    <t>Разрабатываются и реализуются планы развития малых групп (бригад).</t>
  </si>
  <si>
    <t>7.6</t>
  </si>
  <si>
    <t>Используются методики передачи знаний от наставников (TWI и т.п.).</t>
  </si>
  <si>
    <t>Стандартизиро-ванная работа</t>
  </si>
  <si>
    <t>8.1</t>
  </si>
  <si>
    <t>На основе проведённого анализа определены критические операции в потоке (с наибольшей трудоемкостью), требующие проведения стандартизированной работы. Составлен план проведения стандартизированной работы для повышения производительности труда.</t>
  </si>
  <si>
    <t>8.2</t>
  </si>
  <si>
    <t>Проведена стандартизированная работа пилотных критических операций и разработаны комплекты карт стандартизированной работы и стандартные операционные процедуры (стандарты выполнения работ).</t>
  </si>
  <si>
    <t>8.3</t>
  </si>
  <si>
    <t>Утверждённые нормативы трудоёмкости соответствуют разработанным стандартным операционным процедурам (стандартам выполнения работ).</t>
  </si>
  <si>
    <t>8.4</t>
  </si>
  <si>
    <t>Проведена перебалансировка работы между операторами / внедрено многостаночное обслуживание / расширены зоны обслуживания с результатом увеличения выработки.</t>
  </si>
  <si>
    <t>8.5</t>
  </si>
  <si>
    <t>Стандарты выполнения операций на регулярной основе проверяются, пересматриваются в случае выявления отклонений фактических замеров от нормативных или внедрения улучшений.</t>
  </si>
  <si>
    <t>9.1</t>
  </si>
  <si>
    <t>На предприятии установлены цели по повышению качества (снижение внутренней дефектности, затрат на доработки и исправления и т.п.).</t>
  </si>
  <si>
    <t>9.2</t>
  </si>
  <si>
    <t>Определяются первопричины возникновения дефектов (используются методы "5 почему", "4М", "рыбья кость" и т.п.) Разрабатываются и реализуются меры по устранению первопричин.</t>
  </si>
  <si>
    <t>9.3</t>
  </si>
  <si>
    <t>По выявленным причинам возникновения дефектов реализованы инструменты "защиты от ошибок" ("пока-йоке" или аналогичные).</t>
  </si>
  <si>
    <t>9.4</t>
  </si>
  <si>
    <t>Используются структурированные методы решения проблем (8D, "одна за одной" и т.п.).</t>
  </si>
  <si>
    <t>Эффективность оборудования</t>
  </si>
  <si>
    <t>10.1</t>
  </si>
  <si>
    <t>Утверждён перечень критичного с точки зрения производительности оборудования в потоке.</t>
  </si>
  <si>
    <t>10.2</t>
  </si>
  <si>
    <t xml:space="preserve">Проведен расчет эффективности использования критичного оборудования (ОЕЕ). Определены наиболее значимые факторы снижения эффективности критичного оборудования. </t>
  </si>
  <si>
    <t>10.3</t>
  </si>
  <si>
    <t>Реализуются мероприятия по повышению эффективности оборудования за счёт устранения выявленных факторов.</t>
  </si>
  <si>
    <t>10.4</t>
  </si>
  <si>
    <t>Внедрены механизмы оперативного информирования и реагирования сервисных служб в случае возникновения внеплановых простоев.</t>
  </si>
  <si>
    <t>10.5</t>
  </si>
  <si>
    <t>Стандартизированы плановые простои критичного оборудования (переналадки, плановое обслуживание и т.п.).</t>
  </si>
  <si>
    <t>11.1</t>
  </si>
  <si>
    <t>На предприятии утверждён функционал и установлена ответственность за управление проектами и изменениями (создан проектный офис).</t>
  </si>
  <si>
    <t>11.2</t>
  </si>
  <si>
    <t>Проектный офис осуществляет ведение реестра реализуемых проектов, с отслеживанием статусов ключевых событий проектов.</t>
  </si>
  <si>
    <t>11.3</t>
  </si>
  <si>
    <t>Утверждены организационные документы, определяющие требования к реализации проектного подхода к улучшениям.</t>
  </si>
  <si>
    <t>11.4</t>
  </si>
  <si>
    <t xml:space="preserve">Утверждён план тиражирования проектов по улучшению на все ключевые потоки предприятия. </t>
  </si>
  <si>
    <t>11.5</t>
  </si>
  <si>
    <t>Проекты на предприятии реализуются в соответствии с утвержденным планом.</t>
  </si>
  <si>
    <t>11.6</t>
  </si>
  <si>
    <t xml:space="preserve">Внедрен механизм инициирования проектов по оптимизации потоков и процессов на основе анализа проблем </t>
  </si>
  <si>
    <t>12.1</t>
  </si>
  <si>
    <t>Разработано и утверждено дерево целей.</t>
  </si>
  <si>
    <t>12.2</t>
  </si>
  <si>
    <t>Разработаны и утверждены КПЭ до уровня ГД-1.</t>
  </si>
  <si>
    <t>12.3</t>
  </si>
  <si>
    <t>Организован информационный центр предприятия, разработан регламент работы ИЦ.</t>
  </si>
  <si>
    <t>12.4</t>
  </si>
  <si>
    <t>Показатели дерева целей оцифрованы и отражены в картах КПЭ руководителей.</t>
  </si>
  <si>
    <t>12.5</t>
  </si>
  <si>
    <t>Целевые значения КПЭ установлены на основе дерева целей и ключевых обязанностей руководителя, учтены цели по повышению производительности труда.</t>
  </si>
  <si>
    <t>12.6</t>
  </si>
  <si>
    <t>Организованы информационные центры предприятия и цеха (где выбран пилотный поток), в инфоцентрах регулярно проводятся совещания.</t>
  </si>
  <si>
    <t>12.7</t>
  </si>
  <si>
    <t>Показатели дерева целей синхронизированы с бизнес-планом предприятия, целями по повышению производительности труда и картами КПЭ руководителей.</t>
  </si>
  <si>
    <t>12.8</t>
  </si>
  <si>
    <t>Разработаны и утверждены КПЭ до уровня руководителей подразделений (цехов и отделов), проводятся промежуточные и итоговая оценки достижения КПЭ.</t>
  </si>
  <si>
    <t>12.9</t>
  </si>
  <si>
    <t>Организованы информационные центры предприятия, цехов и малых групп (смен, бригад), информация на инфоцентрах разных уровней взаимосвязана (цели, задачи, отклонения, проблемы и др.), реализован механизм эскалации проблем.</t>
  </si>
  <si>
    <t>12.10</t>
  </si>
  <si>
    <t>Внедрена система премирования работников на основе выполнения КПЭ.</t>
  </si>
  <si>
    <t>13.1</t>
  </si>
  <si>
    <t>На предприятии есть внутренний тренер для проведения обучения инструментам повышения производительности труда/бережливого производства.</t>
  </si>
  <si>
    <t>13.2</t>
  </si>
  <si>
    <t>График обучения привязан к графику реализации проектов. Все проектные команды проходят обучение в рамках проектов.</t>
  </si>
  <si>
    <t>13.3</t>
  </si>
  <si>
    <t>Организован процесс сбора и анализа обратной связи после обучения.</t>
  </si>
  <si>
    <t>13.4</t>
  </si>
  <si>
    <t>Программы обучения адаптированы к специфике предприятия, дополнены примерами реализованных на предприятии проектов и улучшений.</t>
  </si>
  <si>
    <t>13.5</t>
  </si>
  <si>
    <t>На предприятии создана фабрика процессов и инфраструктура для площадочного обучения (программа, тренеры, учебные помещения, спецодежда, проекторы, цветная печать).</t>
  </si>
  <si>
    <t>14.1</t>
  </si>
  <si>
    <t>На производстве и в зонах с высокой проходимостью размещена информация о программе повышения производительности на предприятии, реализации проектов, результатах и достижениях.</t>
  </si>
  <si>
    <t>14.2</t>
  </si>
  <si>
    <t>На предприятии проводятся регулярные встречи Генерального директора и высшего руководства с работниками предприятия в соответствии с утверждённым планом мероприятий по коммуникациям.</t>
  </si>
  <si>
    <t>14.3</t>
  </si>
  <si>
    <t>Производственные участки, выбранные в качестве эталонных по внедрению инструментов повышения производительности труда, обозначены и визуализированы.</t>
  </si>
  <si>
    <t>14.4</t>
  </si>
  <si>
    <t>Генеральным директором и/или высшим руководством предприятия проводятся регулярные обходы производства, во время которых оценивается развитие производственной системы, выявляются и решаются проблемы.</t>
  </si>
  <si>
    <t>14.5</t>
  </si>
  <si>
    <t>В корпоративных СМИ размещается информация о ходе и результатах программы повышения производительности труда на предприятии. Проводятся награждения лучших участников рабочих групп проектов и вовлечённых в улучшения сотрудников.</t>
  </si>
  <si>
    <t>14.6</t>
  </si>
  <si>
    <t>Руководители производственных подразделений предприятия проводят регулярные встречи с мастерами/бригадирами по внедрению производственной системы  в соответствии с утверждённым планом мероприятий по коммуникациям.</t>
  </si>
  <si>
    <t>14.7</t>
  </si>
  <si>
    <t xml:space="preserve">Мастера/бригадиры потока не реже 1 раза неделю предоставляют проектной команде и руководству предприятия (ГД/ЗГД) обратную связь (от себя и работников) о ходе внедрения производственной системы </t>
  </si>
  <si>
    <t>14.8</t>
  </si>
  <si>
    <t xml:space="preserve">Во внешних СМИ размещается информация о ходе и результатах программы повышения производительности труда на предприятии. </t>
  </si>
  <si>
    <t>Сумма оценок критериев по уровням</t>
  </si>
  <si>
    <r>
      <t xml:space="preserve">Вывод: 
Поток </t>
    </r>
    <r>
      <rPr>
        <b/>
        <sz val="12"/>
        <color rgb="FFFF0000"/>
        <rFont val="Calibri"/>
        <family val="2"/>
        <charset val="204"/>
      </rPr>
      <t>«...» не соответствует</t>
    </r>
    <r>
      <rPr>
        <b/>
        <sz val="12"/>
        <color rgb="FF000000"/>
        <rFont val="Calibri"/>
        <family val="2"/>
        <charset val="204"/>
      </rPr>
      <t xml:space="preserve"> требованиям, установленным в Регламенте ПРОВЕДЕНИЕ ОЦЕНКИ НАЛИЧИЯ КЛЮЧЕВЫХ ЭЛЕМЕНТОВ ПРОИЗВОДСТВЕННОЙ СИСТЕМЫ И ДОСТАТОЧНОГО УРОВНЯ ИСПОЛЬЗОВАНИЯ ВНУТРЕННИХ РЕСУРСОВ ДЛЯ ПОВЫШЕНИЯ ПРОИЗВОДИТЕЛЬНОСТИ (минимальный уровень соответствия  -  общая сумма оценок всех критериев  ≥ 21)</t>
    </r>
  </si>
  <si>
    <t>Дополнительные факторы 
(для Д-126+) Для целей рейтинга</t>
  </si>
  <si>
    <t>0/5</t>
  </si>
  <si>
    <t xml:space="preserve">ИТОГО:   </t>
  </si>
  <si>
    <t>Руководство предприятия удовлетворено сотрудничеством с ФЦК</t>
  </si>
  <si>
    <t>Дата:</t>
  </si>
  <si>
    <t>Дополнительный показатель</t>
  </si>
  <si>
    <t xml:space="preserve">г. </t>
  </si>
  <si>
    <t>ООО «»</t>
  </si>
  <si>
    <t>мес.</t>
  </si>
  <si>
    <t>Фазы реализации</t>
  </si>
  <si>
    <t>Диагностика</t>
  </si>
  <si>
    <t xml:space="preserve">до 3 мес. </t>
  </si>
  <si>
    <t>Внедрение</t>
  </si>
  <si>
    <t>от 3 до 6 мес.</t>
  </si>
  <si>
    <t>свыше 6 мес.</t>
  </si>
  <si>
    <t>Тиражирование</t>
  </si>
  <si>
    <r>
      <t xml:space="preserve">Дата </t>
    </r>
    <r>
      <rPr>
        <b/>
        <sz val="12"/>
        <color rgb="FF000000"/>
        <rFont val="Times New Roman"/>
        <family val="1"/>
        <charset val="204"/>
      </rPr>
      <t>диагностики</t>
    </r>
  </si>
  <si>
    <t>Указывается амбициозность и достижение показателей проекта: ВПП, НЗП, ВЫРАБОТКА, Оборачиваемость, их влияние на увеличение Производительности   При наличии указываются физические изменения: сокращение производственных и складских площадей, устранение противопотоков, создание производственных ячеек и другие изменения, увеличивающие производительность/условия труда сотрудников</t>
  </si>
  <si>
    <t>3.1.</t>
  </si>
  <si>
    <t>3.2.</t>
  </si>
  <si>
    <t>3.2.1</t>
  </si>
  <si>
    <t>3.2.2</t>
  </si>
  <si>
    <t>3.2.3</t>
  </si>
  <si>
    <t>3.3.</t>
  </si>
  <si>
    <t>4.</t>
  </si>
  <si>
    <t>3.3.1.</t>
  </si>
  <si>
    <r>
      <rPr>
        <b/>
        <sz val="12"/>
        <color theme="1"/>
        <rFont val="Times New Roman"/>
        <family val="1"/>
        <charset val="204"/>
      </rPr>
      <t>Показатели проекта</t>
    </r>
    <r>
      <rPr>
        <sz val="12"/>
        <color theme="1"/>
        <rFont val="Times New Roman"/>
        <family val="1"/>
        <charset val="204"/>
      </rPr>
      <t xml:space="preserve">
0 - нет,
10 - да.</t>
    </r>
  </si>
  <si>
    <r>
      <rPr>
        <b/>
        <sz val="12"/>
        <color theme="1"/>
        <rFont val="Times New Roman"/>
        <family val="1"/>
        <charset val="204"/>
      </rPr>
      <t>Участок эталон</t>
    </r>
    <r>
      <rPr>
        <sz val="12"/>
        <color theme="1"/>
        <rFont val="Times New Roman"/>
        <family val="1"/>
        <charset val="204"/>
      </rPr>
      <t xml:space="preserve">
0 - нет,
10 - да.</t>
    </r>
  </si>
  <si>
    <r>
      <rPr>
        <b/>
        <sz val="12"/>
        <color theme="1"/>
        <rFont val="Times New Roman"/>
        <family val="1"/>
        <charset val="204"/>
      </rPr>
      <t>Чек-лист,</t>
    </r>
    <r>
      <rPr>
        <sz val="12"/>
        <color theme="1"/>
        <rFont val="Times New Roman"/>
        <family val="1"/>
        <charset val="204"/>
      </rPr>
      <t xml:space="preserve">
0 - нет,
10 - да.</t>
    </r>
  </si>
  <si>
    <t>Количество баллов по чек-листу, факт</t>
  </si>
  <si>
    <t>после 6</t>
  </si>
  <si>
    <t>после 3</t>
  </si>
  <si>
    <t>4-12 неделя</t>
  </si>
  <si>
    <t>4-6 неделя</t>
  </si>
  <si>
    <t>-1 нед</t>
  </si>
  <si>
    <t>Приостановка проекта календарных дней</t>
  </si>
  <si>
    <t>НетСоотвРиск</t>
  </si>
  <si>
    <t>6.8</t>
  </si>
  <si>
    <t>6.9</t>
  </si>
  <si>
    <t>6.10</t>
  </si>
  <si>
    <t>6.11</t>
  </si>
  <si>
    <t>6.12</t>
  </si>
  <si>
    <t>6.13</t>
  </si>
  <si>
    <t>6.14</t>
  </si>
  <si>
    <r>
      <rPr>
        <sz val="11"/>
        <color rgb="FFFF0000"/>
        <rFont val="Calibri"/>
        <family val="2"/>
        <charset val="204"/>
        <scheme val="minor"/>
      </rPr>
      <t xml:space="preserve">меньше 10% охват в выручке. </t>
    </r>
    <r>
      <rPr>
        <sz val="11"/>
        <color theme="1"/>
        <rFont val="Calibri"/>
        <family val="2"/>
        <scheme val="minor"/>
      </rPr>
      <t xml:space="preserve">
24 месяц.
12 месяцев 30%</t>
    </r>
  </si>
  <si>
    <t>3 месяца если нет в целях</t>
  </si>
  <si>
    <t>Вопрос включения в методику</t>
  </si>
  <si>
    <t>6 месяцев</t>
  </si>
  <si>
    <t>6 месяцев. План тиражирования.</t>
  </si>
  <si>
    <t>9 неделя</t>
  </si>
  <si>
    <t>6 неделя</t>
  </si>
  <si>
    <t>3 неделия</t>
  </si>
  <si>
    <t>текущая карта. 3 неделя.</t>
  </si>
  <si>
    <t>3 месяца</t>
  </si>
  <si>
    <r>
      <t>Транспортировка до рабочих мест осуществляется без промежуточных перекладываний, без использования ГПМ, авто- и электротранспорта.</t>
    </r>
    <r>
      <rPr>
        <sz val="11"/>
        <color rgb="FFFFFF00"/>
        <rFont val="Calibri"/>
        <family val="2"/>
        <charset val="204"/>
      </rPr>
      <t xml:space="preserve"> ФОРМУЛИРОВКА</t>
    </r>
  </si>
  <si>
    <t>6 месяцев.
Вопрос включения в методику.</t>
  </si>
  <si>
    <t>Срок реализации обязательных требований</t>
  </si>
  <si>
    <t>Направление</t>
  </si>
  <si>
    <t>Нормативные ссылки (методики)</t>
  </si>
  <si>
    <t xml:space="preserve">План мероприятий по СР  -  в составе Плана создания эталонного участка и/или в составе Плана достижения целевого состояния </t>
  </si>
  <si>
    <t>1. Норматив утвержден ЛНА предприятия
2. Нормы введены в действие в соответствие с процедурами предприятия, в т.ч.  используются при планировании производства, в расчете трудоемкости, себестоимости изделия и калькуляции зп (опционально).</t>
  </si>
  <si>
    <t xml:space="preserve">1. Процесс контроля и пересмотра СОП формализован (описаны шаги процесса, роли участников, определены и закреплены в ЛНА предприятия/подразделения ответственность и периодичность пересмотра)
2. На производстве хранятся версии СОП от первоначальной до актуализирвоанной
</t>
  </si>
  <si>
    <t>ЛНА предприятия</t>
  </si>
  <si>
    <t>Таблицы стандартизированной работы (текущая, целевая)</t>
  </si>
  <si>
    <t>ЛНА предприятия/ подразделения, регламентирующий процесс контроля и пересмотра СОП</t>
  </si>
  <si>
    <t>Документы</t>
  </si>
  <si>
    <t>- Бланки стандартизированной работы
- СОП и лист(ы) ознакомления</t>
  </si>
  <si>
    <t>Критерий соответствия</t>
  </si>
  <si>
    <t xml:space="preserve">1. Составлена карта потока создания ценности. Рассчитано время цикла по каждому элементу КПСЦ. 
2. Выявлены узкие места -  явления, при которых производительность или пропускная способность ограничена одним или несколькими компонентами, или ресурсами, и критические операции (ограничивающие производительность узкого места).
3. Определён тип СР
4. Составлен план проведения стандартизированной работы. План содержит: 1. Тип СР, 2. Список операций/рабочих мест, на которых будет проводиться "стандартизированная работа", 3. ФИО ответственных за проведение "Стандартизированной работы" 4. Даты начала и завершения работ по реализации "Стандартизированной работы".  План утверждён руководителем программы ППТ/ГД в соответствии с процедурами предприятия.  </t>
  </si>
  <si>
    <t>Составлены объединённая таблица стандартизированной работы для нескольких операторов потока. Разработаны таблицы текущего и целевого состояния. В целевой таблице стандартизированной работы рабочие элементы пераспределены между операторами для выравнивания загрузки и увеличения производительности труда. Новая рабочая последовательность операций закреплена в СОПах и применяется на практике. Во время посещения потока можно наблюдать работу операторов, которая полностью соответствует последовательности из целевой  таблицы стандартизированной работы.</t>
  </si>
  <si>
    <t>МР "Стандартизация процессов", редакция 3
- МР "Реализация программы повышения производительности труда на предприятиях"
- МУ «Составление карт потоков по производству продукции»</t>
  </si>
  <si>
    <t>МР "Стандартизация процессов", редакция 3</t>
  </si>
  <si>
    <t xml:space="preserve">     В соответствии с актуальной версией МР "Стандартизация процессов" проведены следующие мероприятия: 
1. Заполнен, соответствующий типу СР, полный комплект бланков. 
2. Выявлены потери, разработаны ППУ для их устранения и ППУ направленные на повышение эффективности, результативности и оптимизации процесса.
3. Потери устранены
4. Разработаны СОПы с учётом внедрённых ППУ и устранённых потерь. 
5. Проведены контрольные измерения улучшений. 
6. Стандартизированная работа проведена для всех операций, указанных в утверждённом "Плане стандартизированной работы". 
7. В легкодоступных местах для операторов и непосредственной близости к рабочему месту находятся утверждённые руководством СОПы. Операторы ознакомлены с СОП, что подтверждается листом ознакомления. 
   Выполнение требований СОП наблюдается во время посещения рабочих мест на производстве.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</si>
</sst>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3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color rgb="FF1F497D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36"/>
      <color rgb="FF000000"/>
      <name val="Calibri"/>
      <family val="2"/>
      <charset val="204"/>
    </font>
    <font>
      <b/>
      <sz val="11"/>
      <color rgb="FFA5A5A5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4"/>
      <color rgb="FFFF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6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8"/>
      <color rgb="FF1F497D"/>
      <name val="Calibri"/>
      <family val="2"/>
      <charset val="204"/>
    </font>
    <font>
      <sz val="18"/>
      <name val="Calibri"/>
      <family val="2"/>
      <charset val="204"/>
    </font>
    <font>
      <sz val="12"/>
      <color indexed="81"/>
      <name val="Tahoma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FFFF00"/>
      <name val="Calibri"/>
      <family val="2"/>
      <charset val="204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Border="1"/>
    <xf numFmtId="0" fontId="14" fillId="0" borderId="0" xfId="0" applyFont="1" applyAlignment="1">
      <alignment vertical="top"/>
    </xf>
    <xf numFmtId="0" fontId="19" fillId="0" borderId="0" xfId="0" applyFont="1" applyAlignment="1">
      <alignment vertical="top"/>
    </xf>
    <xf numFmtId="49" fontId="0" fillId="0" borderId="1" xfId="0" applyNumberFormat="1" applyBorder="1" applyAlignment="1">
      <alignment horizontal="center" vertical="top" wrapText="1"/>
    </xf>
    <xf numFmtId="0" fontId="19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15" fillId="0" borderId="1" xfId="0" applyFont="1" applyBorder="1" applyAlignment="1">
      <alignment horizontal="left" vertical="top" wrapText="1"/>
    </xf>
    <xf numFmtId="49" fontId="20" fillId="0" borderId="1" xfId="0" applyNumberFormat="1" applyFont="1" applyBorder="1" applyAlignment="1">
      <alignment horizontal="center" vertical="top" wrapText="1"/>
    </xf>
    <xf numFmtId="0" fontId="22" fillId="5" borderId="1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" xfId="0" applyBorder="1" applyAlignment="1">
      <alignment horizontal="left" vertical="top"/>
    </xf>
    <xf numFmtId="0" fontId="16" fillId="7" borderId="1" xfId="0" applyFont="1" applyFill="1" applyBorder="1" applyAlignment="1">
      <alignment horizontal="center" vertical="top"/>
    </xf>
    <xf numFmtId="0" fontId="16" fillId="7" borderId="1" xfId="0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5" fillId="0" borderId="0" xfId="0" applyFont="1" applyAlignment="1">
      <alignment horizontal="right" vertical="center"/>
    </xf>
    <xf numFmtId="164" fontId="4" fillId="0" borderId="18" xfId="0" applyNumberFormat="1" applyFont="1" applyBorder="1" applyAlignment="1">
      <alignment horizontal="center" vertical="center" wrapText="1"/>
    </xf>
    <xf numFmtId="0" fontId="7" fillId="8" borderId="2" xfId="0" applyFont="1" applyFill="1" applyBorder="1" applyAlignment="1">
      <alignment vertical="center"/>
    </xf>
    <xf numFmtId="14" fontId="4" fillId="8" borderId="1" xfId="0" applyNumberFormat="1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9" fillId="0" borderId="0" xfId="0" applyFont="1"/>
    <xf numFmtId="0" fontId="6" fillId="8" borderId="2" xfId="0" applyFont="1" applyFill="1" applyBorder="1" applyAlignment="1">
      <alignment horizontal="left" vertical="center"/>
    </xf>
    <xf numFmtId="0" fontId="25" fillId="8" borderId="2" xfId="0" applyFont="1" applyFill="1" applyBorder="1"/>
    <xf numFmtId="0" fontId="6" fillId="0" borderId="0" xfId="0" applyFont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16" fontId="3" fillId="0" borderId="1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4" fillId="9" borderId="2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6" fillId="7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5" fillId="10" borderId="0" xfId="0" applyNumberFormat="1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14" fontId="4" fillId="8" borderId="16" xfId="0" applyNumberFormat="1" applyFont="1" applyFill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30" fillId="2" borderId="11" xfId="0" applyFont="1" applyFill="1" applyBorder="1" applyAlignment="1">
      <alignment horizontal="left" vertical="center" wrapText="1"/>
    </xf>
    <xf numFmtId="0" fontId="30" fillId="2" borderId="15" xfId="0" applyFont="1" applyFill="1" applyBorder="1" applyAlignment="1">
      <alignment horizontal="left" vertical="center" wrapText="1"/>
    </xf>
    <xf numFmtId="0" fontId="30" fillId="2" borderId="17" xfId="0" applyFont="1" applyFill="1" applyBorder="1" applyAlignment="1">
      <alignment horizontal="left" vertical="center" wrapText="1"/>
    </xf>
    <xf numFmtId="1" fontId="29" fillId="8" borderId="39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vertical="top" wrapText="1"/>
    </xf>
    <xf numFmtId="49" fontId="4" fillId="8" borderId="1" xfId="0" applyNumberFormat="1" applyFont="1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11" borderId="1" xfId="0" applyFill="1" applyBorder="1" applyAlignment="1">
      <alignment vertical="top"/>
    </xf>
    <xf numFmtId="0" fontId="15" fillId="11" borderId="1" xfId="0" applyFont="1" applyFill="1" applyBorder="1" applyAlignment="1">
      <alignment horizontal="left" vertical="top" wrapText="1"/>
    </xf>
    <xf numFmtId="0" fontId="0" fillId="0" borderId="1" xfId="0" applyBorder="1"/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12" fillId="8" borderId="12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left" vertical="center" wrapText="1"/>
    </xf>
    <xf numFmtId="0" fontId="30" fillId="2" borderId="15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8" borderId="20" xfId="0" applyFont="1" applyFill="1" applyBorder="1" applyAlignment="1">
      <alignment horizontal="left" vertical="top" wrapText="1"/>
    </xf>
    <xf numFmtId="0" fontId="4" fillId="8" borderId="21" xfId="0" applyFont="1" applyFill="1" applyBorder="1" applyAlignment="1">
      <alignment horizontal="left" vertical="top" wrapText="1"/>
    </xf>
    <xf numFmtId="0" fontId="4" fillId="8" borderId="22" xfId="0" applyFont="1" applyFill="1" applyBorder="1" applyAlignment="1">
      <alignment horizontal="left" vertical="top" wrapText="1"/>
    </xf>
    <xf numFmtId="0" fontId="8" fillId="0" borderId="3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30" fillId="2" borderId="17" xfId="0" applyFont="1" applyFill="1" applyBorder="1" applyAlignment="1">
      <alignment vertical="center" wrapText="1"/>
    </xf>
    <xf numFmtId="0" fontId="30" fillId="2" borderId="18" xfId="0" applyFont="1" applyFill="1" applyBorder="1" applyAlignment="1">
      <alignment vertical="center" wrapText="1"/>
    </xf>
    <xf numFmtId="0" fontId="4" fillId="8" borderId="18" xfId="0" applyFont="1" applyFill="1" applyBorder="1" applyAlignment="1">
      <alignment horizontal="left" vertical="center" wrapText="1"/>
    </xf>
    <xf numFmtId="0" fontId="4" fillId="8" borderId="19" xfId="0" applyFont="1" applyFill="1" applyBorder="1" applyAlignment="1">
      <alignment horizontal="left" vertical="center" wrapText="1"/>
    </xf>
    <xf numFmtId="0" fontId="9" fillId="8" borderId="18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9" fillId="8" borderId="4" xfId="0" applyFont="1" applyFill="1" applyBorder="1" applyAlignment="1">
      <alignment horizontal="left" vertical="top" wrapText="1"/>
    </xf>
    <xf numFmtId="0" fontId="9" fillId="8" borderId="5" xfId="0" applyFont="1" applyFill="1" applyBorder="1" applyAlignment="1">
      <alignment horizontal="left" vertical="top" wrapText="1"/>
    </xf>
    <xf numFmtId="0" fontId="9" fillId="8" borderId="6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49" fontId="4" fillId="0" borderId="3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9" fillId="8" borderId="35" xfId="0" applyFont="1" applyFill="1" applyBorder="1" applyAlignment="1">
      <alignment horizontal="left" vertical="top" wrapText="1"/>
    </xf>
    <xf numFmtId="0" fontId="9" fillId="8" borderId="36" xfId="0" applyFont="1" applyFill="1" applyBorder="1" applyAlignment="1">
      <alignment horizontal="left" vertical="top" wrapText="1"/>
    </xf>
    <xf numFmtId="0" fontId="9" fillId="8" borderId="37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/>
    </xf>
    <xf numFmtId="0" fontId="2" fillId="0" borderId="9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vertical="top"/>
    </xf>
    <xf numFmtId="0" fontId="2" fillId="0" borderId="2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/>
    <xf numFmtId="0" fontId="16" fillId="7" borderId="1" xfId="0" applyFont="1" applyFill="1" applyBorder="1" applyAlignment="1">
      <alignment horizontal="left" vertical="top" wrapText="1"/>
    </xf>
    <xf numFmtId="0" fontId="15" fillId="7" borderId="1" xfId="0" applyFont="1" applyFill="1" applyBorder="1"/>
    <xf numFmtId="0" fontId="16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2" fillId="5" borderId="1" xfId="0" applyFont="1" applyFill="1" applyBorder="1" applyAlignment="1">
      <alignment horizontal="right" vertical="center" wrapText="1"/>
    </xf>
    <xf numFmtId="0" fontId="22" fillId="5" borderId="1" xfId="0" applyFont="1" applyFill="1" applyBorder="1" applyAlignment="1">
      <alignment horizontal="left" vertical="top" wrapText="1"/>
    </xf>
    <xf numFmtId="49" fontId="16" fillId="5" borderId="1" xfId="0" applyNumberFormat="1" applyFont="1" applyFill="1" applyBorder="1" applyAlignment="1">
      <alignment horizontal="left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5" fillId="0" borderId="0" xfId="0" applyFont="1"/>
    <xf numFmtId="0" fontId="36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wrapText="1"/>
    </xf>
    <xf numFmtId="0" fontId="36" fillId="5" borderId="3" xfId="0" applyFont="1" applyFill="1" applyBorder="1" applyAlignment="1">
      <alignment horizontal="left" vertical="top" wrapText="1"/>
    </xf>
    <xf numFmtId="0" fontId="37" fillId="0" borderId="3" xfId="0" applyFont="1" applyBorder="1"/>
    <xf numFmtId="0" fontId="37" fillId="0" borderId="3" xfId="0" applyFont="1" applyBorder="1"/>
    <xf numFmtId="0" fontId="35" fillId="10" borderId="3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/>
    </xf>
    <xf numFmtId="0" fontId="35" fillId="0" borderId="1" xfId="0" quotePrefix="1" applyFont="1" applyBorder="1" applyAlignment="1">
      <alignment horizontal="left" vertical="top" wrapText="1"/>
    </xf>
    <xf numFmtId="0" fontId="35" fillId="0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left" vertical="top" wrapText="1"/>
    </xf>
    <xf numFmtId="0" fontId="37" fillId="0" borderId="1" xfId="0" applyFont="1" applyBorder="1"/>
    <xf numFmtId="0" fontId="37" fillId="0" borderId="1" xfId="0" applyFont="1" applyBorder="1"/>
    <xf numFmtId="0" fontId="35" fillId="10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</cellXfs>
  <cellStyles count="1">
    <cellStyle name="Обычный" xfId="0" builtinId="0"/>
  </cellStyles>
  <dxfs count="56"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7C80"/>
      <color rgb="FFFF5050"/>
      <color rgb="FFD7E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E539-2973-4ADF-BA4C-977C40CD50A4}">
  <sheetPr codeName="Лист3"/>
  <dimension ref="A1:H10"/>
  <sheetViews>
    <sheetView tabSelected="1" view="pageBreakPreview" zoomScale="115" zoomScaleNormal="60" zoomScaleSheetLayoutView="115" workbookViewId="0">
      <selection activeCell="E7" sqref="E7"/>
    </sheetView>
  </sheetViews>
  <sheetFormatPr defaultColWidth="14.42578125" defaultRowHeight="15" x14ac:dyDescent="0.25"/>
  <cols>
    <col min="1" max="1" width="3.7109375" style="169" customWidth="1"/>
    <col min="2" max="2" width="15.140625" style="169" customWidth="1"/>
    <col min="3" max="3" width="4.7109375" style="169" bestFit="1" customWidth="1"/>
    <col min="4" max="4" width="30.85546875" style="169" customWidth="1"/>
    <col min="5" max="5" width="103.7109375" style="169" customWidth="1"/>
    <col min="6" max="6" width="25" style="169" customWidth="1"/>
    <col min="7" max="7" width="30" style="169" customWidth="1"/>
    <col min="8" max="8" width="17.42578125" style="186" customWidth="1"/>
    <col min="9" max="11" width="8.7109375" style="169" customWidth="1"/>
    <col min="12" max="16384" width="14.42578125" style="169"/>
  </cols>
  <sheetData>
    <row r="1" spans="1:8" ht="45.95" customHeight="1" thickBot="1" x14ac:dyDescent="0.3">
      <c r="A1" s="166" t="s">
        <v>0</v>
      </c>
      <c r="B1" s="167" t="s">
        <v>330</v>
      </c>
      <c r="C1" s="167"/>
      <c r="D1" s="167" t="s">
        <v>92</v>
      </c>
      <c r="E1" s="167" t="s">
        <v>340</v>
      </c>
      <c r="F1" s="167" t="s">
        <v>338</v>
      </c>
      <c r="G1" s="167" t="s">
        <v>331</v>
      </c>
      <c r="H1" s="168" t="s">
        <v>329</v>
      </c>
    </row>
    <row r="2" spans="1:8" x14ac:dyDescent="0.25">
      <c r="A2" s="170">
        <v>8</v>
      </c>
      <c r="B2" s="171" t="s">
        <v>183</v>
      </c>
      <c r="C2" s="172" t="s">
        <v>96</v>
      </c>
      <c r="D2" s="173"/>
      <c r="E2" s="173"/>
      <c r="F2" s="174"/>
      <c r="G2" s="174"/>
      <c r="H2" s="175"/>
    </row>
    <row r="3" spans="1:8" ht="123.75" customHeight="1" x14ac:dyDescent="0.25">
      <c r="A3" s="176"/>
      <c r="B3" s="176"/>
      <c r="C3" s="177" t="s">
        <v>184</v>
      </c>
      <c r="D3" s="178" t="s">
        <v>185</v>
      </c>
      <c r="E3" s="179" t="s">
        <v>341</v>
      </c>
      <c r="F3" s="180" t="s">
        <v>332</v>
      </c>
      <c r="G3" s="179" t="s">
        <v>343</v>
      </c>
      <c r="H3" s="181" t="s">
        <v>326</v>
      </c>
    </row>
    <row r="4" spans="1:8" ht="192" customHeight="1" x14ac:dyDescent="0.25">
      <c r="A4" s="176"/>
      <c r="B4" s="176"/>
      <c r="C4" s="177" t="s">
        <v>186</v>
      </c>
      <c r="D4" s="178" t="s">
        <v>187</v>
      </c>
      <c r="E4" s="179" t="s">
        <v>345</v>
      </c>
      <c r="F4" s="180" t="s">
        <v>339</v>
      </c>
      <c r="G4" s="179" t="s">
        <v>344</v>
      </c>
      <c r="H4" s="181" t="s">
        <v>326</v>
      </c>
    </row>
    <row r="5" spans="1:8" x14ac:dyDescent="0.25">
      <c r="A5" s="176"/>
      <c r="B5" s="176"/>
      <c r="C5" s="182" t="s">
        <v>115</v>
      </c>
      <c r="D5" s="183"/>
      <c r="E5" s="183"/>
      <c r="F5" s="184"/>
      <c r="G5" s="184"/>
      <c r="H5" s="185"/>
    </row>
    <row r="6" spans="1:8" ht="77.25" customHeight="1" x14ac:dyDescent="0.25">
      <c r="A6" s="176"/>
      <c r="B6" s="176"/>
      <c r="C6" s="177" t="s">
        <v>188</v>
      </c>
      <c r="D6" s="178" t="s">
        <v>189</v>
      </c>
      <c r="E6" s="179" t="s">
        <v>333</v>
      </c>
      <c r="F6" s="179" t="s">
        <v>335</v>
      </c>
      <c r="G6" s="179"/>
      <c r="H6" s="181" t="s">
        <v>320</v>
      </c>
    </row>
    <row r="7" spans="1:8" ht="91.5" customHeight="1" x14ac:dyDescent="0.25">
      <c r="A7" s="176"/>
      <c r="B7" s="176"/>
      <c r="C7" s="177" t="s">
        <v>190</v>
      </c>
      <c r="D7" s="178" t="s">
        <v>191</v>
      </c>
      <c r="E7" s="179" t="s">
        <v>342</v>
      </c>
      <c r="F7" s="179" t="s">
        <v>336</v>
      </c>
      <c r="G7" s="179" t="s">
        <v>344</v>
      </c>
      <c r="H7" s="181" t="s">
        <v>320</v>
      </c>
    </row>
    <row r="8" spans="1:8" x14ac:dyDescent="0.25">
      <c r="A8" s="176"/>
      <c r="B8" s="176"/>
      <c r="C8" s="182" t="s">
        <v>120</v>
      </c>
      <c r="D8" s="183"/>
      <c r="E8" s="183"/>
      <c r="F8" s="184"/>
      <c r="G8" s="184"/>
      <c r="H8" s="185"/>
    </row>
    <row r="9" spans="1:8" ht="161.25" customHeight="1" x14ac:dyDescent="0.25">
      <c r="A9" s="176"/>
      <c r="B9" s="176"/>
      <c r="C9" s="177" t="s">
        <v>192</v>
      </c>
      <c r="D9" s="178" t="s">
        <v>193</v>
      </c>
      <c r="E9" s="179" t="s">
        <v>334</v>
      </c>
      <c r="F9" s="179" t="s">
        <v>337</v>
      </c>
      <c r="G9" s="179"/>
      <c r="H9" s="181" t="s">
        <v>320</v>
      </c>
    </row>
    <row r="10" spans="1:8" ht="159" customHeight="1" x14ac:dyDescent="0.25"/>
  </sheetData>
  <mergeCells count="5">
    <mergeCell ref="A2:A9"/>
    <mergeCell ref="B2:B9"/>
    <mergeCell ref="C2:E2"/>
    <mergeCell ref="C5:E5"/>
    <mergeCell ref="C8:E8"/>
  </mergeCells>
  <pageMargins left="0.39370078740157483" right="0.19685039370078741" top="0.19685039370078741" bottom="0.19685039370078741" header="0.31496062992125984" footer="0.31496062992125984"/>
  <pageSetup paperSize="9" scale="40" fitToHeight="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6009-FF0D-412A-BF32-1108C6095CC9}">
  <sheetPr>
    <pageSetUpPr fitToPage="1"/>
  </sheetPr>
  <dimension ref="A1:Q48"/>
  <sheetViews>
    <sheetView view="pageBreakPreview" topLeftCell="A25" zoomScale="70" zoomScaleNormal="85" zoomScaleSheetLayoutView="70" workbookViewId="0">
      <selection activeCell="F33" sqref="F33"/>
    </sheetView>
  </sheetViews>
  <sheetFormatPr defaultRowHeight="15" x14ac:dyDescent="0.25"/>
  <cols>
    <col min="1" max="1" width="5.28515625" customWidth="1"/>
    <col min="2" max="2" width="22" customWidth="1"/>
    <col min="3" max="4" width="14" customWidth="1"/>
    <col min="5" max="5" width="15.7109375" customWidth="1"/>
    <col min="6" max="6" width="8.28515625" customWidth="1"/>
    <col min="7" max="7" width="68.140625" customWidth="1"/>
    <col min="8" max="8" width="7.42578125" bestFit="1" customWidth="1"/>
    <col min="9" max="9" width="7.28515625" customWidth="1"/>
    <col min="11" max="11" width="111.5703125" customWidth="1"/>
  </cols>
  <sheetData>
    <row r="1" spans="1:17" ht="21" x14ac:dyDescent="0.25">
      <c r="A1" s="106" t="s">
        <v>64</v>
      </c>
      <c r="B1" s="106"/>
      <c r="C1" s="106"/>
      <c r="D1" s="106"/>
      <c r="E1" s="106"/>
      <c r="F1" s="106"/>
      <c r="G1" s="106"/>
      <c r="H1" s="106"/>
    </row>
    <row r="2" spans="1:17" ht="15.6" customHeight="1" x14ac:dyDescent="0.25">
      <c r="A2" s="67"/>
      <c r="B2" s="67"/>
      <c r="C2" s="67"/>
      <c r="D2" s="67"/>
      <c r="E2" s="67"/>
      <c r="F2" s="67"/>
      <c r="G2" s="67"/>
      <c r="H2" s="67"/>
    </row>
    <row r="3" spans="1:17" ht="18.75" x14ac:dyDescent="0.3">
      <c r="A3" s="107" t="s">
        <v>21</v>
      </c>
      <c r="B3" s="107"/>
      <c r="C3" s="37" t="s">
        <v>280</v>
      </c>
      <c r="D3" s="33"/>
      <c r="E3" s="33"/>
      <c r="G3" s="38" t="s">
        <v>279</v>
      </c>
    </row>
    <row r="4" spans="1:17" ht="19.5" thickBot="1" x14ac:dyDescent="0.3">
      <c r="A4" s="63" t="s">
        <v>5</v>
      </c>
      <c r="B4" s="71"/>
    </row>
    <row r="5" spans="1:17" ht="31.15" customHeight="1" x14ac:dyDescent="0.25">
      <c r="A5" s="92" t="s">
        <v>6</v>
      </c>
      <c r="B5" s="93"/>
      <c r="C5" s="108"/>
      <c r="D5" s="109"/>
      <c r="E5" s="109"/>
      <c r="F5" s="109"/>
      <c r="G5" s="109"/>
      <c r="H5" s="110"/>
    </row>
    <row r="6" spans="1:17" ht="15.75" thickBot="1" x14ac:dyDescent="0.3">
      <c r="A6" s="111"/>
      <c r="B6" s="112"/>
      <c r="C6" s="15"/>
      <c r="D6" s="15"/>
      <c r="E6" s="15"/>
      <c r="F6" s="15"/>
      <c r="G6" s="15"/>
      <c r="H6" s="25"/>
    </row>
    <row r="7" spans="1:17" ht="25.15" customHeight="1" x14ac:dyDescent="0.25">
      <c r="A7" s="92" t="s">
        <v>289</v>
      </c>
      <c r="B7" s="93"/>
      <c r="C7" s="94">
        <f>Чек6!G1</f>
        <v>44127</v>
      </c>
      <c r="D7" s="95"/>
      <c r="E7" s="96" t="s">
        <v>308</v>
      </c>
      <c r="F7" s="77" t="s">
        <v>7</v>
      </c>
      <c r="G7" s="98" t="s">
        <v>29</v>
      </c>
      <c r="H7" s="99"/>
    </row>
    <row r="8" spans="1:17" ht="25.15" customHeight="1" x14ac:dyDescent="0.25">
      <c r="A8" s="100" t="s">
        <v>8</v>
      </c>
      <c r="B8" s="101"/>
      <c r="C8" s="34">
        <v>44022</v>
      </c>
      <c r="D8" s="75">
        <v>44168</v>
      </c>
      <c r="E8" s="96"/>
      <c r="F8" s="78" t="s">
        <v>9</v>
      </c>
      <c r="G8" s="102"/>
      <c r="H8" s="103"/>
    </row>
    <row r="9" spans="1:17" ht="25.15" customHeight="1" thickBot="1" x14ac:dyDescent="0.3">
      <c r="A9" s="100" t="s">
        <v>10</v>
      </c>
      <c r="B9" s="101"/>
      <c r="C9" s="104" t="str">
        <f>IF(C10&lt;3,"Диагностика",IF(C10&lt;6,"Реализация",IF(C10&gt;6,"Тиражирование","")))</f>
        <v>Диагностика</v>
      </c>
      <c r="D9" s="105"/>
      <c r="E9" s="97"/>
      <c r="F9" s="78" t="s">
        <v>11</v>
      </c>
      <c r="G9" s="102"/>
      <c r="H9" s="103"/>
    </row>
    <row r="10" spans="1:17" ht="25.15" customHeight="1" thickBot="1" x14ac:dyDescent="0.3">
      <c r="A10" s="113" t="s">
        <v>4</v>
      </c>
      <c r="B10" s="114"/>
      <c r="C10" s="32">
        <f>((C7-C8)-E10)/30</f>
        <v>2.5</v>
      </c>
      <c r="D10" s="76" t="s">
        <v>281</v>
      </c>
      <c r="E10" s="80">
        <v>30</v>
      </c>
      <c r="F10" s="79" t="s">
        <v>12</v>
      </c>
      <c r="G10" s="115"/>
      <c r="H10" s="116"/>
    </row>
    <row r="11" spans="1:17" x14ac:dyDescent="0.25">
      <c r="A11" s="2"/>
      <c r="B11" s="2"/>
    </row>
    <row r="12" spans="1:17" ht="18.75" x14ac:dyDescent="0.25">
      <c r="A12" s="118" t="s">
        <v>13</v>
      </c>
      <c r="B12" s="118"/>
      <c r="C12" s="118"/>
      <c r="D12" s="118"/>
      <c r="E12" s="118"/>
      <c r="F12" s="118"/>
      <c r="G12" s="118"/>
    </row>
    <row r="13" spans="1:17" ht="147.6" customHeight="1" x14ac:dyDescent="0.25">
      <c r="A13" s="119"/>
      <c r="B13" s="120"/>
      <c r="C13" s="120"/>
      <c r="D13" s="120"/>
      <c r="E13" s="120"/>
      <c r="F13" s="120"/>
      <c r="G13" s="120"/>
      <c r="H13" s="121"/>
      <c r="K13" s="7" t="s">
        <v>14</v>
      </c>
      <c r="L13" s="8"/>
      <c r="M13" s="8"/>
      <c r="N13" s="8"/>
      <c r="O13" s="8"/>
      <c r="P13" s="8"/>
      <c r="Q13" s="8"/>
    </row>
    <row r="14" spans="1:17" ht="19.5" thickBot="1" x14ac:dyDescent="0.3">
      <c r="A14" s="122" t="s">
        <v>49</v>
      </c>
      <c r="B14" s="122"/>
      <c r="C14" s="122"/>
      <c r="D14" s="122"/>
      <c r="E14" s="122"/>
      <c r="F14" s="122"/>
      <c r="G14" s="122"/>
      <c r="H14" s="122"/>
    </row>
    <row r="15" spans="1:17" ht="37.15" customHeight="1" x14ac:dyDescent="0.25">
      <c r="A15" s="50" t="s">
        <v>0</v>
      </c>
      <c r="B15" s="65" t="s">
        <v>50</v>
      </c>
      <c r="C15" s="65" t="s">
        <v>51</v>
      </c>
      <c r="D15" s="123" t="s">
        <v>52</v>
      </c>
      <c r="E15" s="123"/>
      <c r="F15" s="123"/>
      <c r="G15" s="123"/>
      <c r="H15" s="51" t="s">
        <v>15</v>
      </c>
      <c r="J15" s="6" t="s">
        <v>15</v>
      </c>
    </row>
    <row r="16" spans="1:17" s="14" customFormat="1" ht="15.75" x14ac:dyDescent="0.25">
      <c r="A16" s="52" t="s">
        <v>291</v>
      </c>
      <c r="B16" s="124" t="s">
        <v>86</v>
      </c>
      <c r="C16" s="124"/>
      <c r="D16" s="124"/>
      <c r="E16" s="124"/>
      <c r="F16" s="124"/>
      <c r="G16" s="124"/>
      <c r="H16" s="53"/>
      <c r="I16"/>
      <c r="J16" s="13"/>
    </row>
    <row r="17" spans="1:13" ht="72.599999999999994" customHeight="1" x14ac:dyDescent="0.25">
      <c r="A17" s="56" t="s">
        <v>66</v>
      </c>
      <c r="B17" s="66" t="s">
        <v>55</v>
      </c>
      <c r="C17" s="35" t="s">
        <v>54</v>
      </c>
      <c r="D17" s="125"/>
      <c r="E17" s="125"/>
      <c r="F17" s="125"/>
      <c r="G17" s="125"/>
      <c r="H17" s="54">
        <f>IF(C17="Да",30,IF(C17="Без участия ФЦК",15,0))</f>
        <v>30</v>
      </c>
      <c r="I17" s="73"/>
      <c r="J17" s="12" t="s">
        <v>53</v>
      </c>
      <c r="K17" s="7" t="s">
        <v>17</v>
      </c>
    </row>
    <row r="18" spans="1:13" ht="15.75" x14ac:dyDescent="0.25">
      <c r="A18" s="55" t="s">
        <v>292</v>
      </c>
      <c r="B18" s="124" t="s">
        <v>1</v>
      </c>
      <c r="C18" s="124"/>
      <c r="D18" s="124"/>
      <c r="E18" s="124"/>
      <c r="F18" s="124"/>
      <c r="G18" s="124"/>
      <c r="H18" s="54">
        <f>SUM(H19:H21)</f>
        <v>0</v>
      </c>
      <c r="I18" s="73"/>
      <c r="J18" s="12" t="s">
        <v>3</v>
      </c>
    </row>
    <row r="19" spans="1:13" ht="78.75" x14ac:dyDescent="0.25">
      <c r="A19" s="56" t="s">
        <v>293</v>
      </c>
      <c r="B19" s="64" t="s">
        <v>299</v>
      </c>
      <c r="C19" s="81" t="s">
        <v>16</v>
      </c>
      <c r="D19" s="125"/>
      <c r="E19" s="125"/>
      <c r="F19" s="125"/>
      <c r="G19" s="125"/>
      <c r="H19" s="54">
        <f>IF(C19="Да",10,0)</f>
        <v>0</v>
      </c>
      <c r="I19" s="73" t="s">
        <v>306</v>
      </c>
      <c r="J19" s="5" t="s">
        <v>46</v>
      </c>
      <c r="K19" s="7" t="s">
        <v>290</v>
      </c>
    </row>
    <row r="20" spans="1:13" ht="57" customHeight="1" x14ac:dyDescent="0.25">
      <c r="A20" s="56" t="s">
        <v>294</v>
      </c>
      <c r="B20" s="64" t="s">
        <v>300</v>
      </c>
      <c r="C20" s="81" t="s">
        <v>16</v>
      </c>
      <c r="D20" s="125"/>
      <c r="E20" s="125"/>
      <c r="F20" s="125"/>
      <c r="G20" s="125"/>
      <c r="H20" s="54">
        <f>IF(C20="Да",10,0)</f>
        <v>0</v>
      </c>
      <c r="I20" s="73" t="s">
        <v>305</v>
      </c>
      <c r="J20" s="5" t="s">
        <v>46</v>
      </c>
      <c r="K20" s="7" t="s">
        <v>18</v>
      </c>
    </row>
    <row r="21" spans="1:13" ht="58.9" customHeight="1" x14ac:dyDescent="0.25">
      <c r="A21" s="56" t="s">
        <v>295</v>
      </c>
      <c r="B21" s="64" t="s">
        <v>301</v>
      </c>
      <c r="C21" s="81" t="s">
        <v>16</v>
      </c>
      <c r="D21" s="126" t="str">
        <f>"По чек-листу V4,0 набрано  "&amp;F32&amp;"  баллов"</f>
        <v>По чек-листу V4,0 набрано  0  баллов</v>
      </c>
      <c r="E21" s="126"/>
      <c r="F21" s="126"/>
      <c r="G21" s="126"/>
      <c r="H21" s="54">
        <f>IF(C21="Да",10,0)</f>
        <v>0</v>
      </c>
      <c r="I21" s="73"/>
      <c r="J21" s="5" t="s">
        <v>46</v>
      </c>
      <c r="K21" s="7" t="s">
        <v>19</v>
      </c>
    </row>
    <row r="22" spans="1:13" ht="15.75" x14ac:dyDescent="0.25">
      <c r="A22" s="57" t="s">
        <v>296</v>
      </c>
      <c r="B22" s="127" t="s">
        <v>2</v>
      </c>
      <c r="C22" s="128"/>
      <c r="D22" s="128"/>
      <c r="E22" s="128"/>
      <c r="F22" s="128"/>
      <c r="G22" s="129"/>
      <c r="H22" s="54"/>
      <c r="I22" s="73"/>
      <c r="J22" s="5"/>
      <c r="K22" s="7"/>
    </row>
    <row r="23" spans="1:13" ht="63.75" thickBot="1" x14ac:dyDescent="0.3">
      <c r="A23" s="58" t="s">
        <v>298</v>
      </c>
      <c r="B23" s="59" t="s">
        <v>73</v>
      </c>
      <c r="C23" s="48" t="s">
        <v>54</v>
      </c>
      <c r="D23" s="117" t="s">
        <v>276</v>
      </c>
      <c r="E23" s="117"/>
      <c r="F23" s="117"/>
      <c r="G23" s="117"/>
      <c r="H23" s="60">
        <f>IF(C23="Да",10,0)</f>
        <v>10</v>
      </c>
      <c r="I23" s="73"/>
      <c r="J23" s="12" t="s">
        <v>46</v>
      </c>
      <c r="K23" s="7" t="s">
        <v>20</v>
      </c>
    </row>
    <row r="24" spans="1:13" ht="15.75" x14ac:dyDescent="0.25">
      <c r="A24" s="45" t="s">
        <v>297</v>
      </c>
      <c r="B24" s="137" t="s">
        <v>67</v>
      </c>
      <c r="C24" s="138"/>
      <c r="D24" s="138"/>
      <c r="E24" s="138"/>
      <c r="F24" s="138"/>
      <c r="G24" s="139"/>
      <c r="H24" s="46"/>
      <c r="I24" s="73"/>
      <c r="J24" s="12"/>
      <c r="K24" s="7"/>
    </row>
    <row r="25" spans="1:13" ht="30" customHeight="1" x14ac:dyDescent="0.25">
      <c r="A25" s="130" t="s">
        <v>68</v>
      </c>
      <c r="B25" s="132" t="s">
        <v>83</v>
      </c>
      <c r="C25" s="35" t="s">
        <v>16</v>
      </c>
      <c r="D25" s="119"/>
      <c r="E25" s="120"/>
      <c r="F25" s="120"/>
      <c r="G25" s="121"/>
      <c r="H25" s="47">
        <f>IF(C25="Да",5,0)</f>
        <v>0</v>
      </c>
      <c r="I25" s="74" t="s">
        <v>307</v>
      </c>
      <c r="J25" s="12" t="s">
        <v>274</v>
      </c>
      <c r="K25" s="134" t="s">
        <v>71</v>
      </c>
      <c r="L25" s="135"/>
      <c r="M25" s="136"/>
    </row>
    <row r="26" spans="1:13" ht="30" customHeight="1" x14ac:dyDescent="0.25">
      <c r="A26" s="140"/>
      <c r="B26" s="141"/>
      <c r="C26" s="35" t="s">
        <v>16</v>
      </c>
      <c r="D26" s="119"/>
      <c r="E26" s="120"/>
      <c r="F26" s="120"/>
      <c r="G26" s="121"/>
      <c r="H26" s="47">
        <f t="shared" ref="H26:H30" si="0">IF(C26="Да",5,0)</f>
        <v>0</v>
      </c>
      <c r="I26" s="73"/>
      <c r="J26" s="12" t="s">
        <v>274</v>
      </c>
      <c r="K26" s="134" t="s">
        <v>72</v>
      </c>
      <c r="L26" s="135"/>
      <c r="M26" s="136"/>
    </row>
    <row r="27" spans="1:13" ht="30" customHeight="1" x14ac:dyDescent="0.25">
      <c r="A27" s="130" t="s">
        <v>69</v>
      </c>
      <c r="B27" s="132" t="s">
        <v>84</v>
      </c>
      <c r="C27" s="35" t="s">
        <v>16</v>
      </c>
      <c r="D27" s="119"/>
      <c r="E27" s="120"/>
      <c r="F27" s="120"/>
      <c r="G27" s="121"/>
      <c r="H27" s="47">
        <f t="shared" si="0"/>
        <v>0</v>
      </c>
      <c r="I27" s="73"/>
      <c r="J27" s="12" t="s">
        <v>274</v>
      </c>
      <c r="K27" s="134" t="s">
        <v>74</v>
      </c>
      <c r="L27" s="135"/>
      <c r="M27" s="136"/>
    </row>
    <row r="28" spans="1:13" ht="30" customHeight="1" x14ac:dyDescent="0.25">
      <c r="A28" s="140"/>
      <c r="B28" s="141"/>
      <c r="C28" s="35" t="s">
        <v>16</v>
      </c>
      <c r="D28" s="119"/>
      <c r="E28" s="120"/>
      <c r="F28" s="120"/>
      <c r="G28" s="121"/>
      <c r="H28" s="47">
        <f t="shared" si="0"/>
        <v>0</v>
      </c>
      <c r="I28" s="73"/>
      <c r="J28" s="12" t="s">
        <v>274</v>
      </c>
      <c r="K28" s="134" t="s">
        <v>75</v>
      </c>
      <c r="L28" s="135"/>
      <c r="M28" s="136"/>
    </row>
    <row r="29" spans="1:13" ht="30" customHeight="1" x14ac:dyDescent="0.25">
      <c r="A29" s="130" t="s">
        <v>70</v>
      </c>
      <c r="B29" s="132" t="s">
        <v>85</v>
      </c>
      <c r="C29" s="35" t="s">
        <v>16</v>
      </c>
      <c r="D29" s="119"/>
      <c r="E29" s="120"/>
      <c r="F29" s="120"/>
      <c r="G29" s="121"/>
      <c r="H29" s="47">
        <f t="shared" si="0"/>
        <v>0</v>
      </c>
      <c r="I29" s="73"/>
      <c r="J29" s="12" t="s">
        <v>274</v>
      </c>
      <c r="K29" s="134" t="s">
        <v>76</v>
      </c>
      <c r="L29" s="135"/>
      <c r="M29" s="136"/>
    </row>
    <row r="30" spans="1:13" ht="30" customHeight="1" thickBot="1" x14ac:dyDescent="0.3">
      <c r="A30" s="131"/>
      <c r="B30" s="133"/>
      <c r="C30" s="48" t="s">
        <v>16</v>
      </c>
      <c r="D30" s="142"/>
      <c r="E30" s="143"/>
      <c r="F30" s="143"/>
      <c r="G30" s="144"/>
      <c r="H30" s="49">
        <f t="shared" si="0"/>
        <v>0</v>
      </c>
      <c r="I30" s="73"/>
      <c r="J30" s="12" t="s">
        <v>274</v>
      </c>
      <c r="K30" s="134" t="s">
        <v>77</v>
      </c>
      <c r="L30" s="135"/>
      <c r="M30" s="136"/>
    </row>
    <row r="31" spans="1:13" ht="15.6" customHeight="1" thickBot="1" x14ac:dyDescent="0.3">
      <c r="A31" s="43" t="s">
        <v>78</v>
      </c>
      <c r="B31" s="149" t="s">
        <v>278</v>
      </c>
      <c r="C31" s="150"/>
      <c r="D31" s="150"/>
      <c r="E31" s="150"/>
      <c r="F31" s="150"/>
      <c r="G31" s="151"/>
      <c r="H31" s="44"/>
      <c r="I31" s="73"/>
      <c r="J31" s="12"/>
      <c r="K31" s="7"/>
    </row>
    <row r="32" spans="1:13" ht="51.6" customHeight="1" thickBot="1" x14ac:dyDescent="0.3">
      <c r="A32" s="41" t="s">
        <v>79</v>
      </c>
      <c r="B32" s="152" t="s">
        <v>273</v>
      </c>
      <c r="C32" s="152"/>
      <c r="D32" s="153" t="s">
        <v>302</v>
      </c>
      <c r="E32" s="153"/>
      <c r="F32" s="62">
        <f>Чек6!H131</f>
        <v>0</v>
      </c>
      <c r="G32" s="61" t="s">
        <v>81</v>
      </c>
      <c r="H32" s="42">
        <f>IF(F32-21&gt;0,F32-21,0)</f>
        <v>0</v>
      </c>
      <c r="J32" s="10" t="s">
        <v>48</v>
      </c>
      <c r="K32" s="11" t="s">
        <v>47</v>
      </c>
    </row>
    <row r="33" spans="1:11" ht="18.75" x14ac:dyDescent="0.25">
      <c r="A33" s="1"/>
      <c r="B33" s="1"/>
      <c r="G33" s="9" t="s">
        <v>275</v>
      </c>
      <c r="H33" s="40">
        <f>H17+H18+H23+SUM(H25:H30)+H32</f>
        <v>40</v>
      </c>
      <c r="J33" s="146" t="s">
        <v>80</v>
      </c>
      <c r="K33" s="147"/>
    </row>
    <row r="34" spans="1:11" ht="18.75" x14ac:dyDescent="0.25">
      <c r="A34" s="39" t="s">
        <v>88</v>
      </c>
      <c r="B34" s="118" t="s">
        <v>89</v>
      </c>
      <c r="C34" s="118"/>
      <c r="D34" s="118"/>
      <c r="E34" s="118"/>
      <c r="F34" s="118"/>
      <c r="G34" s="118"/>
    </row>
    <row r="35" spans="1:11" ht="15.75" x14ac:dyDescent="0.25">
      <c r="A35" s="82" t="s">
        <v>157</v>
      </c>
      <c r="B35" s="148"/>
      <c r="C35" s="148"/>
      <c r="D35" s="148"/>
      <c r="E35" s="148"/>
      <c r="F35" s="148"/>
      <c r="G35" s="148"/>
      <c r="H35" s="148"/>
    </row>
    <row r="36" spans="1:11" ht="15.75" x14ac:dyDescent="0.25">
      <c r="A36" s="83" t="s">
        <v>159</v>
      </c>
      <c r="B36" s="145"/>
      <c r="C36" s="145"/>
      <c r="D36" s="145"/>
      <c r="E36" s="145"/>
      <c r="F36" s="145"/>
      <c r="G36" s="145"/>
      <c r="H36" s="145"/>
    </row>
    <row r="37" spans="1:11" ht="15.75" x14ac:dyDescent="0.25">
      <c r="A37" s="83" t="s">
        <v>161</v>
      </c>
      <c r="B37" s="145"/>
      <c r="C37" s="145"/>
      <c r="D37" s="145"/>
      <c r="E37" s="145"/>
      <c r="F37" s="145"/>
      <c r="G37" s="145"/>
      <c r="H37" s="145"/>
    </row>
    <row r="38" spans="1:11" ht="15.75" x14ac:dyDescent="0.25">
      <c r="A38" s="82" t="s">
        <v>163</v>
      </c>
      <c r="B38" s="148"/>
      <c r="C38" s="148"/>
      <c r="D38" s="148"/>
      <c r="E38" s="148"/>
      <c r="F38" s="148"/>
      <c r="G38" s="148"/>
      <c r="H38" s="148"/>
    </row>
    <row r="39" spans="1:11" ht="15.75" x14ac:dyDescent="0.25">
      <c r="A39" s="83" t="s">
        <v>165</v>
      </c>
      <c r="B39" s="145"/>
      <c r="C39" s="145"/>
      <c r="D39" s="145"/>
      <c r="E39" s="145"/>
      <c r="F39" s="145"/>
      <c r="G39" s="145"/>
      <c r="H39" s="145"/>
    </row>
    <row r="40" spans="1:11" ht="15.75" x14ac:dyDescent="0.25">
      <c r="A40" s="83" t="s">
        <v>167</v>
      </c>
      <c r="B40" s="145"/>
      <c r="C40" s="145"/>
      <c r="D40" s="145"/>
      <c r="E40" s="145"/>
      <c r="F40" s="145"/>
      <c r="G40" s="145"/>
      <c r="H40" s="145"/>
    </row>
    <row r="41" spans="1:11" ht="15.75" x14ac:dyDescent="0.25">
      <c r="A41" s="83" t="s">
        <v>169</v>
      </c>
      <c r="B41" s="145"/>
      <c r="C41" s="145"/>
      <c r="D41" s="145"/>
      <c r="E41" s="145"/>
      <c r="F41" s="145"/>
      <c r="G41" s="145"/>
      <c r="H41" s="145"/>
    </row>
    <row r="42" spans="1:11" ht="15.75" x14ac:dyDescent="0.25">
      <c r="A42" s="83" t="s">
        <v>310</v>
      </c>
      <c r="B42" s="145"/>
      <c r="C42" s="145"/>
      <c r="D42" s="145"/>
      <c r="E42" s="145"/>
      <c r="F42" s="145"/>
      <c r="G42" s="145"/>
      <c r="H42" s="145"/>
    </row>
    <row r="43" spans="1:11" ht="15.75" x14ac:dyDescent="0.25">
      <c r="A43" s="83" t="s">
        <v>311</v>
      </c>
      <c r="B43" s="145"/>
      <c r="C43" s="145"/>
      <c r="D43" s="145"/>
      <c r="E43" s="145"/>
      <c r="F43" s="145"/>
      <c r="G43" s="145"/>
      <c r="H43" s="145"/>
    </row>
    <row r="44" spans="1:11" ht="15.75" x14ac:dyDescent="0.25">
      <c r="A44" s="83" t="s">
        <v>312</v>
      </c>
      <c r="B44" s="145"/>
      <c r="C44" s="145"/>
      <c r="D44" s="145"/>
      <c r="E44" s="145"/>
      <c r="F44" s="145"/>
      <c r="G44" s="145"/>
      <c r="H44" s="145"/>
    </row>
    <row r="45" spans="1:11" ht="15.75" x14ac:dyDescent="0.25">
      <c r="A45" s="83" t="s">
        <v>313</v>
      </c>
      <c r="B45" s="145"/>
      <c r="C45" s="145"/>
      <c r="D45" s="145"/>
      <c r="E45" s="145"/>
      <c r="F45" s="145"/>
      <c r="G45" s="145"/>
      <c r="H45" s="145"/>
    </row>
    <row r="46" spans="1:11" ht="15.75" x14ac:dyDescent="0.25">
      <c r="A46" s="83" t="s">
        <v>314</v>
      </c>
      <c r="B46" s="145"/>
      <c r="C46" s="145"/>
      <c r="D46" s="145"/>
      <c r="E46" s="145"/>
      <c r="F46" s="145"/>
      <c r="G46" s="145"/>
      <c r="H46" s="145"/>
    </row>
    <row r="47" spans="1:11" ht="15.75" x14ac:dyDescent="0.25">
      <c r="A47" s="83" t="s">
        <v>315</v>
      </c>
      <c r="B47" s="145"/>
      <c r="C47" s="145"/>
      <c r="D47" s="145"/>
      <c r="E47" s="145"/>
      <c r="F47" s="145"/>
      <c r="G47" s="145"/>
      <c r="H47" s="145"/>
    </row>
    <row r="48" spans="1:11" ht="15.75" x14ac:dyDescent="0.25">
      <c r="A48" s="83" t="s">
        <v>316</v>
      </c>
      <c r="B48" s="145"/>
      <c r="C48" s="145"/>
      <c r="D48" s="145"/>
      <c r="E48" s="145"/>
      <c r="F48" s="145"/>
      <c r="G48" s="145"/>
      <c r="H48" s="145"/>
    </row>
  </sheetData>
  <mergeCells count="66">
    <mergeCell ref="B39:H39"/>
    <mergeCell ref="B40:H40"/>
    <mergeCell ref="B46:H46"/>
    <mergeCell ref="B47:H47"/>
    <mergeCell ref="B48:H48"/>
    <mergeCell ref="B41:H41"/>
    <mergeCell ref="B42:H42"/>
    <mergeCell ref="B43:H43"/>
    <mergeCell ref="B44:H44"/>
    <mergeCell ref="B45:H45"/>
    <mergeCell ref="B38:H38"/>
    <mergeCell ref="B35:H35"/>
    <mergeCell ref="B31:G31"/>
    <mergeCell ref="B32:C32"/>
    <mergeCell ref="D32:E32"/>
    <mergeCell ref="B34:G34"/>
    <mergeCell ref="K28:M28"/>
    <mergeCell ref="D30:G30"/>
    <mergeCell ref="K30:M30"/>
    <mergeCell ref="B36:H36"/>
    <mergeCell ref="B37:H37"/>
    <mergeCell ref="J33:K33"/>
    <mergeCell ref="A29:A30"/>
    <mergeCell ref="B29:B30"/>
    <mergeCell ref="D29:G29"/>
    <mergeCell ref="K29:M29"/>
    <mergeCell ref="B24:G24"/>
    <mergeCell ref="A25:A26"/>
    <mergeCell ref="B25:B26"/>
    <mergeCell ref="D25:G25"/>
    <mergeCell ref="K25:M25"/>
    <mergeCell ref="D26:G26"/>
    <mergeCell ref="K26:M26"/>
    <mergeCell ref="A27:A28"/>
    <mergeCell ref="B27:B28"/>
    <mergeCell ref="D27:G27"/>
    <mergeCell ref="K27:M27"/>
    <mergeCell ref="D28:G28"/>
    <mergeCell ref="A10:B10"/>
    <mergeCell ref="G10:H10"/>
    <mergeCell ref="D23:G23"/>
    <mergeCell ref="A12:G12"/>
    <mergeCell ref="A13:H13"/>
    <mergeCell ref="A14:H14"/>
    <mergeCell ref="D15:G15"/>
    <mergeCell ref="B16:G16"/>
    <mergeCell ref="D17:G17"/>
    <mergeCell ref="B18:G18"/>
    <mergeCell ref="D19:G19"/>
    <mergeCell ref="D20:G20"/>
    <mergeCell ref="D21:G21"/>
    <mergeCell ref="B22:G22"/>
    <mergeCell ref="A1:H1"/>
    <mergeCell ref="A3:B3"/>
    <mergeCell ref="A5:B5"/>
    <mergeCell ref="C5:H5"/>
    <mergeCell ref="A6:B6"/>
    <mergeCell ref="A7:B7"/>
    <mergeCell ref="C7:D7"/>
    <mergeCell ref="E7:E9"/>
    <mergeCell ref="G7:H7"/>
    <mergeCell ref="A8:B8"/>
    <mergeCell ref="G8:H8"/>
    <mergeCell ref="A9:B9"/>
    <mergeCell ref="C9:D9"/>
    <mergeCell ref="G9:H9"/>
  </mergeCells>
  <conditionalFormatting sqref="H20">
    <cfRule type="expression" dxfId="55" priority="15">
      <formula>$C$20="Да"</formula>
    </cfRule>
    <cfRule type="expression" dxfId="54" priority="26">
      <formula>$C$20="Нет"</formula>
    </cfRule>
    <cfRule type="expression" dxfId="53" priority="27">
      <formula>$C$20="НетСоотвРиск"</formula>
    </cfRule>
  </conditionalFormatting>
  <conditionalFormatting sqref="H25">
    <cfRule type="expression" dxfId="52" priority="14">
      <formula>$H$25&gt;0</formula>
    </cfRule>
    <cfRule type="expression" dxfId="51" priority="28">
      <formula>$H$25=0</formula>
    </cfRule>
  </conditionalFormatting>
  <conditionalFormatting sqref="H19">
    <cfRule type="expression" dxfId="50" priority="23">
      <formula>$C$19="Да"</formula>
    </cfRule>
    <cfRule type="expression" dxfId="49" priority="24">
      <formula>$C$19="Нет"</formula>
    </cfRule>
    <cfRule type="expression" dxfId="48" priority="25">
      <formula>$C$19="НетСоотвРиск"</formula>
    </cfRule>
  </conditionalFormatting>
  <conditionalFormatting sqref="H21">
    <cfRule type="expression" dxfId="47" priority="20" stopIfTrue="1">
      <formula>$C$21="Да"</formula>
    </cfRule>
    <cfRule type="expression" dxfId="46" priority="21">
      <formula>$C$21="Нет"</formula>
    </cfRule>
    <cfRule type="expression" dxfId="45" priority="22">
      <formula>$C$21="НетСоотвРиск"</formula>
    </cfRule>
  </conditionalFormatting>
  <conditionalFormatting sqref="H32">
    <cfRule type="expression" dxfId="44" priority="3">
      <formula>$F$32&gt;=21</formula>
    </cfRule>
    <cfRule type="expression" dxfId="43" priority="18">
      <formula>$C$10&lt;6</formula>
    </cfRule>
    <cfRule type="expression" dxfId="42" priority="19">
      <formula>$H$32=0</formula>
    </cfRule>
  </conditionalFormatting>
  <conditionalFormatting sqref="H23">
    <cfRule type="expression" dxfId="41" priority="16">
      <formula>$C$23="Да"</formula>
    </cfRule>
    <cfRule type="expression" dxfId="40" priority="17">
      <formula>$C$23="Нет"</formula>
    </cfRule>
  </conditionalFormatting>
  <conditionalFormatting sqref="H26">
    <cfRule type="expression" dxfId="39" priority="12">
      <formula>$H$26&gt;0</formula>
    </cfRule>
    <cfRule type="expression" dxfId="38" priority="13">
      <formula>$H$26=0</formula>
    </cfRule>
  </conditionalFormatting>
  <conditionalFormatting sqref="H27">
    <cfRule type="expression" dxfId="37" priority="10">
      <formula>$H$27&gt;0</formula>
    </cfRule>
    <cfRule type="expression" dxfId="36" priority="11">
      <formula>$H$27=0</formula>
    </cfRule>
  </conditionalFormatting>
  <conditionalFormatting sqref="H28">
    <cfRule type="expression" dxfId="35" priority="8">
      <formula>$H$28&gt;0</formula>
    </cfRule>
    <cfRule type="expression" dxfId="34" priority="9">
      <formula>$H$28=0</formula>
    </cfRule>
  </conditionalFormatting>
  <conditionalFormatting sqref="H29">
    <cfRule type="expression" dxfId="33" priority="6">
      <formula>$H$29&gt;0</formula>
    </cfRule>
    <cfRule type="expression" dxfId="32" priority="7">
      <formula>$H$29=0</formula>
    </cfRule>
  </conditionalFormatting>
  <conditionalFormatting sqref="H30">
    <cfRule type="expression" dxfId="31" priority="4">
      <formula>$H$30&gt;0</formula>
    </cfRule>
    <cfRule type="expression" dxfId="30" priority="5">
      <formula>$H$30=0</formula>
    </cfRule>
  </conditionalFormatting>
  <conditionalFormatting sqref="H17">
    <cfRule type="expression" dxfId="29" priority="1">
      <formula>$H$17&gt;0</formula>
    </cfRule>
    <cfRule type="expression" dxfId="28" priority="2">
      <formula>$H$17=0</formula>
    </cfRule>
  </conditionalFormatting>
  <dataValidations count="3">
    <dataValidation type="list" allowBlank="1" showInputMessage="1" showErrorMessage="1" sqref="C19:C21" xr:uid="{003CBD3F-03D7-46FC-B54D-C19D5B446603}">
      <formula1>ДаНетНет</formula1>
    </dataValidation>
    <dataValidation type="list" allowBlank="1" showInputMessage="1" showErrorMessage="1" sqref="C17" xr:uid="{7B7D8FE2-E168-4628-95C4-0ADDE86840A0}">
      <formula1>ДаНет</formula1>
    </dataValidation>
    <dataValidation type="list" allowBlank="1" showInputMessage="1" showErrorMessage="1" sqref="G7" xr:uid="{50EE7E3F-7715-4170-A38A-CC7AE8F90D9C}">
      <formula1>РМР</formula1>
    </dataValidation>
  </dataValidations>
  <pageMargins left="0.59055118110236227" right="0.19685039370078741" top="0.19685039370078741" bottom="0.19685039370078741" header="0" footer="0"/>
  <pageSetup paperSize="9" scale="61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1BDE1B-8BA7-4337-A1A1-27E4AA06EF5F}">
          <x14:formula1>
            <xm:f>'Инф РМР'!$G$6:$G$7</xm:f>
          </x14:formula1>
          <xm:sqref>C25:C30 C23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7AF6-7C19-4229-B0D2-AA1CE0378640}">
  <dimension ref="A1:M133"/>
  <sheetViews>
    <sheetView view="pageBreakPreview" zoomScale="55" zoomScaleNormal="60" zoomScaleSheetLayoutView="55" workbookViewId="0">
      <selection activeCell="J1" sqref="J1:J1048576"/>
    </sheetView>
  </sheetViews>
  <sheetFormatPr defaultColWidth="14.42578125" defaultRowHeight="15" x14ac:dyDescent="0.25"/>
  <cols>
    <col min="1" max="1" width="3.7109375" customWidth="1"/>
    <col min="2" max="2" width="15.140625" customWidth="1"/>
    <col min="3" max="3" width="4.7109375" bestFit="1" customWidth="1"/>
    <col min="4" max="4" width="96.5703125" customWidth="1"/>
    <col min="5" max="5" width="14.7109375" customWidth="1"/>
    <col min="6" max="6" width="16.140625" hidden="1" customWidth="1"/>
    <col min="7" max="7" width="37.42578125" customWidth="1"/>
    <col min="8" max="8" width="8.7109375" customWidth="1"/>
    <col min="9" max="9" width="3.42578125" hidden="1" customWidth="1"/>
    <col min="10" max="10" width="38.85546875" customWidth="1"/>
    <col min="11" max="13" width="8.7109375" customWidth="1"/>
  </cols>
  <sheetData>
    <row r="1" spans="1:13" ht="23.25" x14ac:dyDescent="0.35">
      <c r="A1" s="16"/>
      <c r="B1" s="154" t="s">
        <v>90</v>
      </c>
      <c r="C1" s="155"/>
      <c r="D1" s="155"/>
      <c r="E1" s="31" t="s">
        <v>277</v>
      </c>
      <c r="G1" s="72">
        <v>44127</v>
      </c>
    </row>
    <row r="2" spans="1:13" ht="14.25" customHeight="1" x14ac:dyDescent="0.25">
      <c r="A2" s="27" t="s">
        <v>0</v>
      </c>
      <c r="B2" s="68" t="s">
        <v>91</v>
      </c>
      <c r="C2" s="156" t="s">
        <v>92</v>
      </c>
      <c r="D2" s="157"/>
      <c r="E2" s="28" t="s">
        <v>93</v>
      </c>
      <c r="F2" s="28"/>
      <c r="G2" s="28" t="s">
        <v>94</v>
      </c>
      <c r="H2" s="28" t="s">
        <v>95</v>
      </c>
    </row>
    <row r="3" spans="1:13" ht="14.25" customHeight="1" x14ac:dyDescent="0.25">
      <c r="A3" s="158">
        <v>1</v>
      </c>
      <c r="B3" s="159" t="s">
        <v>56</v>
      </c>
      <c r="C3" s="91" t="s">
        <v>96</v>
      </c>
      <c r="D3" s="89"/>
      <c r="E3" s="89"/>
      <c r="F3" s="89"/>
      <c r="G3" s="89"/>
      <c r="H3" s="160">
        <f>IF(F4=0,0,IF(F7=0,F4,SUM(F4,F7,F10)))</f>
        <v>0</v>
      </c>
      <c r="M3" s="17" t="s">
        <v>97</v>
      </c>
    </row>
    <row r="4" spans="1:13" ht="19.899999999999999" customHeight="1" x14ac:dyDescent="0.25">
      <c r="A4" s="89"/>
      <c r="B4" s="89"/>
      <c r="C4" s="18" t="s">
        <v>87</v>
      </c>
      <c r="D4" s="22" t="s">
        <v>98</v>
      </c>
      <c r="E4" s="69"/>
      <c r="F4" s="90">
        <f>IF(SUMIF(E4:E5,"соответствует",$I$4:$I$130)=2,1,0)</f>
        <v>0</v>
      </c>
      <c r="G4" s="20"/>
      <c r="H4" s="89"/>
      <c r="I4">
        <v>1</v>
      </c>
      <c r="J4" s="84" t="s">
        <v>303</v>
      </c>
      <c r="M4" s="19" t="s">
        <v>99</v>
      </c>
    </row>
    <row r="5" spans="1:13" ht="19.899999999999999" customHeight="1" x14ac:dyDescent="0.25">
      <c r="A5" s="89"/>
      <c r="B5" s="89"/>
      <c r="C5" s="18" t="s">
        <v>100</v>
      </c>
      <c r="D5" s="22" t="s">
        <v>101</v>
      </c>
      <c r="E5" s="69"/>
      <c r="F5" s="89"/>
      <c r="G5" s="20"/>
      <c r="H5" s="89"/>
      <c r="I5">
        <v>1</v>
      </c>
      <c r="J5" s="84" t="s">
        <v>303</v>
      </c>
      <c r="M5" s="19" t="s">
        <v>102</v>
      </c>
    </row>
    <row r="6" spans="1:13" ht="14.25" customHeight="1" x14ac:dyDescent="0.25">
      <c r="A6" s="89"/>
      <c r="B6" s="89"/>
      <c r="C6" s="91" t="s">
        <v>103</v>
      </c>
      <c r="D6" s="89"/>
      <c r="E6" s="89"/>
      <c r="F6" s="89"/>
      <c r="G6" s="89"/>
      <c r="H6" s="89"/>
      <c r="I6">
        <v>1</v>
      </c>
    </row>
    <row r="7" spans="1:13" ht="19.899999999999999" customHeight="1" x14ac:dyDescent="0.25">
      <c r="A7" s="89"/>
      <c r="B7" s="89"/>
      <c r="C7" s="18" t="s">
        <v>104</v>
      </c>
      <c r="D7" s="22" t="s">
        <v>105</v>
      </c>
      <c r="E7" s="69"/>
      <c r="F7" s="90">
        <f>IF(SUMIF(E7:E8,"соответствует",$I$4:$I$130)=2,1,0)</f>
        <v>0</v>
      </c>
      <c r="G7" s="20"/>
      <c r="H7" s="89"/>
      <c r="I7">
        <v>1</v>
      </c>
      <c r="J7" s="84" t="s">
        <v>303</v>
      </c>
    </row>
    <row r="8" spans="1:13" ht="45" x14ac:dyDescent="0.25">
      <c r="A8" s="89"/>
      <c r="B8" s="89"/>
      <c r="C8" s="18" t="s">
        <v>106</v>
      </c>
      <c r="D8" s="22" t="s">
        <v>107</v>
      </c>
      <c r="E8" s="69"/>
      <c r="F8" s="89"/>
      <c r="G8" s="20"/>
      <c r="H8" s="89"/>
      <c r="I8">
        <v>1</v>
      </c>
      <c r="J8" s="85" t="s">
        <v>317</v>
      </c>
    </row>
    <row r="9" spans="1:13" ht="14.25" customHeight="1" x14ac:dyDescent="0.25">
      <c r="A9" s="89"/>
      <c r="B9" s="89"/>
      <c r="C9" s="91" t="s">
        <v>108</v>
      </c>
      <c r="D9" s="89"/>
      <c r="E9" s="89"/>
      <c r="F9" s="89"/>
      <c r="G9" s="89"/>
      <c r="H9" s="89"/>
      <c r="I9">
        <v>1</v>
      </c>
    </row>
    <row r="10" spans="1:13" ht="30" x14ac:dyDescent="0.25">
      <c r="A10" s="89"/>
      <c r="B10" s="89"/>
      <c r="C10" s="18" t="s">
        <v>109</v>
      </c>
      <c r="D10" s="22" t="s">
        <v>110</v>
      </c>
      <c r="E10" s="69"/>
      <c r="F10" s="90">
        <f>IF(SUMIF(E10:E11,"соответствует",$I$4:$I$130)=2,1,0)</f>
        <v>0</v>
      </c>
      <c r="G10" s="20"/>
      <c r="H10" s="89"/>
      <c r="I10">
        <v>1</v>
      </c>
    </row>
    <row r="11" spans="1:13" ht="19.899999999999999" customHeight="1" x14ac:dyDescent="0.25">
      <c r="A11" s="89"/>
      <c r="B11" s="89"/>
      <c r="C11" s="18" t="s">
        <v>111</v>
      </c>
      <c r="D11" s="22" t="s">
        <v>112</v>
      </c>
      <c r="E11" s="69"/>
      <c r="F11" s="89"/>
      <c r="G11" s="20"/>
      <c r="H11" s="89"/>
      <c r="I11">
        <v>1</v>
      </c>
    </row>
    <row r="12" spans="1:13" ht="14.45" customHeight="1" x14ac:dyDescent="0.25">
      <c r="A12" s="158">
        <v>2</v>
      </c>
      <c r="B12" s="161" t="s">
        <v>113</v>
      </c>
      <c r="C12" s="91" t="s">
        <v>96</v>
      </c>
      <c r="D12" s="89"/>
      <c r="E12" s="89"/>
      <c r="F12" s="89"/>
      <c r="G12" s="89"/>
      <c r="H12" s="160">
        <f>IF(F13=0,0,IF(F15=0,F13,SUM(F13,F15,F19)))</f>
        <v>0</v>
      </c>
      <c r="I12">
        <v>1</v>
      </c>
      <c r="J12" t="s">
        <v>303</v>
      </c>
    </row>
    <row r="13" spans="1:13" ht="19.899999999999999" customHeight="1" x14ac:dyDescent="0.25">
      <c r="A13" s="89"/>
      <c r="B13" s="89"/>
      <c r="C13" s="18" t="s">
        <v>41</v>
      </c>
      <c r="D13" s="22" t="s">
        <v>114</v>
      </c>
      <c r="E13" s="69"/>
      <c r="F13" s="70">
        <f>IF(SUMIF(E13,"соответствует",$I$4:$I$130)=1,1,0)</f>
        <v>0</v>
      </c>
      <c r="G13" s="20"/>
      <c r="H13" s="89"/>
      <c r="I13">
        <v>1</v>
      </c>
      <c r="J13" s="84" t="s">
        <v>318</v>
      </c>
    </row>
    <row r="14" spans="1:13" ht="14.45" customHeight="1" x14ac:dyDescent="0.25">
      <c r="A14" s="89"/>
      <c r="B14" s="89"/>
      <c r="C14" s="91" t="s">
        <v>115</v>
      </c>
      <c r="D14" s="89"/>
      <c r="E14" s="89"/>
      <c r="F14" s="89"/>
      <c r="G14" s="89"/>
      <c r="H14" s="89"/>
      <c r="I14">
        <v>1</v>
      </c>
    </row>
    <row r="15" spans="1:13" ht="19.899999999999999" customHeight="1" x14ac:dyDescent="0.25">
      <c r="A15" s="89"/>
      <c r="B15" s="89"/>
      <c r="C15" s="18" t="s">
        <v>42</v>
      </c>
      <c r="D15" s="22" t="s">
        <v>116</v>
      </c>
      <c r="E15" s="69"/>
      <c r="F15" s="162">
        <f>IF(SUMIF(E15:E17,"соответствует",$I$4:$I$134)=3,1,0)</f>
        <v>0</v>
      </c>
      <c r="G15" s="20"/>
      <c r="H15" s="89"/>
      <c r="I15">
        <v>1</v>
      </c>
    </row>
    <row r="16" spans="1:13" ht="30" x14ac:dyDescent="0.25">
      <c r="A16" s="89"/>
      <c r="B16" s="89"/>
      <c r="C16" s="18" t="s">
        <v>43</v>
      </c>
      <c r="D16" s="22" t="s">
        <v>117</v>
      </c>
      <c r="E16" s="69"/>
      <c r="F16" s="89"/>
      <c r="G16" s="20"/>
      <c r="H16" s="89"/>
      <c r="I16">
        <v>1</v>
      </c>
      <c r="J16" s="20" t="s">
        <v>319</v>
      </c>
    </row>
    <row r="17" spans="1:10" ht="45" x14ac:dyDescent="0.25">
      <c r="A17" s="89"/>
      <c r="B17" s="89"/>
      <c r="C17" s="18" t="s">
        <v>118</v>
      </c>
      <c r="D17" s="22" t="s">
        <v>119</v>
      </c>
      <c r="E17" s="69"/>
      <c r="F17" s="89"/>
      <c r="G17" s="20"/>
      <c r="H17" s="89"/>
      <c r="I17">
        <v>1</v>
      </c>
      <c r="J17" s="84" t="s">
        <v>320</v>
      </c>
    </row>
    <row r="18" spans="1:10" ht="14.45" customHeight="1" x14ac:dyDescent="0.25">
      <c r="A18" s="89"/>
      <c r="B18" s="89"/>
      <c r="C18" s="91" t="s">
        <v>120</v>
      </c>
      <c r="D18" s="89"/>
      <c r="E18" s="89"/>
      <c r="F18" s="89"/>
      <c r="G18" s="89"/>
      <c r="H18" s="89"/>
      <c r="I18">
        <v>1</v>
      </c>
    </row>
    <row r="19" spans="1:10" ht="30" x14ac:dyDescent="0.25">
      <c r="A19" s="89"/>
      <c r="B19" s="89"/>
      <c r="C19" s="18" t="s">
        <v>121</v>
      </c>
      <c r="D19" s="22" t="s">
        <v>122</v>
      </c>
      <c r="E19" s="69"/>
      <c r="F19" s="90">
        <f>IF(SUMIF(E19:E20,"соответствует",$I$4:$I$134)=2,1,0)</f>
        <v>0</v>
      </c>
      <c r="G19" s="20"/>
      <c r="H19" s="89"/>
      <c r="I19">
        <v>1</v>
      </c>
      <c r="J19" s="20"/>
    </row>
    <row r="20" spans="1:10" ht="30" x14ac:dyDescent="0.25">
      <c r="A20" s="89"/>
      <c r="B20" s="89"/>
      <c r="C20" s="18" t="s">
        <v>123</v>
      </c>
      <c r="D20" s="22" t="s">
        <v>124</v>
      </c>
      <c r="E20" s="69"/>
      <c r="F20" s="89"/>
      <c r="G20" s="20"/>
      <c r="H20" s="89"/>
      <c r="I20">
        <v>1</v>
      </c>
      <c r="J20" s="84" t="s">
        <v>321</v>
      </c>
    </row>
    <row r="21" spans="1:10" ht="14.45" customHeight="1" x14ac:dyDescent="0.25">
      <c r="A21" s="158">
        <v>3</v>
      </c>
      <c r="B21" s="161" t="s">
        <v>125</v>
      </c>
      <c r="C21" s="91" t="s">
        <v>96</v>
      </c>
      <c r="D21" s="89"/>
      <c r="E21" s="89"/>
      <c r="F21" s="89"/>
      <c r="G21" s="89"/>
      <c r="H21" s="160">
        <f>IF(F22=0,0,IF(F25=0,F22,SUM(F22,F25,F28)))</f>
        <v>0</v>
      </c>
      <c r="I21">
        <v>1</v>
      </c>
      <c r="J21" t="s">
        <v>304</v>
      </c>
    </row>
    <row r="22" spans="1:10" ht="45" x14ac:dyDescent="0.25">
      <c r="A22" s="89"/>
      <c r="B22" s="89"/>
      <c r="C22" s="18" t="s">
        <v>66</v>
      </c>
      <c r="D22" s="22" t="s">
        <v>126</v>
      </c>
      <c r="E22" s="69"/>
      <c r="F22" s="90">
        <f>IF(SUMIF(E22:E23,"соответствует",$I$4:$I$134)=2,1,0)</f>
        <v>0</v>
      </c>
      <c r="G22" s="20"/>
      <c r="H22" s="89"/>
      <c r="I22">
        <v>1</v>
      </c>
      <c r="J22" s="84" t="s">
        <v>322</v>
      </c>
    </row>
    <row r="23" spans="1:10" ht="45" x14ac:dyDescent="0.25">
      <c r="A23" s="89"/>
      <c r="B23" s="89"/>
      <c r="C23" s="18" t="s">
        <v>127</v>
      </c>
      <c r="D23" s="22" t="s">
        <v>128</v>
      </c>
      <c r="E23" s="69"/>
      <c r="F23" s="89"/>
      <c r="G23" s="20"/>
      <c r="H23" s="89"/>
      <c r="I23">
        <v>1</v>
      </c>
      <c r="J23" s="84" t="s">
        <v>323</v>
      </c>
    </row>
    <row r="24" spans="1:10" ht="14.45" customHeight="1" x14ac:dyDescent="0.25">
      <c r="A24" s="89"/>
      <c r="B24" s="89"/>
      <c r="C24" s="91" t="s">
        <v>115</v>
      </c>
      <c r="D24" s="89"/>
      <c r="E24" s="89"/>
      <c r="F24" s="89"/>
      <c r="G24" s="89"/>
      <c r="H24" s="89"/>
      <c r="I24">
        <v>1</v>
      </c>
    </row>
    <row r="25" spans="1:10" ht="30" x14ac:dyDescent="0.25">
      <c r="A25" s="89"/>
      <c r="B25" s="89"/>
      <c r="C25" s="18" t="s">
        <v>129</v>
      </c>
      <c r="D25" s="22" t="s">
        <v>130</v>
      </c>
      <c r="E25" s="69"/>
      <c r="F25" s="90">
        <f>IF(SUMIF(E25:E26,"соответствует",$I$4:$I$134)=2,1,0)</f>
        <v>0</v>
      </c>
      <c r="G25" s="20"/>
      <c r="H25" s="89"/>
      <c r="I25">
        <v>1</v>
      </c>
      <c r="J25" s="84" t="s">
        <v>324</v>
      </c>
    </row>
    <row r="26" spans="1:10" ht="30" x14ac:dyDescent="0.25">
      <c r="A26" s="89"/>
      <c r="B26" s="89"/>
      <c r="C26" s="18" t="s">
        <v>131</v>
      </c>
      <c r="D26" s="22" t="s">
        <v>132</v>
      </c>
      <c r="E26" s="69"/>
      <c r="F26" s="89"/>
      <c r="G26" s="21"/>
      <c r="H26" s="89"/>
      <c r="I26">
        <v>1</v>
      </c>
      <c r="J26" s="86" t="s">
        <v>325</v>
      </c>
    </row>
    <row r="27" spans="1:10" ht="14.45" customHeight="1" x14ac:dyDescent="0.25">
      <c r="A27" s="89"/>
      <c r="B27" s="89"/>
      <c r="C27" s="91" t="s">
        <v>120</v>
      </c>
      <c r="D27" s="89"/>
      <c r="E27" s="89"/>
      <c r="F27" s="89"/>
      <c r="G27" s="89"/>
      <c r="H27" s="89"/>
      <c r="I27">
        <v>1</v>
      </c>
    </row>
    <row r="28" spans="1:10" ht="30" x14ac:dyDescent="0.25">
      <c r="A28" s="89"/>
      <c r="B28" s="89"/>
      <c r="C28" s="18" t="s">
        <v>133</v>
      </c>
      <c r="D28" s="22" t="s">
        <v>134</v>
      </c>
      <c r="E28" s="69"/>
      <c r="F28" s="70">
        <f>IF(SUMIF(E28,"соответствует",$I$4:$I$130)=1,1,0)</f>
        <v>0</v>
      </c>
      <c r="G28" s="20"/>
      <c r="H28" s="89"/>
      <c r="I28">
        <v>1</v>
      </c>
    </row>
    <row r="29" spans="1:10" ht="14.45" customHeight="1" x14ac:dyDescent="0.25">
      <c r="A29" s="158">
        <v>4</v>
      </c>
      <c r="B29" s="161" t="s">
        <v>57</v>
      </c>
      <c r="C29" s="91" t="s">
        <v>96</v>
      </c>
      <c r="D29" s="89"/>
      <c r="E29" s="89"/>
      <c r="F29" s="89"/>
      <c r="G29" s="89"/>
      <c r="H29" s="160">
        <f>IF(F30=0,0,IF(F33=0,F30,SUM(F30,F33,F36)))</f>
        <v>0</v>
      </c>
      <c r="I29">
        <v>1</v>
      </c>
      <c r="J29" t="s">
        <v>304</v>
      </c>
    </row>
    <row r="30" spans="1:10" ht="45" x14ac:dyDescent="0.25">
      <c r="A30" s="89"/>
      <c r="B30" s="89"/>
      <c r="C30" s="18" t="s">
        <v>68</v>
      </c>
      <c r="D30" s="22" t="s">
        <v>135</v>
      </c>
      <c r="E30" s="69"/>
      <c r="F30" s="90">
        <f>IF(SUMIF(E30:E31,"соответствует",$I$4:$I$134)=2,1,0)</f>
        <v>0</v>
      </c>
      <c r="G30" s="20"/>
      <c r="H30" s="89"/>
      <c r="I30">
        <v>1</v>
      </c>
      <c r="J30" s="84" t="s">
        <v>326</v>
      </c>
    </row>
    <row r="31" spans="1:10" ht="30" x14ac:dyDescent="0.25">
      <c r="A31" s="89"/>
      <c r="B31" s="89"/>
      <c r="C31" s="18" t="s">
        <v>69</v>
      </c>
      <c r="D31" s="22" t="s">
        <v>136</v>
      </c>
      <c r="E31" s="69"/>
      <c r="F31" s="89"/>
      <c r="G31" s="20"/>
      <c r="H31" s="89"/>
      <c r="I31">
        <v>1</v>
      </c>
      <c r="J31" s="84" t="s">
        <v>326</v>
      </c>
    </row>
    <row r="32" spans="1:10" ht="14.45" customHeight="1" x14ac:dyDescent="0.25">
      <c r="A32" s="89"/>
      <c r="B32" s="89"/>
      <c r="C32" s="91" t="s">
        <v>115</v>
      </c>
      <c r="D32" s="89"/>
      <c r="E32" s="89"/>
      <c r="F32" s="89"/>
      <c r="G32" s="89"/>
      <c r="H32" s="89"/>
      <c r="I32">
        <v>1</v>
      </c>
    </row>
    <row r="33" spans="1:10" ht="45" x14ac:dyDescent="0.25">
      <c r="A33" s="89"/>
      <c r="B33" s="89"/>
      <c r="C33" s="18" t="s">
        <v>70</v>
      </c>
      <c r="D33" s="22" t="s">
        <v>137</v>
      </c>
      <c r="E33" s="69"/>
      <c r="F33" s="90">
        <f>IF(SUMIF(E33:E34,"соответствует",$I$4:$I$134)=2,1,0)</f>
        <v>0</v>
      </c>
      <c r="G33" s="20"/>
      <c r="H33" s="89"/>
      <c r="I33">
        <v>1</v>
      </c>
      <c r="J33" s="84" t="s">
        <v>320</v>
      </c>
    </row>
    <row r="34" spans="1:10" ht="30" x14ac:dyDescent="0.25">
      <c r="A34" s="89"/>
      <c r="B34" s="89"/>
      <c r="C34" s="18" t="s">
        <v>138</v>
      </c>
      <c r="D34" s="22" t="s">
        <v>139</v>
      </c>
      <c r="E34" s="69"/>
      <c r="F34" s="89"/>
      <c r="G34" s="20"/>
      <c r="H34" s="89"/>
      <c r="I34">
        <v>1</v>
      </c>
      <c r="J34" s="84" t="s">
        <v>320</v>
      </c>
    </row>
    <row r="35" spans="1:10" ht="14.45" customHeight="1" x14ac:dyDescent="0.25">
      <c r="A35" s="89"/>
      <c r="B35" s="89"/>
      <c r="C35" s="91" t="s">
        <v>120</v>
      </c>
      <c r="D35" s="89"/>
      <c r="E35" s="89"/>
      <c r="F35" s="89"/>
      <c r="G35" s="89"/>
      <c r="H35" s="89"/>
      <c r="I35">
        <v>1</v>
      </c>
    </row>
    <row r="36" spans="1:10" ht="45" x14ac:dyDescent="0.25">
      <c r="A36" s="89"/>
      <c r="B36" s="89"/>
      <c r="C36" s="18" t="s">
        <v>140</v>
      </c>
      <c r="D36" s="22" t="s">
        <v>141</v>
      </c>
      <c r="E36" s="69"/>
      <c r="F36" s="90">
        <f>IF(SUMIF(E36:E37,"соответствует",$I$4:$I$134)=2,1,0)</f>
        <v>0</v>
      </c>
      <c r="G36" s="26"/>
      <c r="H36" s="89"/>
      <c r="I36">
        <v>1</v>
      </c>
      <c r="J36" s="84" t="s">
        <v>320</v>
      </c>
    </row>
    <row r="37" spans="1:10" ht="75" x14ac:dyDescent="0.25">
      <c r="A37" s="89"/>
      <c r="B37" s="89"/>
      <c r="C37" s="18" t="s">
        <v>142</v>
      </c>
      <c r="D37" s="22" t="s">
        <v>143</v>
      </c>
      <c r="E37" s="69"/>
      <c r="F37" s="89"/>
      <c r="G37" s="26"/>
      <c r="H37" s="89"/>
      <c r="I37">
        <v>1</v>
      </c>
      <c r="J37" s="87" t="s">
        <v>327</v>
      </c>
    </row>
    <row r="38" spans="1:10" ht="14.45" customHeight="1" x14ac:dyDescent="0.25">
      <c r="A38" s="158">
        <v>5</v>
      </c>
      <c r="B38" s="161" t="s">
        <v>58</v>
      </c>
      <c r="C38" s="91" t="s">
        <v>96</v>
      </c>
      <c r="D38" s="89"/>
      <c r="E38" s="89"/>
      <c r="F38" s="89"/>
      <c r="G38" s="89"/>
      <c r="H38" s="160">
        <f>IF(F39=0,0,IF(F42=0,F39,SUM(F39,F42,F45)))</f>
        <v>0</v>
      </c>
      <c r="I38">
        <v>1</v>
      </c>
      <c r="J38" t="s">
        <v>304</v>
      </c>
    </row>
    <row r="39" spans="1:10" ht="30" x14ac:dyDescent="0.25">
      <c r="A39" s="89"/>
      <c r="B39" s="89"/>
      <c r="C39" s="18" t="s">
        <v>79</v>
      </c>
      <c r="D39" s="22" t="s">
        <v>144</v>
      </c>
      <c r="E39" s="69"/>
      <c r="F39" s="90">
        <f>IF(SUMIF(E39:E40,"соответствует",$I$4:$I$134)=2,1,0)</f>
        <v>0</v>
      </c>
      <c r="G39" s="20"/>
      <c r="H39" s="89"/>
      <c r="I39">
        <v>1</v>
      </c>
      <c r="J39" s="84" t="s">
        <v>328</v>
      </c>
    </row>
    <row r="40" spans="1:10" ht="30" x14ac:dyDescent="0.25">
      <c r="A40" s="89"/>
      <c r="B40" s="89"/>
      <c r="C40" s="18" t="s">
        <v>145</v>
      </c>
      <c r="D40" s="22" t="s">
        <v>146</v>
      </c>
      <c r="E40" s="69"/>
      <c r="F40" s="89"/>
      <c r="G40" s="20"/>
      <c r="H40" s="89"/>
      <c r="I40">
        <v>1</v>
      </c>
      <c r="J40" s="84" t="s">
        <v>326</v>
      </c>
    </row>
    <row r="41" spans="1:10" ht="14.45" customHeight="1" x14ac:dyDescent="0.25">
      <c r="A41" s="89"/>
      <c r="B41" s="89"/>
      <c r="C41" s="91" t="s">
        <v>115</v>
      </c>
      <c r="D41" s="89"/>
      <c r="E41" s="89"/>
      <c r="F41" s="89"/>
      <c r="G41" s="89"/>
      <c r="H41" s="89"/>
      <c r="I41">
        <v>1</v>
      </c>
    </row>
    <row r="42" spans="1:10" ht="30" x14ac:dyDescent="0.25">
      <c r="A42" s="89"/>
      <c r="B42" s="89"/>
      <c r="C42" s="18" t="s">
        <v>147</v>
      </c>
      <c r="D42" s="22" t="s">
        <v>148</v>
      </c>
      <c r="E42" s="69"/>
      <c r="F42" s="90">
        <f>IF(SUMIF(E42:E43,"соответствует",$I$4:$I$134)=2,1,0)</f>
        <v>0</v>
      </c>
      <c r="G42" s="20"/>
      <c r="H42" s="89"/>
      <c r="I42">
        <v>1</v>
      </c>
      <c r="J42" s="84" t="s">
        <v>328</v>
      </c>
    </row>
    <row r="43" spans="1:10" ht="30" x14ac:dyDescent="0.25">
      <c r="A43" s="89"/>
      <c r="B43" s="89"/>
      <c r="C43" s="18" t="s">
        <v>149</v>
      </c>
      <c r="D43" s="22" t="s">
        <v>150</v>
      </c>
      <c r="E43" s="69"/>
      <c r="F43" s="89"/>
      <c r="G43" s="20"/>
      <c r="H43" s="89"/>
      <c r="I43">
        <v>1</v>
      </c>
      <c r="J43" s="84" t="s">
        <v>326</v>
      </c>
    </row>
    <row r="44" spans="1:10" ht="14.45" customHeight="1" x14ac:dyDescent="0.25">
      <c r="A44" s="89"/>
      <c r="B44" s="89"/>
      <c r="C44" s="91" t="s">
        <v>120</v>
      </c>
      <c r="D44" s="89"/>
      <c r="E44" s="89"/>
      <c r="F44" s="89"/>
      <c r="G44" s="89"/>
      <c r="H44" s="89"/>
      <c r="I44">
        <v>1</v>
      </c>
    </row>
    <row r="45" spans="1:10" ht="30" x14ac:dyDescent="0.25">
      <c r="A45" s="89"/>
      <c r="B45" s="89"/>
      <c r="C45" s="18" t="s">
        <v>151</v>
      </c>
      <c r="D45" s="22" t="s">
        <v>152</v>
      </c>
      <c r="E45" s="69"/>
      <c r="F45" s="90">
        <f>IF(SUMIF(E45:E47,"соответствует",$I$4:$I$134)=3,1,0)</f>
        <v>0</v>
      </c>
      <c r="G45" s="20"/>
      <c r="H45" s="89"/>
      <c r="I45">
        <v>1</v>
      </c>
      <c r="J45" s="84" t="s">
        <v>320</v>
      </c>
    </row>
    <row r="46" spans="1:10" ht="30" x14ac:dyDescent="0.25">
      <c r="A46" s="89"/>
      <c r="B46" s="89"/>
      <c r="C46" s="18" t="s">
        <v>153</v>
      </c>
      <c r="D46" s="22" t="s">
        <v>154</v>
      </c>
      <c r="E46" s="69"/>
      <c r="F46" s="89"/>
      <c r="G46" s="20"/>
      <c r="H46" s="89"/>
      <c r="I46">
        <v>1</v>
      </c>
      <c r="J46" s="84" t="s">
        <v>320</v>
      </c>
    </row>
    <row r="47" spans="1:10" ht="30" x14ac:dyDescent="0.25">
      <c r="A47" s="89"/>
      <c r="B47" s="89"/>
      <c r="C47" s="18" t="s">
        <v>155</v>
      </c>
      <c r="D47" s="22" t="s">
        <v>156</v>
      </c>
      <c r="E47" s="69"/>
      <c r="F47" s="89"/>
      <c r="G47" s="20"/>
      <c r="H47" s="89"/>
      <c r="I47">
        <v>1</v>
      </c>
      <c r="J47" s="84" t="s">
        <v>320</v>
      </c>
    </row>
    <row r="48" spans="1:10" ht="14.45" customHeight="1" x14ac:dyDescent="0.25">
      <c r="A48" s="158">
        <v>6</v>
      </c>
      <c r="B48" s="161" t="s">
        <v>59</v>
      </c>
      <c r="C48" s="91" t="s">
        <v>96</v>
      </c>
      <c r="D48" s="89"/>
      <c r="E48" s="89"/>
      <c r="F48" s="89"/>
      <c r="G48" s="89"/>
      <c r="H48" s="160">
        <f>IF(F49=0,0,IF(F52=0,F49,SUM(F49,F52,F56)))</f>
        <v>0</v>
      </c>
      <c r="I48">
        <v>1</v>
      </c>
      <c r="J48" t="s">
        <v>304</v>
      </c>
    </row>
    <row r="49" spans="1:10" ht="45" x14ac:dyDescent="0.25">
      <c r="A49" s="89"/>
      <c r="B49" s="89"/>
      <c r="C49" s="18" t="s">
        <v>157</v>
      </c>
      <c r="D49" s="22" t="s">
        <v>158</v>
      </c>
      <c r="E49" s="69"/>
      <c r="F49" s="90">
        <f>IF(SUMIF(E49:E50,"соответствует",$I$4:$I$134)=2,1,0)</f>
        <v>0</v>
      </c>
      <c r="G49" s="20"/>
      <c r="H49" s="89"/>
      <c r="I49">
        <v>1</v>
      </c>
      <c r="J49" s="84" t="s">
        <v>326</v>
      </c>
    </row>
    <row r="50" spans="1:10" ht="60" x14ac:dyDescent="0.25">
      <c r="A50" s="89"/>
      <c r="B50" s="89"/>
      <c r="C50" s="18" t="s">
        <v>159</v>
      </c>
      <c r="D50" s="22" t="s">
        <v>160</v>
      </c>
      <c r="E50" s="69"/>
      <c r="F50" s="89"/>
      <c r="G50" s="20"/>
      <c r="H50" s="89"/>
      <c r="I50">
        <v>1</v>
      </c>
      <c r="J50" s="84" t="s">
        <v>326</v>
      </c>
    </row>
    <row r="51" spans="1:10" ht="14.45" customHeight="1" x14ac:dyDescent="0.25">
      <c r="A51" s="89"/>
      <c r="B51" s="89"/>
      <c r="C51" s="91" t="s">
        <v>115</v>
      </c>
      <c r="D51" s="89"/>
      <c r="E51" s="89"/>
      <c r="F51" s="89"/>
      <c r="G51" s="89"/>
      <c r="H51" s="89"/>
      <c r="I51">
        <v>1</v>
      </c>
    </row>
    <row r="52" spans="1:10" ht="30" x14ac:dyDescent="0.25">
      <c r="A52" s="89"/>
      <c r="B52" s="89"/>
      <c r="C52" s="18" t="s">
        <v>161</v>
      </c>
      <c r="D52" s="22" t="s">
        <v>162</v>
      </c>
      <c r="E52" s="69"/>
      <c r="F52" s="90">
        <f>IF(SUMIF(E52:E54,"соответствует",$I$4:$I$134)=3,1,0)</f>
        <v>0</v>
      </c>
      <c r="G52" s="20"/>
      <c r="H52" s="89"/>
      <c r="I52">
        <v>1</v>
      </c>
      <c r="J52" s="84" t="s">
        <v>326</v>
      </c>
    </row>
    <row r="53" spans="1:10" x14ac:dyDescent="0.25">
      <c r="A53" s="89"/>
      <c r="B53" s="89"/>
      <c r="C53" s="18" t="s">
        <v>163</v>
      </c>
      <c r="D53" s="22" t="s">
        <v>164</v>
      </c>
      <c r="E53" s="69"/>
      <c r="F53" s="89"/>
      <c r="G53" s="20"/>
      <c r="H53" s="89"/>
      <c r="I53">
        <v>1</v>
      </c>
      <c r="J53" s="20" t="s">
        <v>320</v>
      </c>
    </row>
    <row r="54" spans="1:10" ht="30" x14ac:dyDescent="0.25">
      <c r="A54" s="89"/>
      <c r="B54" s="89"/>
      <c r="C54" s="18" t="s">
        <v>165</v>
      </c>
      <c r="D54" s="22" t="s">
        <v>166</v>
      </c>
      <c r="E54" s="69"/>
      <c r="F54" s="89"/>
      <c r="G54" s="20"/>
      <c r="H54" s="89"/>
      <c r="I54">
        <v>1</v>
      </c>
      <c r="J54" s="84" t="s">
        <v>326</v>
      </c>
    </row>
    <row r="55" spans="1:10" x14ac:dyDescent="0.25">
      <c r="A55" s="89"/>
      <c r="B55" s="89"/>
      <c r="C55" s="91" t="s">
        <v>120</v>
      </c>
      <c r="D55" s="89"/>
      <c r="E55" s="89"/>
      <c r="F55" s="89"/>
      <c r="G55" s="89"/>
      <c r="H55" s="89"/>
      <c r="I55">
        <v>1</v>
      </c>
    </row>
    <row r="56" spans="1:10" x14ac:dyDescent="0.25">
      <c r="A56" s="89"/>
      <c r="B56" s="89"/>
      <c r="C56" s="18" t="s">
        <v>167</v>
      </c>
      <c r="D56" s="22" t="s">
        <v>168</v>
      </c>
      <c r="E56" s="69"/>
      <c r="F56" s="90">
        <f>IF(SUMIF(E56:E57,"соответствует",$I$4:$I$134)=2,1,0)</f>
        <v>0</v>
      </c>
      <c r="G56" s="20"/>
      <c r="H56" s="89"/>
      <c r="I56">
        <v>1</v>
      </c>
    </row>
    <row r="57" spans="1:10" ht="30" x14ac:dyDescent="0.25">
      <c r="A57" s="89"/>
      <c r="B57" s="89"/>
      <c r="C57" s="18" t="s">
        <v>169</v>
      </c>
      <c r="D57" s="22" t="s">
        <v>170</v>
      </c>
      <c r="E57" s="69"/>
      <c r="F57" s="89"/>
      <c r="G57" s="20"/>
      <c r="H57" s="89"/>
      <c r="I57">
        <v>1</v>
      </c>
    </row>
    <row r="58" spans="1:10" x14ac:dyDescent="0.25">
      <c r="A58" s="158">
        <v>7</v>
      </c>
      <c r="B58" s="161" t="s">
        <v>60</v>
      </c>
      <c r="C58" s="91" t="s">
        <v>96</v>
      </c>
      <c r="D58" s="89"/>
      <c r="E58" s="89"/>
      <c r="F58" s="89"/>
      <c r="G58" s="89"/>
      <c r="H58" s="160">
        <f>IF(F59=0,0,IF(F62=0,F59,SUM(F59,F62,F65)))</f>
        <v>0</v>
      </c>
      <c r="I58">
        <v>1</v>
      </c>
    </row>
    <row r="59" spans="1:10" ht="30" customHeight="1" x14ac:dyDescent="0.25">
      <c r="A59" s="89"/>
      <c r="B59" s="89"/>
      <c r="C59" s="18" t="s">
        <v>171</v>
      </c>
      <c r="D59" s="22" t="s">
        <v>172</v>
      </c>
      <c r="E59" s="69"/>
      <c r="F59" s="90">
        <f>IF(SUMIF(E59:E60,"соответствует",$I$4:$I$134)=2,1,0)</f>
        <v>0</v>
      </c>
      <c r="G59" s="20"/>
      <c r="H59" s="89"/>
      <c r="I59">
        <v>1</v>
      </c>
      <c r="J59" s="84" t="s">
        <v>326</v>
      </c>
    </row>
    <row r="60" spans="1:10" x14ac:dyDescent="0.25">
      <c r="A60" s="89"/>
      <c r="B60" s="89"/>
      <c r="C60" s="18" t="s">
        <v>173</v>
      </c>
      <c r="D60" s="22" t="s">
        <v>174</v>
      </c>
      <c r="E60" s="69"/>
      <c r="F60" s="89"/>
      <c r="G60" s="20"/>
      <c r="H60" s="89"/>
      <c r="I60">
        <v>1</v>
      </c>
      <c r="J60" s="84" t="s">
        <v>326</v>
      </c>
    </row>
    <row r="61" spans="1:10" x14ac:dyDescent="0.25">
      <c r="A61" s="89"/>
      <c r="B61" s="89"/>
      <c r="C61" s="91" t="s">
        <v>115</v>
      </c>
      <c r="D61" s="89"/>
      <c r="E61" s="89"/>
      <c r="F61" s="89"/>
      <c r="G61" s="89"/>
      <c r="H61" s="89"/>
      <c r="I61">
        <v>1</v>
      </c>
    </row>
    <row r="62" spans="1:10" ht="30" x14ac:dyDescent="0.25">
      <c r="A62" s="89"/>
      <c r="B62" s="89"/>
      <c r="C62" s="18" t="s">
        <v>175</v>
      </c>
      <c r="D62" s="22" t="s">
        <v>176</v>
      </c>
      <c r="E62" s="69"/>
      <c r="F62" s="90">
        <f>IF(SUMIF(E62:E63,"соответствует",$I$4:$I$134)=2,1,0)</f>
        <v>0</v>
      </c>
      <c r="G62" s="20"/>
      <c r="H62" s="89"/>
      <c r="I62">
        <v>1</v>
      </c>
    </row>
    <row r="63" spans="1:10" x14ac:dyDescent="0.25">
      <c r="A63" s="89"/>
      <c r="B63" s="89"/>
      <c r="C63" s="18" t="s">
        <v>177</v>
      </c>
      <c r="D63" s="22" t="s">
        <v>178</v>
      </c>
      <c r="E63" s="69"/>
      <c r="F63" s="89"/>
      <c r="G63" s="20"/>
      <c r="H63" s="89"/>
      <c r="I63">
        <v>1</v>
      </c>
    </row>
    <row r="64" spans="1:10" x14ac:dyDescent="0.25">
      <c r="A64" s="89"/>
      <c r="B64" s="89"/>
      <c r="C64" s="91" t="s">
        <v>120</v>
      </c>
      <c r="D64" s="89"/>
      <c r="E64" s="89"/>
      <c r="F64" s="89"/>
      <c r="G64" s="89"/>
      <c r="H64" s="89"/>
      <c r="I64">
        <v>1</v>
      </c>
    </row>
    <row r="65" spans="1:10" x14ac:dyDescent="0.25">
      <c r="A65" s="89"/>
      <c r="B65" s="89"/>
      <c r="C65" s="18" t="s">
        <v>179</v>
      </c>
      <c r="D65" s="22" t="s">
        <v>180</v>
      </c>
      <c r="E65" s="69"/>
      <c r="F65" s="90">
        <f>IF(SUMIF(E65:E66,"соответствует",$I$4:$I$134)=2,1,0)</f>
        <v>0</v>
      </c>
      <c r="G65" s="20"/>
      <c r="H65" s="89"/>
      <c r="I65">
        <v>1</v>
      </c>
    </row>
    <row r="66" spans="1:10" x14ac:dyDescent="0.25">
      <c r="A66" s="89"/>
      <c r="B66" s="89"/>
      <c r="C66" s="18" t="s">
        <v>181</v>
      </c>
      <c r="D66" s="22" t="s">
        <v>182</v>
      </c>
      <c r="E66" s="69"/>
      <c r="F66" s="89"/>
      <c r="G66" s="20"/>
      <c r="H66" s="89"/>
      <c r="I66">
        <v>1</v>
      </c>
    </row>
    <row r="67" spans="1:10" x14ac:dyDescent="0.25">
      <c r="A67" s="158">
        <v>8</v>
      </c>
      <c r="B67" s="161" t="s">
        <v>183</v>
      </c>
      <c r="C67" s="91" t="s">
        <v>96</v>
      </c>
      <c r="D67" s="89"/>
      <c r="E67" s="89"/>
      <c r="F67" s="89"/>
      <c r="G67" s="89"/>
      <c r="H67" s="160">
        <f>IF(F68=0,0,IF(F71=0,F68,SUM(F68,F71,F74)))</f>
        <v>0</v>
      </c>
      <c r="I67">
        <v>1</v>
      </c>
    </row>
    <row r="68" spans="1:10" ht="45" x14ac:dyDescent="0.25">
      <c r="A68" s="89"/>
      <c r="B68" s="89"/>
      <c r="C68" s="18" t="s">
        <v>184</v>
      </c>
      <c r="D68" s="22" t="s">
        <v>185</v>
      </c>
      <c r="E68" s="69"/>
      <c r="F68" s="90">
        <f>IF(SUMIF(E68:E69,"соответствует",$I$4:$I$134)=2,1,0)</f>
        <v>0</v>
      </c>
      <c r="G68" s="20"/>
      <c r="H68" s="89"/>
      <c r="I68">
        <v>1</v>
      </c>
      <c r="J68" s="84" t="s">
        <v>326</v>
      </c>
    </row>
    <row r="69" spans="1:10" ht="45" x14ac:dyDescent="0.25">
      <c r="A69" s="89"/>
      <c r="B69" s="89"/>
      <c r="C69" s="18" t="s">
        <v>186</v>
      </c>
      <c r="D69" s="22" t="s">
        <v>187</v>
      </c>
      <c r="E69" s="69"/>
      <c r="F69" s="89"/>
      <c r="G69" s="20"/>
      <c r="H69" s="89"/>
      <c r="I69">
        <v>1</v>
      </c>
      <c r="J69" s="84" t="s">
        <v>326</v>
      </c>
    </row>
    <row r="70" spans="1:10" x14ac:dyDescent="0.25">
      <c r="A70" s="89"/>
      <c r="B70" s="89"/>
      <c r="C70" s="91" t="s">
        <v>115</v>
      </c>
      <c r="D70" s="89"/>
      <c r="E70" s="89"/>
      <c r="F70" s="89"/>
      <c r="G70" s="89"/>
      <c r="H70" s="89"/>
      <c r="I70">
        <v>1</v>
      </c>
    </row>
    <row r="71" spans="1:10" ht="30" x14ac:dyDescent="0.25">
      <c r="A71" s="89"/>
      <c r="B71" s="89"/>
      <c r="C71" s="18" t="s">
        <v>188</v>
      </c>
      <c r="D71" s="22" t="s">
        <v>189</v>
      </c>
      <c r="E71" s="69"/>
      <c r="F71" s="90">
        <f>IF(SUMIF(E71:E72,"соответствует",$I$4:$I$134)=2,1,0)</f>
        <v>0</v>
      </c>
      <c r="G71" s="20"/>
      <c r="H71" s="89"/>
      <c r="I71">
        <v>1</v>
      </c>
      <c r="J71" s="84" t="s">
        <v>320</v>
      </c>
    </row>
    <row r="72" spans="1:10" ht="30" x14ac:dyDescent="0.25">
      <c r="A72" s="89"/>
      <c r="B72" s="89"/>
      <c r="C72" s="18" t="s">
        <v>190</v>
      </c>
      <c r="D72" s="22" t="s">
        <v>191</v>
      </c>
      <c r="E72" s="69"/>
      <c r="F72" s="89"/>
      <c r="G72" s="20"/>
      <c r="H72" s="89"/>
      <c r="I72">
        <v>1</v>
      </c>
      <c r="J72" s="84" t="s">
        <v>320</v>
      </c>
    </row>
    <row r="73" spans="1:10" x14ac:dyDescent="0.25">
      <c r="A73" s="89"/>
      <c r="B73" s="89"/>
      <c r="C73" s="91" t="s">
        <v>120</v>
      </c>
      <c r="D73" s="89"/>
      <c r="E73" s="89"/>
      <c r="F73" s="89"/>
      <c r="G73" s="89"/>
      <c r="H73" s="89"/>
      <c r="I73">
        <v>1</v>
      </c>
    </row>
    <row r="74" spans="1:10" ht="30" x14ac:dyDescent="0.25">
      <c r="A74" s="89"/>
      <c r="B74" s="89"/>
      <c r="C74" s="18" t="s">
        <v>192</v>
      </c>
      <c r="D74" s="22" t="s">
        <v>193</v>
      </c>
      <c r="E74" s="69"/>
      <c r="F74" s="70">
        <f>IF(SUMIF(E74,"соответствует",$I$4:$I$130)=1,1,0)</f>
        <v>0</v>
      </c>
      <c r="G74" s="20"/>
      <c r="H74" s="89"/>
      <c r="I74">
        <v>1</v>
      </c>
    </row>
    <row r="75" spans="1:10" x14ac:dyDescent="0.25">
      <c r="A75" s="158">
        <v>9</v>
      </c>
      <c r="B75" s="161" t="s">
        <v>61</v>
      </c>
      <c r="C75" s="91" t="s">
        <v>96</v>
      </c>
      <c r="D75" s="89"/>
      <c r="E75" s="89"/>
      <c r="F75" s="89"/>
      <c r="G75" s="89"/>
      <c r="H75" s="160">
        <f>IF(F76=0,0,IF(F78=0,F76,SUM(F76,F78,F80)))</f>
        <v>0</v>
      </c>
      <c r="I75">
        <v>1</v>
      </c>
    </row>
    <row r="76" spans="1:10" ht="30" x14ac:dyDescent="0.25">
      <c r="A76" s="89"/>
      <c r="B76" s="89"/>
      <c r="C76" s="18" t="s">
        <v>194</v>
      </c>
      <c r="D76" s="22" t="s">
        <v>195</v>
      </c>
      <c r="E76" s="69"/>
      <c r="F76" s="70">
        <f>IF(SUMIF(E76,"соответствует",$I$4:$I$130)=1,1,0)</f>
        <v>0</v>
      </c>
      <c r="G76" s="20"/>
      <c r="H76" s="89"/>
      <c r="I76">
        <v>1</v>
      </c>
      <c r="J76" s="84" t="s">
        <v>320</v>
      </c>
    </row>
    <row r="77" spans="1:10" x14ac:dyDescent="0.25">
      <c r="A77" s="89"/>
      <c r="B77" s="89"/>
      <c r="C77" s="91" t="s">
        <v>115</v>
      </c>
      <c r="D77" s="89"/>
      <c r="E77" s="89"/>
      <c r="F77" s="89"/>
      <c r="G77" s="89"/>
      <c r="H77" s="89"/>
      <c r="I77">
        <v>1</v>
      </c>
    </row>
    <row r="78" spans="1:10" ht="30" x14ac:dyDescent="0.25">
      <c r="A78" s="89"/>
      <c r="B78" s="89"/>
      <c r="C78" s="18" t="s">
        <v>196</v>
      </c>
      <c r="D78" s="22" t="s">
        <v>197</v>
      </c>
      <c r="E78" s="69"/>
      <c r="F78" s="70">
        <f>IF(SUMIF(E78,"соответствует",$I$4:$I$130)=1,1,0)</f>
        <v>0</v>
      </c>
      <c r="G78" s="20"/>
      <c r="H78" s="89"/>
      <c r="I78">
        <v>1</v>
      </c>
      <c r="J78" s="84" t="s">
        <v>320</v>
      </c>
    </row>
    <row r="79" spans="1:10" x14ac:dyDescent="0.25">
      <c r="A79" s="89"/>
      <c r="B79" s="89"/>
      <c r="C79" s="91" t="s">
        <v>120</v>
      </c>
      <c r="D79" s="89"/>
      <c r="E79" s="89"/>
      <c r="F79" s="89"/>
      <c r="G79" s="89"/>
      <c r="H79" s="89"/>
      <c r="I79">
        <v>1</v>
      </c>
    </row>
    <row r="80" spans="1:10" ht="30" x14ac:dyDescent="0.25">
      <c r="A80" s="89"/>
      <c r="B80" s="89"/>
      <c r="C80" s="18" t="s">
        <v>198</v>
      </c>
      <c r="D80" s="22" t="s">
        <v>199</v>
      </c>
      <c r="E80" s="69"/>
      <c r="F80" s="90">
        <f>IF(SUMIF(E80:E81,"соответствует",$I$4:$I$134)=2,1,0)</f>
        <v>0</v>
      </c>
      <c r="G80" s="20"/>
      <c r="H80" s="89"/>
      <c r="I80">
        <v>1</v>
      </c>
    </row>
    <row r="81" spans="1:10" x14ac:dyDescent="0.25">
      <c r="A81" s="89"/>
      <c r="B81" s="89"/>
      <c r="C81" s="18" t="s">
        <v>200</v>
      </c>
      <c r="D81" s="22" t="s">
        <v>201</v>
      </c>
      <c r="E81" s="69"/>
      <c r="F81" s="89"/>
      <c r="G81" s="20"/>
      <c r="H81" s="89"/>
      <c r="I81">
        <v>1</v>
      </c>
    </row>
    <row r="82" spans="1:10" x14ac:dyDescent="0.25">
      <c r="A82" s="158">
        <v>10</v>
      </c>
      <c r="B82" s="161" t="s">
        <v>202</v>
      </c>
      <c r="C82" s="91" t="s">
        <v>96</v>
      </c>
      <c r="D82" s="89"/>
      <c r="E82" s="89"/>
      <c r="F82" s="89"/>
      <c r="G82" s="89"/>
      <c r="H82" s="160">
        <f>IF(F83=0,0,IF(F86=0,F83,SUM(F83,F86,F89)))</f>
        <v>0</v>
      </c>
      <c r="I82">
        <v>1</v>
      </c>
    </row>
    <row r="83" spans="1:10" x14ac:dyDescent="0.25">
      <c r="A83" s="89"/>
      <c r="B83" s="89"/>
      <c r="C83" s="18" t="s">
        <v>203</v>
      </c>
      <c r="D83" s="22" t="s">
        <v>204</v>
      </c>
      <c r="E83" s="69"/>
      <c r="F83" s="90">
        <f>IF(SUMIF(E83:E84,"соответствует",$I$4:$I$134)=2,1,0)</f>
        <v>0</v>
      </c>
      <c r="G83" s="20"/>
      <c r="H83" s="89"/>
      <c r="I83">
        <v>1</v>
      </c>
      <c r="J83" s="84" t="s">
        <v>326</v>
      </c>
    </row>
    <row r="84" spans="1:10" ht="30" x14ac:dyDescent="0.25">
      <c r="A84" s="89"/>
      <c r="B84" s="89"/>
      <c r="C84" s="18" t="s">
        <v>205</v>
      </c>
      <c r="D84" s="22" t="s">
        <v>206</v>
      </c>
      <c r="E84" s="69"/>
      <c r="F84" s="89"/>
      <c r="G84" s="20"/>
      <c r="H84" s="89"/>
      <c r="I84">
        <v>1</v>
      </c>
      <c r="J84" s="84" t="s">
        <v>326</v>
      </c>
    </row>
    <row r="85" spans="1:10" x14ac:dyDescent="0.25">
      <c r="A85" s="89"/>
      <c r="B85" s="89"/>
      <c r="C85" s="91" t="s">
        <v>115</v>
      </c>
      <c r="D85" s="89"/>
      <c r="E85" s="89"/>
      <c r="F85" s="89"/>
      <c r="G85" s="89"/>
      <c r="H85" s="89"/>
      <c r="I85">
        <v>1</v>
      </c>
    </row>
    <row r="86" spans="1:10" ht="30" x14ac:dyDescent="0.25">
      <c r="A86" s="89"/>
      <c r="B86" s="89"/>
      <c r="C86" s="18" t="s">
        <v>207</v>
      </c>
      <c r="D86" s="22" t="s">
        <v>208</v>
      </c>
      <c r="E86" s="69"/>
      <c r="F86" s="90">
        <f>IF(SUMIF(E86:E87,"соответствует",$I$4:$I$134)=2,1,0)</f>
        <v>0</v>
      </c>
      <c r="G86" s="20"/>
      <c r="H86" s="89"/>
      <c r="I86">
        <v>1</v>
      </c>
      <c r="J86" s="84" t="s">
        <v>320</v>
      </c>
    </row>
    <row r="87" spans="1:10" ht="30" x14ac:dyDescent="0.25">
      <c r="A87" s="89"/>
      <c r="B87" s="89"/>
      <c r="C87" s="18" t="s">
        <v>209</v>
      </c>
      <c r="D87" s="22" t="s">
        <v>210</v>
      </c>
      <c r="E87" s="69"/>
      <c r="F87" s="89"/>
      <c r="G87" s="20"/>
      <c r="H87" s="89"/>
      <c r="I87">
        <v>1</v>
      </c>
    </row>
    <row r="88" spans="1:10" x14ac:dyDescent="0.25">
      <c r="A88" s="89"/>
      <c r="B88" s="89"/>
      <c r="C88" s="91" t="s">
        <v>120</v>
      </c>
      <c r="D88" s="89"/>
      <c r="E88" s="89"/>
      <c r="F88" s="89"/>
      <c r="G88" s="89"/>
      <c r="H88" s="89"/>
      <c r="I88">
        <v>1</v>
      </c>
    </row>
    <row r="89" spans="1:10" ht="30" x14ac:dyDescent="0.25">
      <c r="A89" s="89"/>
      <c r="B89" s="89"/>
      <c r="C89" s="18" t="s">
        <v>211</v>
      </c>
      <c r="D89" s="22" t="s">
        <v>212</v>
      </c>
      <c r="E89" s="69"/>
      <c r="F89" s="70">
        <f>IF(SUMIF(E89,"соответствует",$I$4:$I$130)=1,1,0)</f>
        <v>0</v>
      </c>
      <c r="G89" s="20"/>
      <c r="H89" s="89"/>
      <c r="I89">
        <v>1</v>
      </c>
      <c r="J89" s="84" t="s">
        <v>320</v>
      </c>
    </row>
    <row r="90" spans="1:10" x14ac:dyDescent="0.25">
      <c r="A90" s="158">
        <v>11</v>
      </c>
      <c r="B90" s="161" t="s">
        <v>62</v>
      </c>
      <c r="C90" s="91" t="s">
        <v>96</v>
      </c>
      <c r="D90" s="89"/>
      <c r="E90" s="89"/>
      <c r="F90" s="89"/>
      <c r="G90" s="89"/>
      <c r="H90" s="160">
        <f>IF(F91=0,0,IF(F95=0,F91,SUM(F91,F95,F98)))</f>
        <v>0</v>
      </c>
      <c r="I90">
        <v>1</v>
      </c>
    </row>
    <row r="91" spans="1:10" ht="30" x14ac:dyDescent="0.25">
      <c r="A91" s="89"/>
      <c r="B91" s="89"/>
      <c r="C91" s="18" t="s">
        <v>213</v>
      </c>
      <c r="D91" s="22" t="s">
        <v>214</v>
      </c>
      <c r="E91" s="69"/>
      <c r="F91" s="90">
        <f>IF(SUMIF(E91:E93,"соответствует",$I$4:$I$134)=3,1,0)</f>
        <v>0</v>
      </c>
      <c r="G91" s="20"/>
      <c r="H91" s="89"/>
      <c r="I91">
        <v>1</v>
      </c>
      <c r="J91" s="84" t="s">
        <v>326</v>
      </c>
    </row>
    <row r="92" spans="1:10" ht="30" x14ac:dyDescent="0.25">
      <c r="A92" s="89"/>
      <c r="B92" s="89"/>
      <c r="C92" s="18" t="s">
        <v>215</v>
      </c>
      <c r="D92" s="22" t="s">
        <v>216</v>
      </c>
      <c r="E92" s="69"/>
      <c r="F92" s="89"/>
      <c r="G92" s="20"/>
      <c r="H92" s="89"/>
      <c r="I92">
        <v>1</v>
      </c>
      <c r="J92" s="84" t="s">
        <v>320</v>
      </c>
    </row>
    <row r="93" spans="1:10" ht="30" x14ac:dyDescent="0.25">
      <c r="A93" s="89"/>
      <c r="B93" s="89"/>
      <c r="C93" s="18" t="s">
        <v>217</v>
      </c>
      <c r="D93" s="22" t="s">
        <v>218</v>
      </c>
      <c r="E93" s="69"/>
      <c r="F93" s="89"/>
      <c r="G93" s="20"/>
      <c r="H93" s="89"/>
      <c r="I93">
        <v>1</v>
      </c>
      <c r="J93" s="20" t="s">
        <v>326</v>
      </c>
    </row>
    <row r="94" spans="1:10" x14ac:dyDescent="0.25">
      <c r="A94" s="89"/>
      <c r="B94" s="89"/>
      <c r="C94" s="91" t="s">
        <v>115</v>
      </c>
      <c r="D94" s="89"/>
      <c r="E94" s="89"/>
      <c r="F94" s="89"/>
      <c r="G94" s="89"/>
      <c r="H94" s="89"/>
      <c r="I94">
        <v>1</v>
      </c>
    </row>
    <row r="95" spans="1:10" x14ac:dyDescent="0.25">
      <c r="A95" s="89"/>
      <c r="B95" s="89"/>
      <c r="C95" s="18" t="s">
        <v>219</v>
      </c>
      <c r="D95" s="22" t="s">
        <v>220</v>
      </c>
      <c r="E95" s="69"/>
      <c r="F95" s="90">
        <f>IF(SUMIF(E95:E96,"соответствует",$I$4:$I$134)=2,1,0)</f>
        <v>0</v>
      </c>
      <c r="G95" s="20"/>
      <c r="H95" s="89"/>
      <c r="I95">
        <v>1</v>
      </c>
      <c r="J95" s="84" t="s">
        <v>320</v>
      </c>
    </row>
    <row r="96" spans="1:10" x14ac:dyDescent="0.25">
      <c r="A96" s="89"/>
      <c r="B96" s="89"/>
      <c r="C96" s="18" t="s">
        <v>221</v>
      </c>
      <c r="D96" s="22" t="s">
        <v>222</v>
      </c>
      <c r="E96" s="69"/>
      <c r="F96" s="89"/>
      <c r="G96" s="20"/>
      <c r="H96" s="89"/>
      <c r="I96">
        <v>1</v>
      </c>
    </row>
    <row r="97" spans="1:10" x14ac:dyDescent="0.25">
      <c r="A97" s="89"/>
      <c r="B97" s="89"/>
      <c r="C97" s="91" t="s">
        <v>120</v>
      </c>
      <c r="D97" s="89"/>
      <c r="E97" s="89"/>
      <c r="F97" s="89"/>
      <c r="G97" s="89"/>
      <c r="H97" s="89"/>
      <c r="I97">
        <v>1</v>
      </c>
    </row>
    <row r="98" spans="1:10" ht="30" x14ac:dyDescent="0.25">
      <c r="A98" s="89"/>
      <c r="B98" s="89"/>
      <c r="C98" s="18" t="s">
        <v>223</v>
      </c>
      <c r="D98" s="22" t="s">
        <v>224</v>
      </c>
      <c r="E98" s="69"/>
      <c r="F98" s="70">
        <f>IF(SUMIF(E98,"соответствует",$I$4:$I$130)=1,1,0)</f>
        <v>0</v>
      </c>
      <c r="G98" s="20"/>
      <c r="H98" s="89"/>
      <c r="I98">
        <v>1</v>
      </c>
    </row>
    <row r="99" spans="1:10" x14ac:dyDescent="0.25">
      <c r="A99" s="158">
        <v>12</v>
      </c>
      <c r="B99" s="161" t="s">
        <v>44</v>
      </c>
      <c r="C99" s="91" t="s">
        <v>96</v>
      </c>
      <c r="D99" s="89"/>
      <c r="E99" s="89"/>
      <c r="F99" s="89"/>
      <c r="G99" s="89"/>
      <c r="H99" s="160">
        <f>IF(F100=0,0,IF(F104=0,F100,SUM(F100,F104,F108)))</f>
        <v>0</v>
      </c>
      <c r="I99">
        <v>1</v>
      </c>
    </row>
    <row r="100" spans="1:10" x14ac:dyDescent="0.25">
      <c r="A100" s="89"/>
      <c r="B100" s="89"/>
      <c r="C100" s="18" t="s">
        <v>225</v>
      </c>
      <c r="D100" s="22" t="s">
        <v>226</v>
      </c>
      <c r="E100" s="69"/>
      <c r="F100" s="90">
        <f>IF(SUMIF(E100:E102,"соответствует",$I$4:$I$134)=3,1,0)</f>
        <v>0</v>
      </c>
      <c r="G100" s="20"/>
      <c r="H100" s="89"/>
      <c r="I100">
        <v>1</v>
      </c>
      <c r="J100" s="84" t="s">
        <v>326</v>
      </c>
    </row>
    <row r="101" spans="1:10" x14ac:dyDescent="0.25">
      <c r="A101" s="89"/>
      <c r="B101" s="89"/>
      <c r="C101" s="18" t="s">
        <v>227</v>
      </c>
      <c r="D101" s="22" t="s">
        <v>228</v>
      </c>
      <c r="E101" s="69"/>
      <c r="F101" s="89"/>
      <c r="G101" s="20"/>
      <c r="H101" s="89"/>
      <c r="I101">
        <v>1</v>
      </c>
      <c r="J101" s="84" t="s">
        <v>326</v>
      </c>
    </row>
    <row r="102" spans="1:10" x14ac:dyDescent="0.25">
      <c r="A102" s="89"/>
      <c r="B102" s="89"/>
      <c r="C102" s="18" t="s">
        <v>229</v>
      </c>
      <c r="D102" s="22" t="s">
        <v>230</v>
      </c>
      <c r="E102" s="69"/>
      <c r="F102" s="89"/>
      <c r="G102" s="20"/>
      <c r="H102" s="89"/>
      <c r="I102">
        <v>1</v>
      </c>
      <c r="J102" s="84" t="s">
        <v>326</v>
      </c>
    </row>
    <row r="103" spans="1:10" x14ac:dyDescent="0.25">
      <c r="A103" s="89"/>
      <c r="B103" s="89"/>
      <c r="C103" s="91" t="s">
        <v>115</v>
      </c>
      <c r="D103" s="89"/>
      <c r="E103" s="89"/>
      <c r="F103" s="89"/>
      <c r="G103" s="89"/>
      <c r="H103" s="89"/>
      <c r="I103">
        <v>1</v>
      </c>
    </row>
    <row r="104" spans="1:10" x14ac:dyDescent="0.25">
      <c r="A104" s="89"/>
      <c r="B104" s="89"/>
      <c r="C104" s="18" t="s">
        <v>231</v>
      </c>
      <c r="D104" s="22" t="s">
        <v>232</v>
      </c>
      <c r="E104" s="69"/>
      <c r="F104" s="90">
        <f>IF(SUMIF(E104:E106,"соответствует",$I$4:$I$134)=3,1,0)</f>
        <v>0</v>
      </c>
      <c r="G104" s="20"/>
      <c r="H104" s="89"/>
      <c r="I104">
        <v>1</v>
      </c>
      <c r="J104" s="84" t="s">
        <v>320</v>
      </c>
    </row>
    <row r="105" spans="1:10" ht="30" x14ac:dyDescent="0.25">
      <c r="A105" s="89"/>
      <c r="B105" s="89"/>
      <c r="C105" s="18" t="s">
        <v>233</v>
      </c>
      <c r="D105" s="22" t="s">
        <v>234</v>
      </c>
      <c r="E105" s="69"/>
      <c r="F105" s="89"/>
      <c r="G105" s="20"/>
      <c r="H105" s="89"/>
      <c r="I105">
        <v>1</v>
      </c>
      <c r="J105" s="84" t="s">
        <v>320</v>
      </c>
    </row>
    <row r="106" spans="1:10" ht="30" x14ac:dyDescent="0.25">
      <c r="A106" s="89"/>
      <c r="B106" s="89"/>
      <c r="C106" s="18" t="s">
        <v>235</v>
      </c>
      <c r="D106" s="22" t="s">
        <v>236</v>
      </c>
      <c r="E106" s="69"/>
      <c r="F106" s="89"/>
      <c r="G106" s="20"/>
      <c r="H106" s="89"/>
      <c r="I106">
        <v>1</v>
      </c>
      <c r="J106" s="84" t="s">
        <v>326</v>
      </c>
    </row>
    <row r="107" spans="1:10" x14ac:dyDescent="0.25">
      <c r="A107" s="89"/>
      <c r="B107" s="89"/>
      <c r="C107" s="91" t="s">
        <v>120</v>
      </c>
      <c r="D107" s="89"/>
      <c r="E107" s="89"/>
      <c r="F107" s="89"/>
      <c r="G107" s="89"/>
      <c r="H107" s="89"/>
      <c r="I107">
        <v>1</v>
      </c>
    </row>
    <row r="108" spans="1:10" ht="30" x14ac:dyDescent="0.25">
      <c r="A108" s="89"/>
      <c r="B108" s="89"/>
      <c r="C108" s="18" t="s">
        <v>237</v>
      </c>
      <c r="D108" s="22" t="s">
        <v>238</v>
      </c>
      <c r="E108" s="69"/>
      <c r="F108" s="90">
        <f>IF(SUMIF(E108:E111,"соответствует",$I$4:$I$134)=4,1,0)</f>
        <v>0</v>
      </c>
      <c r="G108" s="20"/>
      <c r="H108" s="89"/>
      <c r="I108">
        <v>1</v>
      </c>
    </row>
    <row r="109" spans="1:10" ht="30" x14ac:dyDescent="0.25">
      <c r="A109" s="89"/>
      <c r="B109" s="89"/>
      <c r="C109" s="18" t="s">
        <v>239</v>
      </c>
      <c r="D109" s="22" t="s">
        <v>240</v>
      </c>
      <c r="E109" s="69"/>
      <c r="F109" s="89"/>
      <c r="G109" s="20"/>
      <c r="H109" s="89"/>
      <c r="I109">
        <v>1</v>
      </c>
    </row>
    <row r="110" spans="1:10" ht="45" x14ac:dyDescent="0.25">
      <c r="A110" s="89"/>
      <c r="B110" s="89"/>
      <c r="C110" s="18" t="s">
        <v>241</v>
      </c>
      <c r="D110" s="22" t="s">
        <v>242</v>
      </c>
      <c r="E110" s="69"/>
      <c r="F110" s="89"/>
      <c r="G110" s="20"/>
      <c r="H110" s="89"/>
      <c r="I110">
        <v>1</v>
      </c>
    </row>
    <row r="111" spans="1:10" ht="24" x14ac:dyDescent="0.25">
      <c r="A111" s="89"/>
      <c r="B111" s="89"/>
      <c r="C111" s="23" t="s">
        <v>243</v>
      </c>
      <c r="D111" s="22" t="s">
        <v>244</v>
      </c>
      <c r="E111" s="69"/>
      <c r="F111" s="89"/>
      <c r="G111" s="20"/>
      <c r="H111" s="89"/>
      <c r="I111">
        <v>1</v>
      </c>
    </row>
    <row r="112" spans="1:10" ht="14.45" customHeight="1" x14ac:dyDescent="0.25">
      <c r="A112" s="158">
        <v>13</v>
      </c>
      <c r="B112" s="161" t="s">
        <v>45</v>
      </c>
      <c r="C112" s="91" t="s">
        <v>96</v>
      </c>
      <c r="D112" s="89"/>
      <c r="E112" s="89"/>
      <c r="F112" s="89"/>
      <c r="G112" s="89"/>
      <c r="H112" s="160">
        <f>IF(F113=0,0,IF(F116=0,F113,SUM(F113,F116,F119)))</f>
        <v>0</v>
      </c>
      <c r="I112">
        <v>1</v>
      </c>
    </row>
    <row r="113" spans="1:10" ht="30" x14ac:dyDescent="0.25">
      <c r="A113" s="89"/>
      <c r="B113" s="89"/>
      <c r="C113" s="18" t="s">
        <v>245</v>
      </c>
      <c r="D113" s="22" t="s">
        <v>246</v>
      </c>
      <c r="E113" s="69"/>
      <c r="F113" s="90">
        <f>IF(SUMIF(E113:E114,"соответствует",$I$4:$I$134)=2,1,0)</f>
        <v>0</v>
      </c>
      <c r="G113" s="20"/>
      <c r="H113" s="89"/>
      <c r="I113">
        <v>1</v>
      </c>
      <c r="J113" s="84" t="s">
        <v>320</v>
      </c>
    </row>
    <row r="114" spans="1:10" ht="30" x14ac:dyDescent="0.25">
      <c r="A114" s="89"/>
      <c r="B114" s="89"/>
      <c r="C114" s="18" t="s">
        <v>247</v>
      </c>
      <c r="D114" s="22" t="s">
        <v>248</v>
      </c>
      <c r="E114" s="69"/>
      <c r="F114" s="89"/>
      <c r="G114" s="20"/>
      <c r="H114" s="89"/>
      <c r="I114">
        <v>1</v>
      </c>
      <c r="J114" s="84" t="s">
        <v>320</v>
      </c>
    </row>
    <row r="115" spans="1:10" x14ac:dyDescent="0.25">
      <c r="A115" s="89"/>
      <c r="B115" s="89"/>
      <c r="C115" s="91" t="s">
        <v>115</v>
      </c>
      <c r="D115" s="89"/>
      <c r="E115" s="89"/>
      <c r="F115" s="89"/>
      <c r="G115" s="89"/>
      <c r="H115" s="89"/>
      <c r="I115">
        <v>1</v>
      </c>
    </row>
    <row r="116" spans="1:10" x14ac:dyDescent="0.25">
      <c r="A116" s="89"/>
      <c r="B116" s="89"/>
      <c r="C116" s="18" t="s">
        <v>249</v>
      </c>
      <c r="D116" s="22" t="s">
        <v>250</v>
      </c>
      <c r="E116" s="69"/>
      <c r="F116" s="90">
        <f>IF(SUMIF(E116:E117,"соответствует",$I$4:$I$134)=2,1,0)</f>
        <v>0</v>
      </c>
      <c r="G116" s="20"/>
      <c r="H116" s="89"/>
      <c r="I116">
        <v>1</v>
      </c>
      <c r="J116" s="84" t="s">
        <v>320</v>
      </c>
    </row>
    <row r="117" spans="1:10" ht="30" x14ac:dyDescent="0.25">
      <c r="A117" s="89"/>
      <c r="B117" s="89"/>
      <c r="C117" s="18" t="s">
        <v>251</v>
      </c>
      <c r="D117" s="22" t="s">
        <v>252</v>
      </c>
      <c r="E117" s="69"/>
      <c r="F117" s="89"/>
      <c r="G117" s="20"/>
      <c r="H117" s="89"/>
      <c r="I117">
        <v>1</v>
      </c>
      <c r="J117" s="84" t="s">
        <v>320</v>
      </c>
    </row>
    <row r="118" spans="1:10" x14ac:dyDescent="0.25">
      <c r="A118" s="89"/>
      <c r="B118" s="89"/>
      <c r="C118" s="91" t="s">
        <v>120</v>
      </c>
      <c r="D118" s="89"/>
      <c r="E118" s="89"/>
      <c r="F118" s="89"/>
      <c r="G118" s="89"/>
      <c r="H118" s="89"/>
      <c r="I118">
        <v>1</v>
      </c>
    </row>
    <row r="119" spans="1:10" ht="30" x14ac:dyDescent="0.25">
      <c r="A119" s="89"/>
      <c r="B119" s="89"/>
      <c r="C119" s="18" t="s">
        <v>253</v>
      </c>
      <c r="D119" s="22" t="s">
        <v>254</v>
      </c>
      <c r="E119" s="69"/>
      <c r="F119" s="70">
        <f>IF(SUMIF(E119,"соответствует",$I$4:$I$130)=1,1,0)</f>
        <v>0</v>
      </c>
      <c r="G119" s="20"/>
      <c r="H119" s="89"/>
      <c r="I119">
        <v>1</v>
      </c>
    </row>
    <row r="120" spans="1:10" x14ac:dyDescent="0.25">
      <c r="A120" s="158">
        <v>14</v>
      </c>
      <c r="B120" s="161" t="s">
        <v>63</v>
      </c>
      <c r="C120" s="91" t="s">
        <v>96</v>
      </c>
      <c r="D120" s="89"/>
      <c r="E120" s="89"/>
      <c r="F120" s="89"/>
      <c r="G120" s="89"/>
      <c r="H120" s="160">
        <f>IF(F121=0,0,IF(F124=0,F121,SUM(F121,F124,F128)))</f>
        <v>0</v>
      </c>
      <c r="I120">
        <v>1</v>
      </c>
    </row>
    <row r="121" spans="1:10" ht="45" x14ac:dyDescent="0.25">
      <c r="A121" s="89"/>
      <c r="B121" s="89"/>
      <c r="C121" s="18" t="s">
        <v>255</v>
      </c>
      <c r="D121" s="22" t="s">
        <v>256</v>
      </c>
      <c r="E121" s="69"/>
      <c r="F121" s="90">
        <f>IF(SUMIF(E121:E122,"соответствует",$I$4:$I$134)=2,1,0)</f>
        <v>0</v>
      </c>
      <c r="G121" s="20"/>
      <c r="H121" s="89"/>
      <c r="I121">
        <v>1</v>
      </c>
      <c r="J121" s="84" t="s">
        <v>326</v>
      </c>
    </row>
    <row r="122" spans="1:10" ht="45" x14ac:dyDescent="0.25">
      <c r="A122" s="89"/>
      <c r="B122" s="89"/>
      <c r="C122" s="18" t="s">
        <v>257</v>
      </c>
      <c r="D122" s="22" t="s">
        <v>258</v>
      </c>
      <c r="E122" s="69"/>
      <c r="F122" s="89"/>
      <c r="G122" s="20"/>
      <c r="H122" s="89"/>
      <c r="I122">
        <v>1</v>
      </c>
      <c r="J122" s="84" t="s">
        <v>326</v>
      </c>
    </row>
    <row r="123" spans="1:10" x14ac:dyDescent="0.25">
      <c r="A123" s="89"/>
      <c r="B123" s="89"/>
      <c r="C123" s="165" t="s">
        <v>115</v>
      </c>
      <c r="D123" s="89"/>
      <c r="E123" s="89"/>
      <c r="F123" s="89"/>
      <c r="G123" s="89"/>
      <c r="H123" s="89"/>
      <c r="I123">
        <v>1</v>
      </c>
    </row>
    <row r="124" spans="1:10" ht="30" x14ac:dyDescent="0.25">
      <c r="A124" s="89"/>
      <c r="B124" s="89"/>
      <c r="C124" s="18" t="s">
        <v>259</v>
      </c>
      <c r="D124" s="22" t="s">
        <v>260</v>
      </c>
      <c r="E124" s="69"/>
      <c r="F124" s="90">
        <f>IF(SUMIF(E124:E126,"соответствует",$I$4:$I$134)=3,1,0)</f>
        <v>0</v>
      </c>
      <c r="G124" s="20"/>
      <c r="H124" s="89"/>
      <c r="I124">
        <v>1</v>
      </c>
    </row>
    <row r="125" spans="1:10" ht="45" x14ac:dyDescent="0.25">
      <c r="A125" s="89"/>
      <c r="B125" s="89"/>
      <c r="C125" s="18" t="s">
        <v>261</v>
      </c>
      <c r="D125" s="22" t="s">
        <v>262</v>
      </c>
      <c r="E125" s="69"/>
      <c r="F125" s="89"/>
      <c r="G125" s="20"/>
      <c r="H125" s="89"/>
      <c r="I125">
        <v>1</v>
      </c>
      <c r="J125" s="84"/>
    </row>
    <row r="126" spans="1:10" ht="45" x14ac:dyDescent="0.25">
      <c r="A126" s="89"/>
      <c r="B126" s="89"/>
      <c r="C126" s="18" t="s">
        <v>263</v>
      </c>
      <c r="D126" s="22" t="s">
        <v>264</v>
      </c>
      <c r="E126" s="69"/>
      <c r="F126" s="89"/>
      <c r="G126" s="20"/>
      <c r="H126" s="89"/>
      <c r="I126">
        <v>1</v>
      </c>
    </row>
    <row r="127" spans="1:10" x14ac:dyDescent="0.25">
      <c r="A127" s="89"/>
      <c r="B127" s="89"/>
      <c r="C127" s="91" t="s">
        <v>120</v>
      </c>
      <c r="D127" s="89"/>
      <c r="E127" s="89"/>
      <c r="F127" s="89"/>
      <c r="G127" s="89"/>
      <c r="H127" s="89"/>
      <c r="I127">
        <v>1</v>
      </c>
    </row>
    <row r="128" spans="1:10" ht="45" x14ac:dyDescent="0.25">
      <c r="A128" s="89"/>
      <c r="B128" s="89"/>
      <c r="C128" s="18" t="s">
        <v>265</v>
      </c>
      <c r="D128" s="22" t="s">
        <v>266</v>
      </c>
      <c r="E128" s="69"/>
      <c r="F128" s="90">
        <f>IF(SUMIF(E128:E130,"соответствует",$I$4:$I$134)=3,1,0)</f>
        <v>0</v>
      </c>
      <c r="G128" s="29"/>
      <c r="H128" s="89"/>
      <c r="I128">
        <v>1</v>
      </c>
      <c r="J128" s="88"/>
    </row>
    <row r="129" spans="1:10" ht="45" x14ac:dyDescent="0.25">
      <c r="A129" s="89"/>
      <c r="B129" s="89"/>
      <c r="C129" s="18" t="s">
        <v>267</v>
      </c>
      <c r="D129" s="22" t="s">
        <v>268</v>
      </c>
      <c r="E129" s="69"/>
      <c r="F129" s="89"/>
      <c r="G129" s="29"/>
      <c r="H129" s="89"/>
      <c r="I129">
        <v>1</v>
      </c>
      <c r="J129" s="88"/>
    </row>
    <row r="130" spans="1:10" ht="30" x14ac:dyDescent="0.25">
      <c r="A130" s="89"/>
      <c r="B130" s="89"/>
      <c r="C130" s="18" t="s">
        <v>269</v>
      </c>
      <c r="D130" s="22" t="s">
        <v>270</v>
      </c>
      <c r="E130" s="69"/>
      <c r="F130" s="89"/>
      <c r="G130" s="30"/>
      <c r="H130" s="89"/>
      <c r="I130">
        <v>1</v>
      </c>
    </row>
    <row r="131" spans="1:10" ht="14.45" customHeight="1" x14ac:dyDescent="0.25">
      <c r="A131" s="163" t="s">
        <v>271</v>
      </c>
      <c r="B131" s="89"/>
      <c r="C131" s="89"/>
      <c r="D131" s="89"/>
      <c r="E131" s="89"/>
      <c r="F131" s="89"/>
      <c r="G131" s="89"/>
      <c r="H131" s="24">
        <f>SUM(H3:H130)</f>
        <v>0</v>
      </c>
    </row>
    <row r="132" spans="1:10" ht="47.45" customHeight="1" x14ac:dyDescent="0.25">
      <c r="A132" s="164" t="s">
        <v>272</v>
      </c>
      <c r="B132" s="89"/>
      <c r="C132" s="89"/>
      <c r="D132" s="89"/>
      <c r="E132" s="89"/>
      <c r="F132" s="89"/>
      <c r="G132" s="89"/>
      <c r="H132" s="89"/>
    </row>
    <row r="133" spans="1:10" ht="51" customHeight="1" x14ac:dyDescent="0.25"/>
  </sheetData>
  <mergeCells count="122">
    <mergeCell ref="A131:G131"/>
    <mergeCell ref="A132:H132"/>
    <mergeCell ref="A120:A130"/>
    <mergeCell ref="B120:B130"/>
    <mergeCell ref="C120:G120"/>
    <mergeCell ref="H120:H130"/>
    <mergeCell ref="F121:F122"/>
    <mergeCell ref="C123:G123"/>
    <mergeCell ref="F124:F126"/>
    <mergeCell ref="C127:G127"/>
    <mergeCell ref="F128:F130"/>
    <mergeCell ref="A112:A119"/>
    <mergeCell ref="B112:B119"/>
    <mergeCell ref="C112:G112"/>
    <mergeCell ref="H112:H119"/>
    <mergeCell ref="F113:F114"/>
    <mergeCell ref="C115:G115"/>
    <mergeCell ref="F116:F117"/>
    <mergeCell ref="C118:G118"/>
    <mergeCell ref="A99:A111"/>
    <mergeCell ref="B99:B111"/>
    <mergeCell ref="C99:G99"/>
    <mergeCell ref="H99:H111"/>
    <mergeCell ref="F100:F102"/>
    <mergeCell ref="C103:G103"/>
    <mergeCell ref="F104:F106"/>
    <mergeCell ref="C107:G107"/>
    <mergeCell ref="F108:F111"/>
    <mergeCell ref="A90:A98"/>
    <mergeCell ref="B90:B98"/>
    <mergeCell ref="C90:G90"/>
    <mergeCell ref="H90:H98"/>
    <mergeCell ref="F91:F93"/>
    <mergeCell ref="C94:G94"/>
    <mergeCell ref="F95:F96"/>
    <mergeCell ref="C97:G97"/>
    <mergeCell ref="A82:A89"/>
    <mergeCell ref="B82:B89"/>
    <mergeCell ref="C82:G82"/>
    <mergeCell ref="H82:H89"/>
    <mergeCell ref="F83:F84"/>
    <mergeCell ref="C85:G85"/>
    <mergeCell ref="F86:F87"/>
    <mergeCell ref="C88:G88"/>
    <mergeCell ref="A75:A81"/>
    <mergeCell ref="B75:B81"/>
    <mergeCell ref="C75:G75"/>
    <mergeCell ref="H75:H81"/>
    <mergeCell ref="C77:G77"/>
    <mergeCell ref="C79:G79"/>
    <mergeCell ref="F80:F81"/>
    <mergeCell ref="A67:A74"/>
    <mergeCell ref="B67:B74"/>
    <mergeCell ref="C67:G67"/>
    <mergeCell ref="H67:H74"/>
    <mergeCell ref="F68:F69"/>
    <mergeCell ref="C70:G70"/>
    <mergeCell ref="F71:F72"/>
    <mergeCell ref="C73:G73"/>
    <mergeCell ref="A58:A66"/>
    <mergeCell ref="B58:B66"/>
    <mergeCell ref="C58:G58"/>
    <mergeCell ref="H58:H66"/>
    <mergeCell ref="F59:F60"/>
    <mergeCell ref="C61:G61"/>
    <mergeCell ref="F62:F63"/>
    <mergeCell ref="C64:G64"/>
    <mergeCell ref="F65:F66"/>
    <mergeCell ref="A48:A57"/>
    <mergeCell ref="B48:B57"/>
    <mergeCell ref="C48:G48"/>
    <mergeCell ref="H48:H57"/>
    <mergeCell ref="F49:F50"/>
    <mergeCell ref="C51:G51"/>
    <mergeCell ref="F52:F54"/>
    <mergeCell ref="C55:G55"/>
    <mergeCell ref="F56:F57"/>
    <mergeCell ref="A38:A47"/>
    <mergeCell ref="B38:B47"/>
    <mergeCell ref="C38:G38"/>
    <mergeCell ref="H38:H47"/>
    <mergeCell ref="F39:F40"/>
    <mergeCell ref="C41:G41"/>
    <mergeCell ref="F42:F43"/>
    <mergeCell ref="C44:G44"/>
    <mergeCell ref="F45:F47"/>
    <mergeCell ref="A29:A37"/>
    <mergeCell ref="B29:B37"/>
    <mergeCell ref="C29:G29"/>
    <mergeCell ref="H29:H37"/>
    <mergeCell ref="F30:F31"/>
    <mergeCell ref="C32:G32"/>
    <mergeCell ref="F33:F34"/>
    <mergeCell ref="C35:G35"/>
    <mergeCell ref="F36:F37"/>
    <mergeCell ref="A21:A28"/>
    <mergeCell ref="B21:B28"/>
    <mergeCell ref="C21:G21"/>
    <mergeCell ref="H21:H28"/>
    <mergeCell ref="F22:F23"/>
    <mergeCell ref="C24:G24"/>
    <mergeCell ref="F25:F26"/>
    <mergeCell ref="C27:G27"/>
    <mergeCell ref="F10:F11"/>
    <mergeCell ref="A12:A20"/>
    <mergeCell ref="B12:B20"/>
    <mergeCell ref="C12:G12"/>
    <mergeCell ref="H12:H20"/>
    <mergeCell ref="C14:G14"/>
    <mergeCell ref="F15:F17"/>
    <mergeCell ref="C18:G18"/>
    <mergeCell ref="F19:F20"/>
    <mergeCell ref="B1:D1"/>
    <mergeCell ref="C2:D2"/>
    <mergeCell ref="A3:A11"/>
    <mergeCell ref="B3:B11"/>
    <mergeCell ref="C3:G3"/>
    <mergeCell ref="H3:H11"/>
    <mergeCell ref="F4:F5"/>
    <mergeCell ref="C6:G6"/>
    <mergeCell ref="F7:F8"/>
    <mergeCell ref="C9:G9"/>
  </mergeCells>
  <dataValidations count="1">
    <dataValidation type="list" allowBlank="1" showErrorMessage="1" sqref="E4:E5 E7:E8 E10:E11 E13 E15:E17 E19:E20 E22:E23 E25:E26 E28 E30:E31 E33:E34 E36:E37 E39:E40 E42:E43 E45:E47 E49:E50 E52:E54 E56:E57 E59:E60 E62:E63 E65:E66 E68:E69 E71:E72 E74 E76 E78 E80:E81 E83:E84 E86:E87 E89 E91:E93 E95:E96 E98 E100:E102 E104:E106 E108:E111 E113:E114 E116:E117 E119 E121:E122 E124:E126 E128:E130" xr:uid="{AD28FFF2-0DDB-4E3E-95C6-454B8B6C8716}">
      <formula1>$M$3:$M$5</formula1>
    </dataValidation>
  </dataValidations>
  <pageMargins left="0.39370078740157483" right="0.19685039370078741" top="0.19685039370078741" bottom="0.19685039370078741" header="0.31496062992125984" footer="0.31496062992125984"/>
  <pageSetup paperSize="9" scale="51" fitToHeight="3" orientation="portrait" r:id="rId1"/>
  <rowBreaks count="1" manualBreakCount="1">
    <brk id="66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9B82-34A4-41A3-9C93-D84565A0FD01}">
  <sheetPr>
    <pageSetUpPr fitToPage="1"/>
  </sheetPr>
  <dimension ref="A1:Q48"/>
  <sheetViews>
    <sheetView view="pageBreakPreview" topLeftCell="A25" zoomScale="70" zoomScaleNormal="85" zoomScaleSheetLayoutView="70" workbookViewId="0">
      <selection activeCell="F33" sqref="F33"/>
    </sheetView>
  </sheetViews>
  <sheetFormatPr defaultRowHeight="15" x14ac:dyDescent="0.25"/>
  <cols>
    <col min="1" max="1" width="5.28515625" customWidth="1"/>
    <col min="2" max="2" width="22" customWidth="1"/>
    <col min="3" max="4" width="14" customWidth="1"/>
    <col min="5" max="5" width="15.7109375" customWidth="1"/>
    <col min="6" max="6" width="8.28515625" customWidth="1"/>
    <col min="7" max="7" width="68.140625" customWidth="1"/>
    <col min="8" max="8" width="7.42578125" bestFit="1" customWidth="1"/>
    <col min="9" max="9" width="7.28515625" customWidth="1"/>
    <col min="11" max="11" width="111.5703125" customWidth="1"/>
  </cols>
  <sheetData>
    <row r="1" spans="1:17" ht="21" x14ac:dyDescent="0.25">
      <c r="A1" s="106" t="s">
        <v>64</v>
      </c>
      <c r="B1" s="106"/>
      <c r="C1" s="106"/>
      <c r="D1" s="106"/>
      <c r="E1" s="106"/>
      <c r="F1" s="106"/>
      <c r="G1" s="106"/>
      <c r="H1" s="106"/>
    </row>
    <row r="2" spans="1:17" ht="15.6" customHeight="1" x14ac:dyDescent="0.25">
      <c r="A2" s="67"/>
      <c r="B2" s="67"/>
      <c r="C2" s="67"/>
      <c r="D2" s="67"/>
      <c r="E2" s="67"/>
      <c r="F2" s="67"/>
      <c r="G2" s="67"/>
      <c r="H2" s="67"/>
    </row>
    <row r="3" spans="1:17" ht="18.75" x14ac:dyDescent="0.3">
      <c r="A3" s="107" t="s">
        <v>21</v>
      </c>
      <c r="B3" s="107"/>
      <c r="C3" s="37" t="s">
        <v>280</v>
      </c>
      <c r="D3" s="33"/>
      <c r="E3" s="33"/>
      <c r="G3" s="38" t="s">
        <v>279</v>
      </c>
    </row>
    <row r="4" spans="1:17" ht="19.5" thickBot="1" x14ac:dyDescent="0.3">
      <c r="A4" s="63" t="s">
        <v>5</v>
      </c>
      <c r="B4" s="71"/>
    </row>
    <row r="5" spans="1:17" ht="31.15" customHeight="1" x14ac:dyDescent="0.25">
      <c r="A5" s="92" t="s">
        <v>6</v>
      </c>
      <c r="B5" s="93"/>
      <c r="C5" s="108"/>
      <c r="D5" s="109"/>
      <c r="E5" s="109"/>
      <c r="F5" s="109"/>
      <c r="G5" s="109"/>
      <c r="H5" s="110"/>
    </row>
    <row r="6" spans="1:17" ht="15.75" thickBot="1" x14ac:dyDescent="0.3">
      <c r="A6" s="111"/>
      <c r="B6" s="112"/>
      <c r="C6" s="15"/>
      <c r="D6" s="15"/>
      <c r="E6" s="15"/>
      <c r="F6" s="15"/>
      <c r="G6" s="15"/>
      <c r="H6" s="25"/>
    </row>
    <row r="7" spans="1:17" ht="25.15" customHeight="1" x14ac:dyDescent="0.25">
      <c r="A7" s="92" t="s">
        <v>289</v>
      </c>
      <c r="B7" s="93"/>
      <c r="C7" s="94">
        <f>Чек7!G1</f>
        <v>44127</v>
      </c>
      <c r="D7" s="95"/>
      <c r="E7" s="96" t="s">
        <v>308</v>
      </c>
      <c r="F7" s="77" t="s">
        <v>7</v>
      </c>
      <c r="G7" s="98" t="s">
        <v>29</v>
      </c>
      <c r="H7" s="99"/>
    </row>
    <row r="8" spans="1:17" ht="25.15" customHeight="1" x14ac:dyDescent="0.25">
      <c r="A8" s="100" t="s">
        <v>8</v>
      </c>
      <c r="B8" s="101"/>
      <c r="C8" s="34">
        <v>44022</v>
      </c>
      <c r="D8" s="75">
        <v>44168</v>
      </c>
      <c r="E8" s="96"/>
      <c r="F8" s="78" t="s">
        <v>9</v>
      </c>
      <c r="G8" s="102"/>
      <c r="H8" s="103"/>
    </row>
    <row r="9" spans="1:17" ht="25.15" customHeight="1" thickBot="1" x14ac:dyDescent="0.3">
      <c r="A9" s="100" t="s">
        <v>10</v>
      </c>
      <c r="B9" s="101"/>
      <c r="C9" s="104" t="str">
        <f>IF(C10&lt;3,"Диагностика",IF(C10&lt;6,"Реализация",IF(C10&gt;6,"Тиражирование","")))</f>
        <v>Диагностика</v>
      </c>
      <c r="D9" s="105"/>
      <c r="E9" s="97"/>
      <c r="F9" s="78" t="s">
        <v>11</v>
      </c>
      <c r="G9" s="102"/>
      <c r="H9" s="103"/>
    </row>
    <row r="10" spans="1:17" ht="25.15" customHeight="1" thickBot="1" x14ac:dyDescent="0.3">
      <c r="A10" s="113" t="s">
        <v>4</v>
      </c>
      <c r="B10" s="114"/>
      <c r="C10" s="32">
        <f>((C7-C8)-E10)/30</f>
        <v>2.5</v>
      </c>
      <c r="D10" s="76" t="s">
        <v>281</v>
      </c>
      <c r="E10" s="80">
        <v>30</v>
      </c>
      <c r="F10" s="79" t="s">
        <v>12</v>
      </c>
      <c r="G10" s="115"/>
      <c r="H10" s="116"/>
    </row>
    <row r="11" spans="1:17" x14ac:dyDescent="0.25">
      <c r="A11" s="2"/>
      <c r="B11" s="2"/>
    </row>
    <row r="12" spans="1:17" ht="18.75" x14ac:dyDescent="0.25">
      <c r="A12" s="118" t="s">
        <v>13</v>
      </c>
      <c r="B12" s="118"/>
      <c r="C12" s="118"/>
      <c r="D12" s="118"/>
      <c r="E12" s="118"/>
      <c r="F12" s="118"/>
      <c r="G12" s="118"/>
    </row>
    <row r="13" spans="1:17" ht="147.6" customHeight="1" x14ac:dyDescent="0.25">
      <c r="A13" s="119"/>
      <c r="B13" s="120"/>
      <c r="C13" s="120"/>
      <c r="D13" s="120"/>
      <c r="E13" s="120"/>
      <c r="F13" s="120"/>
      <c r="G13" s="120"/>
      <c r="H13" s="121"/>
      <c r="K13" s="7" t="s">
        <v>14</v>
      </c>
      <c r="L13" s="8"/>
      <c r="M13" s="8"/>
      <c r="N13" s="8"/>
      <c r="O13" s="8"/>
      <c r="P13" s="8"/>
      <c r="Q13" s="8"/>
    </row>
    <row r="14" spans="1:17" ht="19.5" thickBot="1" x14ac:dyDescent="0.3">
      <c r="A14" s="122" t="s">
        <v>49</v>
      </c>
      <c r="B14" s="122"/>
      <c r="C14" s="122"/>
      <c r="D14" s="122"/>
      <c r="E14" s="122"/>
      <c r="F14" s="122"/>
      <c r="G14" s="122"/>
      <c r="H14" s="122"/>
    </row>
    <row r="15" spans="1:17" ht="37.15" customHeight="1" x14ac:dyDescent="0.25">
      <c r="A15" s="50" t="s">
        <v>0</v>
      </c>
      <c r="B15" s="65" t="s">
        <v>50</v>
      </c>
      <c r="C15" s="65" t="s">
        <v>51</v>
      </c>
      <c r="D15" s="123" t="s">
        <v>52</v>
      </c>
      <c r="E15" s="123"/>
      <c r="F15" s="123"/>
      <c r="G15" s="123"/>
      <c r="H15" s="51" t="s">
        <v>15</v>
      </c>
      <c r="J15" s="6" t="s">
        <v>15</v>
      </c>
    </row>
    <row r="16" spans="1:17" s="14" customFormat="1" ht="15.75" x14ac:dyDescent="0.25">
      <c r="A16" s="52" t="s">
        <v>291</v>
      </c>
      <c r="B16" s="124" t="s">
        <v>86</v>
      </c>
      <c r="C16" s="124"/>
      <c r="D16" s="124"/>
      <c r="E16" s="124"/>
      <c r="F16" s="124"/>
      <c r="G16" s="124"/>
      <c r="H16" s="53"/>
      <c r="I16"/>
      <c r="J16" s="13"/>
    </row>
    <row r="17" spans="1:13" ht="72.599999999999994" customHeight="1" x14ac:dyDescent="0.25">
      <c r="A17" s="56" t="s">
        <v>66</v>
      </c>
      <c r="B17" s="66" t="s">
        <v>55</v>
      </c>
      <c r="C17" s="35" t="s">
        <v>54</v>
      </c>
      <c r="D17" s="125"/>
      <c r="E17" s="125"/>
      <c r="F17" s="125"/>
      <c r="G17" s="125"/>
      <c r="H17" s="54">
        <f>IF(C17="Да",30,IF(C17="Без участия ФЦК",15,0))</f>
        <v>30</v>
      </c>
      <c r="I17" s="73"/>
      <c r="J17" s="12" t="s">
        <v>53</v>
      </c>
      <c r="K17" s="7" t="s">
        <v>17</v>
      </c>
    </row>
    <row r="18" spans="1:13" ht="15.75" x14ac:dyDescent="0.25">
      <c r="A18" s="55" t="s">
        <v>292</v>
      </c>
      <c r="B18" s="124" t="s">
        <v>1</v>
      </c>
      <c r="C18" s="124"/>
      <c r="D18" s="124"/>
      <c r="E18" s="124"/>
      <c r="F18" s="124"/>
      <c r="G18" s="124"/>
      <c r="H18" s="54">
        <f>SUM(H19:H21)</f>
        <v>0</v>
      </c>
      <c r="I18" s="73"/>
      <c r="J18" s="12" t="s">
        <v>3</v>
      </c>
    </row>
    <row r="19" spans="1:13" ht="78.75" x14ac:dyDescent="0.25">
      <c r="A19" s="56" t="s">
        <v>293</v>
      </c>
      <c r="B19" s="64" t="s">
        <v>299</v>
      </c>
      <c r="C19" s="81" t="s">
        <v>16</v>
      </c>
      <c r="D19" s="125"/>
      <c r="E19" s="125"/>
      <c r="F19" s="125"/>
      <c r="G19" s="125"/>
      <c r="H19" s="54">
        <f>IF(C19="Да",10,0)</f>
        <v>0</v>
      </c>
      <c r="I19" s="73" t="s">
        <v>306</v>
      </c>
      <c r="J19" s="5" t="s">
        <v>46</v>
      </c>
      <c r="K19" s="7" t="s">
        <v>290</v>
      </c>
    </row>
    <row r="20" spans="1:13" ht="57" customHeight="1" x14ac:dyDescent="0.25">
      <c r="A20" s="56" t="s">
        <v>294</v>
      </c>
      <c r="B20" s="64" t="s">
        <v>300</v>
      </c>
      <c r="C20" s="81" t="s">
        <v>16</v>
      </c>
      <c r="D20" s="125"/>
      <c r="E20" s="125"/>
      <c r="F20" s="125"/>
      <c r="G20" s="125"/>
      <c r="H20" s="54">
        <f>IF(C20="Да",10,0)</f>
        <v>0</v>
      </c>
      <c r="I20" s="73" t="s">
        <v>305</v>
      </c>
      <c r="J20" s="5" t="s">
        <v>46</v>
      </c>
      <c r="K20" s="7" t="s">
        <v>18</v>
      </c>
    </row>
    <row r="21" spans="1:13" ht="58.9" customHeight="1" x14ac:dyDescent="0.25">
      <c r="A21" s="56" t="s">
        <v>295</v>
      </c>
      <c r="B21" s="64" t="s">
        <v>301</v>
      </c>
      <c r="C21" s="81" t="s">
        <v>16</v>
      </c>
      <c r="D21" s="126" t="str">
        <f>"По чек-листу V4,0 набрано  "&amp;F32&amp;"  баллов"</f>
        <v>По чек-листу V4,0 набрано  0  баллов</v>
      </c>
      <c r="E21" s="126"/>
      <c r="F21" s="126"/>
      <c r="G21" s="126"/>
      <c r="H21" s="54">
        <f>IF(C21="Да",10,0)</f>
        <v>0</v>
      </c>
      <c r="I21" s="73"/>
      <c r="J21" s="5" t="s">
        <v>46</v>
      </c>
      <c r="K21" s="7" t="s">
        <v>19</v>
      </c>
    </row>
    <row r="22" spans="1:13" ht="15.75" x14ac:dyDescent="0.25">
      <c r="A22" s="57" t="s">
        <v>296</v>
      </c>
      <c r="B22" s="127" t="s">
        <v>2</v>
      </c>
      <c r="C22" s="128"/>
      <c r="D22" s="128"/>
      <c r="E22" s="128"/>
      <c r="F22" s="128"/>
      <c r="G22" s="129"/>
      <c r="H22" s="54"/>
      <c r="I22" s="73"/>
      <c r="J22" s="5"/>
      <c r="K22" s="7"/>
    </row>
    <row r="23" spans="1:13" ht="63.75" thickBot="1" x14ac:dyDescent="0.3">
      <c r="A23" s="58" t="s">
        <v>298</v>
      </c>
      <c r="B23" s="59" t="s">
        <v>73</v>
      </c>
      <c r="C23" s="48" t="s">
        <v>54</v>
      </c>
      <c r="D23" s="117" t="s">
        <v>276</v>
      </c>
      <c r="E23" s="117"/>
      <c r="F23" s="117"/>
      <c r="G23" s="117"/>
      <c r="H23" s="60">
        <f>IF(C23="Да",10,0)</f>
        <v>10</v>
      </c>
      <c r="I23" s="73"/>
      <c r="J23" s="12" t="s">
        <v>46</v>
      </c>
      <c r="K23" s="7" t="s">
        <v>20</v>
      </c>
    </row>
    <row r="24" spans="1:13" ht="15.75" x14ac:dyDescent="0.25">
      <c r="A24" s="45" t="s">
        <v>297</v>
      </c>
      <c r="B24" s="137" t="s">
        <v>67</v>
      </c>
      <c r="C24" s="138"/>
      <c r="D24" s="138"/>
      <c r="E24" s="138"/>
      <c r="F24" s="138"/>
      <c r="G24" s="139"/>
      <c r="H24" s="46"/>
      <c r="I24" s="73"/>
      <c r="J24" s="12"/>
      <c r="K24" s="7"/>
    </row>
    <row r="25" spans="1:13" ht="30" customHeight="1" x14ac:dyDescent="0.25">
      <c r="A25" s="130" t="s">
        <v>68</v>
      </c>
      <c r="B25" s="132" t="s">
        <v>83</v>
      </c>
      <c r="C25" s="35" t="s">
        <v>16</v>
      </c>
      <c r="D25" s="119"/>
      <c r="E25" s="120"/>
      <c r="F25" s="120"/>
      <c r="G25" s="121"/>
      <c r="H25" s="47">
        <f>IF(C25="Да",5,0)</f>
        <v>0</v>
      </c>
      <c r="I25" s="74" t="s">
        <v>307</v>
      </c>
      <c r="J25" s="12" t="s">
        <v>274</v>
      </c>
      <c r="K25" s="134" t="s">
        <v>71</v>
      </c>
      <c r="L25" s="135"/>
      <c r="M25" s="136"/>
    </row>
    <row r="26" spans="1:13" ht="30" customHeight="1" x14ac:dyDescent="0.25">
      <c r="A26" s="140"/>
      <c r="B26" s="141"/>
      <c r="C26" s="35" t="s">
        <v>16</v>
      </c>
      <c r="D26" s="119"/>
      <c r="E26" s="120"/>
      <c r="F26" s="120"/>
      <c r="G26" s="121"/>
      <c r="H26" s="47">
        <f t="shared" ref="H26:H30" si="0">IF(C26="Да",5,0)</f>
        <v>0</v>
      </c>
      <c r="I26" s="73"/>
      <c r="J26" s="12" t="s">
        <v>274</v>
      </c>
      <c r="K26" s="134" t="s">
        <v>72</v>
      </c>
      <c r="L26" s="135"/>
      <c r="M26" s="136"/>
    </row>
    <row r="27" spans="1:13" ht="30" customHeight="1" x14ac:dyDescent="0.25">
      <c r="A27" s="130" t="s">
        <v>69</v>
      </c>
      <c r="B27" s="132" t="s">
        <v>84</v>
      </c>
      <c r="C27" s="35" t="s">
        <v>16</v>
      </c>
      <c r="D27" s="119"/>
      <c r="E27" s="120"/>
      <c r="F27" s="120"/>
      <c r="G27" s="121"/>
      <c r="H27" s="47">
        <f t="shared" si="0"/>
        <v>0</v>
      </c>
      <c r="I27" s="73"/>
      <c r="J27" s="12" t="s">
        <v>274</v>
      </c>
      <c r="K27" s="134" t="s">
        <v>74</v>
      </c>
      <c r="L27" s="135"/>
      <c r="M27" s="136"/>
    </row>
    <row r="28" spans="1:13" ht="30" customHeight="1" x14ac:dyDescent="0.25">
      <c r="A28" s="140"/>
      <c r="B28" s="141"/>
      <c r="C28" s="35" t="s">
        <v>16</v>
      </c>
      <c r="D28" s="119"/>
      <c r="E28" s="120"/>
      <c r="F28" s="120"/>
      <c r="G28" s="121"/>
      <c r="H28" s="47">
        <f t="shared" si="0"/>
        <v>0</v>
      </c>
      <c r="I28" s="73"/>
      <c r="J28" s="12" t="s">
        <v>274</v>
      </c>
      <c r="K28" s="134" t="s">
        <v>75</v>
      </c>
      <c r="L28" s="135"/>
      <c r="M28" s="136"/>
    </row>
    <row r="29" spans="1:13" ht="30" customHeight="1" x14ac:dyDescent="0.25">
      <c r="A29" s="130" t="s">
        <v>70</v>
      </c>
      <c r="B29" s="132" t="s">
        <v>85</v>
      </c>
      <c r="C29" s="35" t="s">
        <v>16</v>
      </c>
      <c r="D29" s="119"/>
      <c r="E29" s="120"/>
      <c r="F29" s="120"/>
      <c r="G29" s="121"/>
      <c r="H29" s="47">
        <f t="shared" si="0"/>
        <v>0</v>
      </c>
      <c r="I29" s="73"/>
      <c r="J29" s="12" t="s">
        <v>274</v>
      </c>
      <c r="K29" s="134" t="s">
        <v>76</v>
      </c>
      <c r="L29" s="135"/>
      <c r="M29" s="136"/>
    </row>
    <row r="30" spans="1:13" ht="30" customHeight="1" thickBot="1" x14ac:dyDescent="0.3">
      <c r="A30" s="131"/>
      <c r="B30" s="133"/>
      <c r="C30" s="48" t="s">
        <v>16</v>
      </c>
      <c r="D30" s="142"/>
      <c r="E30" s="143"/>
      <c r="F30" s="143"/>
      <c r="G30" s="144"/>
      <c r="H30" s="49">
        <f t="shared" si="0"/>
        <v>0</v>
      </c>
      <c r="I30" s="73"/>
      <c r="J30" s="12" t="s">
        <v>274</v>
      </c>
      <c r="K30" s="134" t="s">
        <v>77</v>
      </c>
      <c r="L30" s="135"/>
      <c r="M30" s="136"/>
    </row>
    <row r="31" spans="1:13" ht="15.6" customHeight="1" thickBot="1" x14ac:dyDescent="0.3">
      <c r="A31" s="43" t="s">
        <v>78</v>
      </c>
      <c r="B31" s="149" t="s">
        <v>278</v>
      </c>
      <c r="C31" s="150"/>
      <c r="D31" s="150"/>
      <c r="E31" s="150"/>
      <c r="F31" s="150"/>
      <c r="G31" s="151"/>
      <c r="H31" s="44"/>
      <c r="I31" s="73"/>
      <c r="J31" s="12"/>
      <c r="K31" s="7"/>
    </row>
    <row r="32" spans="1:13" ht="51.6" customHeight="1" thickBot="1" x14ac:dyDescent="0.3">
      <c r="A32" s="41" t="s">
        <v>79</v>
      </c>
      <c r="B32" s="152" t="s">
        <v>273</v>
      </c>
      <c r="C32" s="152"/>
      <c r="D32" s="153" t="s">
        <v>302</v>
      </c>
      <c r="E32" s="153"/>
      <c r="F32" s="62">
        <f>Чек7!H131</f>
        <v>0</v>
      </c>
      <c r="G32" s="61" t="s">
        <v>81</v>
      </c>
      <c r="H32" s="42">
        <f>IF(F32-21&gt;0,F32-21,0)</f>
        <v>0</v>
      </c>
      <c r="J32" s="10" t="s">
        <v>48</v>
      </c>
      <c r="K32" s="11" t="s">
        <v>47</v>
      </c>
    </row>
    <row r="33" spans="1:11" ht="18.75" x14ac:dyDescent="0.25">
      <c r="A33" s="1"/>
      <c r="B33" s="1"/>
      <c r="G33" s="9" t="s">
        <v>275</v>
      </c>
      <c r="H33" s="40">
        <f>H17+H18+H23+SUM(H25:H30)+H32</f>
        <v>40</v>
      </c>
      <c r="J33" s="146" t="s">
        <v>80</v>
      </c>
      <c r="K33" s="147"/>
    </row>
    <row r="34" spans="1:11" ht="18.75" x14ac:dyDescent="0.25">
      <c r="A34" s="39" t="s">
        <v>88</v>
      </c>
      <c r="B34" s="118" t="s">
        <v>89</v>
      </c>
      <c r="C34" s="118"/>
      <c r="D34" s="118"/>
      <c r="E34" s="118"/>
      <c r="F34" s="118"/>
      <c r="G34" s="118"/>
    </row>
    <row r="35" spans="1:11" ht="15.75" x14ac:dyDescent="0.25">
      <c r="A35" s="82" t="s">
        <v>157</v>
      </c>
      <c r="B35" s="148"/>
      <c r="C35" s="148"/>
      <c r="D35" s="148"/>
      <c r="E35" s="148"/>
      <c r="F35" s="148"/>
      <c r="G35" s="148"/>
      <c r="H35" s="148"/>
    </row>
    <row r="36" spans="1:11" ht="15.75" x14ac:dyDescent="0.25">
      <c r="A36" s="83" t="s">
        <v>159</v>
      </c>
      <c r="B36" s="145"/>
      <c r="C36" s="145"/>
      <c r="D36" s="145"/>
      <c r="E36" s="145"/>
      <c r="F36" s="145"/>
      <c r="G36" s="145"/>
      <c r="H36" s="145"/>
    </row>
    <row r="37" spans="1:11" ht="15.75" x14ac:dyDescent="0.25">
      <c r="A37" s="83" t="s">
        <v>161</v>
      </c>
      <c r="B37" s="145"/>
      <c r="C37" s="145"/>
      <c r="D37" s="145"/>
      <c r="E37" s="145"/>
      <c r="F37" s="145"/>
      <c r="G37" s="145"/>
      <c r="H37" s="145"/>
    </row>
    <row r="38" spans="1:11" ht="15.75" x14ac:dyDescent="0.25">
      <c r="A38" s="82" t="s">
        <v>163</v>
      </c>
      <c r="B38" s="148"/>
      <c r="C38" s="148"/>
      <c r="D38" s="148"/>
      <c r="E38" s="148"/>
      <c r="F38" s="148"/>
      <c r="G38" s="148"/>
      <c r="H38" s="148"/>
    </row>
    <row r="39" spans="1:11" ht="15.75" x14ac:dyDescent="0.25">
      <c r="A39" s="83" t="s">
        <v>165</v>
      </c>
      <c r="B39" s="145"/>
      <c r="C39" s="145"/>
      <c r="D39" s="145"/>
      <c r="E39" s="145"/>
      <c r="F39" s="145"/>
      <c r="G39" s="145"/>
      <c r="H39" s="145"/>
    </row>
    <row r="40" spans="1:11" ht="15.75" x14ac:dyDescent="0.25">
      <c r="A40" s="83" t="s">
        <v>167</v>
      </c>
      <c r="B40" s="145"/>
      <c r="C40" s="145"/>
      <c r="D40" s="145"/>
      <c r="E40" s="145"/>
      <c r="F40" s="145"/>
      <c r="G40" s="145"/>
      <c r="H40" s="145"/>
    </row>
    <row r="41" spans="1:11" ht="15.75" x14ac:dyDescent="0.25">
      <c r="A41" s="83" t="s">
        <v>169</v>
      </c>
      <c r="B41" s="145"/>
      <c r="C41" s="145"/>
      <c r="D41" s="145"/>
      <c r="E41" s="145"/>
      <c r="F41" s="145"/>
      <c r="G41" s="145"/>
      <c r="H41" s="145"/>
    </row>
    <row r="42" spans="1:11" ht="15.75" x14ac:dyDescent="0.25">
      <c r="A42" s="83" t="s">
        <v>310</v>
      </c>
      <c r="B42" s="145"/>
      <c r="C42" s="145"/>
      <c r="D42" s="145"/>
      <c r="E42" s="145"/>
      <c r="F42" s="145"/>
      <c r="G42" s="145"/>
      <c r="H42" s="145"/>
    </row>
    <row r="43" spans="1:11" ht="15.75" x14ac:dyDescent="0.25">
      <c r="A43" s="83" t="s">
        <v>311</v>
      </c>
      <c r="B43" s="145"/>
      <c r="C43" s="145"/>
      <c r="D43" s="145"/>
      <c r="E43" s="145"/>
      <c r="F43" s="145"/>
      <c r="G43" s="145"/>
      <c r="H43" s="145"/>
    </row>
    <row r="44" spans="1:11" ht="15.75" x14ac:dyDescent="0.25">
      <c r="A44" s="83" t="s">
        <v>312</v>
      </c>
      <c r="B44" s="145"/>
      <c r="C44" s="145"/>
      <c r="D44" s="145"/>
      <c r="E44" s="145"/>
      <c r="F44" s="145"/>
      <c r="G44" s="145"/>
      <c r="H44" s="145"/>
    </row>
    <row r="45" spans="1:11" ht="15.75" x14ac:dyDescent="0.25">
      <c r="A45" s="83" t="s">
        <v>313</v>
      </c>
      <c r="B45" s="145"/>
      <c r="C45" s="145"/>
      <c r="D45" s="145"/>
      <c r="E45" s="145"/>
      <c r="F45" s="145"/>
      <c r="G45" s="145"/>
      <c r="H45" s="145"/>
    </row>
    <row r="46" spans="1:11" ht="15.75" x14ac:dyDescent="0.25">
      <c r="A46" s="83" t="s">
        <v>314</v>
      </c>
      <c r="B46" s="145"/>
      <c r="C46" s="145"/>
      <c r="D46" s="145"/>
      <c r="E46" s="145"/>
      <c r="F46" s="145"/>
      <c r="G46" s="145"/>
      <c r="H46" s="145"/>
    </row>
    <row r="47" spans="1:11" ht="15.75" x14ac:dyDescent="0.25">
      <c r="A47" s="83" t="s">
        <v>315</v>
      </c>
      <c r="B47" s="145"/>
      <c r="C47" s="145"/>
      <c r="D47" s="145"/>
      <c r="E47" s="145"/>
      <c r="F47" s="145"/>
      <c r="G47" s="145"/>
      <c r="H47" s="145"/>
    </row>
    <row r="48" spans="1:11" ht="15.75" x14ac:dyDescent="0.25">
      <c r="A48" s="83" t="s">
        <v>316</v>
      </c>
      <c r="B48" s="145"/>
      <c r="C48" s="145"/>
      <c r="D48" s="145"/>
      <c r="E48" s="145"/>
      <c r="F48" s="145"/>
      <c r="G48" s="145"/>
      <c r="H48" s="145"/>
    </row>
  </sheetData>
  <mergeCells count="66">
    <mergeCell ref="B39:H39"/>
    <mergeCell ref="B40:H40"/>
    <mergeCell ref="B46:H46"/>
    <mergeCell ref="B47:H47"/>
    <mergeCell ref="B48:H48"/>
    <mergeCell ref="B41:H41"/>
    <mergeCell ref="B42:H42"/>
    <mergeCell ref="B43:H43"/>
    <mergeCell ref="B44:H44"/>
    <mergeCell ref="B45:H45"/>
    <mergeCell ref="B38:H38"/>
    <mergeCell ref="B35:H35"/>
    <mergeCell ref="B31:G31"/>
    <mergeCell ref="B32:C32"/>
    <mergeCell ref="D32:E32"/>
    <mergeCell ref="B34:G34"/>
    <mergeCell ref="K28:M28"/>
    <mergeCell ref="D30:G30"/>
    <mergeCell ref="K30:M30"/>
    <mergeCell ref="B36:H36"/>
    <mergeCell ref="B37:H37"/>
    <mergeCell ref="J33:K33"/>
    <mergeCell ref="A29:A30"/>
    <mergeCell ref="B29:B30"/>
    <mergeCell ref="D29:G29"/>
    <mergeCell ref="K29:M29"/>
    <mergeCell ref="B24:G24"/>
    <mergeCell ref="A25:A26"/>
    <mergeCell ref="B25:B26"/>
    <mergeCell ref="D25:G25"/>
    <mergeCell ref="K25:M25"/>
    <mergeCell ref="D26:G26"/>
    <mergeCell ref="K26:M26"/>
    <mergeCell ref="A27:A28"/>
    <mergeCell ref="B27:B28"/>
    <mergeCell ref="D27:G27"/>
    <mergeCell ref="K27:M27"/>
    <mergeCell ref="D28:G28"/>
    <mergeCell ref="A10:B10"/>
    <mergeCell ref="G10:H10"/>
    <mergeCell ref="D23:G23"/>
    <mergeCell ref="A12:G12"/>
    <mergeCell ref="A13:H13"/>
    <mergeCell ref="A14:H14"/>
    <mergeCell ref="D15:G15"/>
    <mergeCell ref="B16:G16"/>
    <mergeCell ref="D17:G17"/>
    <mergeCell ref="B18:G18"/>
    <mergeCell ref="D19:G19"/>
    <mergeCell ref="D20:G20"/>
    <mergeCell ref="D21:G21"/>
    <mergeCell ref="B22:G22"/>
    <mergeCell ref="A1:H1"/>
    <mergeCell ref="A3:B3"/>
    <mergeCell ref="A5:B5"/>
    <mergeCell ref="C5:H5"/>
    <mergeCell ref="A6:B6"/>
    <mergeCell ref="A7:B7"/>
    <mergeCell ref="C7:D7"/>
    <mergeCell ref="E7:E9"/>
    <mergeCell ref="G7:H7"/>
    <mergeCell ref="A8:B8"/>
    <mergeCell ref="G8:H8"/>
    <mergeCell ref="A9:B9"/>
    <mergeCell ref="C9:D9"/>
    <mergeCell ref="G9:H9"/>
  </mergeCells>
  <conditionalFormatting sqref="H20">
    <cfRule type="expression" dxfId="27" priority="15">
      <formula>$C$20="Да"</formula>
    </cfRule>
    <cfRule type="expression" dxfId="26" priority="26">
      <formula>$C$20="Нет"</formula>
    </cfRule>
    <cfRule type="expression" dxfId="25" priority="27">
      <formula>$C$20="НетСоотвРиск"</formula>
    </cfRule>
  </conditionalFormatting>
  <conditionalFormatting sqref="H25">
    <cfRule type="expression" dxfId="24" priority="14">
      <formula>$H$25&gt;0</formula>
    </cfRule>
    <cfRule type="expression" dxfId="23" priority="28">
      <formula>$H$25=0</formula>
    </cfRule>
  </conditionalFormatting>
  <conditionalFormatting sqref="H19">
    <cfRule type="expression" dxfId="22" priority="23">
      <formula>$C$19="Да"</formula>
    </cfRule>
    <cfRule type="expression" dxfId="21" priority="24">
      <formula>$C$19="Нет"</formula>
    </cfRule>
    <cfRule type="expression" dxfId="20" priority="25">
      <formula>$C$19="НетСоотвРиск"</formula>
    </cfRule>
  </conditionalFormatting>
  <conditionalFormatting sqref="H21">
    <cfRule type="expression" dxfId="19" priority="20" stopIfTrue="1">
      <formula>$C$21="Да"</formula>
    </cfRule>
    <cfRule type="expression" dxfId="18" priority="21">
      <formula>$C$21="Нет"</formula>
    </cfRule>
    <cfRule type="expression" dxfId="17" priority="22">
      <formula>$C$21="НетСоотвРиск"</formula>
    </cfRule>
  </conditionalFormatting>
  <conditionalFormatting sqref="H32">
    <cfRule type="expression" dxfId="16" priority="3">
      <formula>$F$32&gt;=21</formula>
    </cfRule>
    <cfRule type="expression" dxfId="15" priority="18">
      <formula>$C$10&lt;6</formula>
    </cfRule>
    <cfRule type="expression" dxfId="14" priority="19">
      <formula>$H$32=0</formula>
    </cfRule>
  </conditionalFormatting>
  <conditionalFormatting sqref="H23">
    <cfRule type="expression" dxfId="13" priority="16">
      <formula>$C$23="Да"</formula>
    </cfRule>
    <cfRule type="expression" dxfId="12" priority="17">
      <formula>$C$23="Нет"</formula>
    </cfRule>
  </conditionalFormatting>
  <conditionalFormatting sqref="H26">
    <cfRule type="expression" dxfId="11" priority="12">
      <formula>$H$26&gt;0</formula>
    </cfRule>
    <cfRule type="expression" dxfId="10" priority="13">
      <formula>$H$26=0</formula>
    </cfRule>
  </conditionalFormatting>
  <conditionalFormatting sqref="H27">
    <cfRule type="expression" dxfId="9" priority="10">
      <formula>$H$27&gt;0</formula>
    </cfRule>
    <cfRule type="expression" dxfId="8" priority="11">
      <formula>$H$27=0</formula>
    </cfRule>
  </conditionalFormatting>
  <conditionalFormatting sqref="H28">
    <cfRule type="expression" dxfId="7" priority="8">
      <formula>$H$28&gt;0</formula>
    </cfRule>
    <cfRule type="expression" dxfId="6" priority="9">
      <formula>$H$28=0</formula>
    </cfRule>
  </conditionalFormatting>
  <conditionalFormatting sqref="H29">
    <cfRule type="expression" dxfId="5" priority="6">
      <formula>$H$29&gt;0</formula>
    </cfRule>
    <cfRule type="expression" dxfId="4" priority="7">
      <formula>$H$29=0</formula>
    </cfRule>
  </conditionalFormatting>
  <conditionalFormatting sqref="H30">
    <cfRule type="expression" dxfId="3" priority="4">
      <formula>$H$30&gt;0</formula>
    </cfRule>
    <cfRule type="expression" dxfId="2" priority="5">
      <formula>$H$30=0</formula>
    </cfRule>
  </conditionalFormatting>
  <conditionalFormatting sqref="H17">
    <cfRule type="expression" dxfId="1" priority="1">
      <formula>$H$17&gt;0</formula>
    </cfRule>
    <cfRule type="expression" dxfId="0" priority="2">
      <formula>$H$17=0</formula>
    </cfRule>
  </conditionalFormatting>
  <dataValidations count="3">
    <dataValidation type="list" allowBlank="1" showInputMessage="1" showErrorMessage="1" sqref="G7" xr:uid="{D97C50C0-66A1-4CC5-AE2E-D513ADCD53F2}">
      <formula1>РМР</formula1>
    </dataValidation>
    <dataValidation type="list" allowBlank="1" showInputMessage="1" showErrorMessage="1" sqref="C17" xr:uid="{C1E91FE0-27D7-42AD-9C14-62A4F56A9BEA}">
      <formula1>ДаНет</formula1>
    </dataValidation>
    <dataValidation type="list" allowBlank="1" showInputMessage="1" showErrorMessage="1" sqref="C19:C21" xr:uid="{CA0F6043-5B97-4AC1-B20B-61AF6CBEE1E6}">
      <formula1>ДаНетНет</formula1>
    </dataValidation>
  </dataValidations>
  <pageMargins left="0.59055118110236227" right="0.19685039370078741" top="0.19685039370078741" bottom="0.19685039370078741" header="0" footer="0"/>
  <pageSetup paperSize="9" scale="61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AE3865-27D6-4CFC-A9FB-C8090ED04A0A}">
          <x14:formula1>
            <xm:f>'Инф РМР'!$G$6:$G$7</xm:f>
          </x14:formula1>
          <xm:sqref>C25:C30 C23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ADA8-6676-4E20-89DB-655ED3BBC04A}">
  <dimension ref="A1:M133"/>
  <sheetViews>
    <sheetView view="pageBreakPreview" zoomScale="55" zoomScaleNormal="60" zoomScaleSheetLayoutView="55" workbookViewId="0">
      <selection activeCell="H21" sqref="H21:H28"/>
    </sheetView>
  </sheetViews>
  <sheetFormatPr defaultColWidth="14.42578125" defaultRowHeight="15" x14ac:dyDescent="0.25"/>
  <cols>
    <col min="1" max="1" width="3.7109375" customWidth="1"/>
    <col min="2" max="2" width="15.140625" customWidth="1"/>
    <col min="3" max="3" width="4.7109375" bestFit="1" customWidth="1"/>
    <col min="4" max="4" width="96.5703125" customWidth="1"/>
    <col min="5" max="5" width="14.7109375" customWidth="1"/>
    <col min="6" max="6" width="16.140625" hidden="1" customWidth="1"/>
    <col min="7" max="7" width="37.42578125" customWidth="1"/>
    <col min="8" max="8" width="8.7109375" customWidth="1"/>
    <col min="9" max="9" width="3.42578125" hidden="1" customWidth="1"/>
    <col min="10" max="10" width="38.85546875" customWidth="1"/>
    <col min="11" max="13" width="8.7109375" customWidth="1"/>
  </cols>
  <sheetData>
    <row r="1" spans="1:13" ht="23.25" x14ac:dyDescent="0.35">
      <c r="A1" s="16"/>
      <c r="B1" s="154" t="s">
        <v>90</v>
      </c>
      <c r="C1" s="155"/>
      <c r="D1" s="155"/>
      <c r="E1" s="31" t="s">
        <v>277</v>
      </c>
      <c r="G1" s="72">
        <v>44127</v>
      </c>
    </row>
    <row r="2" spans="1:13" ht="14.25" customHeight="1" x14ac:dyDescent="0.25">
      <c r="A2" s="27" t="s">
        <v>0</v>
      </c>
      <c r="B2" s="68" t="s">
        <v>91</v>
      </c>
      <c r="C2" s="156" t="s">
        <v>92</v>
      </c>
      <c r="D2" s="157"/>
      <c r="E2" s="28" t="s">
        <v>93</v>
      </c>
      <c r="F2" s="28"/>
      <c r="G2" s="28" t="s">
        <v>94</v>
      </c>
      <c r="H2" s="28" t="s">
        <v>95</v>
      </c>
    </row>
    <row r="3" spans="1:13" ht="14.25" customHeight="1" x14ac:dyDescent="0.25">
      <c r="A3" s="158">
        <v>1</v>
      </c>
      <c r="B3" s="159" t="s">
        <v>56</v>
      </c>
      <c r="C3" s="91" t="s">
        <v>96</v>
      </c>
      <c r="D3" s="89"/>
      <c r="E3" s="89"/>
      <c r="F3" s="89"/>
      <c r="G3" s="89"/>
      <c r="H3" s="160">
        <f>IF(F4=0,0,IF(F7=0,F4,SUM(F4,F7,F10)))</f>
        <v>0</v>
      </c>
      <c r="M3" s="17" t="s">
        <v>97</v>
      </c>
    </row>
    <row r="4" spans="1:13" ht="19.899999999999999" customHeight="1" x14ac:dyDescent="0.25">
      <c r="A4" s="89"/>
      <c r="B4" s="89"/>
      <c r="C4" s="18" t="s">
        <v>87</v>
      </c>
      <c r="D4" s="22" t="s">
        <v>98</v>
      </c>
      <c r="E4" s="69"/>
      <c r="F4" s="90">
        <f>IF(SUMIF(E4:E5,"соответствует",$I$4:$I$130)=2,1,0)</f>
        <v>0</v>
      </c>
      <c r="G4" s="20"/>
      <c r="H4" s="89"/>
      <c r="I4">
        <v>1</v>
      </c>
      <c r="J4" s="84" t="s">
        <v>303</v>
      </c>
      <c r="M4" s="19" t="s">
        <v>99</v>
      </c>
    </row>
    <row r="5" spans="1:13" ht="19.899999999999999" customHeight="1" x14ac:dyDescent="0.25">
      <c r="A5" s="89"/>
      <c r="B5" s="89"/>
      <c r="C5" s="18" t="s">
        <v>100</v>
      </c>
      <c r="D5" s="22" t="s">
        <v>101</v>
      </c>
      <c r="E5" s="69"/>
      <c r="F5" s="89"/>
      <c r="G5" s="20"/>
      <c r="H5" s="89"/>
      <c r="I5">
        <v>1</v>
      </c>
      <c r="J5" s="84" t="s">
        <v>303</v>
      </c>
      <c r="M5" s="19" t="s">
        <v>102</v>
      </c>
    </row>
    <row r="6" spans="1:13" ht="14.25" customHeight="1" x14ac:dyDescent="0.25">
      <c r="A6" s="89"/>
      <c r="B6" s="89"/>
      <c r="C6" s="91" t="s">
        <v>103</v>
      </c>
      <c r="D6" s="89"/>
      <c r="E6" s="89"/>
      <c r="F6" s="89"/>
      <c r="G6" s="89"/>
      <c r="H6" s="89"/>
      <c r="I6">
        <v>1</v>
      </c>
    </row>
    <row r="7" spans="1:13" ht="19.899999999999999" customHeight="1" x14ac:dyDescent="0.25">
      <c r="A7" s="89"/>
      <c r="B7" s="89"/>
      <c r="C7" s="18" t="s">
        <v>104</v>
      </c>
      <c r="D7" s="22" t="s">
        <v>105</v>
      </c>
      <c r="E7" s="69"/>
      <c r="F7" s="90">
        <f>IF(SUMIF(E7:E8,"соответствует",$I$4:$I$130)=2,1,0)</f>
        <v>0</v>
      </c>
      <c r="G7" s="20"/>
      <c r="H7" s="89"/>
      <c r="I7">
        <v>1</v>
      </c>
      <c r="J7" s="84" t="s">
        <v>303</v>
      </c>
    </row>
    <row r="8" spans="1:13" ht="45" x14ac:dyDescent="0.25">
      <c r="A8" s="89"/>
      <c r="B8" s="89"/>
      <c r="C8" s="18" t="s">
        <v>106</v>
      </c>
      <c r="D8" s="22" t="s">
        <v>107</v>
      </c>
      <c r="E8" s="69"/>
      <c r="F8" s="89"/>
      <c r="G8" s="20"/>
      <c r="H8" s="89"/>
      <c r="I8">
        <v>1</v>
      </c>
      <c r="J8" s="85" t="s">
        <v>317</v>
      </c>
    </row>
    <row r="9" spans="1:13" ht="14.25" customHeight="1" x14ac:dyDescent="0.25">
      <c r="A9" s="89"/>
      <c r="B9" s="89"/>
      <c r="C9" s="91" t="s">
        <v>108</v>
      </c>
      <c r="D9" s="89"/>
      <c r="E9" s="89"/>
      <c r="F9" s="89"/>
      <c r="G9" s="89"/>
      <c r="H9" s="89"/>
      <c r="I9">
        <v>1</v>
      </c>
    </row>
    <row r="10" spans="1:13" ht="30" x14ac:dyDescent="0.25">
      <c r="A10" s="89"/>
      <c r="B10" s="89"/>
      <c r="C10" s="18" t="s">
        <v>109</v>
      </c>
      <c r="D10" s="22" t="s">
        <v>110</v>
      </c>
      <c r="E10" s="69"/>
      <c r="F10" s="90">
        <f>IF(SUMIF(E10:E11,"соответствует",$I$4:$I$130)=2,1,0)</f>
        <v>0</v>
      </c>
      <c r="G10" s="20"/>
      <c r="H10" s="89"/>
      <c r="I10">
        <v>1</v>
      </c>
    </row>
    <row r="11" spans="1:13" ht="19.899999999999999" customHeight="1" x14ac:dyDescent="0.25">
      <c r="A11" s="89"/>
      <c r="B11" s="89"/>
      <c r="C11" s="18" t="s">
        <v>111</v>
      </c>
      <c r="D11" s="22" t="s">
        <v>112</v>
      </c>
      <c r="E11" s="69"/>
      <c r="F11" s="89"/>
      <c r="G11" s="20"/>
      <c r="H11" s="89"/>
      <c r="I11">
        <v>1</v>
      </c>
    </row>
    <row r="12" spans="1:13" ht="14.45" customHeight="1" x14ac:dyDescent="0.25">
      <c r="A12" s="158">
        <v>2</v>
      </c>
      <c r="B12" s="161" t="s">
        <v>113</v>
      </c>
      <c r="C12" s="91" t="s">
        <v>96</v>
      </c>
      <c r="D12" s="89"/>
      <c r="E12" s="89"/>
      <c r="F12" s="89"/>
      <c r="G12" s="89"/>
      <c r="H12" s="160">
        <f>IF(F13=0,0,IF(F15=0,F13,SUM(F13,F15,F19)))</f>
        <v>0</v>
      </c>
      <c r="I12">
        <v>1</v>
      </c>
      <c r="J12" t="s">
        <v>303</v>
      </c>
    </row>
    <row r="13" spans="1:13" ht="19.899999999999999" customHeight="1" x14ac:dyDescent="0.25">
      <c r="A13" s="89"/>
      <c r="B13" s="89"/>
      <c r="C13" s="18" t="s">
        <v>41</v>
      </c>
      <c r="D13" s="22" t="s">
        <v>114</v>
      </c>
      <c r="E13" s="69"/>
      <c r="F13" s="70">
        <f>IF(SUMIF(E13,"соответствует",$I$4:$I$130)=1,1,0)</f>
        <v>0</v>
      </c>
      <c r="G13" s="20"/>
      <c r="H13" s="89"/>
      <c r="I13">
        <v>1</v>
      </c>
      <c r="J13" s="84" t="s">
        <v>318</v>
      </c>
    </row>
    <row r="14" spans="1:13" ht="14.45" customHeight="1" x14ac:dyDescent="0.25">
      <c r="A14" s="89"/>
      <c r="B14" s="89"/>
      <c r="C14" s="91" t="s">
        <v>115</v>
      </c>
      <c r="D14" s="89"/>
      <c r="E14" s="89"/>
      <c r="F14" s="89"/>
      <c r="G14" s="89"/>
      <c r="H14" s="89"/>
      <c r="I14">
        <v>1</v>
      </c>
    </row>
    <row r="15" spans="1:13" ht="19.899999999999999" customHeight="1" x14ac:dyDescent="0.25">
      <c r="A15" s="89"/>
      <c r="B15" s="89"/>
      <c r="C15" s="18" t="s">
        <v>42</v>
      </c>
      <c r="D15" s="22" t="s">
        <v>116</v>
      </c>
      <c r="E15" s="69"/>
      <c r="F15" s="162">
        <f>IF(SUMIF(E15:E17,"соответствует",$I$4:$I$134)=3,1,0)</f>
        <v>0</v>
      </c>
      <c r="G15" s="20"/>
      <c r="H15" s="89"/>
      <c r="I15">
        <v>1</v>
      </c>
    </row>
    <row r="16" spans="1:13" ht="30" x14ac:dyDescent="0.25">
      <c r="A16" s="89"/>
      <c r="B16" s="89"/>
      <c r="C16" s="18" t="s">
        <v>43</v>
      </c>
      <c r="D16" s="22" t="s">
        <v>117</v>
      </c>
      <c r="E16" s="69"/>
      <c r="F16" s="89"/>
      <c r="G16" s="20"/>
      <c r="H16" s="89"/>
      <c r="I16">
        <v>1</v>
      </c>
      <c r="J16" s="20" t="s">
        <v>319</v>
      </c>
    </row>
    <row r="17" spans="1:10" ht="45" x14ac:dyDescent="0.25">
      <c r="A17" s="89"/>
      <c r="B17" s="89"/>
      <c r="C17" s="18" t="s">
        <v>118</v>
      </c>
      <c r="D17" s="22" t="s">
        <v>119</v>
      </c>
      <c r="E17" s="69"/>
      <c r="F17" s="89"/>
      <c r="G17" s="20"/>
      <c r="H17" s="89"/>
      <c r="I17">
        <v>1</v>
      </c>
      <c r="J17" s="84" t="s">
        <v>320</v>
      </c>
    </row>
    <row r="18" spans="1:10" ht="14.45" customHeight="1" x14ac:dyDescent="0.25">
      <c r="A18" s="89"/>
      <c r="B18" s="89"/>
      <c r="C18" s="91" t="s">
        <v>120</v>
      </c>
      <c r="D18" s="89"/>
      <c r="E18" s="89"/>
      <c r="F18" s="89"/>
      <c r="G18" s="89"/>
      <c r="H18" s="89"/>
      <c r="I18">
        <v>1</v>
      </c>
    </row>
    <row r="19" spans="1:10" ht="30" x14ac:dyDescent="0.25">
      <c r="A19" s="89"/>
      <c r="B19" s="89"/>
      <c r="C19" s="18" t="s">
        <v>121</v>
      </c>
      <c r="D19" s="22" t="s">
        <v>122</v>
      </c>
      <c r="E19" s="69"/>
      <c r="F19" s="90">
        <f>IF(SUMIF(E19:E20,"соответствует",$I$4:$I$134)=2,1,0)</f>
        <v>0</v>
      </c>
      <c r="G19" s="20"/>
      <c r="H19" s="89"/>
      <c r="I19">
        <v>1</v>
      </c>
      <c r="J19" s="20"/>
    </row>
    <row r="20" spans="1:10" ht="30" x14ac:dyDescent="0.25">
      <c r="A20" s="89"/>
      <c r="B20" s="89"/>
      <c r="C20" s="18" t="s">
        <v>123</v>
      </c>
      <c r="D20" s="22" t="s">
        <v>124</v>
      </c>
      <c r="E20" s="69"/>
      <c r="F20" s="89"/>
      <c r="G20" s="20"/>
      <c r="H20" s="89"/>
      <c r="I20">
        <v>1</v>
      </c>
      <c r="J20" s="84" t="s">
        <v>321</v>
      </c>
    </row>
    <row r="21" spans="1:10" ht="14.45" customHeight="1" x14ac:dyDescent="0.25">
      <c r="A21" s="158">
        <v>3</v>
      </c>
      <c r="B21" s="161" t="s">
        <v>125</v>
      </c>
      <c r="C21" s="91" t="s">
        <v>96</v>
      </c>
      <c r="D21" s="89"/>
      <c r="E21" s="89"/>
      <c r="F21" s="89"/>
      <c r="G21" s="89"/>
      <c r="H21" s="160">
        <f>IF(F22=0,0,IF(F25=0,F22,SUM(F22,F25,F28)))</f>
        <v>0</v>
      </c>
      <c r="I21">
        <v>1</v>
      </c>
      <c r="J21" t="s">
        <v>304</v>
      </c>
    </row>
    <row r="22" spans="1:10" ht="45" x14ac:dyDescent="0.25">
      <c r="A22" s="89"/>
      <c r="B22" s="89"/>
      <c r="C22" s="18" t="s">
        <v>66</v>
      </c>
      <c r="D22" s="22" t="s">
        <v>126</v>
      </c>
      <c r="E22" s="69"/>
      <c r="F22" s="90">
        <f>IF(SUMIF(E22:E23,"соответствует",$I$4:$I$134)=2,1,0)</f>
        <v>0</v>
      </c>
      <c r="G22" s="20"/>
      <c r="H22" s="89"/>
      <c r="I22">
        <v>1</v>
      </c>
      <c r="J22" s="84" t="s">
        <v>322</v>
      </c>
    </row>
    <row r="23" spans="1:10" ht="45" x14ac:dyDescent="0.25">
      <c r="A23" s="89"/>
      <c r="B23" s="89"/>
      <c r="C23" s="18" t="s">
        <v>127</v>
      </c>
      <c r="D23" s="22" t="s">
        <v>128</v>
      </c>
      <c r="E23" s="69"/>
      <c r="F23" s="89"/>
      <c r="G23" s="20"/>
      <c r="H23" s="89"/>
      <c r="I23">
        <v>1</v>
      </c>
      <c r="J23" s="84" t="s">
        <v>323</v>
      </c>
    </row>
    <row r="24" spans="1:10" ht="14.45" customHeight="1" x14ac:dyDescent="0.25">
      <c r="A24" s="89"/>
      <c r="B24" s="89"/>
      <c r="C24" s="91" t="s">
        <v>115</v>
      </c>
      <c r="D24" s="89"/>
      <c r="E24" s="89"/>
      <c r="F24" s="89"/>
      <c r="G24" s="89"/>
      <c r="H24" s="89"/>
      <c r="I24">
        <v>1</v>
      </c>
    </row>
    <row r="25" spans="1:10" ht="30" x14ac:dyDescent="0.25">
      <c r="A25" s="89"/>
      <c r="B25" s="89"/>
      <c r="C25" s="18" t="s">
        <v>129</v>
      </c>
      <c r="D25" s="22" t="s">
        <v>130</v>
      </c>
      <c r="E25" s="69"/>
      <c r="F25" s="90">
        <f>IF(SUMIF(E25:E26,"соответствует",$I$4:$I$134)=2,1,0)</f>
        <v>0</v>
      </c>
      <c r="G25" s="20"/>
      <c r="H25" s="89"/>
      <c r="I25">
        <v>1</v>
      </c>
      <c r="J25" s="84" t="s">
        <v>324</v>
      </c>
    </row>
    <row r="26" spans="1:10" ht="30" x14ac:dyDescent="0.25">
      <c r="A26" s="89"/>
      <c r="B26" s="89"/>
      <c r="C26" s="18" t="s">
        <v>131</v>
      </c>
      <c r="D26" s="22" t="s">
        <v>132</v>
      </c>
      <c r="E26" s="69"/>
      <c r="F26" s="89"/>
      <c r="G26" s="21"/>
      <c r="H26" s="89"/>
      <c r="I26">
        <v>1</v>
      </c>
      <c r="J26" s="86" t="s">
        <v>325</v>
      </c>
    </row>
    <row r="27" spans="1:10" ht="14.45" customHeight="1" x14ac:dyDescent="0.25">
      <c r="A27" s="89"/>
      <c r="B27" s="89"/>
      <c r="C27" s="91" t="s">
        <v>120</v>
      </c>
      <c r="D27" s="89"/>
      <c r="E27" s="89"/>
      <c r="F27" s="89"/>
      <c r="G27" s="89"/>
      <c r="H27" s="89"/>
      <c r="I27">
        <v>1</v>
      </c>
    </row>
    <row r="28" spans="1:10" ht="30" x14ac:dyDescent="0.25">
      <c r="A28" s="89"/>
      <c r="B28" s="89"/>
      <c r="C28" s="18" t="s">
        <v>133</v>
      </c>
      <c r="D28" s="22" t="s">
        <v>134</v>
      </c>
      <c r="E28" s="69"/>
      <c r="F28" s="70">
        <f>IF(SUMIF(E28,"соответствует",$I$4:$I$130)=1,1,0)</f>
        <v>0</v>
      </c>
      <c r="G28" s="20"/>
      <c r="H28" s="89"/>
      <c r="I28">
        <v>1</v>
      </c>
    </row>
    <row r="29" spans="1:10" ht="14.45" customHeight="1" x14ac:dyDescent="0.25">
      <c r="A29" s="158">
        <v>4</v>
      </c>
      <c r="B29" s="161" t="s">
        <v>57</v>
      </c>
      <c r="C29" s="91" t="s">
        <v>96</v>
      </c>
      <c r="D29" s="89"/>
      <c r="E29" s="89"/>
      <c r="F29" s="89"/>
      <c r="G29" s="89"/>
      <c r="H29" s="160">
        <f>IF(F30=0,0,IF(F33=0,F30,SUM(F30,F33,F36)))</f>
        <v>0</v>
      </c>
      <c r="I29">
        <v>1</v>
      </c>
      <c r="J29" t="s">
        <v>304</v>
      </c>
    </row>
    <row r="30" spans="1:10" ht="45" x14ac:dyDescent="0.25">
      <c r="A30" s="89"/>
      <c r="B30" s="89"/>
      <c r="C30" s="18" t="s">
        <v>68</v>
      </c>
      <c r="D30" s="22" t="s">
        <v>135</v>
      </c>
      <c r="E30" s="69"/>
      <c r="F30" s="90">
        <f>IF(SUMIF(E30:E31,"соответствует",$I$4:$I$134)=2,1,0)</f>
        <v>0</v>
      </c>
      <c r="G30" s="20"/>
      <c r="H30" s="89"/>
      <c r="I30">
        <v>1</v>
      </c>
      <c r="J30" s="84" t="s">
        <v>326</v>
      </c>
    </row>
    <row r="31" spans="1:10" ht="30" x14ac:dyDescent="0.25">
      <c r="A31" s="89"/>
      <c r="B31" s="89"/>
      <c r="C31" s="18" t="s">
        <v>69</v>
      </c>
      <c r="D31" s="22" t="s">
        <v>136</v>
      </c>
      <c r="E31" s="69"/>
      <c r="F31" s="89"/>
      <c r="G31" s="20"/>
      <c r="H31" s="89"/>
      <c r="I31">
        <v>1</v>
      </c>
      <c r="J31" s="84" t="s">
        <v>326</v>
      </c>
    </row>
    <row r="32" spans="1:10" ht="14.45" customHeight="1" x14ac:dyDescent="0.25">
      <c r="A32" s="89"/>
      <c r="B32" s="89"/>
      <c r="C32" s="91" t="s">
        <v>115</v>
      </c>
      <c r="D32" s="89"/>
      <c r="E32" s="89"/>
      <c r="F32" s="89"/>
      <c r="G32" s="89"/>
      <c r="H32" s="89"/>
      <c r="I32">
        <v>1</v>
      </c>
    </row>
    <row r="33" spans="1:10" ht="45" x14ac:dyDescent="0.25">
      <c r="A33" s="89"/>
      <c r="B33" s="89"/>
      <c r="C33" s="18" t="s">
        <v>70</v>
      </c>
      <c r="D33" s="22" t="s">
        <v>137</v>
      </c>
      <c r="E33" s="69"/>
      <c r="F33" s="90">
        <f>IF(SUMIF(E33:E34,"соответствует",$I$4:$I$134)=2,1,0)</f>
        <v>0</v>
      </c>
      <c r="G33" s="20"/>
      <c r="H33" s="89"/>
      <c r="I33">
        <v>1</v>
      </c>
      <c r="J33" s="84" t="s">
        <v>320</v>
      </c>
    </row>
    <row r="34" spans="1:10" ht="30" x14ac:dyDescent="0.25">
      <c r="A34" s="89"/>
      <c r="B34" s="89"/>
      <c r="C34" s="18" t="s">
        <v>138</v>
      </c>
      <c r="D34" s="22" t="s">
        <v>139</v>
      </c>
      <c r="E34" s="69"/>
      <c r="F34" s="89"/>
      <c r="G34" s="20"/>
      <c r="H34" s="89"/>
      <c r="I34">
        <v>1</v>
      </c>
      <c r="J34" s="84" t="s">
        <v>320</v>
      </c>
    </row>
    <row r="35" spans="1:10" ht="14.45" customHeight="1" x14ac:dyDescent="0.25">
      <c r="A35" s="89"/>
      <c r="B35" s="89"/>
      <c r="C35" s="91" t="s">
        <v>120</v>
      </c>
      <c r="D35" s="89"/>
      <c r="E35" s="89"/>
      <c r="F35" s="89"/>
      <c r="G35" s="89"/>
      <c r="H35" s="89"/>
      <c r="I35">
        <v>1</v>
      </c>
    </row>
    <row r="36" spans="1:10" ht="45" x14ac:dyDescent="0.25">
      <c r="A36" s="89"/>
      <c r="B36" s="89"/>
      <c r="C36" s="18" t="s">
        <v>140</v>
      </c>
      <c r="D36" s="22" t="s">
        <v>141</v>
      </c>
      <c r="E36" s="69"/>
      <c r="F36" s="90">
        <f>IF(SUMIF(E36:E37,"соответствует",$I$4:$I$134)=2,1,0)</f>
        <v>0</v>
      </c>
      <c r="G36" s="26"/>
      <c r="H36" s="89"/>
      <c r="I36">
        <v>1</v>
      </c>
      <c r="J36" s="84" t="s">
        <v>320</v>
      </c>
    </row>
    <row r="37" spans="1:10" ht="75" x14ac:dyDescent="0.25">
      <c r="A37" s="89"/>
      <c r="B37" s="89"/>
      <c r="C37" s="18" t="s">
        <v>142</v>
      </c>
      <c r="D37" s="22" t="s">
        <v>143</v>
      </c>
      <c r="E37" s="69"/>
      <c r="F37" s="89"/>
      <c r="G37" s="26"/>
      <c r="H37" s="89"/>
      <c r="I37">
        <v>1</v>
      </c>
      <c r="J37" s="87" t="s">
        <v>327</v>
      </c>
    </row>
    <row r="38" spans="1:10" ht="14.45" customHeight="1" x14ac:dyDescent="0.25">
      <c r="A38" s="158">
        <v>5</v>
      </c>
      <c r="B38" s="161" t="s">
        <v>58</v>
      </c>
      <c r="C38" s="91" t="s">
        <v>96</v>
      </c>
      <c r="D38" s="89"/>
      <c r="E38" s="89"/>
      <c r="F38" s="89"/>
      <c r="G38" s="89"/>
      <c r="H38" s="160">
        <f>IF(F39=0,0,IF(F42=0,F39,SUM(F39,F42,F45)))</f>
        <v>0</v>
      </c>
      <c r="I38">
        <v>1</v>
      </c>
      <c r="J38" t="s">
        <v>304</v>
      </c>
    </row>
    <row r="39" spans="1:10" ht="30" x14ac:dyDescent="0.25">
      <c r="A39" s="89"/>
      <c r="B39" s="89"/>
      <c r="C39" s="18" t="s">
        <v>79</v>
      </c>
      <c r="D39" s="22" t="s">
        <v>144</v>
      </c>
      <c r="E39" s="69"/>
      <c r="F39" s="90">
        <f>IF(SUMIF(E39:E40,"соответствует",$I$4:$I$134)=2,1,0)</f>
        <v>0</v>
      </c>
      <c r="G39" s="20"/>
      <c r="H39" s="89"/>
      <c r="I39">
        <v>1</v>
      </c>
      <c r="J39" s="84" t="s">
        <v>328</v>
      </c>
    </row>
    <row r="40" spans="1:10" ht="30" x14ac:dyDescent="0.25">
      <c r="A40" s="89"/>
      <c r="B40" s="89"/>
      <c r="C40" s="18" t="s">
        <v>145</v>
      </c>
      <c r="D40" s="22" t="s">
        <v>146</v>
      </c>
      <c r="E40" s="69"/>
      <c r="F40" s="89"/>
      <c r="G40" s="20"/>
      <c r="H40" s="89"/>
      <c r="I40">
        <v>1</v>
      </c>
      <c r="J40" s="84" t="s">
        <v>326</v>
      </c>
    </row>
    <row r="41" spans="1:10" ht="14.45" customHeight="1" x14ac:dyDescent="0.25">
      <c r="A41" s="89"/>
      <c r="B41" s="89"/>
      <c r="C41" s="91" t="s">
        <v>115</v>
      </c>
      <c r="D41" s="89"/>
      <c r="E41" s="89"/>
      <c r="F41" s="89"/>
      <c r="G41" s="89"/>
      <c r="H41" s="89"/>
      <c r="I41">
        <v>1</v>
      </c>
    </row>
    <row r="42" spans="1:10" ht="30" x14ac:dyDescent="0.25">
      <c r="A42" s="89"/>
      <c r="B42" s="89"/>
      <c r="C42" s="18" t="s">
        <v>147</v>
      </c>
      <c r="D42" s="22" t="s">
        <v>148</v>
      </c>
      <c r="E42" s="69"/>
      <c r="F42" s="90">
        <f>IF(SUMIF(E42:E43,"соответствует",$I$4:$I$134)=2,1,0)</f>
        <v>0</v>
      </c>
      <c r="G42" s="20"/>
      <c r="H42" s="89"/>
      <c r="I42">
        <v>1</v>
      </c>
      <c r="J42" s="84" t="s">
        <v>328</v>
      </c>
    </row>
    <row r="43" spans="1:10" ht="30" x14ac:dyDescent="0.25">
      <c r="A43" s="89"/>
      <c r="B43" s="89"/>
      <c r="C43" s="18" t="s">
        <v>149</v>
      </c>
      <c r="D43" s="22" t="s">
        <v>150</v>
      </c>
      <c r="E43" s="69"/>
      <c r="F43" s="89"/>
      <c r="G43" s="20"/>
      <c r="H43" s="89"/>
      <c r="I43">
        <v>1</v>
      </c>
      <c r="J43" s="84" t="s">
        <v>326</v>
      </c>
    </row>
    <row r="44" spans="1:10" ht="14.45" customHeight="1" x14ac:dyDescent="0.25">
      <c r="A44" s="89"/>
      <c r="B44" s="89"/>
      <c r="C44" s="91" t="s">
        <v>120</v>
      </c>
      <c r="D44" s="89"/>
      <c r="E44" s="89"/>
      <c r="F44" s="89"/>
      <c r="G44" s="89"/>
      <c r="H44" s="89"/>
      <c r="I44">
        <v>1</v>
      </c>
    </row>
    <row r="45" spans="1:10" ht="30" x14ac:dyDescent="0.25">
      <c r="A45" s="89"/>
      <c r="B45" s="89"/>
      <c r="C45" s="18" t="s">
        <v>151</v>
      </c>
      <c r="D45" s="22" t="s">
        <v>152</v>
      </c>
      <c r="E45" s="69"/>
      <c r="F45" s="90">
        <f>IF(SUMIF(E45:E47,"соответствует",$I$4:$I$134)=3,1,0)</f>
        <v>0</v>
      </c>
      <c r="G45" s="20"/>
      <c r="H45" s="89"/>
      <c r="I45">
        <v>1</v>
      </c>
      <c r="J45" s="84" t="s">
        <v>320</v>
      </c>
    </row>
    <row r="46" spans="1:10" ht="30" x14ac:dyDescent="0.25">
      <c r="A46" s="89"/>
      <c r="B46" s="89"/>
      <c r="C46" s="18" t="s">
        <v>153</v>
      </c>
      <c r="D46" s="22" t="s">
        <v>154</v>
      </c>
      <c r="E46" s="69"/>
      <c r="F46" s="89"/>
      <c r="G46" s="20"/>
      <c r="H46" s="89"/>
      <c r="I46">
        <v>1</v>
      </c>
      <c r="J46" s="84" t="s">
        <v>320</v>
      </c>
    </row>
    <row r="47" spans="1:10" ht="30" x14ac:dyDescent="0.25">
      <c r="A47" s="89"/>
      <c r="B47" s="89"/>
      <c r="C47" s="18" t="s">
        <v>155</v>
      </c>
      <c r="D47" s="22" t="s">
        <v>156</v>
      </c>
      <c r="E47" s="69"/>
      <c r="F47" s="89"/>
      <c r="G47" s="20"/>
      <c r="H47" s="89"/>
      <c r="I47">
        <v>1</v>
      </c>
      <c r="J47" s="84" t="s">
        <v>320</v>
      </c>
    </row>
    <row r="48" spans="1:10" ht="14.45" customHeight="1" x14ac:dyDescent="0.25">
      <c r="A48" s="158">
        <v>6</v>
      </c>
      <c r="B48" s="161" t="s">
        <v>59</v>
      </c>
      <c r="C48" s="91" t="s">
        <v>96</v>
      </c>
      <c r="D48" s="89"/>
      <c r="E48" s="89"/>
      <c r="F48" s="89"/>
      <c r="G48" s="89"/>
      <c r="H48" s="160">
        <f>IF(F49=0,0,IF(F52=0,F49,SUM(F49,F52,F56)))</f>
        <v>0</v>
      </c>
      <c r="I48">
        <v>1</v>
      </c>
      <c r="J48" t="s">
        <v>304</v>
      </c>
    </row>
    <row r="49" spans="1:10" ht="45" x14ac:dyDescent="0.25">
      <c r="A49" s="89"/>
      <c r="B49" s="89"/>
      <c r="C49" s="18" t="s">
        <v>157</v>
      </c>
      <c r="D49" s="22" t="s">
        <v>158</v>
      </c>
      <c r="E49" s="69"/>
      <c r="F49" s="90">
        <f>IF(SUMIF(E49:E50,"соответствует",$I$4:$I$134)=2,1,0)</f>
        <v>0</v>
      </c>
      <c r="G49" s="20"/>
      <c r="H49" s="89"/>
      <c r="I49">
        <v>1</v>
      </c>
      <c r="J49" s="84" t="s">
        <v>326</v>
      </c>
    </row>
    <row r="50" spans="1:10" ht="60" x14ac:dyDescent="0.25">
      <c r="A50" s="89"/>
      <c r="B50" s="89"/>
      <c r="C50" s="18" t="s">
        <v>159</v>
      </c>
      <c r="D50" s="22" t="s">
        <v>160</v>
      </c>
      <c r="E50" s="69"/>
      <c r="F50" s="89"/>
      <c r="G50" s="20"/>
      <c r="H50" s="89"/>
      <c r="I50">
        <v>1</v>
      </c>
      <c r="J50" s="84" t="s">
        <v>326</v>
      </c>
    </row>
    <row r="51" spans="1:10" ht="14.45" customHeight="1" x14ac:dyDescent="0.25">
      <c r="A51" s="89"/>
      <c r="B51" s="89"/>
      <c r="C51" s="91" t="s">
        <v>115</v>
      </c>
      <c r="D51" s="89"/>
      <c r="E51" s="89"/>
      <c r="F51" s="89"/>
      <c r="G51" s="89"/>
      <c r="H51" s="89"/>
      <c r="I51">
        <v>1</v>
      </c>
    </row>
    <row r="52" spans="1:10" ht="30" x14ac:dyDescent="0.25">
      <c r="A52" s="89"/>
      <c r="B52" s="89"/>
      <c r="C52" s="18" t="s">
        <v>161</v>
      </c>
      <c r="D52" s="22" t="s">
        <v>162</v>
      </c>
      <c r="E52" s="69"/>
      <c r="F52" s="90">
        <f>IF(SUMIF(E52:E54,"соответствует",$I$4:$I$134)=3,1,0)</f>
        <v>0</v>
      </c>
      <c r="G52" s="20"/>
      <c r="H52" s="89"/>
      <c r="I52">
        <v>1</v>
      </c>
      <c r="J52" s="84" t="s">
        <v>326</v>
      </c>
    </row>
    <row r="53" spans="1:10" x14ac:dyDescent="0.25">
      <c r="A53" s="89"/>
      <c r="B53" s="89"/>
      <c r="C53" s="18" t="s">
        <v>163</v>
      </c>
      <c r="D53" s="22" t="s">
        <v>164</v>
      </c>
      <c r="E53" s="69"/>
      <c r="F53" s="89"/>
      <c r="G53" s="20"/>
      <c r="H53" s="89"/>
      <c r="I53">
        <v>1</v>
      </c>
      <c r="J53" s="20" t="s">
        <v>320</v>
      </c>
    </row>
    <row r="54" spans="1:10" ht="30" x14ac:dyDescent="0.25">
      <c r="A54" s="89"/>
      <c r="B54" s="89"/>
      <c r="C54" s="18" t="s">
        <v>165</v>
      </c>
      <c r="D54" s="22" t="s">
        <v>166</v>
      </c>
      <c r="E54" s="69"/>
      <c r="F54" s="89"/>
      <c r="G54" s="20"/>
      <c r="H54" s="89"/>
      <c r="I54">
        <v>1</v>
      </c>
      <c r="J54" s="84" t="s">
        <v>326</v>
      </c>
    </row>
    <row r="55" spans="1:10" x14ac:dyDescent="0.25">
      <c r="A55" s="89"/>
      <c r="B55" s="89"/>
      <c r="C55" s="91" t="s">
        <v>120</v>
      </c>
      <c r="D55" s="89"/>
      <c r="E55" s="89"/>
      <c r="F55" s="89"/>
      <c r="G55" s="89"/>
      <c r="H55" s="89"/>
      <c r="I55">
        <v>1</v>
      </c>
    </row>
    <row r="56" spans="1:10" x14ac:dyDescent="0.25">
      <c r="A56" s="89"/>
      <c r="B56" s="89"/>
      <c r="C56" s="18" t="s">
        <v>167</v>
      </c>
      <c r="D56" s="22" t="s">
        <v>168</v>
      </c>
      <c r="E56" s="69"/>
      <c r="F56" s="90">
        <f>IF(SUMIF(E56:E57,"соответствует",$I$4:$I$134)=2,1,0)</f>
        <v>0</v>
      </c>
      <c r="G56" s="20"/>
      <c r="H56" s="89"/>
      <c r="I56">
        <v>1</v>
      </c>
    </row>
    <row r="57" spans="1:10" ht="30" x14ac:dyDescent="0.25">
      <c r="A57" s="89"/>
      <c r="B57" s="89"/>
      <c r="C57" s="18" t="s">
        <v>169</v>
      </c>
      <c r="D57" s="22" t="s">
        <v>170</v>
      </c>
      <c r="E57" s="69"/>
      <c r="F57" s="89"/>
      <c r="G57" s="20"/>
      <c r="H57" s="89"/>
      <c r="I57">
        <v>1</v>
      </c>
    </row>
    <row r="58" spans="1:10" x14ac:dyDescent="0.25">
      <c r="A58" s="158">
        <v>7</v>
      </c>
      <c r="B58" s="161" t="s">
        <v>60</v>
      </c>
      <c r="C58" s="91" t="s">
        <v>96</v>
      </c>
      <c r="D58" s="89"/>
      <c r="E58" s="89"/>
      <c r="F58" s="89"/>
      <c r="G58" s="89"/>
      <c r="H58" s="160">
        <f>IF(F59=0,0,IF(F62=0,F59,SUM(F59,F62,F65)))</f>
        <v>0</v>
      </c>
      <c r="I58">
        <v>1</v>
      </c>
    </row>
    <row r="59" spans="1:10" ht="30" customHeight="1" x14ac:dyDescent="0.25">
      <c r="A59" s="89"/>
      <c r="B59" s="89"/>
      <c r="C59" s="18" t="s">
        <v>171</v>
      </c>
      <c r="D59" s="22" t="s">
        <v>172</v>
      </c>
      <c r="E59" s="69"/>
      <c r="F59" s="90">
        <f>IF(SUMIF(E59:E60,"соответствует",$I$4:$I$134)=2,1,0)</f>
        <v>0</v>
      </c>
      <c r="G59" s="20"/>
      <c r="H59" s="89"/>
      <c r="I59">
        <v>1</v>
      </c>
      <c r="J59" s="84" t="s">
        <v>326</v>
      </c>
    </row>
    <row r="60" spans="1:10" x14ac:dyDescent="0.25">
      <c r="A60" s="89"/>
      <c r="B60" s="89"/>
      <c r="C60" s="18" t="s">
        <v>173</v>
      </c>
      <c r="D60" s="22" t="s">
        <v>174</v>
      </c>
      <c r="E60" s="69"/>
      <c r="F60" s="89"/>
      <c r="G60" s="20"/>
      <c r="H60" s="89"/>
      <c r="I60">
        <v>1</v>
      </c>
      <c r="J60" s="84" t="s">
        <v>326</v>
      </c>
    </row>
    <row r="61" spans="1:10" x14ac:dyDescent="0.25">
      <c r="A61" s="89"/>
      <c r="B61" s="89"/>
      <c r="C61" s="91" t="s">
        <v>115</v>
      </c>
      <c r="D61" s="89"/>
      <c r="E61" s="89"/>
      <c r="F61" s="89"/>
      <c r="G61" s="89"/>
      <c r="H61" s="89"/>
      <c r="I61">
        <v>1</v>
      </c>
    </row>
    <row r="62" spans="1:10" ht="30" x14ac:dyDescent="0.25">
      <c r="A62" s="89"/>
      <c r="B62" s="89"/>
      <c r="C62" s="18" t="s">
        <v>175</v>
      </c>
      <c r="D62" s="22" t="s">
        <v>176</v>
      </c>
      <c r="E62" s="69"/>
      <c r="F62" s="90">
        <f>IF(SUMIF(E62:E63,"соответствует",$I$4:$I$134)=2,1,0)</f>
        <v>0</v>
      </c>
      <c r="G62" s="20"/>
      <c r="H62" s="89"/>
      <c r="I62">
        <v>1</v>
      </c>
    </row>
    <row r="63" spans="1:10" x14ac:dyDescent="0.25">
      <c r="A63" s="89"/>
      <c r="B63" s="89"/>
      <c r="C63" s="18" t="s">
        <v>177</v>
      </c>
      <c r="D63" s="22" t="s">
        <v>178</v>
      </c>
      <c r="E63" s="69"/>
      <c r="F63" s="89"/>
      <c r="G63" s="20"/>
      <c r="H63" s="89"/>
      <c r="I63">
        <v>1</v>
      </c>
    </row>
    <row r="64" spans="1:10" x14ac:dyDescent="0.25">
      <c r="A64" s="89"/>
      <c r="B64" s="89"/>
      <c r="C64" s="91" t="s">
        <v>120</v>
      </c>
      <c r="D64" s="89"/>
      <c r="E64" s="89"/>
      <c r="F64" s="89"/>
      <c r="G64" s="89"/>
      <c r="H64" s="89"/>
      <c r="I64">
        <v>1</v>
      </c>
    </row>
    <row r="65" spans="1:10" x14ac:dyDescent="0.25">
      <c r="A65" s="89"/>
      <c r="B65" s="89"/>
      <c r="C65" s="18" t="s">
        <v>179</v>
      </c>
      <c r="D65" s="22" t="s">
        <v>180</v>
      </c>
      <c r="E65" s="69"/>
      <c r="F65" s="90">
        <f>IF(SUMIF(E65:E66,"соответствует",$I$4:$I$134)=2,1,0)</f>
        <v>0</v>
      </c>
      <c r="G65" s="20"/>
      <c r="H65" s="89"/>
      <c r="I65">
        <v>1</v>
      </c>
    </row>
    <row r="66" spans="1:10" x14ac:dyDescent="0.25">
      <c r="A66" s="89"/>
      <c r="B66" s="89"/>
      <c r="C66" s="18" t="s">
        <v>181</v>
      </c>
      <c r="D66" s="22" t="s">
        <v>182</v>
      </c>
      <c r="E66" s="69"/>
      <c r="F66" s="89"/>
      <c r="G66" s="20"/>
      <c r="H66" s="89"/>
      <c r="I66">
        <v>1</v>
      </c>
    </row>
    <row r="67" spans="1:10" x14ac:dyDescent="0.25">
      <c r="A67" s="158">
        <v>8</v>
      </c>
      <c r="B67" s="161" t="s">
        <v>183</v>
      </c>
      <c r="C67" s="91" t="s">
        <v>96</v>
      </c>
      <c r="D67" s="89"/>
      <c r="E67" s="89"/>
      <c r="F67" s="89"/>
      <c r="G67" s="89"/>
      <c r="H67" s="160">
        <f>IF(F68=0,0,IF(F71=0,F68,SUM(F68,F71,F74)))</f>
        <v>0</v>
      </c>
      <c r="I67">
        <v>1</v>
      </c>
    </row>
    <row r="68" spans="1:10" ht="45" x14ac:dyDescent="0.25">
      <c r="A68" s="89"/>
      <c r="B68" s="89"/>
      <c r="C68" s="18" t="s">
        <v>184</v>
      </c>
      <c r="D68" s="22" t="s">
        <v>185</v>
      </c>
      <c r="E68" s="69"/>
      <c r="F68" s="90">
        <f>IF(SUMIF(E68:E69,"соответствует",$I$4:$I$134)=2,1,0)</f>
        <v>0</v>
      </c>
      <c r="G68" s="20"/>
      <c r="H68" s="89"/>
      <c r="I68">
        <v>1</v>
      </c>
      <c r="J68" s="84" t="s">
        <v>326</v>
      </c>
    </row>
    <row r="69" spans="1:10" ht="45" x14ac:dyDescent="0.25">
      <c r="A69" s="89"/>
      <c r="B69" s="89"/>
      <c r="C69" s="18" t="s">
        <v>186</v>
      </c>
      <c r="D69" s="22" t="s">
        <v>187</v>
      </c>
      <c r="E69" s="69"/>
      <c r="F69" s="89"/>
      <c r="G69" s="20"/>
      <c r="H69" s="89"/>
      <c r="I69">
        <v>1</v>
      </c>
      <c r="J69" s="84" t="s">
        <v>326</v>
      </c>
    </row>
    <row r="70" spans="1:10" x14ac:dyDescent="0.25">
      <c r="A70" s="89"/>
      <c r="B70" s="89"/>
      <c r="C70" s="91" t="s">
        <v>115</v>
      </c>
      <c r="D70" s="89"/>
      <c r="E70" s="89"/>
      <c r="F70" s="89"/>
      <c r="G70" s="89"/>
      <c r="H70" s="89"/>
      <c r="I70">
        <v>1</v>
      </c>
    </row>
    <row r="71" spans="1:10" ht="30" x14ac:dyDescent="0.25">
      <c r="A71" s="89"/>
      <c r="B71" s="89"/>
      <c r="C71" s="18" t="s">
        <v>188</v>
      </c>
      <c r="D71" s="22" t="s">
        <v>189</v>
      </c>
      <c r="E71" s="69"/>
      <c r="F71" s="90">
        <f>IF(SUMIF(E71:E72,"соответствует",$I$4:$I$134)=2,1,0)</f>
        <v>0</v>
      </c>
      <c r="G71" s="20"/>
      <c r="H71" s="89"/>
      <c r="I71">
        <v>1</v>
      </c>
      <c r="J71" s="84" t="s">
        <v>320</v>
      </c>
    </row>
    <row r="72" spans="1:10" ht="30" x14ac:dyDescent="0.25">
      <c r="A72" s="89"/>
      <c r="B72" s="89"/>
      <c r="C72" s="18" t="s">
        <v>190</v>
      </c>
      <c r="D72" s="22" t="s">
        <v>191</v>
      </c>
      <c r="E72" s="69"/>
      <c r="F72" s="89"/>
      <c r="G72" s="20"/>
      <c r="H72" s="89"/>
      <c r="I72">
        <v>1</v>
      </c>
      <c r="J72" s="84" t="s">
        <v>320</v>
      </c>
    </row>
    <row r="73" spans="1:10" x14ac:dyDescent="0.25">
      <c r="A73" s="89"/>
      <c r="B73" s="89"/>
      <c r="C73" s="91" t="s">
        <v>120</v>
      </c>
      <c r="D73" s="89"/>
      <c r="E73" s="89"/>
      <c r="F73" s="89"/>
      <c r="G73" s="89"/>
      <c r="H73" s="89"/>
      <c r="I73">
        <v>1</v>
      </c>
    </row>
    <row r="74" spans="1:10" ht="30" x14ac:dyDescent="0.25">
      <c r="A74" s="89"/>
      <c r="B74" s="89"/>
      <c r="C74" s="18" t="s">
        <v>192</v>
      </c>
      <c r="D74" s="22" t="s">
        <v>193</v>
      </c>
      <c r="E74" s="69"/>
      <c r="F74" s="70">
        <f>IF(SUMIF(E74,"соответствует",$I$4:$I$130)=1,1,0)</f>
        <v>0</v>
      </c>
      <c r="G74" s="20"/>
      <c r="H74" s="89"/>
      <c r="I74">
        <v>1</v>
      </c>
    </row>
    <row r="75" spans="1:10" x14ac:dyDescent="0.25">
      <c r="A75" s="158">
        <v>9</v>
      </c>
      <c r="B75" s="161" t="s">
        <v>61</v>
      </c>
      <c r="C75" s="91" t="s">
        <v>96</v>
      </c>
      <c r="D75" s="89"/>
      <c r="E75" s="89"/>
      <c r="F75" s="89"/>
      <c r="G75" s="89"/>
      <c r="H75" s="160">
        <f>IF(F76=0,0,IF(F78=0,F76,SUM(F76,F78,F80)))</f>
        <v>0</v>
      </c>
      <c r="I75">
        <v>1</v>
      </c>
    </row>
    <row r="76" spans="1:10" ht="30" x14ac:dyDescent="0.25">
      <c r="A76" s="89"/>
      <c r="B76" s="89"/>
      <c r="C76" s="18" t="s">
        <v>194</v>
      </c>
      <c r="D76" s="22" t="s">
        <v>195</v>
      </c>
      <c r="E76" s="69"/>
      <c r="F76" s="70">
        <f>IF(SUMIF(E76,"соответствует",$I$4:$I$130)=1,1,0)</f>
        <v>0</v>
      </c>
      <c r="G76" s="20"/>
      <c r="H76" s="89"/>
      <c r="I76">
        <v>1</v>
      </c>
      <c r="J76" s="84" t="s">
        <v>320</v>
      </c>
    </row>
    <row r="77" spans="1:10" x14ac:dyDescent="0.25">
      <c r="A77" s="89"/>
      <c r="B77" s="89"/>
      <c r="C77" s="91" t="s">
        <v>115</v>
      </c>
      <c r="D77" s="89"/>
      <c r="E77" s="89"/>
      <c r="F77" s="89"/>
      <c r="G77" s="89"/>
      <c r="H77" s="89"/>
      <c r="I77">
        <v>1</v>
      </c>
    </row>
    <row r="78" spans="1:10" ht="30" x14ac:dyDescent="0.25">
      <c r="A78" s="89"/>
      <c r="B78" s="89"/>
      <c r="C78" s="18" t="s">
        <v>196</v>
      </c>
      <c r="D78" s="22" t="s">
        <v>197</v>
      </c>
      <c r="E78" s="69"/>
      <c r="F78" s="70">
        <f>IF(SUMIF(E78,"соответствует",$I$4:$I$130)=1,1,0)</f>
        <v>0</v>
      </c>
      <c r="G78" s="20"/>
      <c r="H78" s="89"/>
      <c r="I78">
        <v>1</v>
      </c>
      <c r="J78" s="84" t="s">
        <v>320</v>
      </c>
    </row>
    <row r="79" spans="1:10" x14ac:dyDescent="0.25">
      <c r="A79" s="89"/>
      <c r="B79" s="89"/>
      <c r="C79" s="91" t="s">
        <v>120</v>
      </c>
      <c r="D79" s="89"/>
      <c r="E79" s="89"/>
      <c r="F79" s="89"/>
      <c r="G79" s="89"/>
      <c r="H79" s="89"/>
      <c r="I79">
        <v>1</v>
      </c>
    </row>
    <row r="80" spans="1:10" ht="30" x14ac:dyDescent="0.25">
      <c r="A80" s="89"/>
      <c r="B80" s="89"/>
      <c r="C80" s="18" t="s">
        <v>198</v>
      </c>
      <c r="D80" s="22" t="s">
        <v>199</v>
      </c>
      <c r="E80" s="69"/>
      <c r="F80" s="90">
        <f>IF(SUMIF(E80:E81,"соответствует",$I$4:$I$134)=2,1,0)</f>
        <v>0</v>
      </c>
      <c r="G80" s="20"/>
      <c r="H80" s="89"/>
      <c r="I80">
        <v>1</v>
      </c>
    </row>
    <row r="81" spans="1:10" x14ac:dyDescent="0.25">
      <c r="A81" s="89"/>
      <c r="B81" s="89"/>
      <c r="C81" s="18" t="s">
        <v>200</v>
      </c>
      <c r="D81" s="22" t="s">
        <v>201</v>
      </c>
      <c r="E81" s="69"/>
      <c r="F81" s="89"/>
      <c r="G81" s="20"/>
      <c r="H81" s="89"/>
      <c r="I81">
        <v>1</v>
      </c>
    </row>
    <row r="82" spans="1:10" x14ac:dyDescent="0.25">
      <c r="A82" s="158">
        <v>10</v>
      </c>
      <c r="B82" s="161" t="s">
        <v>202</v>
      </c>
      <c r="C82" s="91" t="s">
        <v>96</v>
      </c>
      <c r="D82" s="89"/>
      <c r="E82" s="89"/>
      <c r="F82" s="89"/>
      <c r="G82" s="89"/>
      <c r="H82" s="160">
        <f>IF(F83=0,0,IF(F86=0,F83,SUM(F83,F86,F89)))</f>
        <v>0</v>
      </c>
      <c r="I82">
        <v>1</v>
      </c>
    </row>
    <row r="83" spans="1:10" x14ac:dyDescent="0.25">
      <c r="A83" s="89"/>
      <c r="B83" s="89"/>
      <c r="C83" s="18" t="s">
        <v>203</v>
      </c>
      <c r="D83" s="22" t="s">
        <v>204</v>
      </c>
      <c r="E83" s="69"/>
      <c r="F83" s="90">
        <f>IF(SUMIF(E83:E84,"соответствует",$I$4:$I$134)=2,1,0)</f>
        <v>0</v>
      </c>
      <c r="G83" s="20"/>
      <c r="H83" s="89"/>
      <c r="I83">
        <v>1</v>
      </c>
      <c r="J83" s="84" t="s">
        <v>326</v>
      </c>
    </row>
    <row r="84" spans="1:10" ht="30" x14ac:dyDescent="0.25">
      <c r="A84" s="89"/>
      <c r="B84" s="89"/>
      <c r="C84" s="18" t="s">
        <v>205</v>
      </c>
      <c r="D84" s="22" t="s">
        <v>206</v>
      </c>
      <c r="E84" s="69"/>
      <c r="F84" s="89"/>
      <c r="G84" s="20"/>
      <c r="H84" s="89"/>
      <c r="I84">
        <v>1</v>
      </c>
      <c r="J84" s="84" t="s">
        <v>326</v>
      </c>
    </row>
    <row r="85" spans="1:10" x14ac:dyDescent="0.25">
      <c r="A85" s="89"/>
      <c r="B85" s="89"/>
      <c r="C85" s="91" t="s">
        <v>115</v>
      </c>
      <c r="D85" s="89"/>
      <c r="E85" s="89"/>
      <c r="F85" s="89"/>
      <c r="G85" s="89"/>
      <c r="H85" s="89"/>
      <c r="I85">
        <v>1</v>
      </c>
    </row>
    <row r="86" spans="1:10" ht="30" x14ac:dyDescent="0.25">
      <c r="A86" s="89"/>
      <c r="B86" s="89"/>
      <c r="C86" s="18" t="s">
        <v>207</v>
      </c>
      <c r="D86" s="22" t="s">
        <v>208</v>
      </c>
      <c r="E86" s="69"/>
      <c r="F86" s="90">
        <f>IF(SUMIF(E86:E87,"соответствует",$I$4:$I$134)=2,1,0)</f>
        <v>0</v>
      </c>
      <c r="G86" s="20"/>
      <c r="H86" s="89"/>
      <c r="I86">
        <v>1</v>
      </c>
      <c r="J86" s="84" t="s">
        <v>320</v>
      </c>
    </row>
    <row r="87" spans="1:10" ht="30" x14ac:dyDescent="0.25">
      <c r="A87" s="89"/>
      <c r="B87" s="89"/>
      <c r="C87" s="18" t="s">
        <v>209</v>
      </c>
      <c r="D87" s="22" t="s">
        <v>210</v>
      </c>
      <c r="E87" s="69"/>
      <c r="F87" s="89"/>
      <c r="G87" s="20"/>
      <c r="H87" s="89"/>
      <c r="I87">
        <v>1</v>
      </c>
    </row>
    <row r="88" spans="1:10" x14ac:dyDescent="0.25">
      <c r="A88" s="89"/>
      <c r="B88" s="89"/>
      <c r="C88" s="91" t="s">
        <v>120</v>
      </c>
      <c r="D88" s="89"/>
      <c r="E88" s="89"/>
      <c r="F88" s="89"/>
      <c r="G88" s="89"/>
      <c r="H88" s="89"/>
      <c r="I88">
        <v>1</v>
      </c>
    </row>
    <row r="89" spans="1:10" ht="30" x14ac:dyDescent="0.25">
      <c r="A89" s="89"/>
      <c r="B89" s="89"/>
      <c r="C89" s="18" t="s">
        <v>211</v>
      </c>
      <c r="D89" s="22" t="s">
        <v>212</v>
      </c>
      <c r="E89" s="69"/>
      <c r="F89" s="70">
        <f>IF(SUMIF(E89,"соответствует",$I$4:$I$130)=1,1,0)</f>
        <v>0</v>
      </c>
      <c r="G89" s="20"/>
      <c r="H89" s="89"/>
      <c r="I89">
        <v>1</v>
      </c>
      <c r="J89" s="84" t="s">
        <v>320</v>
      </c>
    </row>
    <row r="90" spans="1:10" x14ac:dyDescent="0.25">
      <c r="A90" s="158">
        <v>11</v>
      </c>
      <c r="B90" s="161" t="s">
        <v>62</v>
      </c>
      <c r="C90" s="91" t="s">
        <v>96</v>
      </c>
      <c r="D90" s="89"/>
      <c r="E90" s="89"/>
      <c r="F90" s="89"/>
      <c r="G90" s="89"/>
      <c r="H90" s="160">
        <f>IF(F91=0,0,IF(F95=0,F91,SUM(F91,F95,F98)))</f>
        <v>0</v>
      </c>
      <c r="I90">
        <v>1</v>
      </c>
    </row>
    <row r="91" spans="1:10" ht="30" x14ac:dyDescent="0.25">
      <c r="A91" s="89"/>
      <c r="B91" s="89"/>
      <c r="C91" s="18" t="s">
        <v>213</v>
      </c>
      <c r="D91" s="22" t="s">
        <v>214</v>
      </c>
      <c r="E91" s="69"/>
      <c r="F91" s="90">
        <f>IF(SUMIF(E91:E93,"соответствует",$I$4:$I$134)=3,1,0)</f>
        <v>0</v>
      </c>
      <c r="G91" s="20"/>
      <c r="H91" s="89"/>
      <c r="I91">
        <v>1</v>
      </c>
      <c r="J91" s="84" t="s">
        <v>326</v>
      </c>
    </row>
    <row r="92" spans="1:10" ht="30" x14ac:dyDescent="0.25">
      <c r="A92" s="89"/>
      <c r="B92" s="89"/>
      <c r="C92" s="18" t="s">
        <v>215</v>
      </c>
      <c r="D92" s="22" t="s">
        <v>216</v>
      </c>
      <c r="E92" s="69"/>
      <c r="F92" s="89"/>
      <c r="G92" s="20"/>
      <c r="H92" s="89"/>
      <c r="I92">
        <v>1</v>
      </c>
      <c r="J92" s="84" t="s">
        <v>320</v>
      </c>
    </row>
    <row r="93" spans="1:10" ht="30" x14ac:dyDescent="0.25">
      <c r="A93" s="89"/>
      <c r="B93" s="89"/>
      <c r="C93" s="18" t="s">
        <v>217</v>
      </c>
      <c r="D93" s="22" t="s">
        <v>218</v>
      </c>
      <c r="E93" s="69"/>
      <c r="F93" s="89"/>
      <c r="G93" s="20"/>
      <c r="H93" s="89"/>
      <c r="I93">
        <v>1</v>
      </c>
      <c r="J93" s="20" t="s">
        <v>326</v>
      </c>
    </row>
    <row r="94" spans="1:10" x14ac:dyDescent="0.25">
      <c r="A94" s="89"/>
      <c r="B94" s="89"/>
      <c r="C94" s="91" t="s">
        <v>115</v>
      </c>
      <c r="D94" s="89"/>
      <c r="E94" s="89"/>
      <c r="F94" s="89"/>
      <c r="G94" s="89"/>
      <c r="H94" s="89"/>
      <c r="I94">
        <v>1</v>
      </c>
    </row>
    <row r="95" spans="1:10" x14ac:dyDescent="0.25">
      <c r="A95" s="89"/>
      <c r="B95" s="89"/>
      <c r="C95" s="18" t="s">
        <v>219</v>
      </c>
      <c r="D95" s="22" t="s">
        <v>220</v>
      </c>
      <c r="E95" s="69"/>
      <c r="F95" s="90">
        <f>IF(SUMIF(E95:E96,"соответствует",$I$4:$I$134)=2,1,0)</f>
        <v>0</v>
      </c>
      <c r="G95" s="20"/>
      <c r="H95" s="89"/>
      <c r="I95">
        <v>1</v>
      </c>
      <c r="J95" s="84" t="s">
        <v>320</v>
      </c>
    </row>
    <row r="96" spans="1:10" x14ac:dyDescent="0.25">
      <c r="A96" s="89"/>
      <c r="B96" s="89"/>
      <c r="C96" s="18" t="s">
        <v>221</v>
      </c>
      <c r="D96" s="22" t="s">
        <v>222</v>
      </c>
      <c r="E96" s="69"/>
      <c r="F96" s="89"/>
      <c r="G96" s="20"/>
      <c r="H96" s="89"/>
      <c r="I96">
        <v>1</v>
      </c>
    </row>
    <row r="97" spans="1:10" x14ac:dyDescent="0.25">
      <c r="A97" s="89"/>
      <c r="B97" s="89"/>
      <c r="C97" s="91" t="s">
        <v>120</v>
      </c>
      <c r="D97" s="89"/>
      <c r="E97" s="89"/>
      <c r="F97" s="89"/>
      <c r="G97" s="89"/>
      <c r="H97" s="89"/>
      <c r="I97">
        <v>1</v>
      </c>
    </row>
    <row r="98" spans="1:10" ht="30" x14ac:dyDescent="0.25">
      <c r="A98" s="89"/>
      <c r="B98" s="89"/>
      <c r="C98" s="18" t="s">
        <v>223</v>
      </c>
      <c r="D98" s="22" t="s">
        <v>224</v>
      </c>
      <c r="E98" s="69"/>
      <c r="F98" s="70">
        <f>IF(SUMIF(E98,"соответствует",$I$4:$I$130)=1,1,0)</f>
        <v>0</v>
      </c>
      <c r="G98" s="20"/>
      <c r="H98" s="89"/>
      <c r="I98">
        <v>1</v>
      </c>
    </row>
    <row r="99" spans="1:10" x14ac:dyDescent="0.25">
      <c r="A99" s="158">
        <v>12</v>
      </c>
      <c r="B99" s="161" t="s">
        <v>44</v>
      </c>
      <c r="C99" s="91" t="s">
        <v>96</v>
      </c>
      <c r="D99" s="89"/>
      <c r="E99" s="89"/>
      <c r="F99" s="89"/>
      <c r="G99" s="89"/>
      <c r="H99" s="160">
        <f>IF(F100=0,0,IF(F104=0,F100,SUM(F100,F104,F108)))</f>
        <v>0</v>
      </c>
      <c r="I99">
        <v>1</v>
      </c>
    </row>
    <row r="100" spans="1:10" x14ac:dyDescent="0.25">
      <c r="A100" s="89"/>
      <c r="B100" s="89"/>
      <c r="C100" s="18" t="s">
        <v>225</v>
      </c>
      <c r="D100" s="22" t="s">
        <v>226</v>
      </c>
      <c r="E100" s="69"/>
      <c r="F100" s="90">
        <f>IF(SUMIF(E100:E102,"соответствует",$I$4:$I$134)=3,1,0)</f>
        <v>0</v>
      </c>
      <c r="G100" s="20"/>
      <c r="H100" s="89"/>
      <c r="I100">
        <v>1</v>
      </c>
      <c r="J100" s="84" t="s">
        <v>326</v>
      </c>
    </row>
    <row r="101" spans="1:10" x14ac:dyDescent="0.25">
      <c r="A101" s="89"/>
      <c r="B101" s="89"/>
      <c r="C101" s="18" t="s">
        <v>227</v>
      </c>
      <c r="D101" s="22" t="s">
        <v>228</v>
      </c>
      <c r="E101" s="69"/>
      <c r="F101" s="89"/>
      <c r="G101" s="20"/>
      <c r="H101" s="89"/>
      <c r="I101">
        <v>1</v>
      </c>
      <c r="J101" s="84" t="s">
        <v>326</v>
      </c>
    </row>
    <row r="102" spans="1:10" x14ac:dyDescent="0.25">
      <c r="A102" s="89"/>
      <c r="B102" s="89"/>
      <c r="C102" s="18" t="s">
        <v>229</v>
      </c>
      <c r="D102" s="22" t="s">
        <v>230</v>
      </c>
      <c r="E102" s="69"/>
      <c r="F102" s="89"/>
      <c r="G102" s="20"/>
      <c r="H102" s="89"/>
      <c r="I102">
        <v>1</v>
      </c>
      <c r="J102" s="84" t="s">
        <v>326</v>
      </c>
    </row>
    <row r="103" spans="1:10" x14ac:dyDescent="0.25">
      <c r="A103" s="89"/>
      <c r="B103" s="89"/>
      <c r="C103" s="91" t="s">
        <v>115</v>
      </c>
      <c r="D103" s="89"/>
      <c r="E103" s="89"/>
      <c r="F103" s="89"/>
      <c r="G103" s="89"/>
      <c r="H103" s="89"/>
      <c r="I103">
        <v>1</v>
      </c>
    </row>
    <row r="104" spans="1:10" x14ac:dyDescent="0.25">
      <c r="A104" s="89"/>
      <c r="B104" s="89"/>
      <c r="C104" s="18" t="s">
        <v>231</v>
      </c>
      <c r="D104" s="22" t="s">
        <v>232</v>
      </c>
      <c r="E104" s="69"/>
      <c r="F104" s="90">
        <f>IF(SUMIF(E104:E106,"соответствует",$I$4:$I$134)=3,1,0)</f>
        <v>0</v>
      </c>
      <c r="G104" s="20"/>
      <c r="H104" s="89"/>
      <c r="I104">
        <v>1</v>
      </c>
      <c r="J104" s="84" t="s">
        <v>320</v>
      </c>
    </row>
    <row r="105" spans="1:10" ht="30" x14ac:dyDescent="0.25">
      <c r="A105" s="89"/>
      <c r="B105" s="89"/>
      <c r="C105" s="18" t="s">
        <v>233</v>
      </c>
      <c r="D105" s="22" t="s">
        <v>234</v>
      </c>
      <c r="E105" s="69"/>
      <c r="F105" s="89"/>
      <c r="G105" s="20"/>
      <c r="H105" s="89"/>
      <c r="I105">
        <v>1</v>
      </c>
      <c r="J105" s="84" t="s">
        <v>320</v>
      </c>
    </row>
    <row r="106" spans="1:10" ht="30" x14ac:dyDescent="0.25">
      <c r="A106" s="89"/>
      <c r="B106" s="89"/>
      <c r="C106" s="18" t="s">
        <v>235</v>
      </c>
      <c r="D106" s="22" t="s">
        <v>236</v>
      </c>
      <c r="E106" s="69"/>
      <c r="F106" s="89"/>
      <c r="G106" s="20"/>
      <c r="H106" s="89"/>
      <c r="I106">
        <v>1</v>
      </c>
      <c r="J106" s="84" t="s">
        <v>326</v>
      </c>
    </row>
    <row r="107" spans="1:10" x14ac:dyDescent="0.25">
      <c r="A107" s="89"/>
      <c r="B107" s="89"/>
      <c r="C107" s="91" t="s">
        <v>120</v>
      </c>
      <c r="D107" s="89"/>
      <c r="E107" s="89"/>
      <c r="F107" s="89"/>
      <c r="G107" s="89"/>
      <c r="H107" s="89"/>
      <c r="I107">
        <v>1</v>
      </c>
    </row>
    <row r="108" spans="1:10" ht="30" x14ac:dyDescent="0.25">
      <c r="A108" s="89"/>
      <c r="B108" s="89"/>
      <c r="C108" s="18" t="s">
        <v>237</v>
      </c>
      <c r="D108" s="22" t="s">
        <v>238</v>
      </c>
      <c r="E108" s="69"/>
      <c r="F108" s="90">
        <f>IF(SUMIF(E108:E111,"соответствует",$I$4:$I$134)=4,1,0)</f>
        <v>0</v>
      </c>
      <c r="G108" s="20"/>
      <c r="H108" s="89"/>
      <c r="I108">
        <v>1</v>
      </c>
    </row>
    <row r="109" spans="1:10" ht="30" x14ac:dyDescent="0.25">
      <c r="A109" s="89"/>
      <c r="B109" s="89"/>
      <c r="C109" s="18" t="s">
        <v>239</v>
      </c>
      <c r="D109" s="22" t="s">
        <v>240</v>
      </c>
      <c r="E109" s="69"/>
      <c r="F109" s="89"/>
      <c r="G109" s="20"/>
      <c r="H109" s="89"/>
      <c r="I109">
        <v>1</v>
      </c>
    </row>
    <row r="110" spans="1:10" ht="45" x14ac:dyDescent="0.25">
      <c r="A110" s="89"/>
      <c r="B110" s="89"/>
      <c r="C110" s="18" t="s">
        <v>241</v>
      </c>
      <c r="D110" s="22" t="s">
        <v>242</v>
      </c>
      <c r="E110" s="69"/>
      <c r="F110" s="89"/>
      <c r="G110" s="20"/>
      <c r="H110" s="89"/>
      <c r="I110">
        <v>1</v>
      </c>
    </row>
    <row r="111" spans="1:10" ht="24" x14ac:dyDescent="0.25">
      <c r="A111" s="89"/>
      <c r="B111" s="89"/>
      <c r="C111" s="23" t="s">
        <v>243</v>
      </c>
      <c r="D111" s="22" t="s">
        <v>244</v>
      </c>
      <c r="E111" s="69"/>
      <c r="F111" s="89"/>
      <c r="G111" s="20"/>
      <c r="H111" s="89"/>
      <c r="I111">
        <v>1</v>
      </c>
    </row>
    <row r="112" spans="1:10" ht="14.45" customHeight="1" x14ac:dyDescent="0.25">
      <c r="A112" s="158">
        <v>13</v>
      </c>
      <c r="B112" s="161" t="s">
        <v>45</v>
      </c>
      <c r="C112" s="91" t="s">
        <v>96</v>
      </c>
      <c r="D112" s="89"/>
      <c r="E112" s="89"/>
      <c r="F112" s="89"/>
      <c r="G112" s="89"/>
      <c r="H112" s="160">
        <f>IF(F113=0,0,IF(F116=0,F113,SUM(F113,F116,F119)))</f>
        <v>0</v>
      </c>
      <c r="I112">
        <v>1</v>
      </c>
    </row>
    <row r="113" spans="1:10" ht="30" x14ac:dyDescent="0.25">
      <c r="A113" s="89"/>
      <c r="B113" s="89"/>
      <c r="C113" s="18" t="s">
        <v>245</v>
      </c>
      <c r="D113" s="22" t="s">
        <v>246</v>
      </c>
      <c r="E113" s="69"/>
      <c r="F113" s="90">
        <f>IF(SUMIF(E113:E114,"соответствует",$I$4:$I$134)=2,1,0)</f>
        <v>0</v>
      </c>
      <c r="G113" s="20"/>
      <c r="H113" s="89"/>
      <c r="I113">
        <v>1</v>
      </c>
      <c r="J113" s="84" t="s">
        <v>320</v>
      </c>
    </row>
    <row r="114" spans="1:10" ht="30" x14ac:dyDescent="0.25">
      <c r="A114" s="89"/>
      <c r="B114" s="89"/>
      <c r="C114" s="18" t="s">
        <v>247</v>
      </c>
      <c r="D114" s="22" t="s">
        <v>248</v>
      </c>
      <c r="E114" s="69"/>
      <c r="F114" s="89"/>
      <c r="G114" s="20"/>
      <c r="H114" s="89"/>
      <c r="I114">
        <v>1</v>
      </c>
      <c r="J114" s="84" t="s">
        <v>320</v>
      </c>
    </row>
    <row r="115" spans="1:10" x14ac:dyDescent="0.25">
      <c r="A115" s="89"/>
      <c r="B115" s="89"/>
      <c r="C115" s="91" t="s">
        <v>115</v>
      </c>
      <c r="D115" s="89"/>
      <c r="E115" s="89"/>
      <c r="F115" s="89"/>
      <c r="G115" s="89"/>
      <c r="H115" s="89"/>
      <c r="I115">
        <v>1</v>
      </c>
    </row>
    <row r="116" spans="1:10" x14ac:dyDescent="0.25">
      <c r="A116" s="89"/>
      <c r="B116" s="89"/>
      <c r="C116" s="18" t="s">
        <v>249</v>
      </c>
      <c r="D116" s="22" t="s">
        <v>250</v>
      </c>
      <c r="E116" s="69"/>
      <c r="F116" s="90">
        <f>IF(SUMIF(E116:E117,"соответствует",$I$4:$I$134)=2,1,0)</f>
        <v>0</v>
      </c>
      <c r="G116" s="20"/>
      <c r="H116" s="89"/>
      <c r="I116">
        <v>1</v>
      </c>
      <c r="J116" s="84" t="s">
        <v>320</v>
      </c>
    </row>
    <row r="117" spans="1:10" ht="30" x14ac:dyDescent="0.25">
      <c r="A117" s="89"/>
      <c r="B117" s="89"/>
      <c r="C117" s="18" t="s">
        <v>251</v>
      </c>
      <c r="D117" s="22" t="s">
        <v>252</v>
      </c>
      <c r="E117" s="69"/>
      <c r="F117" s="89"/>
      <c r="G117" s="20"/>
      <c r="H117" s="89"/>
      <c r="I117">
        <v>1</v>
      </c>
      <c r="J117" s="84" t="s">
        <v>320</v>
      </c>
    </row>
    <row r="118" spans="1:10" x14ac:dyDescent="0.25">
      <c r="A118" s="89"/>
      <c r="B118" s="89"/>
      <c r="C118" s="91" t="s">
        <v>120</v>
      </c>
      <c r="D118" s="89"/>
      <c r="E118" s="89"/>
      <c r="F118" s="89"/>
      <c r="G118" s="89"/>
      <c r="H118" s="89"/>
      <c r="I118">
        <v>1</v>
      </c>
    </row>
    <row r="119" spans="1:10" ht="30" x14ac:dyDescent="0.25">
      <c r="A119" s="89"/>
      <c r="B119" s="89"/>
      <c r="C119" s="18" t="s">
        <v>253</v>
      </c>
      <c r="D119" s="22" t="s">
        <v>254</v>
      </c>
      <c r="E119" s="69"/>
      <c r="F119" s="70">
        <f>IF(SUMIF(E119,"соответствует",$I$4:$I$130)=1,1,0)</f>
        <v>0</v>
      </c>
      <c r="G119" s="20"/>
      <c r="H119" s="89"/>
      <c r="I119">
        <v>1</v>
      </c>
    </row>
    <row r="120" spans="1:10" x14ac:dyDescent="0.25">
      <c r="A120" s="158">
        <v>14</v>
      </c>
      <c r="B120" s="161" t="s">
        <v>63</v>
      </c>
      <c r="C120" s="91" t="s">
        <v>96</v>
      </c>
      <c r="D120" s="89"/>
      <c r="E120" s="89"/>
      <c r="F120" s="89"/>
      <c r="G120" s="89"/>
      <c r="H120" s="160">
        <f>IF(F121=0,0,IF(F124=0,F121,SUM(F121,F124,F128)))</f>
        <v>0</v>
      </c>
      <c r="I120">
        <v>1</v>
      </c>
    </row>
    <row r="121" spans="1:10" ht="45" x14ac:dyDescent="0.25">
      <c r="A121" s="89"/>
      <c r="B121" s="89"/>
      <c r="C121" s="18" t="s">
        <v>255</v>
      </c>
      <c r="D121" s="22" t="s">
        <v>256</v>
      </c>
      <c r="E121" s="69"/>
      <c r="F121" s="90">
        <f>IF(SUMIF(E121:E122,"соответствует",$I$4:$I$134)=2,1,0)</f>
        <v>0</v>
      </c>
      <c r="G121" s="20"/>
      <c r="H121" s="89"/>
      <c r="I121">
        <v>1</v>
      </c>
      <c r="J121" s="84" t="s">
        <v>326</v>
      </c>
    </row>
    <row r="122" spans="1:10" ht="45" x14ac:dyDescent="0.25">
      <c r="A122" s="89"/>
      <c r="B122" s="89"/>
      <c r="C122" s="18" t="s">
        <v>257</v>
      </c>
      <c r="D122" s="22" t="s">
        <v>258</v>
      </c>
      <c r="E122" s="69"/>
      <c r="F122" s="89"/>
      <c r="G122" s="20"/>
      <c r="H122" s="89"/>
      <c r="I122">
        <v>1</v>
      </c>
      <c r="J122" s="84" t="s">
        <v>326</v>
      </c>
    </row>
    <row r="123" spans="1:10" x14ac:dyDescent="0.25">
      <c r="A123" s="89"/>
      <c r="B123" s="89"/>
      <c r="C123" s="165" t="s">
        <v>115</v>
      </c>
      <c r="D123" s="89"/>
      <c r="E123" s="89"/>
      <c r="F123" s="89"/>
      <c r="G123" s="89"/>
      <c r="H123" s="89"/>
      <c r="I123">
        <v>1</v>
      </c>
    </row>
    <row r="124" spans="1:10" ht="30" x14ac:dyDescent="0.25">
      <c r="A124" s="89"/>
      <c r="B124" s="89"/>
      <c r="C124" s="18" t="s">
        <v>259</v>
      </c>
      <c r="D124" s="22" t="s">
        <v>260</v>
      </c>
      <c r="E124" s="69"/>
      <c r="F124" s="90">
        <f>IF(SUMIF(E124:E126,"соответствует",$I$4:$I$134)=3,1,0)</f>
        <v>0</v>
      </c>
      <c r="G124" s="20"/>
      <c r="H124" s="89"/>
      <c r="I124">
        <v>1</v>
      </c>
    </row>
    <row r="125" spans="1:10" ht="45" x14ac:dyDescent="0.25">
      <c r="A125" s="89"/>
      <c r="B125" s="89"/>
      <c r="C125" s="18" t="s">
        <v>261</v>
      </c>
      <c r="D125" s="22" t="s">
        <v>262</v>
      </c>
      <c r="E125" s="69"/>
      <c r="F125" s="89"/>
      <c r="G125" s="20"/>
      <c r="H125" s="89"/>
      <c r="I125">
        <v>1</v>
      </c>
      <c r="J125" s="84"/>
    </row>
    <row r="126" spans="1:10" ht="45" x14ac:dyDescent="0.25">
      <c r="A126" s="89"/>
      <c r="B126" s="89"/>
      <c r="C126" s="18" t="s">
        <v>263</v>
      </c>
      <c r="D126" s="22" t="s">
        <v>264</v>
      </c>
      <c r="E126" s="69"/>
      <c r="F126" s="89"/>
      <c r="G126" s="20"/>
      <c r="H126" s="89"/>
      <c r="I126">
        <v>1</v>
      </c>
    </row>
    <row r="127" spans="1:10" x14ac:dyDescent="0.25">
      <c r="A127" s="89"/>
      <c r="B127" s="89"/>
      <c r="C127" s="91" t="s">
        <v>120</v>
      </c>
      <c r="D127" s="89"/>
      <c r="E127" s="89"/>
      <c r="F127" s="89"/>
      <c r="G127" s="89"/>
      <c r="H127" s="89"/>
      <c r="I127">
        <v>1</v>
      </c>
    </row>
    <row r="128" spans="1:10" ht="45" x14ac:dyDescent="0.25">
      <c r="A128" s="89"/>
      <c r="B128" s="89"/>
      <c r="C128" s="18" t="s">
        <v>265</v>
      </c>
      <c r="D128" s="22" t="s">
        <v>266</v>
      </c>
      <c r="E128" s="69"/>
      <c r="F128" s="90">
        <f>IF(SUMIF(E128:E130,"соответствует",$I$4:$I$134)=3,1,0)</f>
        <v>0</v>
      </c>
      <c r="G128" s="29"/>
      <c r="H128" s="89"/>
      <c r="I128">
        <v>1</v>
      </c>
      <c r="J128" s="88"/>
    </row>
    <row r="129" spans="1:10" ht="45" x14ac:dyDescent="0.25">
      <c r="A129" s="89"/>
      <c r="B129" s="89"/>
      <c r="C129" s="18" t="s">
        <v>267</v>
      </c>
      <c r="D129" s="22" t="s">
        <v>268</v>
      </c>
      <c r="E129" s="69"/>
      <c r="F129" s="89"/>
      <c r="G129" s="29"/>
      <c r="H129" s="89"/>
      <c r="I129">
        <v>1</v>
      </c>
      <c r="J129" s="88"/>
    </row>
    <row r="130" spans="1:10" ht="30" x14ac:dyDescent="0.25">
      <c r="A130" s="89"/>
      <c r="B130" s="89"/>
      <c r="C130" s="18" t="s">
        <v>269</v>
      </c>
      <c r="D130" s="22" t="s">
        <v>270</v>
      </c>
      <c r="E130" s="69"/>
      <c r="F130" s="89"/>
      <c r="G130" s="30"/>
      <c r="H130" s="89"/>
      <c r="I130">
        <v>1</v>
      </c>
    </row>
    <row r="131" spans="1:10" ht="14.45" customHeight="1" x14ac:dyDescent="0.25">
      <c r="A131" s="163" t="s">
        <v>271</v>
      </c>
      <c r="B131" s="89"/>
      <c r="C131" s="89"/>
      <c r="D131" s="89"/>
      <c r="E131" s="89"/>
      <c r="F131" s="89"/>
      <c r="G131" s="89"/>
      <c r="H131" s="24">
        <f>SUM(H3:H130)</f>
        <v>0</v>
      </c>
    </row>
    <row r="132" spans="1:10" ht="47.45" customHeight="1" x14ac:dyDescent="0.25">
      <c r="A132" s="164" t="s">
        <v>272</v>
      </c>
      <c r="B132" s="89"/>
      <c r="C132" s="89"/>
      <c r="D132" s="89"/>
      <c r="E132" s="89"/>
      <c r="F132" s="89"/>
      <c r="G132" s="89"/>
      <c r="H132" s="89"/>
    </row>
    <row r="133" spans="1:10" ht="51" customHeight="1" x14ac:dyDescent="0.25"/>
  </sheetData>
  <mergeCells count="122">
    <mergeCell ref="A131:G131"/>
    <mergeCell ref="A132:H132"/>
    <mergeCell ref="A120:A130"/>
    <mergeCell ref="B120:B130"/>
    <mergeCell ref="C120:G120"/>
    <mergeCell ref="H120:H130"/>
    <mergeCell ref="F121:F122"/>
    <mergeCell ref="C123:G123"/>
    <mergeCell ref="F124:F126"/>
    <mergeCell ref="C127:G127"/>
    <mergeCell ref="F128:F130"/>
    <mergeCell ref="A112:A119"/>
    <mergeCell ref="B112:B119"/>
    <mergeCell ref="C112:G112"/>
    <mergeCell ref="H112:H119"/>
    <mergeCell ref="F113:F114"/>
    <mergeCell ref="C115:G115"/>
    <mergeCell ref="F116:F117"/>
    <mergeCell ref="C118:G118"/>
    <mergeCell ref="A99:A111"/>
    <mergeCell ref="B99:B111"/>
    <mergeCell ref="C99:G99"/>
    <mergeCell ref="H99:H111"/>
    <mergeCell ref="F100:F102"/>
    <mergeCell ref="C103:G103"/>
    <mergeCell ref="F104:F106"/>
    <mergeCell ref="C107:G107"/>
    <mergeCell ref="F108:F111"/>
    <mergeCell ref="A90:A98"/>
    <mergeCell ref="B90:B98"/>
    <mergeCell ref="C90:G90"/>
    <mergeCell ref="H90:H98"/>
    <mergeCell ref="F91:F93"/>
    <mergeCell ref="C94:G94"/>
    <mergeCell ref="F95:F96"/>
    <mergeCell ref="C97:G97"/>
    <mergeCell ref="A82:A89"/>
    <mergeCell ref="B82:B89"/>
    <mergeCell ref="C82:G82"/>
    <mergeCell ref="H82:H89"/>
    <mergeCell ref="F83:F84"/>
    <mergeCell ref="C85:G85"/>
    <mergeCell ref="F86:F87"/>
    <mergeCell ref="C88:G88"/>
    <mergeCell ref="A75:A81"/>
    <mergeCell ref="B75:B81"/>
    <mergeCell ref="C75:G75"/>
    <mergeCell ref="H75:H81"/>
    <mergeCell ref="C77:G77"/>
    <mergeCell ref="C79:G79"/>
    <mergeCell ref="F80:F81"/>
    <mergeCell ref="A67:A74"/>
    <mergeCell ref="B67:B74"/>
    <mergeCell ref="C67:G67"/>
    <mergeCell ref="H67:H74"/>
    <mergeCell ref="F68:F69"/>
    <mergeCell ref="C70:G70"/>
    <mergeCell ref="F71:F72"/>
    <mergeCell ref="C73:G73"/>
    <mergeCell ref="A58:A66"/>
    <mergeCell ref="B58:B66"/>
    <mergeCell ref="C58:G58"/>
    <mergeCell ref="H58:H66"/>
    <mergeCell ref="F59:F60"/>
    <mergeCell ref="C61:G61"/>
    <mergeCell ref="F62:F63"/>
    <mergeCell ref="C64:G64"/>
    <mergeCell ref="F65:F66"/>
    <mergeCell ref="A48:A57"/>
    <mergeCell ref="B48:B57"/>
    <mergeCell ref="C48:G48"/>
    <mergeCell ref="H48:H57"/>
    <mergeCell ref="F49:F50"/>
    <mergeCell ref="C51:G51"/>
    <mergeCell ref="F52:F54"/>
    <mergeCell ref="C55:G55"/>
    <mergeCell ref="F56:F57"/>
    <mergeCell ref="A38:A47"/>
    <mergeCell ref="B38:B47"/>
    <mergeCell ref="C38:G38"/>
    <mergeCell ref="H38:H47"/>
    <mergeCell ref="F39:F40"/>
    <mergeCell ref="C41:G41"/>
    <mergeCell ref="F42:F43"/>
    <mergeCell ref="C44:G44"/>
    <mergeCell ref="F45:F47"/>
    <mergeCell ref="A29:A37"/>
    <mergeCell ref="B29:B37"/>
    <mergeCell ref="C29:G29"/>
    <mergeCell ref="H29:H37"/>
    <mergeCell ref="F30:F31"/>
    <mergeCell ref="C32:G32"/>
    <mergeCell ref="F33:F34"/>
    <mergeCell ref="C35:G35"/>
    <mergeCell ref="F36:F37"/>
    <mergeCell ref="A21:A28"/>
    <mergeCell ref="B21:B28"/>
    <mergeCell ref="C21:G21"/>
    <mergeCell ref="H21:H28"/>
    <mergeCell ref="F22:F23"/>
    <mergeCell ref="C24:G24"/>
    <mergeCell ref="F25:F26"/>
    <mergeCell ref="C27:G27"/>
    <mergeCell ref="F10:F11"/>
    <mergeCell ref="A12:A20"/>
    <mergeCell ref="B12:B20"/>
    <mergeCell ref="C12:G12"/>
    <mergeCell ref="H12:H20"/>
    <mergeCell ref="C14:G14"/>
    <mergeCell ref="F15:F17"/>
    <mergeCell ref="C18:G18"/>
    <mergeCell ref="F19:F20"/>
    <mergeCell ref="B1:D1"/>
    <mergeCell ref="C2:D2"/>
    <mergeCell ref="A3:A11"/>
    <mergeCell ref="B3:B11"/>
    <mergeCell ref="C3:G3"/>
    <mergeCell ref="H3:H11"/>
    <mergeCell ref="F4:F5"/>
    <mergeCell ref="C6:G6"/>
    <mergeCell ref="F7:F8"/>
    <mergeCell ref="C9:G9"/>
  </mergeCells>
  <dataValidations count="1">
    <dataValidation type="list" allowBlank="1" showErrorMessage="1" sqref="E4:E5 E7:E8 E10:E11 E13 E15:E17 E19:E20 E22:E23 E25:E26 E28 E30:E31 E33:E34 E36:E37 E39:E40 E42:E43 E45:E47 E49:E50 E52:E54 E56:E57 E59:E60 E62:E63 E65:E66 E68:E69 E71:E72 E74 E76 E78 E80:E81 E83:E84 E86:E87 E89 E91:E93 E95:E96 E98 E100:E102 E104:E106 E108:E111 E113:E114 E116:E117 E119 E121:E122 E124:E126 E128:E130" xr:uid="{EF0FA9B5-E6E8-41CB-82C4-D741F9715E19}">
      <formula1>$M$3:$M$5</formula1>
    </dataValidation>
  </dataValidations>
  <pageMargins left="0.39370078740157483" right="0.19685039370078741" top="0.19685039370078741" bottom="0.19685039370078741" header="0.31496062992125984" footer="0.31496062992125984"/>
  <pageSetup paperSize="9" scale="51" fitToHeight="3" orientation="portrait" r:id="rId1"/>
  <rowBreaks count="1" manualBreakCount="1">
    <brk id="66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45FE-2798-483F-B075-D9A9532A6040}">
  <sheetPr codeName="Лист16"/>
  <dimension ref="A2:H15"/>
  <sheetViews>
    <sheetView topLeftCell="C1" workbookViewId="0">
      <selection activeCell="G9" sqref="G9"/>
    </sheetView>
  </sheetViews>
  <sheetFormatPr defaultRowHeight="15" x14ac:dyDescent="0.25"/>
  <cols>
    <col min="1" max="1" width="5.42578125" customWidth="1"/>
    <col min="2" max="2" width="30.42578125" customWidth="1"/>
    <col min="3" max="3" width="19.140625" customWidth="1"/>
    <col min="4" max="4" width="20.42578125" customWidth="1"/>
    <col min="5" max="5" width="18.28515625" customWidth="1"/>
    <col min="7" max="7" width="16.140625" customWidth="1"/>
    <col min="8" max="8" width="5.7109375" customWidth="1"/>
  </cols>
  <sheetData>
    <row r="2" spans="1:8" ht="15.75" x14ac:dyDescent="0.25">
      <c r="A2" s="3">
        <v>1</v>
      </c>
      <c r="B2" t="s">
        <v>22</v>
      </c>
      <c r="C2" s="36" t="s">
        <v>23</v>
      </c>
      <c r="D2" s="4" t="s">
        <v>33</v>
      </c>
      <c r="G2" t="s">
        <v>54</v>
      </c>
      <c r="H2">
        <v>30</v>
      </c>
    </row>
    <row r="3" spans="1:8" ht="15.75" x14ac:dyDescent="0.25">
      <c r="A3" s="3">
        <v>2</v>
      </c>
      <c r="B3" t="s">
        <v>24</v>
      </c>
      <c r="C3" s="36" t="s">
        <v>25</v>
      </c>
      <c r="D3" s="4" t="s">
        <v>32</v>
      </c>
      <c r="G3" t="s">
        <v>65</v>
      </c>
      <c r="H3">
        <v>15</v>
      </c>
    </row>
    <row r="4" spans="1:8" ht="15.75" x14ac:dyDescent="0.25">
      <c r="A4" s="3">
        <v>3</v>
      </c>
      <c r="B4" t="s">
        <v>26</v>
      </c>
      <c r="C4" s="36" t="s">
        <v>27</v>
      </c>
      <c r="D4" s="4" t="s">
        <v>31</v>
      </c>
      <c r="G4" t="s">
        <v>16</v>
      </c>
      <c r="H4">
        <v>0</v>
      </c>
    </row>
    <row r="5" spans="1:8" ht="15.75" x14ac:dyDescent="0.25">
      <c r="A5" s="3">
        <v>4</v>
      </c>
      <c r="B5" t="s">
        <v>28</v>
      </c>
      <c r="C5" s="36" t="s">
        <v>29</v>
      </c>
      <c r="D5" s="4" t="s">
        <v>30</v>
      </c>
      <c r="E5" s="4" t="s">
        <v>39</v>
      </c>
    </row>
    <row r="6" spans="1:8" ht="15.75" x14ac:dyDescent="0.25">
      <c r="A6" s="3">
        <v>5</v>
      </c>
      <c r="B6" t="s">
        <v>34</v>
      </c>
      <c r="C6" s="36" t="s">
        <v>35</v>
      </c>
      <c r="D6" s="4" t="s">
        <v>36</v>
      </c>
      <c r="G6" t="s">
        <v>54</v>
      </c>
      <c r="H6">
        <v>10</v>
      </c>
    </row>
    <row r="7" spans="1:8" ht="15.75" x14ac:dyDescent="0.25">
      <c r="A7" s="3">
        <v>6</v>
      </c>
      <c r="B7" t="s">
        <v>37</v>
      </c>
      <c r="C7" s="36" t="s">
        <v>38</v>
      </c>
      <c r="D7" s="4" t="s">
        <v>40</v>
      </c>
      <c r="G7" t="s">
        <v>16</v>
      </c>
      <c r="H7">
        <v>0</v>
      </c>
    </row>
    <row r="8" spans="1:8" x14ac:dyDescent="0.25">
      <c r="A8" s="3"/>
      <c r="G8" t="s">
        <v>309</v>
      </c>
      <c r="H8">
        <v>0</v>
      </c>
    </row>
    <row r="9" spans="1:8" x14ac:dyDescent="0.25">
      <c r="A9" s="3"/>
    </row>
    <row r="12" spans="1:8" x14ac:dyDescent="0.25">
      <c r="C12" t="s">
        <v>282</v>
      </c>
      <c r="G12" t="s">
        <v>16</v>
      </c>
      <c r="H12">
        <v>0</v>
      </c>
    </row>
    <row r="13" spans="1:8" x14ac:dyDescent="0.25">
      <c r="C13" t="s">
        <v>283</v>
      </c>
      <c r="D13" t="s">
        <v>284</v>
      </c>
      <c r="G13" t="s">
        <v>82</v>
      </c>
      <c r="H13">
        <v>5</v>
      </c>
    </row>
    <row r="14" spans="1:8" x14ac:dyDescent="0.25">
      <c r="C14" t="s">
        <v>285</v>
      </c>
      <c r="D14" t="s">
        <v>286</v>
      </c>
      <c r="G14" t="s">
        <v>54</v>
      </c>
      <c r="H14">
        <v>10</v>
      </c>
    </row>
    <row r="15" spans="1:8" x14ac:dyDescent="0.25">
      <c r="C15" t="s">
        <v>288</v>
      </c>
      <c r="D15" t="s">
        <v>287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DCBB70159D7C9449C4CD07DA98A49E0" ma:contentTypeVersion="5" ma:contentTypeDescription="Создание документа." ma:contentTypeScope="" ma:versionID="0ad5c250ef0747123286f4b238eb2b5e">
  <xsd:schema xmlns:xsd="http://www.w3.org/2001/XMLSchema" xmlns:xs="http://www.w3.org/2001/XMLSchema" xmlns:p="http://schemas.microsoft.com/office/2006/metadata/properties" xmlns:ns2="51d1143d-1b38-4c1d-b22c-153b268f8217" targetNamespace="http://schemas.microsoft.com/office/2006/metadata/properties" ma:root="true" ma:fieldsID="da01457b9cb4b966e597d681b16a41c7" ns2:_="">
    <xsd:import namespace="51d1143d-1b38-4c1d-b22c-153b268f8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1143d-1b38-4c1d-b22c-153b268f8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BFB41D-0B31-432D-B315-6CB117C2C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d1143d-1b38-4c1d-b22c-153b268f8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A54702-0FE0-401E-B34D-8DD0E251D7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30A77E-E2A4-4D8D-8929-5E8855084B77}">
  <ds:schemaRefs>
    <ds:schemaRef ds:uri="51d1143d-1b38-4c1d-b22c-153b268f821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11</vt:i4>
      </vt:variant>
    </vt:vector>
  </HeadingPairs>
  <TitlesOfParts>
    <vt:vector size="17" baseType="lpstr">
      <vt:lpstr>Критерии качества СР</vt:lpstr>
      <vt:lpstr>Бланк6</vt:lpstr>
      <vt:lpstr>Чек6</vt:lpstr>
      <vt:lpstr>Бланк7</vt:lpstr>
      <vt:lpstr>Чек7</vt:lpstr>
      <vt:lpstr>Инф РМР</vt:lpstr>
      <vt:lpstr>ДаНет</vt:lpstr>
      <vt:lpstr>ДаНетБезФЦК</vt:lpstr>
      <vt:lpstr>ДаНетНет</vt:lpstr>
      <vt:lpstr>ДаНетНетРисков</vt:lpstr>
      <vt:lpstr>ЕстьНет</vt:lpstr>
      <vt:lpstr>Бланк6!Область_печати</vt:lpstr>
      <vt:lpstr>Бланк7!Область_печати</vt:lpstr>
      <vt:lpstr>'Критерии качества СР'!Область_печати</vt:lpstr>
      <vt:lpstr>Чек6!Область_печати</vt:lpstr>
      <vt:lpstr>Чек7!Область_печати</vt:lpstr>
      <vt:lpstr>РМР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Филипишин Анатолий Павлович</dc:creator>
  <cp:lastModifiedBy>Колесник Павел Григорьевич</cp:lastModifiedBy>
  <cp:lastPrinted>2021-06-10T09:26:35Z</cp:lastPrinted>
  <dcterms:created xsi:type="dcterms:W3CDTF">2015-06-05T18:19:34Z</dcterms:created>
  <dcterms:modified xsi:type="dcterms:W3CDTF">2021-08-25T09:26:18Z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0x010100DDCBB70159D7C9449C4CD07DA98A49E0</vt:lpwstr>
  </property>
</Properties>
</file>